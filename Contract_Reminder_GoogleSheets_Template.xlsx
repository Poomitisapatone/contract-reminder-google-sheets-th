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e030834224b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4352522c9474d1b"/>
    <x:sheet xmlns:r="http://schemas.openxmlformats.org/officeDocument/2006/relationships" name="รายการสัญญา" sheetId="2" r:id="Rdb108566aa394541"/>
    <x:sheet xmlns:r="http://schemas.openxmlformats.org/officeDocument/2006/relationships" name="ปฏิทิน Timeline" sheetId="3" r:id="Rc7ac55e7061048da"/>
    <x:sheet xmlns:r="http://schemas.openxmlformats.org/officeDocument/2006/relationships" name="ตั้งค่า" sheetId="4" r:id="R5d9f2f0441b843b5"/>
    <x:sheet xmlns:r="http://schemas.openxmlformats.org/officeDocument/2006/relationships" name="ประวัติระบบ" sheetId="5" r:id="Ref70c346fe2b4c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0"/>
    <x:numFmt numFmtId="202" formatCode="dd/mm/yyyy hh:mm"/>
    <x:numFmt numFmtId="203" formatCode="d-mmm"/>
    <x:numFmt numFmtId="204" formatCode="dd/mm/yyyy hh:mm:ss"/>
  </x:numFmts>
  <x:fonts count="13">
    <x:font>
      <x:sz val="11"/>
      <x:name val="Carlito"/>
    </x:font>
    <x:font>
      <x:b/>
      <x:sz val="18"/>
      <x:color rgb="FFFFFFFF"/>
      <x:name val="Noto Sans Thai"/>
    </x:font>
    <x:font>
      <x:sz val="10"/>
      <x:color rgb="FF5B6573"/>
      <x:name val="Noto Sans Thai"/>
    </x:font>
    <x:font>
      <x:sz val="11"/>
      <x:color rgb="FF243447"/>
      <x:name val="Noto Sans Thai"/>
    </x:font>
    <x:font>
      <x:b/>
      <x:sz val="10"/>
      <x:color rgb="FFFFFFFF"/>
      <x:name val="Noto Sans Thai"/>
    </x:font>
    <x:font>
      <x:b/>
      <x:sz val="22"/>
      <x:color rgb="FF17365D"/>
      <x:name val="Noto Sans Thai"/>
    </x:font>
    <x:font>
      <x:b/>
      <x:sz val="11"/>
      <x:color rgb="FFFFFFFF"/>
      <x:name val="Noto Sans Thai"/>
    </x:font>
    <x:font>
      <x:sz val="10"/>
      <x:color rgb="FF243447"/>
      <x:name val="Noto Sans Thai"/>
    </x:font>
    <x:font>
      <x:b/>
      <x:sz val="10"/>
      <x:color rgb="FF17365D"/>
      <x:name val="Noto Sans Thai"/>
    </x:font>
    <x:font>
      <x:sz val="10"/>
      <x:color rgb="FF7F6000"/>
      <x:name val="Noto Sans Thai"/>
    </x:font>
    <x:font>
      <x:sz val="9"/>
      <x:color rgb="FF5B6573"/>
      <x:name val="Noto Sans Thai"/>
    </x:font>
    <x:font>
      <x:b/>
      <x:sz val="9"/>
      <x:color rgb="FFFFFFFF"/>
      <x:name val="Noto Sans Thai"/>
    </x:font>
    <x:font>
      <x:sz val="9"/>
      <x:color rgb="FF243447"/>
      <x:name val="Noto Sans Thai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4F9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  <x:fill>
      <x:patternFill patternType="solid">
        <x:fgColor rgb="FFFFF8E1"/>
      </x:patternFill>
    </x:fill>
    <x:fill>
      <x:patternFill patternType="solid">
        <x:fgColor rgb="FFEAF3F8"/>
      </x:patternFill>
    </x:fill>
    <x:fill>
      <x:patternFill patternType="solid">
        <x:fgColor rgb="FFE7E6E6"/>
      </x:patternFill>
    </x:fill>
  </x:fills>
  <x:borders count="23">
    <x:border/>
    <x:border>
      <x:left style="thin">
        <x:color rgb="FFD5DEE8"/>
      </x:left>
      <x:top style="thin">
        <x:color rgb="FFD5DEE8"/>
      </x:top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  <x:bottom style="thin">
        <x:color rgb="FFD5DEE8"/>
      </x:bottom>
    </x:border>
    <x:border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top style="thin">
        <x:color rgb="FFD5DEE8"/>
      </x:top>
    </x:border>
    <x:border>
      <x:left style="thin">
        <x:color rgb="FFD5DEE8"/>
      </x:left>
    </x:border>
    <x:border>
      <x:right style="thin">
        <x:color rgb="FFD5DEE8"/>
      </x:right>
    </x:border>
    <x:border>
      <x:bottom style="thin">
        <x:color rgb="FFD5DEE8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8EDF2"/>
      </x:bottom>
    </x:border>
    <x:border>
      <x:top style="thin">
        <x:color rgb="FFE8EDF2"/>
      </x:top>
      <x:bottom style="thin">
        <x:color rgb="FFE8EDF2"/>
      </x:bottom>
    </x:border>
    <x:border>
      <x:top style="thin">
        <x:color rgb="FFE8EDF2"/>
      </x:top>
    </x:border>
    <x:border>
      <x:bottom style="thin">
        <x:color rgb="FFEDF1F5"/>
      </x:bottom>
    </x:border>
    <x:border>
      <x:top style="thin">
        <x:color rgb="FFEDF1F5"/>
      </x:top>
      <x:bottom style="thin">
        <x:color rgb="FFEDF1F5"/>
      </x:bottom>
    </x:border>
    <x:border>
      <x:top style="thin">
        <x:color rgb="FFEDF1F5"/>
      </x:top>
    </x:border>
    <x:border>
      <x:left style="thin">
        <x:color rgb="FFD5DEE8"/>
      </x:left>
      <x:right style="thin">
        <x:color rgb="FFD5DEE8"/>
      </x:right>
      <x:top style="thin">
        <x:color rgb="FFD5DEE8"/>
      </x:top>
    </x:border>
    <x:border>
      <x:left style="thin">
        <x:color rgb="FFD5DEE8"/>
      </x:left>
      <x:right style="thin">
        <x:color rgb="FFD5DEE8"/>
      </x:right>
    </x:border>
    <x:border>
      <x:left style="thin">
        <x:color rgb="FFD5DEE8"/>
      </x:left>
      <x:right style="thin">
        <x:color rgb="FFD5DEE8"/>
      </x:right>
      <x:bottom style="thin">
        <x:color rgb="FFD5DEE8"/>
      </x:bottom>
    </x:border>
  </x:borders>
  <x:cellStyleXfs count="1">
    <x:xf numFmtId="0" fontId="0" fillId="0" borderId="0"/>
  </x:cellStyleXfs>
  <x:cellXfs count="1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3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7" fillId="6" borderId="3" xfId="0" applyNumberFormat="1" applyFont="1" applyFill="1" applyBorder="1" applyAlignment="1">
      <x:alignment vertical="center"/>
    </x:xf>
    <x:xf numFmtId="0" fontId="7" fillId="6" borderId="4" xfId="0" applyNumberFormat="1" applyFont="1" applyFill="1" applyBorder="1" applyAlignment="1">
      <x:alignment vertical="center"/>
    </x:xf>
    <x:xf numFmtId="0" fontId="8" fillId="6" borderId="3" xfId="0" applyNumberFormat="1" applyFont="1" applyFill="1" applyBorder="1" applyAlignment="1">
      <x:alignment vertical="center"/>
    </x:xf>
    <x:xf numFmtId="0" fontId="8" fillId="6" borderId="4" xfId="0" applyNumberFormat="1" applyFont="1" applyFill="1" applyBorder="1" applyAlignment="1">
      <x:alignment vertical="center"/>
    </x:xf>
    <x:xf numFmtId="0" fontId="8" fillId="6" borderId="5" xfId="0" applyNumberFormat="1" applyFont="1" applyFill="1" applyBorder="1" applyAlignment="1">
      <x:alignment vertical="center"/>
    </x:xf>
    <x:xf numFmtId="0" fontId="8" fillId="6" borderId="6" xfId="0" applyNumberFormat="1" applyFont="1" applyFill="1" applyBorder="1" applyAlignment="1">
      <x:alignment vertical="center"/>
    </x:xf>
    <x:xf numFmtId="0" fontId="8" fillId="6" borderId="5" xfId="0" applyNumberFormat="1" applyFont="1" applyFill="1" applyBorder="1" applyAlignment="1">
      <x:alignment horizontal="center" vertical="center"/>
    </x:xf>
    <x:xf numFmtId="0" fontId="8" fillId="6" borderId="6" xfId="0" applyNumberFormat="1" applyFont="1" applyFill="1" applyBorder="1" applyAlignment="1">
      <x:alignment horizontal="center" vertical="center"/>
    </x:xf>
    <x:xf numFmtId="0" fontId="7" fillId="0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7" xfId="0" applyNumberFormat="1" applyFont="1" applyFill="1" applyBorder="1"/>
    <x:xf numFmtId="0" fontId="7" fillId="7" borderId="2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7" fillId="7" borderId="3" xfId="0" applyNumberFormat="1" applyFont="1" applyFill="1" applyBorder="1"/>
    <x:xf numFmtId="0" fontId="7" fillId="7" borderId="10" xfId="0" applyNumberFormat="1" applyFont="1" applyFill="1" applyBorder="1"/>
    <x:xf numFmtId="0" fontId="7" fillId="7" borderId="4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left" wrapText="1"/>
    </x:xf>
    <x:xf numFmtId="0" fontId="7" fillId="7" borderId="7" xfId="0" applyNumberFormat="1" applyFont="1" applyFill="1" applyBorder="1" applyAlignment="1">
      <x:alignment horizontal="left" wrapText="1"/>
    </x:xf>
    <x:xf numFmtId="0" fontId="7" fillId="7" borderId="2" xfId="0" applyNumberFormat="1" applyFont="1" applyFill="1" applyBorder="1" applyAlignment="1">
      <x:alignment horizontal="left" wrapText="1"/>
    </x:xf>
    <x:xf numFmtId="0" fontId="7" fillId="7" borderId="8" xfId="0" applyNumberFormat="1" applyFont="1" applyFill="1" applyBorder="1" applyAlignment="1">
      <x:alignment horizontal="left" wrapText="1"/>
    </x:xf>
    <x:xf numFmtId="0" fontId="7" fillId="7" borderId="0" xfId="0" applyNumberFormat="1" applyFont="1" applyFill="1" applyBorder="1" applyAlignment="1">
      <x:alignment horizontal="left" wrapText="1"/>
    </x:xf>
    <x:xf numFmtId="0" fontId="7" fillId="7" borderId="9" xfId="0" applyNumberFormat="1" applyFont="1" applyFill="1" applyBorder="1" applyAlignment="1">
      <x:alignment horizontal="left" wrapText="1"/>
    </x:xf>
    <x:xf numFmtId="0" fontId="7" fillId="7" borderId="3" xfId="0" applyNumberFormat="1" applyFont="1" applyFill="1" applyBorder="1" applyAlignment="1">
      <x:alignment horizontal="left" wrapText="1"/>
    </x:xf>
    <x:xf numFmtId="0" fontId="7" fillId="7" borderId="10" xfId="0" applyNumberFormat="1" applyFont="1" applyFill="1" applyBorder="1" applyAlignment="1">
      <x:alignment horizontal="left" wrapText="1"/>
    </x:xf>
    <x:xf numFmtId="0" fontId="7" fillId="7" borderId="4" xfId="0" applyNumberFormat="1" applyFont="1" applyFill="1" applyBorder="1" applyAlignment="1">
      <x:alignment horizontal="left" wrapText="1"/>
    </x:xf>
    <x:xf numFmtId="0" fontId="7" fillId="7" borderId="1" xfId="0" applyNumberFormat="1" applyFont="1" applyFill="1" applyBorder="1" applyAlignment="1">
      <x:alignment horizontal="left" vertical="top" wrapText="1"/>
    </x:xf>
    <x:xf numFmtId="0" fontId="7" fillId="7" borderId="7" xfId="0" applyNumberFormat="1" applyFont="1" applyFill="1" applyBorder="1" applyAlignment="1">
      <x:alignment horizontal="left" vertical="top" wrapText="1"/>
    </x:xf>
    <x:xf numFmtId="0" fontId="7" fillId="7" borderId="2" xfId="0" applyNumberFormat="1" applyFont="1" applyFill="1" applyBorder="1" applyAlignment="1">
      <x:alignment horizontal="left" vertical="top" wrapText="1"/>
    </x:xf>
    <x:xf numFmtId="0" fontId="7" fillId="7" borderId="8" xfId="0" applyNumberFormat="1" applyFont="1" applyFill="1" applyBorder="1" applyAlignment="1">
      <x:alignment horizontal="left" vertical="top" wrapText="1"/>
    </x:xf>
    <x:xf numFmtId="0" fontId="7" fillId="7" borderId="0" xfId="0" applyNumberFormat="1" applyFont="1" applyFill="1" applyBorder="1" applyAlignment="1">
      <x:alignment horizontal="left" vertical="top" wrapText="1"/>
    </x:xf>
    <x:xf numFmtId="0" fontId="7" fillId="7" borderId="9" xfId="0" applyNumberFormat="1" applyFont="1" applyFill="1" applyBorder="1" applyAlignment="1">
      <x:alignment horizontal="left" vertical="top" wrapText="1"/>
    </x:xf>
    <x:xf numFmtId="0" fontId="7" fillId="7" borderId="3" xfId="0" applyNumberFormat="1" applyFont="1" applyFill="1" applyBorder="1" applyAlignment="1">
      <x:alignment horizontal="left" vertical="top" wrapText="1"/>
    </x:xf>
    <x:xf numFmtId="0" fontId="7" fillId="7" borderId="10" xfId="0" applyNumberFormat="1" applyFont="1" applyFill="1" applyBorder="1" applyAlignment="1">
      <x:alignment horizontal="left" vertical="top" wrapText="1"/>
    </x:xf>
    <x:xf numFmtId="0" fontId="7" fillId="7" borderId="4" xfId="0" applyNumberFormat="1" applyFont="1" applyFill="1" applyBorder="1" applyAlignment="1">
      <x:alignment horizontal="left" vertical="top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1" xfId="0" applyNumberFormat="1" applyFont="1" applyFill="1" applyBorder="1"/>
    <x:xf numFmtId="0" fontId="4" fillId="2" borderId="12" xfId="0" applyNumberFormat="1" applyFont="1" applyFill="1" applyBorder="1"/>
    <x:xf numFmtId="0" fontId="4" fillId="2" borderId="13" xfId="0" applyNumberFormat="1" applyFont="1" applyFill="1" applyBorder="1"/>
    <x:xf numFmtId="0" fontId="4" fillId="2" borderId="11" xfId="0" applyNumberFormat="1" applyFont="1" applyFill="1" applyBorder="1" applyAlignment="1">
      <x:alignment wrapText="1"/>
    </x:xf>
    <x:xf numFmtId="0" fontId="4" fillId="2" borderId="12" xfId="0" applyNumberFormat="1" applyFont="1" applyFill="1" applyBorder="1" applyAlignment="1">
      <x:alignment wrapText="1"/>
    </x:xf>
    <x:xf numFmtId="0" fontId="4" fillId="2" borderId="13" xfId="0" applyNumberFormat="1" applyFont="1" applyFill="1" applyBorder="1" applyAlignment="1">
      <x:alignment wrapText="1"/>
    </x:xf>
    <x:xf numFmtId="0" fontId="4" fillId="2" borderId="11" xfId="0" applyNumberFormat="1" applyFont="1" applyFill="1" applyBorder="1" applyAlignment="1">
      <x:alignment horizontal="center" wrapText="1"/>
    </x:xf>
    <x:xf numFmtId="0" fontId="4" fillId="2" borderId="12" xfId="0" applyNumberFormat="1" applyFont="1" applyFill="1" applyBorder="1" applyAlignment="1">
      <x:alignment horizontal="center" wrapText="1"/>
    </x:xf>
    <x:xf numFmtId="0" fontId="4" fillId="2" borderId="13" xfId="0" applyNumberFormat="1" applyFont="1" applyFill="1" applyBorder="1" applyAlignment="1">
      <x:alignment horizontal="center" wrapText="1"/>
    </x:xf>
    <x:xf numFmtId="0" fontId="4" fillId="2" borderId="11" xfId="0" applyNumberFormat="1" applyFont="1" applyFill="1" applyBorder="1" applyAlignment="1">
      <x:alignment horizontal="center" vertical="center" wrapText="1"/>
    </x:xf>
    <x:xf numFmtId="0" fontId="4" fillId="2" borderId="12" xfId="0" applyNumberFormat="1" applyFont="1" applyFill="1" applyBorder="1" applyAlignment="1">
      <x:alignment horizontal="center" vertical="center" wrapText="1"/>
    </x:xf>
    <x:xf numFmtId="0" fontId="4" fillId="2" borderId="13" xfId="0" applyNumberFormat="1" applyFont="1" applyFill="1" applyBorder="1" applyAlignment="1">
      <x:alignment horizontal="center" vertical="center" wrapText="1"/>
    </x:xf>
    <x:xf numFmtId="0" fontId="7" fillId="0" borderId="14" xfId="0" applyNumberFormat="1" applyFont="1" applyFill="1" applyBorder="1"/>
    <x:xf numFmtId="0" fontId="7" fillId="0" borderId="15" xfId="0" applyNumberFormat="1" applyFont="1" applyFill="1" applyBorder="1"/>
    <x:xf numFmtId="0" fontId="7" fillId="0" borderId="16" xfId="0" applyNumberFormat="1" applyFont="1" applyFill="1" applyBorder="1"/>
    <x:xf numFmtId="0" fontId="7" fillId="0" borderId="14" xfId="0" applyNumberFormat="1" applyFont="1" applyFill="1" applyBorder="1" applyAlignment="1">
      <x:alignment vertical="center"/>
    </x:xf>
    <x:xf numFmtId="0" fontId="7" fillId="0" borderId="15" xfId="0" applyNumberFormat="1" applyFont="1" applyFill="1" applyBorder="1" applyAlignment="1">
      <x:alignment vertical="center"/>
    </x:xf>
    <x:xf numFmtId="0" fontId="7" fillId="0" borderId="16" xfId="0" applyNumberFormat="1" applyFont="1" applyFill="1" applyBorder="1" applyAlignment="1">
      <x:alignment vertical="center"/>
    </x:xf>
    <x:xf numFmtId="0" fontId="7" fillId="4" borderId="14" xfId="0" applyNumberFormat="1" applyFont="1" applyFill="1" applyBorder="1" applyAlignment="1">
      <x:alignment vertical="center"/>
    </x:xf>
    <x:xf numFmtId="0" fontId="7" fillId="4" borderId="15" xfId="0" applyNumberFormat="1" applyFont="1" applyFill="1" applyBorder="1" applyAlignment="1">
      <x:alignment vertical="center"/>
    </x:xf>
    <x:xf numFmtId="0" fontId="7" fillId="4" borderId="16" xfId="0" applyNumberFormat="1" applyFont="1" applyFill="1" applyBorder="1" applyAlignment="1">
      <x:alignment vertical="center"/>
    </x:xf>
    <x:xf numFmtId="0" fontId="7" fillId="9" borderId="14" xfId="0" applyNumberFormat="1" applyFont="1" applyFill="1" applyBorder="1" applyAlignment="1">
      <x:alignment vertical="center"/>
    </x:xf>
    <x:xf numFmtId="0" fontId="7" fillId="9" borderId="15" xfId="0" applyNumberFormat="1" applyFont="1" applyFill="1" applyBorder="1" applyAlignment="1">
      <x:alignment vertical="center"/>
    </x:xf>
    <x:xf numFmtId="0" fontId="7" fillId="9" borderId="16" xfId="0" applyNumberFormat="1" applyFont="1" applyFill="1" applyBorder="1" applyAlignment="1">
      <x:alignment vertical="center"/>
    </x:xf>
    <x:xf numFmtId="0" fontId="7" fillId="8" borderId="14" xfId="0" applyNumberFormat="1" applyFont="1" applyFill="1" applyBorder="1" applyAlignment="1">
      <x:alignment vertical="center"/>
    </x:xf>
    <x:xf numFmtId="0" fontId="7" fillId="8" borderId="15" xfId="0" applyNumberFormat="1" applyFont="1" applyFill="1" applyBorder="1" applyAlignment="1">
      <x:alignment vertical="center"/>
    </x:xf>
    <x:xf numFmtId="0" fontId="7" fillId="8" borderId="16" xfId="0" applyNumberFormat="1" applyFont="1" applyFill="1" applyBorder="1" applyAlignment="1">
      <x:alignment vertical="center"/>
    </x:xf>
    <x:xf numFmtId="0" fontId="7" fillId="10" borderId="14" xfId="0" applyNumberFormat="1" applyFont="1" applyFill="1" applyBorder="1" applyAlignment="1">
      <x:alignment vertical="center"/>
    </x:xf>
    <x:xf numFmtId="0" fontId="7" fillId="10" borderId="15" xfId="0" applyNumberFormat="1" applyFont="1" applyFill="1" applyBorder="1" applyAlignment="1">
      <x:alignment vertical="center"/>
    </x:xf>
    <x:xf numFmtId="0" fontId="7" fillId="10" borderId="16" xfId="0" applyNumberFormat="1" applyFont="1" applyFill="1" applyBorder="1" applyAlignment="1">
      <x:alignment vertical="center"/>
    </x:xf>
    <x:xf numFmtId="0" fontId="10" fillId="10" borderId="14" xfId="0" applyNumberFormat="1" applyFont="1" applyFill="1" applyBorder="1" applyAlignment="1">
      <x:alignment vertical="center"/>
    </x:xf>
    <x:xf numFmtId="0" fontId="10" fillId="10" borderId="15" xfId="0" applyNumberFormat="1" applyFont="1" applyFill="1" applyBorder="1" applyAlignment="1">
      <x:alignment vertical="center"/>
    </x:xf>
    <x:xf numFmtId="0" fontId="10" fillId="10" borderId="16" xfId="0" applyNumberFormat="1" applyFont="1" applyFill="1" applyBorder="1" applyAlignment="1">
      <x:alignment vertical="center"/>
    </x:xf>
    <x:xf numFmtId="0" fontId="10" fillId="10" borderId="1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10" borderId="1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10" borderId="1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7" fillId="4" borderId="14" xfId="0" applyNumberFormat="1" applyFont="1" applyFill="1" applyBorder="1" applyAlignment="1">
      <x:alignment vertical="center"/>
    </x:xf>
    <x:xf numFmtId="200" fontId="7" fillId="4" borderId="15" xfId="0" applyNumberFormat="1" applyFont="1" applyFill="1" applyBorder="1" applyAlignment="1">
      <x:alignment vertical="center"/>
    </x:xf>
    <x:xf numFmtId="200" fontId="7" fillId="4" borderId="16" xfId="0" applyNumberFormat="1" applyFont="1" applyFill="1" applyBorder="1" applyAlignment="1">
      <x:alignment vertical="center"/>
    </x:xf>
    <x:xf numFmtId="200" fontId="7" fillId="9" borderId="14" xfId="0" applyNumberFormat="1" applyFont="1" applyFill="1" applyBorder="1" applyAlignment="1">
      <x:alignment vertical="center"/>
    </x:xf>
    <x:xf numFmtId="200" fontId="7" fillId="8" borderId="14" xfId="0" applyNumberFormat="1" applyFont="1" applyFill="1" applyBorder="1" applyAlignment="1">
      <x:alignment vertical="center"/>
    </x:xf>
    <x:xf numFmtId="200" fontId="7" fillId="9" borderId="15" xfId="0" applyNumberFormat="1" applyFont="1" applyFill="1" applyBorder="1" applyAlignment="1">
      <x:alignment vertical="center"/>
    </x:xf>
    <x:xf numFmtId="200" fontId="7" fillId="8" borderId="15" xfId="0" applyNumberFormat="1" applyFont="1" applyFill="1" applyBorder="1" applyAlignment="1">
      <x:alignment vertical="center"/>
    </x:xf>
    <x:xf numFmtId="200" fontId="7" fillId="9" borderId="16" xfId="0" applyNumberFormat="1" applyFont="1" applyFill="1" applyBorder="1" applyAlignment="1">
      <x:alignment vertical="center"/>
    </x:xf>
    <x:xf numFmtId="200" fontId="7" fillId="8" borderId="16" xfId="0" applyNumberFormat="1" applyFont="1" applyFill="1" applyBorder="1" applyAlignment="1">
      <x:alignment vertical="center"/>
    </x:xf>
    <x:xf numFmtId="201" fontId="7" fillId="4" borderId="14" xfId="0" applyNumberFormat="1" applyFont="1" applyFill="1" applyBorder="1" applyAlignment="1">
      <x:alignment vertical="center"/>
    </x:xf>
    <x:xf numFmtId="201" fontId="7" fillId="4" borderId="15" xfId="0" applyNumberFormat="1" applyFont="1" applyFill="1" applyBorder="1" applyAlignment="1">
      <x:alignment vertical="center"/>
    </x:xf>
    <x:xf numFmtId="201" fontId="7" fillId="4" borderId="16" xfId="0" applyNumberFormat="1" applyFont="1" applyFill="1" applyBorder="1" applyAlignment="1">
      <x:alignment vertical="center"/>
    </x:xf>
    <x:xf numFmtId="201" fontId="7" fillId="9" borderId="14" xfId="0" applyNumberFormat="1" applyFont="1" applyFill="1" applyBorder="1" applyAlignment="1">
      <x:alignment vertical="center"/>
    </x:xf>
    <x:xf numFmtId="201" fontId="7" fillId="9" borderId="15" xfId="0" applyNumberFormat="1" applyFont="1" applyFill="1" applyBorder="1" applyAlignment="1">
      <x:alignment vertical="center"/>
    </x:xf>
    <x:xf numFmtId="201" fontId="7" fillId="9" borderId="16" xfId="0" applyNumberFormat="1" applyFont="1" applyFill="1" applyBorder="1" applyAlignment="1">
      <x:alignment vertical="center"/>
    </x:xf>
    <x:xf numFmtId="202" fontId="10" fillId="10" borderId="14" xfId="0" applyNumberFormat="1" applyFont="1" applyFill="1" applyBorder="1" applyAlignment="1">
      <x:alignment vertical="center"/>
    </x:xf>
    <x:xf numFmtId="202" fontId="10" fillId="10" borderId="15" xfId="0" applyNumberFormat="1" applyFont="1" applyFill="1" applyBorder="1" applyAlignment="1">
      <x:alignment vertical="center"/>
    </x:xf>
    <x:xf numFmtId="202" fontId="10" fillId="10" borderId="16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vertical="center"/>
    </x:xf>
    <x:xf numFmtId="200" fontId="7" fillId="8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horizontal="center" wrapText="1"/>
    </x:xf>
    <x:xf numFmtId="0" fontId="11" fillId="2" borderId="0" xfId="0" applyNumberFormat="1" applyFont="1" applyFill="1" applyBorder="1" applyAlignment="1">
      <x:alignment horizontal="center" vertical="center" wrapText="1"/>
    </x:xf>
    <x:xf numFmtId="203" fontId="11" fillId="2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0" borderId="17" xfId="0" applyNumberFormat="1" applyFont="1" applyFill="1" applyBorder="1"/>
    <x:xf numFmtId="0" fontId="12" fillId="0" borderId="18" xfId="0" applyNumberFormat="1" applyFont="1" applyFill="1" applyBorder="1"/>
    <x:xf numFmtId="0" fontId="12" fillId="0" borderId="19" xfId="0" applyNumberFormat="1" applyFont="1" applyFill="1" applyBorder="1"/>
    <x:xf numFmtId="0" fontId="12" fillId="0" borderId="17" xfId="0" applyNumberFormat="1" applyFont="1" applyFill="1" applyBorder="1" applyAlignment="1">
      <x:alignment vertical="center"/>
    </x:xf>
    <x:xf numFmtId="0" fontId="12" fillId="0" borderId="18" xfId="0" applyNumberFormat="1" applyFont="1" applyFill="1" applyBorder="1" applyAlignment="1">
      <x:alignment vertical="center"/>
    </x:xf>
    <x:xf numFmtId="0" fontId="12" fillId="0" borderId="19" xfId="0" applyNumberFormat="1" applyFont="1" applyFill="1" applyBorder="1" applyAlignment="1">
      <x:alignment vertical="center"/>
    </x:xf>
    <x:xf numFmtId="200" fontId="12" fillId="0" borderId="17" xfId="0" applyNumberFormat="1" applyFont="1" applyFill="1" applyBorder="1" applyAlignment="1">
      <x:alignment vertical="center"/>
    </x:xf>
    <x:xf numFmtId="200" fontId="12" fillId="0" borderId="18" xfId="0" applyNumberFormat="1" applyFont="1" applyFill="1" applyBorder="1" applyAlignment="1">
      <x:alignment vertical="center"/>
    </x:xf>
    <x:xf numFmtId="200" fontId="12" fillId="0" borderId="19" xfId="0" applyNumberFormat="1" applyFont="1" applyFill="1" applyBorder="1" applyAlignment="1">
      <x:alignment vertical="center"/>
    </x:xf>
    <x:xf numFmtId="0" fontId="12" fillId="0" borderId="17" xfId="0" applyNumberFormat="1" applyFont="1" applyFill="1" applyBorder="1" applyAlignment="1">
      <x:alignment horizontal="center" vertical="center"/>
    </x:xf>
    <x:xf numFmtId="0" fontId="12" fillId="0" borderId="18" xfId="0" applyNumberFormat="1" applyFont="1" applyFill="1" applyBorder="1" applyAlignment="1">
      <x:alignment horizontal="center" vertical="center"/>
    </x:xf>
    <x:xf numFmtId="0" fontId="12" fillId="0" borderId="19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7" fillId="6" borderId="5" xfId="0" applyNumberFormat="1" applyFont="1" applyFill="1" applyBorder="1" applyAlignment="1">
      <x:alignment vertical="center"/>
    </x:xf>
    <x:xf numFmtId="0" fontId="7" fillId="4" borderId="4" xfId="0" applyNumberFormat="1" applyFont="1" applyFill="1" applyBorder="1" applyAlignment="1">
      <x:alignment vertical="center"/>
    </x:xf>
    <x:xf numFmtId="0" fontId="7" fillId="4" borderId="6" xfId="0" applyNumberFormat="1" applyFont="1" applyFill="1" applyBorder="1" applyAlignment="1">
      <x:alignment vertical="center"/>
    </x:xf>
    <x:xf numFmtId="0" fontId="7" fillId="7" borderId="20" xfId="0" applyNumberFormat="1" applyFont="1" applyFill="1" applyBorder="1"/>
    <x:xf numFmtId="0" fontId="7" fillId="7" borderId="21" xfId="0" applyNumberFormat="1" applyFont="1" applyFill="1" applyBorder="1"/>
    <x:xf numFmtId="0" fontId="7" fillId="7" borderId="22" xfId="0" applyNumberFormat="1" applyFont="1" applyFill="1" applyBorder="1"/>
    <x:xf numFmtId="0" fontId="7" fillId="7" borderId="20" xfId="0" applyNumberFormat="1" applyFont="1" applyFill="1" applyBorder="1" applyAlignment="1">
      <x:alignment wrapText="1"/>
    </x:xf>
    <x:xf numFmtId="0" fontId="7" fillId="7" borderId="21" xfId="0" applyNumberFormat="1" applyFont="1" applyFill="1" applyBorder="1" applyAlignment="1">
      <x:alignment wrapText="1"/>
    </x:xf>
    <x:xf numFmtId="0" fontId="7" fillId="7" borderId="22" xfId="0" applyNumberFormat="1" applyFont="1" applyFill="1" applyBorder="1" applyAlignment="1">
      <x:alignment wrapText="1"/>
    </x:xf>
    <x:xf numFmtId="0" fontId="7" fillId="7" borderId="20" xfId="0" applyNumberFormat="1" applyFont="1" applyFill="1" applyBorder="1" applyAlignment="1">
      <x:alignment horizontal="left" wrapText="1"/>
    </x:xf>
    <x:xf numFmtId="0" fontId="7" fillId="7" borderId="21" xfId="0" applyNumberFormat="1" applyFont="1" applyFill="1" applyBorder="1" applyAlignment="1">
      <x:alignment horizontal="left" wrapText="1"/>
    </x:xf>
    <x:xf numFmtId="0" fontId="7" fillId="7" borderId="22" xfId="0" applyNumberFormat="1" applyFont="1" applyFill="1" applyBorder="1" applyAlignment="1">
      <x:alignment horizontal="left" wrapText="1"/>
    </x:xf>
    <x:xf numFmtId="0" fontId="7" fillId="7" borderId="20" xfId="0" applyNumberFormat="1" applyFont="1" applyFill="1" applyBorder="1" applyAlignment="1">
      <x:alignment horizontal="left" vertical="top" wrapText="1"/>
    </x:xf>
    <x:xf numFmtId="0" fontId="7" fillId="7" borderId="21" xfId="0" applyNumberFormat="1" applyFont="1" applyFill="1" applyBorder="1" applyAlignment="1">
      <x:alignment horizontal="left" vertical="top" wrapText="1"/>
    </x:xf>
    <x:xf numFmtId="0" fontId="7" fillId="7" borderId="22" xfId="0" applyNumberFormat="1" applyFont="1" applyFill="1" applyBorder="1" applyAlignment="1">
      <x:alignment horizontal="left" vertical="top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2" fillId="0" borderId="14" xfId="0" applyNumberFormat="1" applyFont="1" applyFill="1" applyBorder="1"/>
    <x:xf numFmtId="0" fontId="12" fillId="0" borderId="15" xfId="0" applyNumberFormat="1" applyFont="1" applyFill="1" applyBorder="1"/>
    <x:xf numFmtId="0" fontId="12" fillId="0" borderId="16" xfId="0" applyNumberFormat="1" applyFont="1" applyFill="1" applyBorder="1"/>
    <x:xf numFmtId="0" fontId="12" fillId="0" borderId="14" xfId="0" applyNumberFormat="1" applyFont="1" applyFill="1" applyBorder="1" applyAlignment="1">
      <x:alignment vertical="center"/>
    </x:xf>
    <x:xf numFmtId="0" fontId="12" fillId="0" borderId="15" xfId="0" applyNumberFormat="1" applyFont="1" applyFill="1" applyBorder="1" applyAlignment="1">
      <x:alignment vertical="center"/>
    </x:xf>
    <x:xf numFmtId="0" fontId="12" fillId="0" borderId="16" xfId="0" applyNumberFormat="1" applyFont="1" applyFill="1" applyBorder="1" applyAlignment="1">
      <x:alignment vertical="center"/>
    </x:xf>
    <x:xf numFmtId="204" fontId="12" fillId="0" borderId="14" xfId="0" applyNumberFormat="1" applyFont="1" applyFill="1" applyBorder="1" applyAlignment="1">
      <x:alignment vertical="center"/>
    </x:xf>
    <x:xf numFmtId="204" fontId="12" fillId="0" borderId="15" xfId="0" applyNumberFormat="1" applyFont="1" applyFill="1" applyBorder="1" applyAlignment="1">
      <x:alignment vertical="center"/>
    </x:xf>
    <x:xf numFmtId="204" fontId="12" fillId="0" borderId="16" xfId="0" applyNumberFormat="1" applyFont="1" applyFill="1" applyBorder="1" applyAlignment="1">
      <x:alignment vertical="center"/>
    </x:xf>
  </x:cellXfs>
  <x:cellStyles count="1">
    <x:cellStyle name="Normal" xfId="0"/>
  </x:cellStyles>
  <x:dxfs count="15">
    <x:dxf>
      <x:font>
        <x:b/>
        <x:color rgb="FF1E6B2F"/>
      </x:font>
      <x:fill>
        <x:patternFill patternType="solid">
          <x:bgColor rgb="FFD9EAD3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B45F06"/>
      </x:font>
      <x:fill>
        <x:patternFill patternType="solid">
          <x:bgColor rgb="FFFCE5CD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1E6B2F"/>
      </x:font>
      <x:fill>
        <x:patternFill patternType="solid">
          <x:bgColor rgb="FFD9EAD3"/>
        </x:patternFill>
      </x:fill>
    </x:dxf>
    <x:dxf>
      <x:font>
        <x:b/>
        <x:color rgb="FF1E6B2F"/>
      </x:font>
      <x:fill>
        <x:patternFill patternType="solid">
          <x:bgColor rgb="FFD9EAD3"/>
        </x:patternFill>
      </x:fill>
    </x:dxf>
    <x:dxf>
      <x:font>
        <x:b/>
        <x:color rgb="FF5B2C83"/>
      </x:font>
      <x:fill>
        <x:patternFill patternType="solid">
          <x:bgColor rgb="FFE4D7F5"/>
        </x:patternFill>
      </x:fill>
    </x:dxf>
    <x:dxf>
      <x:font>
        <x:b/>
        <x:color rgb="FF1E6B2F"/>
      </x:font>
      <x:fill>
        <x:patternFill patternType="solid">
          <x:bgColor rgb="FFD9EAD3"/>
        </x:patternFill>
      </x:fill>
    </x:dxf>
    <x:dxf>
      <x:font>
        <x:b/>
        <x:color rgb="FF5B6573"/>
      </x:font>
      <x:fill>
        <x:patternFill patternType="solid">
          <x:bgColor rgb="FFE7E6E6"/>
        </x:patternFill>
      </x:fill>
    </x:dxf>
    <x:dxf>
      <x:font>
        <x:b/>
        <x:color rgb="FFB45F06"/>
      </x:font>
      <x:fill>
        <x:patternFill patternType="solid">
          <x:bgColor rgb="FFF9CB9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1E6B2F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7c8514fdff40ad" /><Relationship Type="http://schemas.openxmlformats.org/officeDocument/2006/relationships/theme" Target="/xl/theme/theme1.xml" Id="R57ec252c0c7e4593" /><Relationship Type="http://schemas.microsoft.com/office/2022/11/relationships/FeaturePropertyBag" Target="/xl/featurePropertyBag/featurePropertyBag.xml" Id="Rb31f913f294f420a" /><Relationship Type="http://schemas.openxmlformats.org/officeDocument/2006/relationships/sharedStrings" Target="/xl/sharedStrings.xml" Id="R1424e9465adf4705" /><Relationship Type="http://schemas.openxmlformats.org/officeDocument/2006/relationships/worksheet" Target="/xl/worksheets/sheet1.xml" Id="Rf4352522c9474d1b" /><Relationship Type="http://schemas.openxmlformats.org/officeDocument/2006/relationships/worksheet" Target="/xl/worksheets/sheet2.xml" Id="Rdb108566aa394541" /><Relationship Type="http://schemas.openxmlformats.org/officeDocument/2006/relationships/worksheet" Target="/xl/worksheets/sheet3.xml" Id="Rc7ac55e7061048da" /><Relationship Type="http://schemas.openxmlformats.org/officeDocument/2006/relationships/worksheet" Target="/xl/worksheets/sheet4.xml" Id="R5d9f2f0441b843b5" /><Relationship Type="http://schemas.openxmlformats.org/officeDocument/2006/relationships/worksheet" Target="/xl/worksheets/sheet5.xml" Id="Ref70c346fe2b4c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0" hidden="0" customWidth="1"/>
    <x:col min="3" max="3" width="2.890000104904175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</x:cols>
  <x:sheetData>
    <x:row r="1" ht="25.5" customHeight="1">
      <x:c r="A1" s="4" t="str">
        <x:v>Dashboard สัญญาจัดซื้อจัดจ้าง</x:v>
      </x:c>
      <x:c r="B1" s="4"/>
      <x:c r="C1" s="4"/>
      <x:c r="D1" s="4"/>
      <x:c r="E1" s="4"/>
      <x:c r="F1" s="4"/>
      <x:c r="G1" s="4"/>
      <x:c r="H1" s="4"/>
    </x:row>
    <x:row r="2" ht="21" customHeight="1">
      <x:c r="A2" s="8" t="str">
        <x:v>ภาพรวมสถานะ กำหนดส่ง และรายการที่ต้องติดตามแบบอัตโนมัติ</x:v>
      </x:c>
      <x:c r="B2" s="8"/>
      <x:c r="C2" s="8"/>
      <x:c r="D2" s="8"/>
      <x:c r="E2" s="8"/>
      <x:c r="F2" s="8"/>
      <x:c r="G2" s="8"/>
      <x:c r="H2" s="8"/>
    </x:row>
    <x:row r="3" ht="21" customHeight="1">
      <x:c r="A3" s="25" t="str">
        <x:v>รายการทั้งหมด</x:v>
      </x:c>
      <x:c r="B3" s="26" t="str"/>
      <x:c r="C3" s="25" t="str">
        <x:v>ครบกำหนดใน 10 วัน</x:v>
      </x:c>
      <x:c r="D3" s="26" t="str"/>
      <x:c r="E3" s="25" t="str">
        <x:v>เกินกำหนด</x:v>
      </x:c>
      <x:c r="F3" s="26" t="str"/>
      <x:c r="G3" s="25" t="str">
        <x:v>ส่งมอบแล้ว</x:v>
      </x:c>
      <x:c r="H3" s="26" t="str"/>
    </x:row>
    <x:row r="4" ht="33" customHeight="1">
      <x:c r="A4" s="27" t="n">
        <x:f>COUNTIF('รายการสัญญา'!A6:A2000,"?*")</x:f>
        <x:v>0</x:v>
      </x:c>
      <x:c r="B4" s="28"/>
      <x:c r="C4" s="27" t="n">
        <x:f>COUNTIFS('รายการสัญญา'!A6:A2000,"&lt;&gt;",'รายการสัญญา'!I6:I2000,"ยังไม่ส่ง",'รายการสัญญา'!G6:G2000,"&gt;="&amp;TODAY(),'รายการสัญญา'!G6:G2000,"&lt;="&amp;TODAY()+10)</x:f>
        <x:v>0</x:v>
      </x:c>
      <x:c r="D4" s="28"/>
      <x:c r="E4" s="27" t="n">
        <x:f>COUNTIFS('รายการสัญญา'!A6:A2000,"&lt;&gt;",'รายการสัญญา'!I6:I2000,"ยังไม่ส่ง",'รายการสัญญา'!G6:G2000,"&lt;"&amp;TODAY())</x:f>
        <x:v>0</x:v>
      </x:c>
      <x:c r="F4" s="28"/>
      <x:c r="G4" s="27" t="n">
        <x:f>COUNTIFS('รายการสัญญา'!A6:A2000,"&lt;&gt;",'รายการสัญญา'!I6:I2000,"ส่งแล้ว")</x:f>
        <x:v>0</x:v>
      </x:c>
      <x:c r="H4" s="28"/>
    </x:row>
    <x:row r="7">
      <x:c r="A7" s="31" t="str">
        <x:v>สรุปตามสถานะ</x:v>
      </x:c>
      <x:c r="B7" s="31"/>
      <x:c r="D7" s="31" t="str">
        <x:v>วิธีใช้งานแบบย่อ</x:v>
      </x:c>
      <x:c r="E7" s="31"/>
      <x:c r="F7" s="31"/>
      <x:c r="G7" s="31"/>
      <x:c r="H7" s="31"/>
    </x:row>
    <x:row r="8">
      <x:c r="A8" s="47" t="str">
        <x:v>สถานะ</x:v>
      </x:c>
      <x:c r="B8" s="48" t="str">
        <x:v>จำนวน</x:v>
      </x:c>
      <x:c r="D8" s="78" t="str">
        <x:v>1) กรอกข้อมูลในแท็บ “รายการสัญญา” เฉพาะช่องสีขาว/เหลือง
2) วันที่ครบกำหนด วันที่เหลือ และสถานะคำนวณให้อัตโนมัติ
3) เปลี่ยนช่อง “การส่งมอบ” เป็น “ส่งแล้ว” เมื่อส่งจริง
4) เปิด GUIDE_TH.md แล้วติดตั้ง Code.gs ครั้งแรก
5) ใช้เมนู “ระบบสัญญา V2” เพื่อทดสอบอีเมลและซิงก์ Calendar
Dashboard รองรับข้อมูลถึงแถว 2,000 และอัปเดตตามข้อมูลในตารางโดยอัตโนมัติ</x:v>
      </x:c>
      <x:c r="E8" s="79"/>
      <x:c r="F8" s="79"/>
      <x:c r="G8" s="79"/>
      <x:c r="H8" s="80"/>
    </x:row>
    <x:row r="9">
      <x:c r="A9" s="39" t="str">
        <x:v>อยู่ระหว่างดำเนินการ</x:v>
      </x:c>
      <x:c r="B9" s="49" t="n">
        <x:f>COUNTIF('รายการสัญญา'!K6:K2000,"อยู่ระหว่างดำเนินการ")</x:f>
        <x:v>0</x:v>
      </x:c>
      <x:c r="D9" s="81"/>
      <x:c r="E9" s="82"/>
      <x:c r="F9" s="82"/>
      <x:c r="G9" s="82"/>
      <x:c r="H9" s="83"/>
    </x:row>
    <x:row r="10">
      <x:c r="A10" s="39" t="str">
        <x:v>ใกล้ครบกำหนด</x:v>
      </x:c>
      <x:c r="B10" s="49" t="n">
        <x:f>COUNTIF('รายการสัญญา'!K6:K2000,"ใกล้ครบกำหนด")</x:f>
        <x:v>0</x:v>
      </x:c>
      <x:c r="D10" s="81"/>
      <x:c r="E10" s="82"/>
      <x:c r="F10" s="82"/>
      <x:c r="G10" s="82"/>
      <x:c r="H10" s="83"/>
    </x:row>
    <x:row r="11">
      <x:c r="A11" s="39" t="str">
        <x:v>ต้องติดตาม</x:v>
      </x:c>
      <x:c r="B11" s="49" t="n">
        <x:f>COUNTIF('รายการสัญญา'!K6:K2000,"ต้องติดตาม")</x:f>
        <x:v>0</x:v>
      </x:c>
      <x:c r="D11" s="81"/>
      <x:c r="E11" s="82"/>
      <x:c r="F11" s="82"/>
      <x:c r="G11" s="82"/>
      <x:c r="H11" s="83"/>
    </x:row>
    <x:row r="12">
      <x:c r="A12" s="39" t="str">
        <x:v>เร่งดำเนินการ</x:v>
      </x:c>
      <x:c r="B12" s="49" t="n">
        <x:f>COUNTIF('รายการสัญญา'!K6:K2000,"เร่งดำเนินการ")</x:f>
        <x:v>0</x:v>
      </x:c>
      <x:c r="D12" s="81"/>
      <x:c r="E12" s="82"/>
      <x:c r="F12" s="82"/>
      <x:c r="G12" s="82"/>
      <x:c r="H12" s="83"/>
    </x:row>
    <x:row r="13">
      <x:c r="A13" s="39" t="str">
        <x:v>ครบกำหนดวันนี้</x:v>
      </x:c>
      <x:c r="B13" s="49" t="n">
        <x:f>COUNTIF('รายการสัญญา'!K6:K2000,"ครบกำหนดวันนี้")</x:f>
        <x:v>0</x:v>
      </x:c>
      <x:c r="D13" s="81"/>
      <x:c r="E13" s="82"/>
      <x:c r="F13" s="82"/>
      <x:c r="G13" s="82"/>
      <x:c r="H13" s="83"/>
    </x:row>
    <x:row r="14">
      <x:c r="A14" s="39" t="str">
        <x:v>เกินกำหนด</x:v>
      </x:c>
      <x:c r="B14" s="49" t="n">
        <x:f>COUNTIF('รายการสัญญา'!K6:K2000,"เกินกำหนด*")</x:f>
        <x:v>0</x:v>
      </x:c>
      <x:c r="D14" s="81"/>
      <x:c r="E14" s="82"/>
      <x:c r="F14" s="82"/>
      <x:c r="G14" s="82"/>
      <x:c r="H14" s="83"/>
    </x:row>
    <x:row r="15">
      <x:c r="A15" s="39" t="str">
        <x:v>ส่งก่อนกำหนด</x:v>
      </x:c>
      <x:c r="B15" s="49" t="n">
        <x:f>COUNTIF('รายการสัญญา'!K6:K2000,"ส่งก่อนกำหนด*")</x:f>
        <x:v>0</x:v>
      </x:c>
      <x:c r="D15" s="81"/>
      <x:c r="E15" s="82"/>
      <x:c r="F15" s="82"/>
      <x:c r="G15" s="82"/>
      <x:c r="H15" s="83"/>
    </x:row>
    <x:row r="16">
      <x:c r="A16" s="39" t="str">
        <x:v>ส่งตรงกำหนด</x:v>
      </x:c>
      <x:c r="B16" s="49" t="n">
        <x:f>COUNTIF('รายการสัญญา'!K6:K2000,"ส่งตรงกำหนด")</x:f>
        <x:v>0</x:v>
      </x:c>
      <x:c r="D16" s="84"/>
      <x:c r="E16" s="85"/>
      <x:c r="F16" s="85"/>
      <x:c r="G16" s="85"/>
      <x:c r="H16" s="86"/>
    </x:row>
    <x:row r="17">
      <x:c r="A17" s="39" t="str">
        <x:v>ส่งล่าช้า</x:v>
      </x:c>
      <x:c r="B17" s="49" t="n">
        <x:f>COUNTIF('รายการสัญญา'!K6:K2000,"ส่งล่าช้า*")</x:f>
        <x:v>0</x:v>
      </x:c>
    </x:row>
  </x:sheetData>
  <x:mergeCells>
    <x:mergeCell ref="A1:H1"/>
    <x:mergeCell ref="A2:H2"/>
    <x:mergeCell ref="A7:B7"/>
    <x:mergeCell ref="D7:H7"/>
    <x:mergeCell ref="D8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3.329999923706055" hidden="0" customWidth="1"/>
    <x:col min="3" max="3" width="27.780000686645508" hidden="0" customWidth="1"/>
    <x:col min="4" max="4" width="28.889999389648438" hidden="0" customWidth="1"/>
    <x:col min="5" max="5" width="12.779999732971191" hidden="0" customWidth="1"/>
    <x:col min="6" max="6" width="12.220000267028809" hidden="0" customWidth="1"/>
    <x:col min="7" max="7" width="12.779999732971191" hidden="0" customWidth="1"/>
    <x:col min="8" max="8" width="12.779999732971191" hidden="0" customWidth="1"/>
    <x:col min="9" max="9" width="12.220000267028809" hidden="0" customWidth="1"/>
    <x:col min="10" max="10" width="10.5600004196167" hidden="0" customWidth="1"/>
    <x:col min="11" max="11" width="20" hidden="0" customWidth="1"/>
    <x:col min="12" max="12" width="17.219999313354492" hidden="0" customWidth="1"/>
    <x:col min="13" max="13" width="26.670000076293945" hidden="0" customWidth="1"/>
    <x:col min="14" max="14" width="10.5600004196167" hidden="0" customWidth="1"/>
    <x:col min="15" max="15" width="14.4399995803833" hidden="0" customWidth="1"/>
    <x:col min="16" max="16" width="15.5600004196167" hidden="0" customWidth="1"/>
    <x:col min="17" max="17" width="10" hidden="0" customWidth="1"/>
    <x:col min="18" max="18" width="10" hidden="0" customWidth="1"/>
    <x:col min="19" max="19" width="10" hidden="0" customWidth="1"/>
    <x:col min="20" max="20" width="13.329999923706055" hidden="0" customWidth="1"/>
    <x:col min="21" max="21" width="14.4399995803833" hidden="0" customWidth="1"/>
    <x:col min="22" max="22" width="13.329999923706055" hidden="0" customWidth="1"/>
    <x:col min="23" max="23" width="20" hidden="0" customWidth="1"/>
    <x:col min="24" max="24" width="10.5600004196167" hidden="0" customWidth="1"/>
  </x:cols>
  <x:sheetData>
    <x:row r="1" ht="25.5" customHeight="1">
      <x:c r="A1" s="4" t="str">
        <x:v>ทะเบียนสัญญาจัดซื้อจัดจ้าง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 ht="21" customHeight="1">
      <x:c r="A2" s="8" t="str">
        <x:v>ระบบส่วนตัว: คำนวณวันครบกำหนด สถานะ อีเมล และ Google Calendar อัตโนมัติ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</x:row>
    <x:row r="3" ht="22.5" customHeight="1">
      <x:c r="A3" s="90" t="str">
        <x:v>กรอกคอลัมน์ A–F, H–I และ M  |  คอลัมน์ G, J–L คำนวณอัตโนมัติ  |  คอลัมน์ระบบ N–X ไม่ต้องแก้ไข</x:v>
      </x:c>
      <x:c r="B3" s="90"/>
      <x:c r="C3" s="90"/>
      <x:c r="D3" s="90"/>
      <x:c r="E3" s="90"/>
      <x:c r="F3" s="90"/>
      <x:c r="G3" s="90"/>
      <x:c r="H3" s="90"/>
      <x:c r="I3" s="90"/>
      <x:c r="J3" s="90"/>
      <x:c r="K3" s="90"/>
      <x:c r="L3" s="90"/>
      <x:c r="M3" s="90"/>
      <x:c r="N3" s="90"/>
      <x:c r="O3" s="90"/>
      <x:c r="P3" s="90"/>
      <x:c r="Q3" s="90"/>
      <x:c r="R3" s="90"/>
      <x:c r="S3" s="90"/>
      <x:c r="T3" s="90"/>
      <x:c r="U3" s="90"/>
      <x:c r="V3" s="90"/>
      <x:c r="W3" s="90"/>
      <x:c r="X3" s="90"/>
    </x:row>
    <x:row r="5" ht="31.5" customHeight="1">
      <x:c r="A5" s="101" t="str">
        <x:v>ชื่อบริษัท</x:v>
      </x:c>
      <x:c r="B5" s="102" t="str">
        <x:v>เบอร์ติดต่อ</x:v>
      </x:c>
      <x:c r="C5" s="102" t="str">
        <x:v>ชื่อรายการ</x:v>
      </x:c>
      <x:c r="D5" s="102" t="str">
        <x:v>อีเมลแจ้งเตือน (Gmail/Outlook)</x:v>
      </x:c>
      <x:c r="E5" s="102" t="str">
        <x:v>วันที่เซ็นสัญญา</x:v>
      </x:c>
      <x:c r="F5" s="102" t="str">
        <x:v>กำหนดส่ง (วัน)</x:v>
      </x:c>
      <x:c r="G5" s="102" t="str">
        <x:v>วันที่ครบกำหนด</x:v>
      </x:c>
      <x:c r="H5" s="102" t="str">
        <x:v>วันที่ส่งจริง</x:v>
      </x:c>
      <x:c r="I5" s="102" t="str">
        <x:v>การส่งมอบ</x:v>
      </x:c>
      <x:c r="J5" s="102" t="str">
        <x:v>วันที่เหลือ</x:v>
      </x:c>
      <x:c r="K5" s="102" t="str">
        <x:v>สถานะอัตโนมัติ</x:v>
      </x:c>
      <x:c r="L5" s="102" t="str">
        <x:v>Google Calendar</x:v>
      </x:c>
      <x:c r="M5" s="102" t="str">
        <x:v>หมายเหตุ</x:v>
      </x:c>
      <x:c r="N5" s="102" t="str">
        <x:v>System ID</x:v>
      </x:c>
      <x:c r="O5" s="102" t="str">
        <x:v>Calendar Event ID</x:v>
      </x:c>
      <x:c r="P5" s="102" t="str">
        <x:v>Calendar URL</x:v>
      </x:c>
      <x:c r="Q5" s="102" t="str">
        <x:v>เตือน 10 วัน</x:v>
      </x:c>
      <x:c r="R5" s="102" t="str">
        <x:v>เตือน 5 วัน</x:v>
      </x:c>
      <x:c r="S5" s="102" t="str">
        <x:v>เตือน 3 วัน</x:v>
      </x:c>
      <x:c r="T5" s="102" t="str">
        <x:v>เตือนวันครบกำหนด</x:v>
      </x:c>
      <x:c r="U5" s="102" t="str">
        <x:v>แจ้งเตือนล่าสุด</x:v>
      </x:c>
      <x:c r="V5" s="102" t="str">
        <x:v>สถานะซิงก์</x:v>
      </x:c>
      <x:c r="W5" s="102" t="str">
        <x:v>ข้อผิดพลาดล่าสุด</x:v>
      </x:c>
      <x:c r="X5" s="103" t="str">
        <x:v>แจ้งส่งแล้ว</x:v>
      </x:c>
    </x:row>
    <x:row r="6" ht="18" customHeight="1">
      <x:c r="A6" s="110"/>
      <x:c r="B6" s="110"/>
      <x:c r="C6" s="110"/>
      <x:c r="D6" s="110"/>
      <x:c r="E6" s="128"/>
      <x:c r="F6" s="137"/>
      <x:c r="G6" s="131" t="str">
        <x:f>IF(OR(A6="",E6="",F6=""),"",E6+F6-IF('ตั้งค่า'!$B$12="นับรวมวันเซ็น",1,0))</x:f>
      </x:c>
      <x:c r="H6" s="132"/>
      <x:c r="I6" s="116" t="str">
        <x:v>ยังไม่ส่ง</x:v>
      </x:c>
      <x:c r="J6" s="140" t="str">
        <x:f>IF(A6="","",IF(G6="","",IF(I6="ส่งแล้ว",0,G6-TODAY())))</x:f>
      </x:c>
      <x:c r="K6" s="113" t="str">
        <x:f>IF(A6="","",IF(G6="","ยังไม่ระบุวัน",IF(I6="ส่งแล้ว",IF(H6="","ส่งแล้ว",IF(INT(H6)&lt;INT(G6),"ส่งก่อนกำหนด "&amp;(INT(G6)-INT(H6))&amp;" วัน",IF(INT(H6)=INT(G6),"ส่งตรงกำหนด","ส่งล่าช้า "&amp;(INT(H6)-INT(G6))&amp;" วัน"))),IFS(G6&lt;TODAY(),"เกินกำหนด "&amp;(TODAY()-G6)&amp;" วัน",G6=TODAY(),"ครบกำหนดวันนี้",G6-TODAY()&lt;=3,"เร่งดำเนินการ",G6-TODAY()&lt;=5,"ต้องติดตาม",G6-TODAY()&lt;=10,"ใกล้ครบกำหนด",TRUE,"อยู่ระหว่างดำเนินการ"))))</x:f>
      </x:c>
      <x:c r="L6" s="113" t="str">
        <x:f>IF(OR(A6="",P6=""),"",HYPERLINK(P6,"เปิดใน Google Calendar"))</x:f>
      </x:c>
      <x:c r="M6" s="110"/>
      <x:c r="N6" s="122"/>
      <x:c r="O6" s="122"/>
      <x:c r="P6" s="122"/>
      <x:c r="Q6" s="125" t="b">
        <x:v>0</x:v>
      </x:c>
      <x:c r="R6" s="125" t="b">
        <x:v>0</x:v>
      </x:c>
      <x:c r="S6" s="125" t="b">
        <x:v>0</x:v>
      </x:c>
      <x:c r="T6" s="125" t="b">
        <x:v>0</x:v>
      </x:c>
      <x:c r="U6" s="143"/>
      <x:c r="V6" s="122"/>
      <x:c r="W6" s="122"/>
      <x:c r="X6" s="125" t="b">
        <x:v>0</x:v>
      </x:c>
    </x:row>
    <x:row r="7" ht="18" customHeight="1">
      <x:c r="A7" s="111"/>
      <x:c r="B7" s="111"/>
      <x:c r="C7" s="111"/>
      <x:c r="D7" s="111"/>
      <x:c r="E7" s="129"/>
      <x:c r="F7" s="138"/>
      <x:c r="G7" s="133" t="str">
        <x:f>IF(OR(A7="",E7="",F7=""),"",E7+F7-IF('ตั้งค่า'!$B$12="นับรวมวันเซ็น",1,0))</x:f>
      </x:c>
      <x:c r="H7" s="134"/>
      <x:c r="I7" s="117" t="str">
        <x:v>ยังไม่ส่ง</x:v>
      </x:c>
      <x:c r="J7" s="141" t="str">
        <x:f>IF(A7="","",IF(G7="","",IF(I7="ส่งแล้ว",0,G7-TODAY())))</x:f>
      </x:c>
      <x:c r="K7" s="114" t="str">
        <x:f>IF(A7="","",IF(G7="","ยังไม่ระบุวัน",IF(I7="ส่งแล้ว",IF(H7="","ส่งแล้ว",IF(INT(H7)&lt;INT(G7),"ส่งก่อนกำหนด "&amp;(INT(G7)-INT(H7))&amp;" วัน",IF(INT(H7)=INT(G7),"ส่งตรงกำหนด","ส่งล่าช้า "&amp;(INT(H7)-INT(G7))&amp;" วัน"))),IFS(G7&lt;TODAY(),"เกินกำหนด "&amp;(TODAY()-G7)&amp;" วัน",G7=TODAY(),"ครบกำหนดวันนี้",G7-TODAY()&lt;=3,"เร่งดำเนินการ",G7-TODAY()&lt;=5,"ต้องติดตาม",G7-TODAY()&lt;=10,"ใกล้ครบกำหนด",TRUE,"อยู่ระหว่างดำเนินการ"))))</x:f>
      </x:c>
      <x:c r="L7" s="114" t="str">
        <x:f>IF(OR(A7="",P7=""),"",HYPERLINK(P7,"เปิดใน Google Calendar"))</x:f>
      </x:c>
      <x:c r="M7" s="111"/>
      <x:c r="N7" s="123"/>
      <x:c r="O7" s="123"/>
      <x:c r="P7" s="123"/>
      <x:c r="Q7" s="126" t="b">
        <x:v>0</x:v>
      </x:c>
      <x:c r="R7" s="126" t="b">
        <x:v>0</x:v>
      </x:c>
      <x:c r="S7" s="126" t="b">
        <x:v>0</x:v>
      </x:c>
      <x:c r="T7" s="126" t="b">
        <x:v>0</x:v>
      </x:c>
      <x:c r="U7" s="144"/>
      <x:c r="V7" s="123"/>
      <x:c r="W7" s="123"/>
      <x:c r="X7" s="126" t="b">
        <x:v>0</x:v>
      </x:c>
    </x:row>
    <x:row r="8" ht="18" customHeight="1">
      <x:c r="A8" s="111"/>
      <x:c r="B8" s="111"/>
      <x:c r="C8" s="111"/>
      <x:c r="D8" s="111"/>
      <x:c r="E8" s="129"/>
      <x:c r="F8" s="138"/>
      <x:c r="G8" s="133" t="str">
        <x:f>IF(OR(A8="",E8="",F8=""),"",E8+F8-IF('ตั้งค่า'!$B$12="นับรวมวันเซ็น",1,0))</x:f>
      </x:c>
      <x:c r="H8" s="134"/>
      <x:c r="I8" s="117" t="str">
        <x:v>ยังไม่ส่ง</x:v>
      </x:c>
      <x:c r="J8" s="141" t="str">
        <x:f>IF(A8="","",IF(G8="","",IF(I8="ส่งแล้ว",0,G8-TODAY())))</x:f>
      </x:c>
      <x:c r="K8" s="114" t="str">
        <x:f>IF(A8="","",IF(G8="","ยังไม่ระบุวัน",IF(I8="ส่งแล้ว",IF(H8="","ส่งแล้ว",IF(INT(H8)&lt;INT(G8),"ส่งก่อนกำหนด "&amp;(INT(G8)-INT(H8))&amp;" วัน",IF(INT(H8)=INT(G8),"ส่งตรงกำหนด","ส่งล่าช้า "&amp;(INT(H8)-INT(G8))&amp;" วัน"))),IFS(G8&lt;TODAY(),"เกินกำหนด "&amp;(TODAY()-G8)&amp;" วัน",G8=TODAY(),"ครบกำหนดวันนี้",G8-TODAY()&lt;=3,"เร่งดำเนินการ",G8-TODAY()&lt;=5,"ต้องติดตาม",G8-TODAY()&lt;=10,"ใกล้ครบกำหนด",TRUE,"อยู่ระหว่างดำเนินการ"))))</x:f>
      </x:c>
      <x:c r="L8" s="114" t="str">
        <x:f>IF(OR(A8="",P8=""),"",HYPERLINK(P8,"เปิดใน Google Calendar"))</x:f>
      </x:c>
      <x:c r="M8" s="111"/>
      <x:c r="N8" s="123"/>
      <x:c r="O8" s="123"/>
      <x:c r="P8" s="123"/>
      <x:c r="Q8" s="126" t="b">
        <x:v>0</x:v>
      </x:c>
      <x:c r="R8" s="126" t="b">
        <x:v>0</x:v>
      </x:c>
      <x:c r="S8" s="126" t="b">
        <x:v>0</x:v>
      </x:c>
      <x:c r="T8" s="126" t="b">
        <x:v>0</x:v>
      </x:c>
      <x:c r="U8" s="144"/>
      <x:c r="V8" s="123"/>
      <x:c r="W8" s="123"/>
      <x:c r="X8" s="126" t="b">
        <x:v>0</x:v>
      </x:c>
    </x:row>
    <x:row r="9" ht="18" customHeight="1">
      <x:c r="A9" s="111"/>
      <x:c r="B9" s="111"/>
      <x:c r="C9" s="111"/>
      <x:c r="D9" s="111"/>
      <x:c r="E9" s="129"/>
      <x:c r="F9" s="138"/>
      <x:c r="G9" s="133" t="str">
        <x:f>IF(OR(A9="",E9="",F9=""),"",E9+F9-IF('ตั้งค่า'!$B$12="นับรวมวันเซ็น",1,0))</x:f>
      </x:c>
      <x:c r="H9" s="134"/>
      <x:c r="I9" s="117" t="str">
        <x:v>ยังไม่ส่ง</x:v>
      </x:c>
      <x:c r="J9" s="141" t="str">
        <x:f>IF(A9="","",IF(G9="","",IF(I9="ส่งแล้ว",0,G9-TODAY())))</x:f>
      </x:c>
      <x:c r="K9" s="114" t="str">
        <x:f>IF(A9="","",IF(G9="","ยังไม่ระบุวัน",IF(I9="ส่งแล้ว",IF(H9="","ส่งแล้ว",IF(INT(H9)&lt;INT(G9),"ส่งก่อนกำหนด "&amp;(INT(G9)-INT(H9))&amp;" วัน",IF(INT(H9)=INT(G9),"ส่งตรงกำหนด","ส่งล่าช้า "&amp;(INT(H9)-INT(G9))&amp;" วัน"))),IFS(G9&lt;TODAY(),"เกินกำหนด "&amp;(TODAY()-G9)&amp;" วัน",G9=TODAY(),"ครบกำหนดวันนี้",G9-TODAY()&lt;=3,"เร่งดำเนินการ",G9-TODAY()&lt;=5,"ต้องติดตาม",G9-TODAY()&lt;=10,"ใกล้ครบกำหนด",TRUE,"อยู่ระหว่างดำเนินการ"))))</x:f>
      </x:c>
      <x:c r="L9" s="114" t="str">
        <x:f>IF(OR(A9="",P9=""),"",HYPERLINK(P9,"เปิดใน Google Calendar"))</x:f>
      </x:c>
      <x:c r="M9" s="111"/>
      <x:c r="N9" s="123"/>
      <x:c r="O9" s="123"/>
      <x:c r="P9" s="123"/>
      <x:c r="Q9" s="126" t="b">
        <x:v>0</x:v>
      </x:c>
      <x:c r="R9" s="126" t="b">
        <x:v>0</x:v>
      </x:c>
      <x:c r="S9" s="126" t="b">
        <x:v>0</x:v>
      </x:c>
      <x:c r="T9" s="126" t="b">
        <x:v>0</x:v>
      </x:c>
      <x:c r="U9" s="144"/>
      <x:c r="V9" s="123"/>
      <x:c r="W9" s="123"/>
      <x:c r="X9" s="126" t="b">
        <x:v>0</x:v>
      </x:c>
    </x:row>
    <x:row r="10" ht="18" customHeight="1">
      <x:c r="A10" s="111"/>
      <x:c r="B10" s="111"/>
      <x:c r="C10" s="111"/>
      <x:c r="D10" s="111"/>
      <x:c r="E10" s="129"/>
      <x:c r="F10" s="138"/>
      <x:c r="G10" s="133" t="str">
        <x:f>IF(OR(A10="",E10="",F10=""),"",E10+F10-IF('ตั้งค่า'!$B$12="นับรวมวันเซ็น",1,0))</x:f>
      </x:c>
      <x:c r="H10" s="134"/>
      <x:c r="I10" s="117" t="str">
        <x:v>ยังไม่ส่ง</x:v>
      </x:c>
      <x:c r="J10" s="141" t="str">
        <x:f>IF(A10="","",IF(G10="","",IF(I10="ส่งแล้ว",0,G10-TODAY())))</x:f>
      </x:c>
      <x:c r="K10" s="114" t="str">
        <x:f>IF(A10="","",IF(G10="","ยังไม่ระบุวัน",IF(I10="ส่งแล้ว",IF(H10="","ส่งแล้ว",IF(INT(H10)&lt;INT(G10),"ส่งก่อนกำหนด "&amp;(INT(G10)-INT(H10))&amp;" วัน",IF(INT(H10)=INT(G10),"ส่งตรงกำหนด","ส่งล่าช้า "&amp;(INT(H10)-INT(G10))&amp;" วัน"))),IFS(G10&lt;TODAY(),"เกินกำหนด "&amp;(TODAY()-G10)&amp;" วัน",G10=TODAY(),"ครบกำหนดวันนี้",G10-TODAY()&lt;=3,"เร่งดำเนินการ",G10-TODAY()&lt;=5,"ต้องติดตาม",G10-TODAY()&lt;=10,"ใกล้ครบกำหนด",TRUE,"อยู่ระหว่างดำเนินการ"))))</x:f>
      </x:c>
      <x:c r="L10" s="114" t="str">
        <x:f>IF(OR(A10="",P10=""),"",HYPERLINK(P10,"เปิดใน Google Calendar"))</x:f>
      </x:c>
      <x:c r="M10" s="111"/>
      <x:c r="N10" s="123"/>
      <x:c r="O10" s="123"/>
      <x:c r="P10" s="123"/>
      <x:c r="Q10" s="126" t="b">
        <x:v>0</x:v>
      </x:c>
      <x:c r="R10" s="126" t="b">
        <x:v>0</x:v>
      </x:c>
      <x:c r="S10" s="126" t="b">
        <x:v>0</x:v>
      </x:c>
      <x:c r="T10" s="126" t="b">
        <x:v>0</x:v>
      </x:c>
      <x:c r="U10" s="144"/>
      <x:c r="V10" s="123"/>
      <x:c r="W10" s="123"/>
      <x:c r="X10" s="126" t="b">
        <x:v>0</x:v>
      </x:c>
    </x:row>
    <x:row r="11" ht="18" customHeight="1">
      <x:c r="A11" s="111"/>
      <x:c r="B11" s="111"/>
      <x:c r="C11" s="111"/>
      <x:c r="D11" s="111"/>
      <x:c r="E11" s="129"/>
      <x:c r="F11" s="138"/>
      <x:c r="G11" s="133" t="str">
        <x:f>IF(OR(A11="",E11="",F11=""),"",E11+F11-IF('ตั้งค่า'!$B$12="นับรวมวันเซ็น",1,0))</x:f>
      </x:c>
      <x:c r="H11" s="134"/>
      <x:c r="I11" s="117" t="str">
        <x:v>ยังไม่ส่ง</x:v>
      </x:c>
      <x:c r="J11" s="141" t="str">
        <x:f>IF(A11="","",IF(G11="","",IF(I11="ส่งแล้ว",0,G11-TODAY())))</x:f>
      </x:c>
      <x:c r="K11" s="114" t="str">
        <x:f>IF(A11="","",IF(G11="","ยังไม่ระบุวัน",IF(I11="ส่งแล้ว",IF(H11="","ส่งแล้ว",IF(INT(H11)&lt;INT(G11),"ส่งก่อนกำหนด "&amp;(INT(G11)-INT(H11))&amp;" วัน",IF(INT(H11)=INT(G11),"ส่งตรงกำหนด","ส่งล่าช้า "&amp;(INT(H11)-INT(G11))&amp;" วัน"))),IFS(G11&lt;TODAY(),"เกินกำหนด "&amp;(TODAY()-G11)&amp;" วัน",G11=TODAY(),"ครบกำหนดวันนี้",G11-TODAY()&lt;=3,"เร่งดำเนินการ",G11-TODAY()&lt;=5,"ต้องติดตาม",G11-TODAY()&lt;=10,"ใกล้ครบกำหนด",TRUE,"อยู่ระหว่างดำเนินการ"))))</x:f>
      </x:c>
      <x:c r="L11" s="114" t="str">
        <x:f>IF(OR(A11="",P11=""),"",HYPERLINK(P11,"เปิดใน Google Calendar"))</x:f>
      </x:c>
      <x:c r="M11" s="111"/>
      <x:c r="N11" s="123"/>
      <x:c r="O11" s="123"/>
      <x:c r="P11" s="123"/>
      <x:c r="Q11" s="126" t="b">
        <x:v>0</x:v>
      </x:c>
      <x:c r="R11" s="126" t="b">
        <x:v>0</x:v>
      </x:c>
      <x:c r="S11" s="126" t="b">
        <x:v>0</x:v>
      </x:c>
      <x:c r="T11" s="126" t="b">
        <x:v>0</x:v>
      </x:c>
      <x:c r="U11" s="144"/>
      <x:c r="V11" s="123"/>
      <x:c r="W11" s="123"/>
      <x:c r="X11" s="126" t="b">
        <x:v>0</x:v>
      </x:c>
    </x:row>
    <x:row r="12" ht="18" customHeight="1">
      <x:c r="A12" s="111"/>
      <x:c r="B12" s="111"/>
      <x:c r="C12" s="111"/>
      <x:c r="D12" s="111"/>
      <x:c r="E12" s="129"/>
      <x:c r="F12" s="138"/>
      <x:c r="G12" s="133" t="str">
        <x:f>IF(OR(A12="",E12="",F12=""),"",E12+F12-IF('ตั้งค่า'!$B$12="นับรวมวันเซ็น",1,0))</x:f>
      </x:c>
      <x:c r="H12" s="134"/>
      <x:c r="I12" s="117" t="str">
        <x:v>ยังไม่ส่ง</x:v>
      </x:c>
      <x:c r="J12" s="141" t="str">
        <x:f>IF(A12="","",IF(G12="","",IF(I12="ส่งแล้ว",0,G12-TODAY())))</x:f>
      </x:c>
      <x:c r="K12" s="114" t="str">
        <x:f>IF(A12="","",IF(G12="","ยังไม่ระบุวัน",IF(I12="ส่งแล้ว",IF(H12="","ส่งแล้ว",IF(INT(H12)&lt;INT(G12),"ส่งก่อนกำหนด "&amp;(INT(G12)-INT(H12))&amp;" วัน",IF(INT(H12)=INT(G12),"ส่งตรงกำหนด","ส่งล่าช้า "&amp;(INT(H12)-INT(G12))&amp;" วัน"))),IFS(G12&lt;TODAY(),"เกินกำหนด "&amp;(TODAY()-G12)&amp;" วัน",G12=TODAY(),"ครบกำหนดวันนี้",G12-TODAY()&lt;=3,"เร่งดำเนินการ",G12-TODAY()&lt;=5,"ต้องติดตาม",G12-TODAY()&lt;=10,"ใกล้ครบกำหนด",TRUE,"อยู่ระหว่างดำเนินการ"))))</x:f>
      </x:c>
      <x:c r="L12" s="114" t="str">
        <x:f>IF(OR(A12="",P12=""),"",HYPERLINK(P12,"เปิดใน Google Calendar"))</x:f>
      </x:c>
      <x:c r="M12" s="111"/>
      <x:c r="N12" s="123"/>
      <x:c r="O12" s="123"/>
      <x:c r="P12" s="123"/>
      <x:c r="Q12" s="126" t="b">
        <x:v>0</x:v>
      </x:c>
      <x:c r="R12" s="126" t="b">
        <x:v>0</x:v>
      </x:c>
      <x:c r="S12" s="126" t="b">
        <x:v>0</x:v>
      </x:c>
      <x:c r="T12" s="126" t="b">
        <x:v>0</x:v>
      </x:c>
      <x:c r="U12" s="144"/>
      <x:c r="V12" s="123"/>
      <x:c r="W12" s="123"/>
      <x:c r="X12" s="126" t="b">
        <x:v>0</x:v>
      </x:c>
    </x:row>
    <x:row r="13" ht="18" customHeight="1">
      <x:c r="A13" s="111"/>
      <x:c r="B13" s="111"/>
      <x:c r="C13" s="111"/>
      <x:c r="D13" s="111"/>
      <x:c r="E13" s="129"/>
      <x:c r="F13" s="138"/>
      <x:c r="G13" s="133" t="str">
        <x:f>IF(OR(A13="",E13="",F13=""),"",E13+F13-IF('ตั้งค่า'!$B$12="นับรวมวันเซ็น",1,0))</x:f>
      </x:c>
      <x:c r="H13" s="134"/>
      <x:c r="I13" s="117" t="str">
        <x:v>ยังไม่ส่ง</x:v>
      </x:c>
      <x:c r="J13" s="141" t="str">
        <x:f>IF(A13="","",IF(G13="","",IF(I13="ส่งแล้ว",0,G13-TODAY())))</x:f>
      </x:c>
      <x:c r="K13" s="114" t="str">
        <x:f>IF(A13="","",IF(G13="","ยังไม่ระบุวัน",IF(I13="ส่งแล้ว",IF(H13="","ส่งแล้ว",IF(INT(H13)&lt;INT(G13),"ส่งก่อนกำหนด "&amp;(INT(G13)-INT(H13))&amp;" วัน",IF(INT(H13)=INT(G13),"ส่งตรงกำหนด","ส่งล่าช้า "&amp;(INT(H13)-INT(G13))&amp;" วัน"))),IFS(G13&lt;TODAY(),"เกินกำหนด "&amp;(TODAY()-G13)&amp;" วัน",G13=TODAY(),"ครบกำหนดวันนี้",G13-TODAY()&lt;=3,"เร่งดำเนินการ",G13-TODAY()&lt;=5,"ต้องติดตาม",G13-TODAY()&lt;=10,"ใกล้ครบกำหนด",TRUE,"อยู่ระหว่างดำเนินการ"))))</x:f>
      </x:c>
      <x:c r="L13" s="114" t="str">
        <x:f>IF(OR(A13="",P13=""),"",HYPERLINK(P13,"เปิดใน Google Calendar"))</x:f>
      </x:c>
      <x:c r="M13" s="111"/>
      <x:c r="N13" s="123"/>
      <x:c r="O13" s="123"/>
      <x:c r="P13" s="123"/>
      <x:c r="Q13" s="126" t="b">
        <x:v>0</x:v>
      </x:c>
      <x:c r="R13" s="126" t="b">
        <x:v>0</x:v>
      </x:c>
      <x:c r="S13" s="126" t="b">
        <x:v>0</x:v>
      </x:c>
      <x:c r="T13" s="126" t="b">
        <x:v>0</x:v>
      </x:c>
      <x:c r="U13" s="144"/>
      <x:c r="V13" s="123"/>
      <x:c r="W13" s="123"/>
      <x:c r="X13" s="126" t="b">
        <x:v>0</x:v>
      </x:c>
    </x:row>
    <x:row r="14" ht="18" customHeight="1">
      <x:c r="A14" s="111"/>
      <x:c r="B14" s="111"/>
      <x:c r="C14" s="111"/>
      <x:c r="D14" s="111"/>
      <x:c r="E14" s="129"/>
      <x:c r="F14" s="138"/>
      <x:c r="G14" s="133" t="str">
        <x:f>IF(OR(A14="",E14="",F14=""),"",E14+F14-IF('ตั้งค่า'!$B$12="นับรวมวันเซ็น",1,0))</x:f>
      </x:c>
      <x:c r="H14" s="134"/>
      <x:c r="I14" s="117" t="str">
        <x:v>ยังไม่ส่ง</x:v>
      </x:c>
      <x:c r="J14" s="141" t="str">
        <x:f>IF(A14="","",IF(G14="","",IF(I14="ส่งแล้ว",0,G14-TODAY())))</x:f>
      </x:c>
      <x:c r="K14" s="114" t="str">
        <x:f>IF(A14="","",IF(G14="","ยังไม่ระบุวัน",IF(I14="ส่งแล้ว",IF(H14="","ส่งแล้ว",IF(INT(H14)&lt;INT(G14),"ส่งก่อนกำหนด "&amp;(INT(G14)-INT(H14))&amp;" วัน",IF(INT(H14)=INT(G14),"ส่งตรงกำหนด","ส่งล่าช้า "&amp;(INT(H14)-INT(G14))&amp;" วัน"))),IFS(G14&lt;TODAY(),"เกินกำหนด "&amp;(TODAY()-G14)&amp;" วัน",G14=TODAY(),"ครบกำหนดวันนี้",G14-TODAY()&lt;=3,"เร่งดำเนินการ",G14-TODAY()&lt;=5,"ต้องติดตาม",G14-TODAY()&lt;=10,"ใกล้ครบกำหนด",TRUE,"อยู่ระหว่างดำเนินการ"))))</x:f>
      </x:c>
      <x:c r="L14" s="114" t="str">
        <x:f>IF(OR(A14="",P14=""),"",HYPERLINK(P14,"เปิดใน Google Calendar"))</x:f>
      </x:c>
      <x:c r="M14" s="111"/>
      <x:c r="N14" s="123"/>
      <x:c r="O14" s="123"/>
      <x:c r="P14" s="123"/>
      <x:c r="Q14" s="126" t="b">
        <x:v>0</x:v>
      </x:c>
      <x:c r="R14" s="126" t="b">
        <x:v>0</x:v>
      </x:c>
      <x:c r="S14" s="126" t="b">
        <x:v>0</x:v>
      </x:c>
      <x:c r="T14" s="126" t="b">
        <x:v>0</x:v>
      </x:c>
      <x:c r="U14" s="144"/>
      <x:c r="V14" s="123"/>
      <x:c r="W14" s="123"/>
      <x:c r="X14" s="126" t="b">
        <x:v>0</x:v>
      </x:c>
    </x:row>
    <x:row r="15" ht="18" customHeight="1">
      <x:c r="A15" s="111"/>
      <x:c r="B15" s="111"/>
      <x:c r="C15" s="111"/>
      <x:c r="D15" s="111"/>
      <x:c r="E15" s="129"/>
      <x:c r="F15" s="138"/>
      <x:c r="G15" s="133" t="str">
        <x:f>IF(OR(A15="",E15="",F15=""),"",E15+F15-IF('ตั้งค่า'!$B$12="นับรวมวันเซ็น",1,0))</x:f>
      </x:c>
      <x:c r="H15" s="134"/>
      <x:c r="I15" s="117" t="str">
        <x:v>ยังไม่ส่ง</x:v>
      </x:c>
      <x:c r="J15" s="141" t="str">
        <x:f>IF(A15="","",IF(G15="","",IF(I15="ส่งแล้ว",0,G15-TODAY())))</x:f>
      </x:c>
      <x:c r="K15" s="114" t="str">
        <x:f>IF(A15="","",IF(G15="","ยังไม่ระบุวัน",IF(I15="ส่งแล้ว",IF(H15="","ส่งแล้ว",IF(INT(H15)&lt;INT(G15),"ส่งก่อนกำหนด "&amp;(INT(G15)-INT(H15))&amp;" วัน",IF(INT(H15)=INT(G15),"ส่งตรงกำหนด","ส่งล่าช้า "&amp;(INT(H15)-INT(G15))&amp;" วัน"))),IFS(G15&lt;TODAY(),"เกินกำหนด "&amp;(TODAY()-G15)&amp;" วัน",G15=TODAY(),"ครบกำหนดวันนี้",G15-TODAY()&lt;=3,"เร่งดำเนินการ",G15-TODAY()&lt;=5,"ต้องติดตาม",G15-TODAY()&lt;=10,"ใกล้ครบกำหนด",TRUE,"อยู่ระหว่างดำเนินการ"))))</x:f>
      </x:c>
      <x:c r="L15" s="114" t="str">
        <x:f>IF(OR(A15="",P15=""),"",HYPERLINK(P15,"เปิดใน Google Calendar"))</x:f>
      </x:c>
      <x:c r="M15" s="111"/>
      <x:c r="N15" s="123"/>
      <x:c r="O15" s="123"/>
      <x:c r="P15" s="123"/>
      <x:c r="Q15" s="126" t="b">
        <x:v>0</x:v>
      </x:c>
      <x:c r="R15" s="126" t="b">
        <x:v>0</x:v>
      </x:c>
      <x:c r="S15" s="126" t="b">
        <x:v>0</x:v>
      </x:c>
      <x:c r="T15" s="126" t="b">
        <x:v>0</x:v>
      </x:c>
      <x:c r="U15" s="144"/>
      <x:c r="V15" s="123"/>
      <x:c r="W15" s="123"/>
      <x:c r="X15" s="126" t="b">
        <x:v>0</x:v>
      </x:c>
    </x:row>
    <x:row r="16" ht="18" customHeight="1">
      <x:c r="A16" s="111"/>
      <x:c r="B16" s="111"/>
      <x:c r="C16" s="111"/>
      <x:c r="D16" s="111"/>
      <x:c r="E16" s="129"/>
      <x:c r="F16" s="138"/>
      <x:c r="G16" s="133" t="str">
        <x:f>IF(OR(A16="",E16="",F16=""),"",E16+F16-IF('ตั้งค่า'!$B$12="นับรวมวันเซ็น",1,0))</x:f>
      </x:c>
      <x:c r="H16" s="134"/>
      <x:c r="I16" s="117" t="str">
        <x:v>ยังไม่ส่ง</x:v>
      </x:c>
      <x:c r="J16" s="141" t="str">
        <x:f>IF(A16="","",IF(G16="","",IF(I16="ส่งแล้ว",0,G16-TODAY())))</x:f>
      </x:c>
      <x:c r="K16" s="114" t="str">
        <x:f>IF(A16="","",IF(G16="","ยังไม่ระบุวัน",IF(I16="ส่งแล้ว",IF(H16="","ส่งแล้ว",IF(INT(H16)&lt;INT(G16),"ส่งก่อนกำหนด "&amp;(INT(G16)-INT(H16))&amp;" วัน",IF(INT(H16)=INT(G16),"ส่งตรงกำหนด","ส่งล่าช้า "&amp;(INT(H16)-INT(G16))&amp;" วัน"))),IFS(G16&lt;TODAY(),"เกินกำหนด "&amp;(TODAY()-G16)&amp;" วัน",G16=TODAY(),"ครบกำหนดวันนี้",G16-TODAY()&lt;=3,"เร่งดำเนินการ",G16-TODAY()&lt;=5,"ต้องติดตาม",G16-TODAY()&lt;=10,"ใกล้ครบกำหนด",TRUE,"อยู่ระหว่างดำเนินการ"))))</x:f>
      </x:c>
      <x:c r="L16" s="114" t="str">
        <x:f>IF(OR(A16="",P16=""),"",HYPERLINK(P16,"เปิดใน Google Calendar"))</x:f>
      </x:c>
      <x:c r="M16" s="111"/>
      <x:c r="N16" s="123"/>
      <x:c r="O16" s="123"/>
      <x:c r="P16" s="123"/>
      <x:c r="Q16" s="126" t="b">
        <x:v>0</x:v>
      </x:c>
      <x:c r="R16" s="126" t="b">
        <x:v>0</x:v>
      </x:c>
      <x:c r="S16" s="126" t="b">
        <x:v>0</x:v>
      </x:c>
      <x:c r="T16" s="126" t="b">
        <x:v>0</x:v>
      </x:c>
      <x:c r="U16" s="144"/>
      <x:c r="V16" s="123"/>
      <x:c r="W16" s="123"/>
      <x:c r="X16" s="126" t="b">
        <x:v>0</x:v>
      </x:c>
    </x:row>
    <x:row r="17" ht="18" customHeight="1">
      <x:c r="A17" s="111"/>
      <x:c r="B17" s="111"/>
      <x:c r="C17" s="111"/>
      <x:c r="D17" s="111"/>
      <x:c r="E17" s="129"/>
      <x:c r="F17" s="138"/>
      <x:c r="G17" s="133" t="str">
        <x:f>IF(OR(A17="",E17="",F17=""),"",E17+F17-IF('ตั้งค่า'!$B$12="นับรวมวันเซ็น",1,0))</x:f>
      </x:c>
      <x:c r="H17" s="134"/>
      <x:c r="I17" s="117" t="str">
        <x:v>ยังไม่ส่ง</x:v>
      </x:c>
      <x:c r="J17" s="141" t="str">
        <x:f>IF(A17="","",IF(G17="","",IF(I17="ส่งแล้ว",0,G17-TODAY())))</x:f>
      </x:c>
      <x:c r="K17" s="114" t="str">
        <x:f>IF(A17="","",IF(G17="","ยังไม่ระบุวัน",IF(I17="ส่งแล้ว",IF(H17="","ส่งแล้ว",IF(INT(H17)&lt;INT(G17),"ส่งก่อนกำหนด "&amp;(INT(G17)-INT(H17))&amp;" วัน",IF(INT(H17)=INT(G17),"ส่งตรงกำหนด","ส่งล่าช้า "&amp;(INT(H17)-INT(G17))&amp;" วัน"))),IFS(G17&lt;TODAY(),"เกินกำหนด "&amp;(TODAY()-G17)&amp;" วัน",G17=TODAY(),"ครบกำหนดวันนี้",G17-TODAY()&lt;=3,"เร่งดำเนินการ",G17-TODAY()&lt;=5,"ต้องติดตาม",G17-TODAY()&lt;=10,"ใกล้ครบกำหนด",TRUE,"อยู่ระหว่างดำเนินการ"))))</x:f>
      </x:c>
      <x:c r="L17" s="114" t="str">
        <x:f>IF(OR(A17="",P17=""),"",HYPERLINK(P17,"เปิดใน Google Calendar"))</x:f>
      </x:c>
      <x:c r="M17" s="111"/>
      <x:c r="N17" s="123"/>
      <x:c r="O17" s="123"/>
      <x:c r="P17" s="123"/>
      <x:c r="Q17" s="126" t="b">
        <x:v>0</x:v>
      </x:c>
      <x:c r="R17" s="126" t="b">
        <x:v>0</x:v>
      </x:c>
      <x:c r="S17" s="126" t="b">
        <x:v>0</x:v>
      </x:c>
      <x:c r="T17" s="126" t="b">
        <x:v>0</x:v>
      </x:c>
      <x:c r="U17" s="144"/>
      <x:c r="V17" s="123"/>
      <x:c r="W17" s="123"/>
      <x:c r="X17" s="126" t="b">
        <x:v>0</x:v>
      </x:c>
    </x:row>
    <x:row r="18" ht="18" customHeight="1">
      <x:c r="A18" s="111"/>
      <x:c r="B18" s="111"/>
      <x:c r="C18" s="111"/>
      <x:c r="D18" s="111"/>
      <x:c r="E18" s="129"/>
      <x:c r="F18" s="138"/>
      <x:c r="G18" s="133" t="str">
        <x:f>IF(OR(A18="",E18="",F18=""),"",E18+F18-IF('ตั้งค่า'!$B$12="นับรวมวันเซ็น",1,0))</x:f>
      </x:c>
      <x:c r="H18" s="134"/>
      <x:c r="I18" s="117" t="str">
        <x:v>ยังไม่ส่ง</x:v>
      </x:c>
      <x:c r="J18" s="141" t="str">
        <x:f>IF(A18="","",IF(G18="","",IF(I18="ส่งแล้ว",0,G18-TODAY())))</x:f>
      </x:c>
      <x:c r="K18" s="114" t="str">
        <x:f>IF(A18="","",IF(G18="","ยังไม่ระบุวัน",IF(I18="ส่งแล้ว",IF(H18="","ส่งแล้ว",IF(INT(H18)&lt;INT(G18),"ส่งก่อนกำหนด "&amp;(INT(G18)-INT(H18))&amp;" วัน",IF(INT(H18)=INT(G18),"ส่งตรงกำหนด","ส่งล่าช้า "&amp;(INT(H18)-INT(G18))&amp;" วัน"))),IFS(G18&lt;TODAY(),"เกินกำหนด "&amp;(TODAY()-G18)&amp;" วัน",G18=TODAY(),"ครบกำหนดวันนี้",G18-TODAY()&lt;=3,"เร่งดำเนินการ",G18-TODAY()&lt;=5,"ต้องติดตาม",G18-TODAY()&lt;=10,"ใกล้ครบกำหนด",TRUE,"อยู่ระหว่างดำเนินการ"))))</x:f>
      </x:c>
      <x:c r="L18" s="114" t="str">
        <x:f>IF(OR(A18="",P18=""),"",HYPERLINK(P18,"เปิดใน Google Calendar"))</x:f>
      </x:c>
      <x:c r="M18" s="111"/>
      <x:c r="N18" s="123"/>
      <x:c r="O18" s="123"/>
      <x:c r="P18" s="123"/>
      <x:c r="Q18" s="126" t="b">
        <x:v>0</x:v>
      </x:c>
      <x:c r="R18" s="126" t="b">
        <x:v>0</x:v>
      </x:c>
      <x:c r="S18" s="126" t="b">
        <x:v>0</x:v>
      </x:c>
      <x:c r="T18" s="126" t="b">
        <x:v>0</x:v>
      </x:c>
      <x:c r="U18" s="144"/>
      <x:c r="V18" s="123"/>
      <x:c r="W18" s="123"/>
      <x:c r="X18" s="126" t="b">
        <x:v>0</x:v>
      </x:c>
    </x:row>
    <x:row r="19" ht="18" customHeight="1">
      <x:c r="A19" s="111"/>
      <x:c r="B19" s="111"/>
      <x:c r="C19" s="111"/>
      <x:c r="D19" s="111"/>
      <x:c r="E19" s="129"/>
      <x:c r="F19" s="138"/>
      <x:c r="G19" s="133" t="str">
        <x:f>IF(OR(A19="",E19="",F19=""),"",E19+F19-IF('ตั้งค่า'!$B$12="นับรวมวันเซ็น",1,0))</x:f>
      </x:c>
      <x:c r="H19" s="134"/>
      <x:c r="I19" s="117" t="str">
        <x:v>ยังไม่ส่ง</x:v>
      </x:c>
      <x:c r="J19" s="141" t="str">
        <x:f>IF(A19="","",IF(G19="","",IF(I19="ส่งแล้ว",0,G19-TODAY())))</x:f>
      </x:c>
      <x:c r="K19" s="114" t="str">
        <x:f>IF(A19="","",IF(G19="","ยังไม่ระบุวัน",IF(I19="ส่งแล้ว",IF(H19="","ส่งแล้ว",IF(INT(H19)&lt;INT(G19),"ส่งก่อนกำหนด "&amp;(INT(G19)-INT(H19))&amp;" วัน",IF(INT(H19)=INT(G19),"ส่งตรงกำหนด","ส่งล่าช้า "&amp;(INT(H19)-INT(G19))&amp;" วัน"))),IFS(G19&lt;TODAY(),"เกินกำหนด "&amp;(TODAY()-G19)&amp;" วัน",G19=TODAY(),"ครบกำหนดวันนี้",G19-TODAY()&lt;=3,"เร่งดำเนินการ",G19-TODAY()&lt;=5,"ต้องติดตาม",G19-TODAY()&lt;=10,"ใกล้ครบกำหนด",TRUE,"อยู่ระหว่างดำเนินการ"))))</x:f>
      </x:c>
      <x:c r="L19" s="114" t="str">
        <x:f>IF(OR(A19="",P19=""),"",HYPERLINK(P19,"เปิดใน Google Calendar"))</x:f>
      </x:c>
      <x:c r="M19" s="111"/>
      <x:c r="N19" s="123"/>
      <x:c r="O19" s="123"/>
      <x:c r="P19" s="123"/>
      <x:c r="Q19" s="126" t="b">
        <x:v>0</x:v>
      </x:c>
      <x:c r="R19" s="126" t="b">
        <x:v>0</x:v>
      </x:c>
      <x:c r="S19" s="126" t="b">
        <x:v>0</x:v>
      </x:c>
      <x:c r="T19" s="126" t="b">
        <x:v>0</x:v>
      </x:c>
      <x:c r="U19" s="144"/>
      <x:c r="V19" s="123"/>
      <x:c r="W19" s="123"/>
      <x:c r="X19" s="126" t="b">
        <x:v>0</x:v>
      </x:c>
    </x:row>
    <x:row r="20" ht="18" customHeight="1">
      <x:c r="A20" s="111"/>
      <x:c r="B20" s="111"/>
      <x:c r="C20" s="111"/>
      <x:c r="D20" s="111"/>
      <x:c r="E20" s="129"/>
      <x:c r="F20" s="138"/>
      <x:c r="G20" s="133" t="str">
        <x:f>IF(OR(A20="",E20="",F20=""),"",E20+F20-IF('ตั้งค่า'!$B$12="นับรวมวันเซ็น",1,0))</x:f>
      </x:c>
      <x:c r="H20" s="134"/>
      <x:c r="I20" s="117" t="str">
        <x:v>ยังไม่ส่ง</x:v>
      </x:c>
      <x:c r="J20" s="141" t="str">
        <x:f>IF(A20="","",IF(G20="","",IF(I20="ส่งแล้ว",0,G20-TODAY())))</x:f>
      </x:c>
      <x:c r="K20" s="114" t="str">
        <x:f>IF(A20="","",IF(G20="","ยังไม่ระบุวัน",IF(I20="ส่งแล้ว",IF(H20="","ส่งแล้ว",IF(INT(H20)&lt;INT(G20),"ส่งก่อนกำหนด "&amp;(INT(G20)-INT(H20))&amp;" วัน",IF(INT(H20)=INT(G20),"ส่งตรงกำหนด","ส่งล่าช้า "&amp;(INT(H20)-INT(G20))&amp;" วัน"))),IFS(G20&lt;TODAY(),"เกินกำหนด "&amp;(TODAY()-G20)&amp;" วัน",G20=TODAY(),"ครบกำหนดวันนี้",G20-TODAY()&lt;=3,"เร่งดำเนินการ",G20-TODAY()&lt;=5,"ต้องติดตาม",G20-TODAY()&lt;=10,"ใกล้ครบกำหนด",TRUE,"อยู่ระหว่างดำเนินการ"))))</x:f>
      </x:c>
      <x:c r="L20" s="114" t="str">
        <x:f>IF(OR(A20="",P20=""),"",HYPERLINK(P20,"เปิดใน Google Calendar"))</x:f>
      </x:c>
      <x:c r="M20" s="111"/>
      <x:c r="N20" s="123"/>
      <x:c r="O20" s="123"/>
      <x:c r="P20" s="123"/>
      <x:c r="Q20" s="126" t="b">
        <x:v>0</x:v>
      </x:c>
      <x:c r="R20" s="126" t="b">
        <x:v>0</x:v>
      </x:c>
      <x:c r="S20" s="126" t="b">
        <x:v>0</x:v>
      </x:c>
      <x:c r="T20" s="126" t="b">
        <x:v>0</x:v>
      </x:c>
      <x:c r="U20" s="144"/>
      <x:c r="V20" s="123"/>
      <x:c r="W20" s="123"/>
      <x:c r="X20" s="126" t="b">
        <x:v>0</x:v>
      </x:c>
    </x:row>
    <x:row r="21" ht="18" customHeight="1">
      <x:c r="A21" s="111"/>
      <x:c r="B21" s="111"/>
      <x:c r="C21" s="111"/>
      <x:c r="D21" s="111"/>
      <x:c r="E21" s="129"/>
      <x:c r="F21" s="138"/>
      <x:c r="G21" s="133" t="str">
        <x:f>IF(OR(A21="",E21="",F21=""),"",E21+F21-IF('ตั้งค่า'!$B$12="นับรวมวันเซ็น",1,0))</x:f>
      </x:c>
      <x:c r="H21" s="134"/>
      <x:c r="I21" s="117" t="str">
        <x:v>ยังไม่ส่ง</x:v>
      </x:c>
      <x:c r="J21" s="141" t="str">
        <x:f>IF(A21="","",IF(G21="","",IF(I21="ส่งแล้ว",0,G21-TODAY())))</x:f>
      </x:c>
      <x:c r="K21" s="114" t="str">
        <x:f>IF(A21="","",IF(G21="","ยังไม่ระบุวัน",IF(I21="ส่งแล้ว",IF(H21="","ส่งแล้ว",IF(INT(H21)&lt;INT(G21),"ส่งก่อนกำหนด "&amp;(INT(G21)-INT(H21))&amp;" วัน",IF(INT(H21)=INT(G21),"ส่งตรงกำหนด","ส่งล่าช้า "&amp;(INT(H21)-INT(G21))&amp;" วัน"))),IFS(G21&lt;TODAY(),"เกินกำหนด "&amp;(TODAY()-G21)&amp;" วัน",G21=TODAY(),"ครบกำหนดวันนี้",G21-TODAY()&lt;=3,"เร่งดำเนินการ",G21-TODAY()&lt;=5,"ต้องติดตาม",G21-TODAY()&lt;=10,"ใกล้ครบกำหนด",TRUE,"อยู่ระหว่างดำเนินการ"))))</x:f>
      </x:c>
      <x:c r="L21" s="114" t="str">
        <x:f>IF(OR(A21="",P21=""),"",HYPERLINK(P21,"เปิดใน Google Calendar"))</x:f>
      </x:c>
      <x:c r="M21" s="111"/>
      <x:c r="N21" s="123"/>
      <x:c r="O21" s="123"/>
      <x:c r="P21" s="123"/>
      <x:c r="Q21" s="126" t="b">
        <x:v>0</x:v>
      </x:c>
      <x:c r="R21" s="126" t="b">
        <x:v>0</x:v>
      </x:c>
      <x:c r="S21" s="126" t="b">
        <x:v>0</x:v>
      </x:c>
      <x:c r="T21" s="126" t="b">
        <x:v>0</x:v>
      </x:c>
      <x:c r="U21" s="144"/>
      <x:c r="V21" s="123"/>
      <x:c r="W21" s="123"/>
      <x:c r="X21" s="126" t="b">
        <x:v>0</x:v>
      </x:c>
    </x:row>
    <x:row r="22" ht="18" customHeight="1">
      <x:c r="A22" s="111"/>
      <x:c r="B22" s="111"/>
      <x:c r="C22" s="111"/>
      <x:c r="D22" s="111"/>
      <x:c r="E22" s="129"/>
      <x:c r="F22" s="138"/>
      <x:c r="G22" s="133" t="str">
        <x:f>IF(OR(A22="",E22="",F22=""),"",E22+F22-IF('ตั้งค่า'!$B$12="นับรวมวันเซ็น",1,0))</x:f>
      </x:c>
      <x:c r="H22" s="134"/>
      <x:c r="I22" s="117" t="str">
        <x:v>ยังไม่ส่ง</x:v>
      </x:c>
      <x:c r="J22" s="141" t="str">
        <x:f>IF(A22="","",IF(G22="","",IF(I22="ส่งแล้ว",0,G22-TODAY())))</x:f>
      </x:c>
      <x:c r="K22" s="114" t="str">
        <x:f>IF(A22="","",IF(G22="","ยังไม่ระบุวัน",IF(I22="ส่งแล้ว",IF(H22="","ส่งแล้ว",IF(INT(H22)&lt;INT(G22),"ส่งก่อนกำหนด "&amp;(INT(G22)-INT(H22))&amp;" วัน",IF(INT(H22)=INT(G22),"ส่งตรงกำหนด","ส่งล่าช้า "&amp;(INT(H22)-INT(G22))&amp;" วัน"))),IFS(G22&lt;TODAY(),"เกินกำหนด "&amp;(TODAY()-G22)&amp;" วัน",G22=TODAY(),"ครบกำหนดวันนี้",G22-TODAY()&lt;=3,"เร่งดำเนินการ",G22-TODAY()&lt;=5,"ต้องติดตาม",G22-TODAY()&lt;=10,"ใกล้ครบกำหนด",TRUE,"อยู่ระหว่างดำเนินการ"))))</x:f>
      </x:c>
      <x:c r="L22" s="114" t="str">
        <x:f>IF(OR(A22="",P22=""),"",HYPERLINK(P22,"เปิดใน Google Calendar"))</x:f>
      </x:c>
      <x:c r="M22" s="111"/>
      <x:c r="N22" s="123"/>
      <x:c r="O22" s="123"/>
      <x:c r="P22" s="123"/>
      <x:c r="Q22" s="126" t="b">
        <x:v>0</x:v>
      </x:c>
      <x:c r="R22" s="126" t="b">
        <x:v>0</x:v>
      </x:c>
      <x:c r="S22" s="126" t="b">
        <x:v>0</x:v>
      </x:c>
      <x:c r="T22" s="126" t="b">
        <x:v>0</x:v>
      </x:c>
      <x:c r="U22" s="144"/>
      <x:c r="V22" s="123"/>
      <x:c r="W22" s="123"/>
      <x:c r="X22" s="126" t="b">
        <x:v>0</x:v>
      </x:c>
    </x:row>
    <x:row r="23" ht="18" customHeight="1">
      <x:c r="A23" s="111"/>
      <x:c r="B23" s="111"/>
      <x:c r="C23" s="111"/>
      <x:c r="D23" s="111"/>
      <x:c r="E23" s="129"/>
      <x:c r="F23" s="138"/>
      <x:c r="G23" s="133" t="str">
        <x:f>IF(OR(A23="",E23="",F23=""),"",E23+F23-IF('ตั้งค่า'!$B$12="นับรวมวันเซ็น",1,0))</x:f>
      </x:c>
      <x:c r="H23" s="134"/>
      <x:c r="I23" s="117" t="str">
        <x:v>ยังไม่ส่ง</x:v>
      </x:c>
      <x:c r="J23" s="141" t="str">
        <x:f>IF(A23="","",IF(G23="","",IF(I23="ส่งแล้ว",0,G23-TODAY())))</x:f>
      </x:c>
      <x:c r="K23" s="114" t="str">
        <x:f>IF(A23="","",IF(G23="","ยังไม่ระบุวัน",IF(I23="ส่งแล้ว",IF(H23="","ส่งแล้ว",IF(INT(H23)&lt;INT(G23),"ส่งก่อนกำหนด "&amp;(INT(G23)-INT(H23))&amp;" วัน",IF(INT(H23)=INT(G23),"ส่งตรงกำหนด","ส่งล่าช้า "&amp;(INT(H23)-INT(G23))&amp;" วัน"))),IFS(G23&lt;TODAY(),"เกินกำหนด "&amp;(TODAY()-G23)&amp;" วัน",G23=TODAY(),"ครบกำหนดวันนี้",G23-TODAY()&lt;=3,"เร่งดำเนินการ",G23-TODAY()&lt;=5,"ต้องติดตาม",G23-TODAY()&lt;=10,"ใกล้ครบกำหนด",TRUE,"อยู่ระหว่างดำเนินการ"))))</x:f>
      </x:c>
      <x:c r="L23" s="114" t="str">
        <x:f>IF(OR(A23="",P23=""),"",HYPERLINK(P23,"เปิดใน Google Calendar"))</x:f>
      </x:c>
      <x:c r="M23" s="111"/>
      <x:c r="N23" s="123"/>
      <x:c r="O23" s="123"/>
      <x:c r="P23" s="123"/>
      <x:c r="Q23" s="126" t="b">
        <x:v>0</x:v>
      </x:c>
      <x:c r="R23" s="126" t="b">
        <x:v>0</x:v>
      </x:c>
      <x:c r="S23" s="126" t="b">
        <x:v>0</x:v>
      </x:c>
      <x:c r="T23" s="126" t="b">
        <x:v>0</x:v>
      </x:c>
      <x:c r="U23" s="144"/>
      <x:c r="V23" s="123"/>
      <x:c r="W23" s="123"/>
      <x:c r="X23" s="126" t="b">
        <x:v>0</x:v>
      </x:c>
    </x:row>
    <x:row r="24" ht="18" customHeight="1">
      <x:c r="A24" s="111"/>
      <x:c r="B24" s="111"/>
      <x:c r="C24" s="111"/>
      <x:c r="D24" s="111"/>
      <x:c r="E24" s="129"/>
      <x:c r="F24" s="138"/>
      <x:c r="G24" s="133" t="str">
        <x:f>IF(OR(A24="",E24="",F24=""),"",E24+F24-IF('ตั้งค่า'!$B$12="นับรวมวันเซ็น",1,0))</x:f>
      </x:c>
      <x:c r="H24" s="134"/>
      <x:c r="I24" s="117" t="str">
        <x:v>ยังไม่ส่ง</x:v>
      </x:c>
      <x:c r="J24" s="141" t="str">
        <x:f>IF(A24="","",IF(G24="","",IF(I24="ส่งแล้ว",0,G24-TODAY())))</x:f>
      </x:c>
      <x:c r="K24" s="114" t="str">
        <x:f>IF(A24="","",IF(G24="","ยังไม่ระบุวัน",IF(I24="ส่งแล้ว",IF(H24="","ส่งแล้ว",IF(INT(H24)&lt;INT(G24),"ส่งก่อนกำหนด "&amp;(INT(G24)-INT(H24))&amp;" วัน",IF(INT(H24)=INT(G24),"ส่งตรงกำหนด","ส่งล่าช้า "&amp;(INT(H24)-INT(G24))&amp;" วัน"))),IFS(G24&lt;TODAY(),"เกินกำหนด "&amp;(TODAY()-G24)&amp;" วัน",G24=TODAY(),"ครบกำหนดวันนี้",G24-TODAY()&lt;=3,"เร่งดำเนินการ",G24-TODAY()&lt;=5,"ต้องติดตาม",G24-TODAY()&lt;=10,"ใกล้ครบกำหนด",TRUE,"อยู่ระหว่างดำเนินการ"))))</x:f>
      </x:c>
      <x:c r="L24" s="114" t="str">
        <x:f>IF(OR(A24="",P24=""),"",HYPERLINK(P24,"เปิดใน Google Calendar"))</x:f>
      </x:c>
      <x:c r="M24" s="111"/>
      <x:c r="N24" s="123"/>
      <x:c r="O24" s="123"/>
      <x:c r="P24" s="123"/>
      <x:c r="Q24" s="126" t="b">
        <x:v>0</x:v>
      </x:c>
      <x:c r="R24" s="126" t="b">
        <x:v>0</x:v>
      </x:c>
      <x:c r="S24" s="126" t="b">
        <x:v>0</x:v>
      </x:c>
      <x:c r="T24" s="126" t="b">
        <x:v>0</x:v>
      </x:c>
      <x:c r="U24" s="144"/>
      <x:c r="V24" s="123"/>
      <x:c r="W24" s="123"/>
      <x:c r="X24" s="126" t="b">
        <x:v>0</x:v>
      </x:c>
    </x:row>
    <x:row r="25" ht="18" customHeight="1">
      <x:c r="A25" s="111"/>
      <x:c r="B25" s="111"/>
      <x:c r="C25" s="111"/>
      <x:c r="D25" s="111"/>
      <x:c r="E25" s="129"/>
      <x:c r="F25" s="138"/>
      <x:c r="G25" s="133" t="str">
        <x:f>IF(OR(A25="",E25="",F25=""),"",E25+F25-IF('ตั้งค่า'!$B$12="นับรวมวันเซ็น",1,0))</x:f>
      </x:c>
      <x:c r="H25" s="134"/>
      <x:c r="I25" s="117" t="str">
        <x:v>ยังไม่ส่ง</x:v>
      </x:c>
      <x:c r="J25" s="141" t="str">
        <x:f>IF(A25="","",IF(G25="","",IF(I25="ส่งแล้ว",0,G25-TODAY())))</x:f>
      </x:c>
      <x:c r="K25" s="114" t="str">
        <x:f>IF(A25="","",IF(G25="","ยังไม่ระบุวัน",IF(I25="ส่งแล้ว",IF(H25="","ส่งแล้ว",IF(INT(H25)&lt;INT(G25),"ส่งก่อนกำหนด "&amp;(INT(G25)-INT(H25))&amp;" วัน",IF(INT(H25)=INT(G25),"ส่งตรงกำหนด","ส่งล่าช้า "&amp;(INT(H25)-INT(G25))&amp;" วัน"))),IFS(G25&lt;TODAY(),"เกินกำหนด "&amp;(TODAY()-G25)&amp;" วัน",G25=TODAY(),"ครบกำหนดวันนี้",G25-TODAY()&lt;=3,"เร่งดำเนินการ",G25-TODAY()&lt;=5,"ต้องติดตาม",G25-TODAY()&lt;=10,"ใกล้ครบกำหนด",TRUE,"อยู่ระหว่างดำเนินการ"))))</x:f>
      </x:c>
      <x:c r="L25" s="114" t="str">
        <x:f>IF(OR(A25="",P25=""),"",HYPERLINK(P25,"เปิดใน Google Calendar"))</x:f>
      </x:c>
      <x:c r="M25" s="111"/>
      <x:c r="N25" s="123"/>
      <x:c r="O25" s="123"/>
      <x:c r="P25" s="123"/>
      <x:c r="Q25" s="126" t="b">
        <x:v>0</x:v>
      </x:c>
      <x:c r="R25" s="126" t="b">
        <x:v>0</x:v>
      </x:c>
      <x:c r="S25" s="126" t="b">
        <x:v>0</x:v>
      </x:c>
      <x:c r="T25" s="126" t="b">
        <x:v>0</x:v>
      </x:c>
      <x:c r="U25" s="144"/>
      <x:c r="V25" s="123"/>
      <x:c r="W25" s="123"/>
      <x:c r="X25" s="126" t="b">
        <x:v>0</x:v>
      </x:c>
    </x:row>
    <x:row r="26" ht="18" customHeight="1">
      <x:c r="A26" s="111"/>
      <x:c r="B26" s="111"/>
      <x:c r="C26" s="111"/>
      <x:c r="D26" s="111"/>
      <x:c r="E26" s="129"/>
      <x:c r="F26" s="138"/>
      <x:c r="G26" s="133" t="str">
        <x:f>IF(OR(A26="",E26="",F26=""),"",E26+F26-IF('ตั้งค่า'!$B$12="นับรวมวันเซ็น",1,0))</x:f>
      </x:c>
      <x:c r="H26" s="134"/>
      <x:c r="I26" s="117" t="str">
        <x:v>ยังไม่ส่ง</x:v>
      </x:c>
      <x:c r="J26" s="141" t="str">
        <x:f>IF(A26="","",IF(G26="","",IF(I26="ส่งแล้ว",0,G26-TODAY())))</x:f>
      </x:c>
      <x:c r="K26" s="114" t="str">
        <x:f>IF(A26="","",IF(G26="","ยังไม่ระบุวัน",IF(I26="ส่งแล้ว",IF(H26="","ส่งแล้ว",IF(INT(H26)&lt;INT(G26),"ส่งก่อนกำหนด "&amp;(INT(G26)-INT(H26))&amp;" วัน",IF(INT(H26)=INT(G26),"ส่งตรงกำหนด","ส่งล่าช้า "&amp;(INT(H26)-INT(G26))&amp;" วัน"))),IFS(G26&lt;TODAY(),"เกินกำหนด "&amp;(TODAY()-G26)&amp;" วัน",G26=TODAY(),"ครบกำหนดวันนี้",G26-TODAY()&lt;=3,"เร่งดำเนินการ",G26-TODAY()&lt;=5,"ต้องติดตาม",G26-TODAY()&lt;=10,"ใกล้ครบกำหนด",TRUE,"อยู่ระหว่างดำเนินการ"))))</x:f>
      </x:c>
      <x:c r="L26" s="114" t="str">
        <x:f>IF(OR(A26="",P26=""),"",HYPERLINK(P26,"เปิดใน Google Calendar"))</x:f>
      </x:c>
      <x:c r="M26" s="111"/>
      <x:c r="N26" s="123"/>
      <x:c r="O26" s="123"/>
      <x:c r="P26" s="123"/>
      <x:c r="Q26" s="126" t="b">
        <x:v>0</x:v>
      </x:c>
      <x:c r="R26" s="126" t="b">
        <x:v>0</x:v>
      </x:c>
      <x:c r="S26" s="126" t="b">
        <x:v>0</x:v>
      </x:c>
      <x:c r="T26" s="126" t="b">
        <x:v>0</x:v>
      </x:c>
      <x:c r="U26" s="144"/>
      <x:c r="V26" s="123"/>
      <x:c r="W26" s="123"/>
      <x:c r="X26" s="126" t="b">
        <x:v>0</x:v>
      </x:c>
    </x:row>
    <x:row r="27" ht="18" customHeight="1">
      <x:c r="A27" s="111"/>
      <x:c r="B27" s="111"/>
      <x:c r="C27" s="111"/>
      <x:c r="D27" s="111"/>
      <x:c r="E27" s="129"/>
      <x:c r="F27" s="138"/>
      <x:c r="G27" s="133" t="str">
        <x:f>IF(OR(A27="",E27="",F27=""),"",E27+F27-IF('ตั้งค่า'!$B$12="นับรวมวันเซ็น",1,0))</x:f>
      </x:c>
      <x:c r="H27" s="134"/>
      <x:c r="I27" s="117" t="str">
        <x:v>ยังไม่ส่ง</x:v>
      </x:c>
      <x:c r="J27" s="141" t="str">
        <x:f>IF(A27="","",IF(G27="","",IF(I27="ส่งแล้ว",0,G27-TODAY())))</x:f>
      </x:c>
      <x:c r="K27" s="114" t="str">
        <x:f>IF(A27="","",IF(G27="","ยังไม่ระบุวัน",IF(I27="ส่งแล้ว",IF(H27="","ส่งแล้ว",IF(INT(H27)&lt;INT(G27),"ส่งก่อนกำหนด "&amp;(INT(G27)-INT(H27))&amp;" วัน",IF(INT(H27)=INT(G27),"ส่งตรงกำหนด","ส่งล่าช้า "&amp;(INT(H27)-INT(G27))&amp;" วัน"))),IFS(G27&lt;TODAY(),"เกินกำหนด "&amp;(TODAY()-G27)&amp;" วัน",G27=TODAY(),"ครบกำหนดวันนี้",G27-TODAY()&lt;=3,"เร่งดำเนินการ",G27-TODAY()&lt;=5,"ต้องติดตาม",G27-TODAY()&lt;=10,"ใกล้ครบกำหนด",TRUE,"อยู่ระหว่างดำเนินการ"))))</x:f>
      </x:c>
      <x:c r="L27" s="114" t="str">
        <x:f>IF(OR(A27="",P27=""),"",HYPERLINK(P27,"เปิดใน Google Calendar"))</x:f>
      </x:c>
      <x:c r="M27" s="111"/>
      <x:c r="N27" s="123"/>
      <x:c r="O27" s="123"/>
      <x:c r="P27" s="123"/>
      <x:c r="Q27" s="126" t="b">
        <x:v>0</x:v>
      </x:c>
      <x:c r="R27" s="126" t="b">
        <x:v>0</x:v>
      </x:c>
      <x:c r="S27" s="126" t="b">
        <x:v>0</x:v>
      </x:c>
      <x:c r="T27" s="126" t="b">
        <x:v>0</x:v>
      </x:c>
      <x:c r="U27" s="144"/>
      <x:c r="V27" s="123"/>
      <x:c r="W27" s="123"/>
      <x:c r="X27" s="126" t="b">
        <x:v>0</x:v>
      </x:c>
    </x:row>
    <x:row r="28" ht="18" customHeight="1">
      <x:c r="A28" s="111"/>
      <x:c r="B28" s="111"/>
      <x:c r="C28" s="111"/>
      <x:c r="D28" s="111"/>
      <x:c r="E28" s="129"/>
      <x:c r="F28" s="138"/>
      <x:c r="G28" s="133" t="str">
        <x:f>IF(OR(A28="",E28="",F28=""),"",E28+F28-IF('ตั้งค่า'!$B$12="นับรวมวันเซ็น",1,0))</x:f>
      </x:c>
      <x:c r="H28" s="134"/>
      <x:c r="I28" s="117" t="str">
        <x:v>ยังไม่ส่ง</x:v>
      </x:c>
      <x:c r="J28" s="141" t="str">
        <x:f>IF(A28="","",IF(G28="","",IF(I28="ส่งแล้ว",0,G28-TODAY())))</x:f>
      </x:c>
      <x:c r="K28" s="114" t="str">
        <x:f>IF(A28="","",IF(G28="","ยังไม่ระบุวัน",IF(I28="ส่งแล้ว",IF(H28="","ส่งแล้ว",IF(INT(H28)&lt;INT(G28),"ส่งก่อนกำหนด "&amp;(INT(G28)-INT(H28))&amp;" วัน",IF(INT(H28)=INT(G28),"ส่งตรงกำหนด","ส่งล่าช้า "&amp;(INT(H28)-INT(G28))&amp;" วัน"))),IFS(G28&lt;TODAY(),"เกินกำหนด "&amp;(TODAY()-G28)&amp;" วัน",G28=TODAY(),"ครบกำหนดวันนี้",G28-TODAY()&lt;=3,"เร่งดำเนินการ",G28-TODAY()&lt;=5,"ต้องติดตาม",G28-TODAY()&lt;=10,"ใกล้ครบกำหนด",TRUE,"อยู่ระหว่างดำเนินการ"))))</x:f>
      </x:c>
      <x:c r="L28" s="114" t="str">
        <x:f>IF(OR(A28="",P28=""),"",HYPERLINK(P28,"เปิดใน Google Calendar"))</x:f>
      </x:c>
      <x:c r="M28" s="111"/>
      <x:c r="N28" s="123"/>
      <x:c r="O28" s="123"/>
      <x:c r="P28" s="123"/>
      <x:c r="Q28" s="126" t="b">
        <x:v>0</x:v>
      </x:c>
      <x:c r="R28" s="126" t="b">
        <x:v>0</x:v>
      </x:c>
      <x:c r="S28" s="126" t="b">
        <x:v>0</x:v>
      </x:c>
      <x:c r="T28" s="126" t="b">
        <x:v>0</x:v>
      </x:c>
      <x:c r="U28" s="144"/>
      <x:c r="V28" s="123"/>
      <x:c r="W28" s="123"/>
      <x:c r="X28" s="126" t="b">
        <x:v>0</x:v>
      </x:c>
    </x:row>
    <x:row r="29" ht="18" customHeight="1">
      <x:c r="A29" s="111"/>
      <x:c r="B29" s="111"/>
      <x:c r="C29" s="111"/>
      <x:c r="D29" s="111"/>
      <x:c r="E29" s="129"/>
      <x:c r="F29" s="138"/>
      <x:c r="G29" s="133" t="str">
        <x:f>IF(OR(A29="",E29="",F29=""),"",E29+F29-IF('ตั้งค่า'!$B$12="นับรวมวันเซ็น",1,0))</x:f>
      </x:c>
      <x:c r="H29" s="134"/>
      <x:c r="I29" s="117" t="str">
        <x:v>ยังไม่ส่ง</x:v>
      </x:c>
      <x:c r="J29" s="141" t="str">
        <x:f>IF(A29="","",IF(G29="","",IF(I29="ส่งแล้ว",0,G29-TODAY())))</x:f>
      </x:c>
      <x:c r="K29" s="114" t="str">
        <x:f>IF(A29="","",IF(G29="","ยังไม่ระบุวัน",IF(I29="ส่งแล้ว",IF(H29="","ส่งแล้ว",IF(INT(H29)&lt;INT(G29),"ส่งก่อนกำหนด "&amp;(INT(G29)-INT(H29))&amp;" วัน",IF(INT(H29)=INT(G29),"ส่งตรงกำหนด","ส่งล่าช้า "&amp;(INT(H29)-INT(G29))&amp;" วัน"))),IFS(G29&lt;TODAY(),"เกินกำหนด "&amp;(TODAY()-G29)&amp;" วัน",G29=TODAY(),"ครบกำหนดวันนี้",G29-TODAY()&lt;=3,"เร่งดำเนินการ",G29-TODAY()&lt;=5,"ต้องติดตาม",G29-TODAY()&lt;=10,"ใกล้ครบกำหนด",TRUE,"อยู่ระหว่างดำเนินการ"))))</x:f>
      </x:c>
      <x:c r="L29" s="114" t="str">
        <x:f>IF(OR(A29="",P29=""),"",HYPERLINK(P29,"เปิดใน Google Calendar"))</x:f>
      </x:c>
      <x:c r="M29" s="111"/>
      <x:c r="N29" s="123"/>
      <x:c r="O29" s="123"/>
      <x:c r="P29" s="123"/>
      <x:c r="Q29" s="126" t="b">
        <x:v>0</x:v>
      </x:c>
      <x:c r="R29" s="126" t="b">
        <x:v>0</x:v>
      </x:c>
      <x:c r="S29" s="126" t="b">
        <x:v>0</x:v>
      </x:c>
      <x:c r="T29" s="126" t="b">
        <x:v>0</x:v>
      </x:c>
      <x:c r="U29" s="144"/>
      <x:c r="V29" s="123"/>
      <x:c r="W29" s="123"/>
      <x:c r="X29" s="126" t="b">
        <x:v>0</x:v>
      </x:c>
    </x:row>
    <x:row r="30" ht="18" customHeight="1">
      <x:c r="A30" s="111"/>
      <x:c r="B30" s="111"/>
      <x:c r="C30" s="111"/>
      <x:c r="D30" s="111"/>
      <x:c r="E30" s="129"/>
      <x:c r="F30" s="138"/>
      <x:c r="G30" s="133" t="str">
        <x:f>IF(OR(A30="",E30="",F30=""),"",E30+F30-IF('ตั้งค่า'!$B$12="นับรวมวันเซ็น",1,0))</x:f>
      </x:c>
      <x:c r="H30" s="134"/>
      <x:c r="I30" s="117" t="str">
        <x:v>ยังไม่ส่ง</x:v>
      </x:c>
      <x:c r="J30" s="141" t="str">
        <x:f>IF(A30="","",IF(G30="","",IF(I30="ส่งแล้ว",0,G30-TODAY())))</x:f>
      </x:c>
      <x:c r="K30" s="114" t="str">
        <x:f>IF(A30="","",IF(G30="","ยังไม่ระบุวัน",IF(I30="ส่งแล้ว",IF(H30="","ส่งแล้ว",IF(INT(H30)&lt;INT(G30),"ส่งก่อนกำหนด "&amp;(INT(G30)-INT(H30))&amp;" วัน",IF(INT(H30)=INT(G30),"ส่งตรงกำหนด","ส่งล่าช้า "&amp;(INT(H30)-INT(G30))&amp;" วัน"))),IFS(G30&lt;TODAY(),"เกินกำหนด "&amp;(TODAY()-G30)&amp;" วัน",G30=TODAY(),"ครบกำหนดวันนี้",G30-TODAY()&lt;=3,"เร่งดำเนินการ",G30-TODAY()&lt;=5,"ต้องติดตาม",G30-TODAY()&lt;=10,"ใกล้ครบกำหนด",TRUE,"อยู่ระหว่างดำเนินการ"))))</x:f>
      </x:c>
      <x:c r="L30" s="114" t="str">
        <x:f>IF(OR(A30="",P30=""),"",HYPERLINK(P30,"เปิดใน Google Calendar"))</x:f>
      </x:c>
      <x:c r="M30" s="111"/>
      <x:c r="N30" s="123"/>
      <x:c r="O30" s="123"/>
      <x:c r="P30" s="123"/>
      <x:c r="Q30" s="126" t="b">
        <x:v>0</x:v>
      </x:c>
      <x:c r="R30" s="126" t="b">
        <x:v>0</x:v>
      </x:c>
      <x:c r="S30" s="126" t="b">
        <x:v>0</x:v>
      </x:c>
      <x:c r="T30" s="126" t="b">
        <x:v>0</x:v>
      </x:c>
      <x:c r="U30" s="144"/>
      <x:c r="V30" s="123"/>
      <x:c r="W30" s="123"/>
      <x:c r="X30" s="126" t="b">
        <x:v>0</x:v>
      </x:c>
    </x:row>
    <x:row r="31" ht="18" customHeight="1">
      <x:c r="A31" s="111"/>
      <x:c r="B31" s="111"/>
      <x:c r="C31" s="111"/>
      <x:c r="D31" s="111"/>
      <x:c r="E31" s="129"/>
      <x:c r="F31" s="138"/>
      <x:c r="G31" s="133" t="str">
        <x:f>IF(OR(A31="",E31="",F31=""),"",E31+F31-IF('ตั้งค่า'!$B$12="นับรวมวันเซ็น",1,0))</x:f>
      </x:c>
      <x:c r="H31" s="134"/>
      <x:c r="I31" s="117" t="str">
        <x:v>ยังไม่ส่ง</x:v>
      </x:c>
      <x:c r="J31" s="141" t="str">
        <x:f>IF(A31="","",IF(G31="","",IF(I31="ส่งแล้ว",0,G31-TODAY())))</x:f>
      </x:c>
      <x:c r="K31" s="114" t="str">
        <x:f>IF(A31="","",IF(G31="","ยังไม่ระบุวัน",IF(I31="ส่งแล้ว",IF(H31="","ส่งแล้ว",IF(INT(H31)&lt;INT(G31),"ส่งก่อนกำหนด "&amp;(INT(G31)-INT(H31))&amp;" วัน",IF(INT(H31)=INT(G31),"ส่งตรงกำหนด","ส่งล่าช้า "&amp;(INT(H31)-INT(G31))&amp;" วัน"))),IFS(G31&lt;TODAY(),"เกินกำหนด "&amp;(TODAY()-G31)&amp;" วัน",G31=TODAY(),"ครบกำหนดวันนี้",G31-TODAY()&lt;=3,"เร่งดำเนินการ",G31-TODAY()&lt;=5,"ต้องติดตาม",G31-TODAY()&lt;=10,"ใกล้ครบกำหนด",TRUE,"อยู่ระหว่างดำเนินการ"))))</x:f>
      </x:c>
      <x:c r="L31" s="114" t="str">
        <x:f>IF(OR(A31="",P31=""),"",HYPERLINK(P31,"เปิดใน Google Calendar"))</x:f>
      </x:c>
      <x:c r="M31" s="111"/>
      <x:c r="N31" s="123"/>
      <x:c r="O31" s="123"/>
      <x:c r="P31" s="123"/>
      <x:c r="Q31" s="126" t="b">
        <x:v>0</x:v>
      </x:c>
      <x:c r="R31" s="126" t="b">
        <x:v>0</x:v>
      </x:c>
      <x:c r="S31" s="126" t="b">
        <x:v>0</x:v>
      </x:c>
      <x:c r="T31" s="126" t="b">
        <x:v>0</x:v>
      </x:c>
      <x:c r="U31" s="144"/>
      <x:c r="V31" s="123"/>
      <x:c r="W31" s="123"/>
      <x:c r="X31" s="126" t="b">
        <x:v>0</x:v>
      </x:c>
    </x:row>
    <x:row r="32" ht="18" customHeight="1">
      <x:c r="A32" s="111"/>
      <x:c r="B32" s="111"/>
      <x:c r="C32" s="111"/>
      <x:c r="D32" s="111"/>
      <x:c r="E32" s="129"/>
      <x:c r="F32" s="138"/>
      <x:c r="G32" s="133" t="str">
        <x:f>IF(OR(A32="",E32="",F32=""),"",E32+F32-IF('ตั้งค่า'!$B$12="นับรวมวันเซ็น",1,0))</x:f>
      </x:c>
      <x:c r="H32" s="134"/>
      <x:c r="I32" s="117" t="str">
        <x:v>ยังไม่ส่ง</x:v>
      </x:c>
      <x:c r="J32" s="141" t="str">
        <x:f>IF(A32="","",IF(G32="","",IF(I32="ส่งแล้ว",0,G32-TODAY())))</x:f>
      </x:c>
      <x:c r="K32" s="114" t="str">
        <x:f>IF(A32="","",IF(G32="","ยังไม่ระบุวัน",IF(I32="ส่งแล้ว",IF(H32="","ส่งแล้ว",IF(INT(H32)&lt;INT(G32),"ส่งก่อนกำหนด "&amp;(INT(G32)-INT(H32))&amp;" วัน",IF(INT(H32)=INT(G32),"ส่งตรงกำหนด","ส่งล่าช้า "&amp;(INT(H32)-INT(G32))&amp;" วัน"))),IFS(G32&lt;TODAY(),"เกินกำหนด "&amp;(TODAY()-G32)&amp;" วัน",G32=TODAY(),"ครบกำหนดวันนี้",G32-TODAY()&lt;=3,"เร่งดำเนินการ",G32-TODAY()&lt;=5,"ต้องติดตาม",G32-TODAY()&lt;=10,"ใกล้ครบกำหนด",TRUE,"อยู่ระหว่างดำเนินการ"))))</x:f>
      </x:c>
      <x:c r="L32" s="114" t="str">
        <x:f>IF(OR(A32="",P32=""),"",HYPERLINK(P32,"เปิดใน Google Calendar"))</x:f>
      </x:c>
      <x:c r="M32" s="111"/>
      <x:c r="N32" s="123"/>
      <x:c r="O32" s="123"/>
      <x:c r="P32" s="123"/>
      <x:c r="Q32" s="126" t="b">
        <x:v>0</x:v>
      </x:c>
      <x:c r="R32" s="126" t="b">
        <x:v>0</x:v>
      </x:c>
      <x:c r="S32" s="126" t="b">
        <x:v>0</x:v>
      </x:c>
      <x:c r="T32" s="126" t="b">
        <x:v>0</x:v>
      </x:c>
      <x:c r="U32" s="144"/>
      <x:c r="V32" s="123"/>
      <x:c r="W32" s="123"/>
      <x:c r="X32" s="126" t="b">
        <x:v>0</x:v>
      </x:c>
    </x:row>
    <x:row r="33" ht="18" customHeight="1">
      <x:c r="A33" s="111"/>
      <x:c r="B33" s="111"/>
      <x:c r="C33" s="111"/>
      <x:c r="D33" s="111"/>
      <x:c r="E33" s="129"/>
      <x:c r="F33" s="138"/>
      <x:c r="G33" s="133" t="str">
        <x:f>IF(OR(A33="",E33="",F33=""),"",E33+F33-IF('ตั้งค่า'!$B$12="นับรวมวันเซ็น",1,0))</x:f>
      </x:c>
      <x:c r="H33" s="134"/>
      <x:c r="I33" s="117" t="str">
        <x:v>ยังไม่ส่ง</x:v>
      </x:c>
      <x:c r="J33" s="141" t="str">
        <x:f>IF(A33="","",IF(G33="","",IF(I33="ส่งแล้ว",0,G33-TODAY())))</x:f>
      </x:c>
      <x:c r="K33" s="114" t="str">
        <x:f>IF(A33="","",IF(G33="","ยังไม่ระบุวัน",IF(I33="ส่งแล้ว",IF(H33="","ส่งแล้ว",IF(INT(H33)&lt;INT(G33),"ส่งก่อนกำหนด "&amp;(INT(G33)-INT(H33))&amp;" วัน",IF(INT(H33)=INT(G33),"ส่งตรงกำหนด","ส่งล่าช้า "&amp;(INT(H33)-INT(G33))&amp;" วัน"))),IFS(G33&lt;TODAY(),"เกินกำหนด "&amp;(TODAY()-G33)&amp;" วัน",G33=TODAY(),"ครบกำหนดวันนี้",G33-TODAY()&lt;=3,"เร่งดำเนินการ",G33-TODAY()&lt;=5,"ต้องติดตาม",G33-TODAY()&lt;=10,"ใกล้ครบกำหนด",TRUE,"อยู่ระหว่างดำเนินการ"))))</x:f>
      </x:c>
      <x:c r="L33" s="114" t="str">
        <x:f>IF(OR(A33="",P33=""),"",HYPERLINK(P33,"เปิดใน Google Calendar"))</x:f>
      </x:c>
      <x:c r="M33" s="111"/>
      <x:c r="N33" s="123"/>
      <x:c r="O33" s="123"/>
      <x:c r="P33" s="123"/>
      <x:c r="Q33" s="126" t="b">
        <x:v>0</x:v>
      </x:c>
      <x:c r="R33" s="126" t="b">
        <x:v>0</x:v>
      </x:c>
      <x:c r="S33" s="126" t="b">
        <x:v>0</x:v>
      </x:c>
      <x:c r="T33" s="126" t="b">
        <x:v>0</x:v>
      </x:c>
      <x:c r="U33" s="144"/>
      <x:c r="V33" s="123"/>
      <x:c r="W33" s="123"/>
      <x:c r="X33" s="126" t="b">
        <x:v>0</x:v>
      </x:c>
    </x:row>
    <x:row r="34" ht="18" customHeight="1">
      <x:c r="A34" s="111"/>
      <x:c r="B34" s="111"/>
      <x:c r="C34" s="111"/>
      <x:c r="D34" s="111"/>
      <x:c r="E34" s="129"/>
      <x:c r="F34" s="138"/>
      <x:c r="G34" s="133" t="str">
        <x:f>IF(OR(A34="",E34="",F34=""),"",E34+F34-IF('ตั้งค่า'!$B$12="นับรวมวันเซ็น",1,0))</x:f>
      </x:c>
      <x:c r="H34" s="134"/>
      <x:c r="I34" s="117" t="str">
        <x:v>ยังไม่ส่ง</x:v>
      </x:c>
      <x:c r="J34" s="141" t="str">
        <x:f>IF(A34="","",IF(G34="","",IF(I34="ส่งแล้ว",0,G34-TODAY())))</x:f>
      </x:c>
      <x:c r="K34" s="114" t="str">
        <x:f>IF(A34="","",IF(G34="","ยังไม่ระบุวัน",IF(I34="ส่งแล้ว",IF(H34="","ส่งแล้ว",IF(INT(H34)&lt;INT(G34),"ส่งก่อนกำหนด "&amp;(INT(G34)-INT(H34))&amp;" วัน",IF(INT(H34)=INT(G34),"ส่งตรงกำหนด","ส่งล่าช้า "&amp;(INT(H34)-INT(G34))&amp;" วัน"))),IFS(G34&lt;TODAY(),"เกินกำหนด "&amp;(TODAY()-G34)&amp;" วัน",G34=TODAY(),"ครบกำหนดวันนี้",G34-TODAY()&lt;=3,"เร่งดำเนินการ",G34-TODAY()&lt;=5,"ต้องติดตาม",G34-TODAY()&lt;=10,"ใกล้ครบกำหนด",TRUE,"อยู่ระหว่างดำเนินการ"))))</x:f>
      </x:c>
      <x:c r="L34" s="114" t="str">
        <x:f>IF(OR(A34="",P34=""),"",HYPERLINK(P34,"เปิดใน Google Calendar"))</x:f>
      </x:c>
      <x:c r="M34" s="111"/>
      <x:c r="N34" s="123"/>
      <x:c r="O34" s="123"/>
      <x:c r="P34" s="123"/>
      <x:c r="Q34" s="126" t="b">
        <x:v>0</x:v>
      </x:c>
      <x:c r="R34" s="126" t="b">
        <x:v>0</x:v>
      </x:c>
      <x:c r="S34" s="126" t="b">
        <x:v>0</x:v>
      </x:c>
      <x:c r="T34" s="126" t="b">
        <x:v>0</x:v>
      </x:c>
      <x:c r="U34" s="144"/>
      <x:c r="V34" s="123"/>
      <x:c r="W34" s="123"/>
      <x:c r="X34" s="126" t="b">
        <x:v>0</x:v>
      </x:c>
    </x:row>
    <x:row r="35" ht="18" customHeight="1">
      <x:c r="A35" s="111"/>
      <x:c r="B35" s="111"/>
      <x:c r="C35" s="111"/>
      <x:c r="D35" s="111"/>
      <x:c r="E35" s="129"/>
      <x:c r="F35" s="138"/>
      <x:c r="G35" s="133" t="str">
        <x:f>IF(OR(A35="",E35="",F35=""),"",E35+F35-IF('ตั้งค่า'!$B$12="นับรวมวันเซ็น",1,0))</x:f>
      </x:c>
      <x:c r="H35" s="134"/>
      <x:c r="I35" s="117" t="str">
        <x:v>ยังไม่ส่ง</x:v>
      </x:c>
      <x:c r="J35" s="141" t="str">
        <x:f>IF(A35="","",IF(G35="","",IF(I35="ส่งแล้ว",0,G35-TODAY())))</x:f>
      </x:c>
      <x:c r="K35" s="114" t="str">
        <x:f>IF(A35="","",IF(G35="","ยังไม่ระบุวัน",IF(I35="ส่งแล้ว",IF(H35="","ส่งแล้ว",IF(INT(H35)&lt;INT(G35),"ส่งก่อนกำหนด "&amp;(INT(G35)-INT(H35))&amp;" วัน",IF(INT(H35)=INT(G35),"ส่งตรงกำหนด","ส่งล่าช้า "&amp;(INT(H35)-INT(G35))&amp;" วัน"))),IFS(G35&lt;TODAY(),"เกินกำหนด "&amp;(TODAY()-G35)&amp;" วัน",G35=TODAY(),"ครบกำหนดวันนี้",G35-TODAY()&lt;=3,"เร่งดำเนินการ",G35-TODAY()&lt;=5,"ต้องติดตาม",G35-TODAY()&lt;=10,"ใกล้ครบกำหนด",TRUE,"อยู่ระหว่างดำเนินการ"))))</x:f>
      </x:c>
      <x:c r="L35" s="114" t="str">
        <x:f>IF(OR(A35="",P35=""),"",HYPERLINK(P35,"เปิดใน Google Calendar"))</x:f>
      </x:c>
      <x:c r="M35" s="111"/>
      <x:c r="N35" s="123"/>
      <x:c r="O35" s="123"/>
      <x:c r="P35" s="123"/>
      <x:c r="Q35" s="126" t="b">
        <x:v>0</x:v>
      </x:c>
      <x:c r="R35" s="126" t="b">
        <x:v>0</x:v>
      </x:c>
      <x:c r="S35" s="126" t="b">
        <x:v>0</x:v>
      </x:c>
      <x:c r="T35" s="126" t="b">
        <x:v>0</x:v>
      </x:c>
      <x:c r="U35" s="144"/>
      <x:c r="V35" s="123"/>
      <x:c r="W35" s="123"/>
      <x:c r="X35" s="126" t="b">
        <x:v>0</x:v>
      </x:c>
    </x:row>
    <x:row r="36" ht="18" customHeight="1">
      <x:c r="A36" s="111"/>
      <x:c r="B36" s="111"/>
      <x:c r="C36" s="111"/>
      <x:c r="D36" s="111"/>
      <x:c r="E36" s="129"/>
      <x:c r="F36" s="138"/>
      <x:c r="G36" s="133" t="str">
        <x:f>IF(OR(A36="",E36="",F36=""),"",E36+F36-IF('ตั้งค่า'!$B$12="นับรวมวันเซ็น",1,0))</x:f>
      </x:c>
      <x:c r="H36" s="134"/>
      <x:c r="I36" s="117" t="str">
        <x:v>ยังไม่ส่ง</x:v>
      </x:c>
      <x:c r="J36" s="141" t="str">
        <x:f>IF(A36="","",IF(G36="","",IF(I36="ส่งแล้ว",0,G36-TODAY())))</x:f>
      </x:c>
      <x:c r="K36" s="114" t="str">
        <x:f>IF(A36="","",IF(G36="","ยังไม่ระบุวัน",IF(I36="ส่งแล้ว",IF(H36="","ส่งแล้ว",IF(INT(H36)&lt;INT(G36),"ส่งก่อนกำหนด "&amp;(INT(G36)-INT(H36))&amp;" วัน",IF(INT(H36)=INT(G36),"ส่งตรงกำหนด","ส่งล่าช้า "&amp;(INT(H36)-INT(G36))&amp;" วัน"))),IFS(G36&lt;TODAY(),"เกินกำหนด "&amp;(TODAY()-G36)&amp;" วัน",G36=TODAY(),"ครบกำหนดวันนี้",G36-TODAY()&lt;=3,"เร่งดำเนินการ",G36-TODAY()&lt;=5,"ต้องติดตาม",G36-TODAY()&lt;=10,"ใกล้ครบกำหนด",TRUE,"อยู่ระหว่างดำเนินการ"))))</x:f>
      </x:c>
      <x:c r="L36" s="114" t="str">
        <x:f>IF(OR(A36="",P36=""),"",HYPERLINK(P36,"เปิดใน Google Calendar"))</x:f>
      </x:c>
      <x:c r="M36" s="111"/>
      <x:c r="N36" s="123"/>
      <x:c r="O36" s="123"/>
      <x:c r="P36" s="123"/>
      <x:c r="Q36" s="126" t="b">
        <x:v>0</x:v>
      </x:c>
      <x:c r="R36" s="126" t="b">
        <x:v>0</x:v>
      </x:c>
      <x:c r="S36" s="126" t="b">
        <x:v>0</x:v>
      </x:c>
      <x:c r="T36" s="126" t="b">
        <x:v>0</x:v>
      </x:c>
      <x:c r="U36" s="144"/>
      <x:c r="V36" s="123"/>
      <x:c r="W36" s="123"/>
      <x:c r="X36" s="126" t="b">
        <x:v>0</x:v>
      </x:c>
    </x:row>
    <x:row r="37" ht="18" customHeight="1">
      <x:c r="A37" s="111"/>
      <x:c r="B37" s="111"/>
      <x:c r="C37" s="111"/>
      <x:c r="D37" s="111"/>
      <x:c r="E37" s="129"/>
      <x:c r="F37" s="138"/>
      <x:c r="G37" s="133" t="str">
        <x:f>IF(OR(A37="",E37="",F37=""),"",E37+F37-IF('ตั้งค่า'!$B$12="นับรวมวันเซ็น",1,0))</x:f>
      </x:c>
      <x:c r="H37" s="134"/>
      <x:c r="I37" s="117" t="str">
        <x:v>ยังไม่ส่ง</x:v>
      </x:c>
      <x:c r="J37" s="141" t="str">
        <x:f>IF(A37="","",IF(G37="","",IF(I37="ส่งแล้ว",0,G37-TODAY())))</x:f>
      </x:c>
      <x:c r="K37" s="114" t="str">
        <x:f>IF(A37="","",IF(G37="","ยังไม่ระบุวัน",IF(I37="ส่งแล้ว",IF(H37="","ส่งแล้ว",IF(INT(H37)&lt;INT(G37),"ส่งก่อนกำหนด "&amp;(INT(G37)-INT(H37))&amp;" วัน",IF(INT(H37)=INT(G37),"ส่งตรงกำหนด","ส่งล่าช้า "&amp;(INT(H37)-INT(G37))&amp;" วัน"))),IFS(G37&lt;TODAY(),"เกินกำหนด "&amp;(TODAY()-G37)&amp;" วัน",G37=TODAY(),"ครบกำหนดวันนี้",G37-TODAY()&lt;=3,"เร่งดำเนินการ",G37-TODAY()&lt;=5,"ต้องติดตาม",G37-TODAY()&lt;=10,"ใกล้ครบกำหนด",TRUE,"อยู่ระหว่างดำเนินการ"))))</x:f>
      </x:c>
      <x:c r="L37" s="114" t="str">
        <x:f>IF(OR(A37="",P37=""),"",HYPERLINK(P37,"เปิดใน Google Calendar"))</x:f>
      </x:c>
      <x:c r="M37" s="111"/>
      <x:c r="N37" s="123"/>
      <x:c r="O37" s="123"/>
      <x:c r="P37" s="123"/>
      <x:c r="Q37" s="126" t="b">
        <x:v>0</x:v>
      </x:c>
      <x:c r="R37" s="126" t="b">
        <x:v>0</x:v>
      </x:c>
      <x:c r="S37" s="126" t="b">
        <x:v>0</x:v>
      </x:c>
      <x:c r="T37" s="126" t="b">
        <x:v>0</x:v>
      </x:c>
      <x:c r="U37" s="144"/>
      <x:c r="V37" s="123"/>
      <x:c r="W37" s="123"/>
      <x:c r="X37" s="126" t="b">
        <x:v>0</x:v>
      </x:c>
    </x:row>
    <x:row r="38" ht="18" customHeight="1">
      <x:c r="A38" s="111"/>
      <x:c r="B38" s="111"/>
      <x:c r="C38" s="111"/>
      <x:c r="D38" s="111"/>
      <x:c r="E38" s="129"/>
      <x:c r="F38" s="138"/>
      <x:c r="G38" s="133" t="str">
        <x:f>IF(OR(A38="",E38="",F38=""),"",E38+F38-IF('ตั้งค่า'!$B$12="นับรวมวันเซ็น",1,0))</x:f>
      </x:c>
      <x:c r="H38" s="134"/>
      <x:c r="I38" s="117" t="str">
        <x:v>ยังไม่ส่ง</x:v>
      </x:c>
      <x:c r="J38" s="141" t="str">
        <x:f>IF(A38="","",IF(G38="","",IF(I38="ส่งแล้ว",0,G38-TODAY())))</x:f>
      </x:c>
      <x:c r="K38" s="114" t="str">
        <x:f>IF(A38="","",IF(G38="","ยังไม่ระบุวัน",IF(I38="ส่งแล้ว",IF(H38="","ส่งแล้ว",IF(INT(H38)&lt;INT(G38),"ส่งก่อนกำหนด "&amp;(INT(G38)-INT(H38))&amp;" วัน",IF(INT(H38)=INT(G38),"ส่งตรงกำหนด","ส่งล่าช้า "&amp;(INT(H38)-INT(G38))&amp;" วัน"))),IFS(G38&lt;TODAY(),"เกินกำหนด "&amp;(TODAY()-G38)&amp;" วัน",G38=TODAY(),"ครบกำหนดวันนี้",G38-TODAY()&lt;=3,"เร่งดำเนินการ",G38-TODAY()&lt;=5,"ต้องติดตาม",G38-TODAY()&lt;=10,"ใกล้ครบกำหนด",TRUE,"อยู่ระหว่างดำเนินการ"))))</x:f>
      </x:c>
      <x:c r="L38" s="114" t="str">
        <x:f>IF(OR(A38="",P38=""),"",HYPERLINK(P38,"เปิดใน Google Calendar"))</x:f>
      </x:c>
      <x:c r="M38" s="111"/>
      <x:c r="N38" s="123"/>
      <x:c r="O38" s="123"/>
      <x:c r="P38" s="123"/>
      <x:c r="Q38" s="126" t="b">
        <x:v>0</x:v>
      </x:c>
      <x:c r="R38" s="126" t="b">
        <x:v>0</x:v>
      </x:c>
      <x:c r="S38" s="126" t="b">
        <x:v>0</x:v>
      </x:c>
      <x:c r="T38" s="126" t="b">
        <x:v>0</x:v>
      </x:c>
      <x:c r="U38" s="144"/>
      <x:c r="V38" s="123"/>
      <x:c r="W38" s="123"/>
      <x:c r="X38" s="126" t="b">
        <x:v>0</x:v>
      </x:c>
    </x:row>
    <x:row r="39" ht="18" customHeight="1">
      <x:c r="A39" s="111"/>
      <x:c r="B39" s="111"/>
      <x:c r="C39" s="111"/>
      <x:c r="D39" s="111"/>
      <x:c r="E39" s="129"/>
      <x:c r="F39" s="138"/>
      <x:c r="G39" s="133" t="str">
        <x:f>IF(OR(A39="",E39="",F39=""),"",E39+F39-IF('ตั้งค่า'!$B$12="นับรวมวันเซ็น",1,0))</x:f>
      </x:c>
      <x:c r="H39" s="134"/>
      <x:c r="I39" s="117" t="str">
        <x:v>ยังไม่ส่ง</x:v>
      </x:c>
      <x:c r="J39" s="141" t="str">
        <x:f>IF(A39="","",IF(G39="","",IF(I39="ส่งแล้ว",0,G39-TODAY())))</x:f>
      </x:c>
      <x:c r="K39" s="114" t="str">
        <x:f>IF(A39="","",IF(G39="","ยังไม่ระบุวัน",IF(I39="ส่งแล้ว",IF(H39="","ส่งแล้ว",IF(INT(H39)&lt;INT(G39),"ส่งก่อนกำหนด "&amp;(INT(G39)-INT(H39))&amp;" วัน",IF(INT(H39)=INT(G39),"ส่งตรงกำหนด","ส่งล่าช้า "&amp;(INT(H39)-INT(G39))&amp;" วัน"))),IFS(G39&lt;TODAY(),"เกินกำหนด "&amp;(TODAY()-G39)&amp;" วัน",G39=TODAY(),"ครบกำหนดวันนี้",G39-TODAY()&lt;=3,"เร่งดำเนินการ",G39-TODAY()&lt;=5,"ต้องติดตาม",G39-TODAY()&lt;=10,"ใกล้ครบกำหนด",TRUE,"อยู่ระหว่างดำเนินการ"))))</x:f>
      </x:c>
      <x:c r="L39" s="114" t="str">
        <x:f>IF(OR(A39="",P39=""),"",HYPERLINK(P39,"เปิดใน Google Calendar"))</x:f>
      </x:c>
      <x:c r="M39" s="111"/>
      <x:c r="N39" s="123"/>
      <x:c r="O39" s="123"/>
      <x:c r="P39" s="123"/>
      <x:c r="Q39" s="126" t="b">
        <x:v>0</x:v>
      </x:c>
      <x:c r="R39" s="126" t="b">
        <x:v>0</x:v>
      </x:c>
      <x:c r="S39" s="126" t="b">
        <x:v>0</x:v>
      </x:c>
      <x:c r="T39" s="126" t="b">
        <x:v>0</x:v>
      </x:c>
      <x:c r="U39" s="144"/>
      <x:c r="V39" s="123"/>
      <x:c r="W39" s="123"/>
      <x:c r="X39" s="126" t="b">
        <x:v>0</x:v>
      </x:c>
    </x:row>
    <x:row r="40" ht="18" customHeight="1">
      <x:c r="A40" s="111"/>
      <x:c r="B40" s="111"/>
      <x:c r="C40" s="111"/>
      <x:c r="D40" s="111"/>
      <x:c r="E40" s="129"/>
      <x:c r="F40" s="138"/>
      <x:c r="G40" s="133" t="str">
        <x:f>IF(OR(A40="",E40="",F40=""),"",E40+F40-IF('ตั้งค่า'!$B$12="นับรวมวันเซ็น",1,0))</x:f>
      </x:c>
      <x:c r="H40" s="134"/>
      <x:c r="I40" s="117" t="str">
        <x:v>ยังไม่ส่ง</x:v>
      </x:c>
      <x:c r="J40" s="141" t="str">
        <x:f>IF(A40="","",IF(G40="","",IF(I40="ส่งแล้ว",0,G40-TODAY())))</x:f>
      </x:c>
      <x:c r="K40" s="114" t="str">
        <x:f>IF(A40="","",IF(G40="","ยังไม่ระบุวัน",IF(I40="ส่งแล้ว",IF(H40="","ส่งแล้ว",IF(INT(H40)&lt;INT(G40),"ส่งก่อนกำหนด "&amp;(INT(G40)-INT(H40))&amp;" วัน",IF(INT(H40)=INT(G40),"ส่งตรงกำหนด","ส่งล่าช้า "&amp;(INT(H40)-INT(G40))&amp;" วัน"))),IFS(G40&lt;TODAY(),"เกินกำหนด "&amp;(TODAY()-G40)&amp;" วัน",G40=TODAY(),"ครบกำหนดวันนี้",G40-TODAY()&lt;=3,"เร่งดำเนินการ",G40-TODAY()&lt;=5,"ต้องติดตาม",G40-TODAY()&lt;=10,"ใกล้ครบกำหนด",TRUE,"อยู่ระหว่างดำเนินการ"))))</x:f>
      </x:c>
      <x:c r="L40" s="114" t="str">
        <x:f>IF(OR(A40="",P40=""),"",HYPERLINK(P40,"เปิดใน Google Calendar"))</x:f>
      </x:c>
      <x:c r="M40" s="111"/>
      <x:c r="N40" s="123"/>
      <x:c r="O40" s="123"/>
      <x:c r="P40" s="123"/>
      <x:c r="Q40" s="126" t="b">
        <x:v>0</x:v>
      </x:c>
      <x:c r="R40" s="126" t="b">
        <x:v>0</x:v>
      </x:c>
      <x:c r="S40" s="126" t="b">
        <x:v>0</x:v>
      </x:c>
      <x:c r="T40" s="126" t="b">
        <x:v>0</x:v>
      </x:c>
      <x:c r="U40" s="144"/>
      <x:c r="V40" s="123"/>
      <x:c r="W40" s="123"/>
      <x:c r="X40" s="126" t="b">
        <x:v>0</x:v>
      </x:c>
    </x:row>
    <x:row r="41" ht="18" customHeight="1">
      <x:c r="A41" s="111"/>
      <x:c r="B41" s="111"/>
      <x:c r="C41" s="111"/>
      <x:c r="D41" s="111"/>
      <x:c r="E41" s="129"/>
      <x:c r="F41" s="138"/>
      <x:c r="G41" s="133" t="str">
        <x:f>IF(OR(A41="",E41="",F41=""),"",E41+F41-IF('ตั้งค่า'!$B$12="นับรวมวันเซ็น",1,0))</x:f>
      </x:c>
      <x:c r="H41" s="134"/>
      <x:c r="I41" s="117" t="str">
        <x:v>ยังไม่ส่ง</x:v>
      </x:c>
      <x:c r="J41" s="141" t="str">
        <x:f>IF(A41="","",IF(G41="","",IF(I41="ส่งแล้ว",0,G41-TODAY())))</x:f>
      </x:c>
      <x:c r="K41" s="114" t="str">
        <x:f>IF(A41="","",IF(G41="","ยังไม่ระบุวัน",IF(I41="ส่งแล้ว",IF(H41="","ส่งแล้ว",IF(INT(H41)&lt;INT(G41),"ส่งก่อนกำหนด "&amp;(INT(G41)-INT(H41))&amp;" วัน",IF(INT(H41)=INT(G41),"ส่งตรงกำหนด","ส่งล่าช้า "&amp;(INT(H41)-INT(G41))&amp;" วัน"))),IFS(G41&lt;TODAY(),"เกินกำหนด "&amp;(TODAY()-G41)&amp;" วัน",G41=TODAY(),"ครบกำหนดวันนี้",G41-TODAY()&lt;=3,"เร่งดำเนินการ",G41-TODAY()&lt;=5,"ต้องติดตาม",G41-TODAY()&lt;=10,"ใกล้ครบกำหนด",TRUE,"อยู่ระหว่างดำเนินการ"))))</x:f>
      </x:c>
      <x:c r="L41" s="114" t="str">
        <x:f>IF(OR(A41="",P41=""),"",HYPERLINK(P41,"เปิดใน Google Calendar"))</x:f>
      </x:c>
      <x:c r="M41" s="111"/>
      <x:c r="N41" s="123"/>
      <x:c r="O41" s="123"/>
      <x:c r="P41" s="123"/>
      <x:c r="Q41" s="126" t="b">
        <x:v>0</x:v>
      </x:c>
      <x:c r="R41" s="126" t="b">
        <x:v>0</x:v>
      </x:c>
      <x:c r="S41" s="126" t="b">
        <x:v>0</x:v>
      </x:c>
      <x:c r="T41" s="126" t="b">
        <x:v>0</x:v>
      </x:c>
      <x:c r="U41" s="144"/>
      <x:c r="V41" s="123"/>
      <x:c r="W41" s="123"/>
      <x:c r="X41" s="126" t="b">
        <x:v>0</x:v>
      </x:c>
    </x:row>
    <x:row r="42" ht="18" customHeight="1">
      <x:c r="A42" s="111"/>
      <x:c r="B42" s="111"/>
      <x:c r="C42" s="111"/>
      <x:c r="D42" s="111"/>
      <x:c r="E42" s="129"/>
      <x:c r="F42" s="138"/>
      <x:c r="G42" s="133" t="str">
        <x:f>IF(OR(A42="",E42="",F42=""),"",E42+F42-IF('ตั้งค่า'!$B$12="นับรวมวันเซ็น",1,0))</x:f>
      </x:c>
      <x:c r="H42" s="134"/>
      <x:c r="I42" s="117" t="str">
        <x:v>ยังไม่ส่ง</x:v>
      </x:c>
      <x:c r="J42" s="141" t="str">
        <x:f>IF(A42="","",IF(G42="","",IF(I42="ส่งแล้ว",0,G42-TODAY())))</x:f>
      </x:c>
      <x:c r="K42" s="114" t="str">
        <x:f>IF(A42="","",IF(G42="","ยังไม่ระบุวัน",IF(I42="ส่งแล้ว",IF(H42="","ส่งแล้ว",IF(INT(H42)&lt;INT(G42),"ส่งก่อนกำหนด "&amp;(INT(G42)-INT(H42))&amp;" วัน",IF(INT(H42)=INT(G42),"ส่งตรงกำหนด","ส่งล่าช้า "&amp;(INT(H42)-INT(G42))&amp;" วัน"))),IFS(G42&lt;TODAY(),"เกินกำหนด "&amp;(TODAY()-G42)&amp;" วัน",G42=TODAY(),"ครบกำหนดวันนี้",G42-TODAY()&lt;=3,"เร่งดำเนินการ",G42-TODAY()&lt;=5,"ต้องติดตาม",G42-TODAY()&lt;=10,"ใกล้ครบกำหนด",TRUE,"อยู่ระหว่างดำเนินการ"))))</x:f>
      </x:c>
      <x:c r="L42" s="114" t="str">
        <x:f>IF(OR(A42="",P42=""),"",HYPERLINK(P42,"เปิดใน Google Calendar"))</x:f>
      </x:c>
      <x:c r="M42" s="111"/>
      <x:c r="N42" s="123"/>
      <x:c r="O42" s="123"/>
      <x:c r="P42" s="123"/>
      <x:c r="Q42" s="126" t="b">
        <x:v>0</x:v>
      </x:c>
      <x:c r="R42" s="126" t="b">
        <x:v>0</x:v>
      </x:c>
      <x:c r="S42" s="126" t="b">
        <x:v>0</x:v>
      </x:c>
      <x:c r="T42" s="126" t="b">
        <x:v>0</x:v>
      </x:c>
      <x:c r="U42" s="144"/>
      <x:c r="V42" s="123"/>
      <x:c r="W42" s="123"/>
      <x:c r="X42" s="126" t="b">
        <x:v>0</x:v>
      </x:c>
    </x:row>
    <x:row r="43" ht="18" customHeight="1">
      <x:c r="A43" s="111"/>
      <x:c r="B43" s="111"/>
      <x:c r="C43" s="111"/>
      <x:c r="D43" s="111"/>
      <x:c r="E43" s="129"/>
      <x:c r="F43" s="138"/>
      <x:c r="G43" s="133" t="str">
        <x:f>IF(OR(A43="",E43="",F43=""),"",E43+F43-IF('ตั้งค่า'!$B$12="นับรวมวันเซ็น",1,0))</x:f>
      </x:c>
      <x:c r="H43" s="134"/>
      <x:c r="I43" s="117" t="str">
        <x:v>ยังไม่ส่ง</x:v>
      </x:c>
      <x:c r="J43" s="141" t="str">
        <x:f>IF(A43="","",IF(G43="","",IF(I43="ส่งแล้ว",0,G43-TODAY())))</x:f>
      </x:c>
      <x:c r="K43" s="114" t="str">
        <x:f>IF(A43="","",IF(G43="","ยังไม่ระบุวัน",IF(I43="ส่งแล้ว",IF(H43="","ส่งแล้ว",IF(INT(H43)&lt;INT(G43),"ส่งก่อนกำหนด "&amp;(INT(G43)-INT(H43))&amp;" วัน",IF(INT(H43)=INT(G43),"ส่งตรงกำหนด","ส่งล่าช้า "&amp;(INT(H43)-INT(G43))&amp;" วัน"))),IFS(G43&lt;TODAY(),"เกินกำหนด "&amp;(TODAY()-G43)&amp;" วัน",G43=TODAY(),"ครบกำหนดวันนี้",G43-TODAY()&lt;=3,"เร่งดำเนินการ",G43-TODAY()&lt;=5,"ต้องติดตาม",G43-TODAY()&lt;=10,"ใกล้ครบกำหนด",TRUE,"อยู่ระหว่างดำเนินการ"))))</x:f>
      </x:c>
      <x:c r="L43" s="114" t="str">
        <x:f>IF(OR(A43="",P43=""),"",HYPERLINK(P43,"เปิดใน Google Calendar"))</x:f>
      </x:c>
      <x:c r="M43" s="111"/>
      <x:c r="N43" s="123"/>
      <x:c r="O43" s="123"/>
      <x:c r="P43" s="123"/>
      <x:c r="Q43" s="126" t="b">
        <x:v>0</x:v>
      </x:c>
      <x:c r="R43" s="126" t="b">
        <x:v>0</x:v>
      </x:c>
      <x:c r="S43" s="126" t="b">
        <x:v>0</x:v>
      </x:c>
      <x:c r="T43" s="126" t="b">
        <x:v>0</x:v>
      </x:c>
      <x:c r="U43" s="144"/>
      <x:c r="V43" s="123"/>
      <x:c r="W43" s="123"/>
      <x:c r="X43" s="126" t="b">
        <x:v>0</x:v>
      </x:c>
    </x:row>
    <x:row r="44" ht="18" customHeight="1">
      <x:c r="A44" s="111"/>
      <x:c r="B44" s="111"/>
      <x:c r="C44" s="111"/>
      <x:c r="D44" s="111"/>
      <x:c r="E44" s="129"/>
      <x:c r="F44" s="138"/>
      <x:c r="G44" s="133" t="str">
        <x:f>IF(OR(A44="",E44="",F44=""),"",E44+F44-IF('ตั้งค่า'!$B$12="นับรวมวันเซ็น",1,0))</x:f>
      </x:c>
      <x:c r="H44" s="134"/>
      <x:c r="I44" s="117" t="str">
        <x:v>ยังไม่ส่ง</x:v>
      </x:c>
      <x:c r="J44" s="141" t="str">
        <x:f>IF(A44="","",IF(G44="","",IF(I44="ส่งแล้ว",0,G44-TODAY())))</x:f>
      </x:c>
      <x:c r="K44" s="114" t="str">
        <x:f>IF(A44="","",IF(G44="","ยังไม่ระบุวัน",IF(I44="ส่งแล้ว",IF(H44="","ส่งแล้ว",IF(INT(H44)&lt;INT(G44),"ส่งก่อนกำหนด "&amp;(INT(G44)-INT(H44))&amp;" วัน",IF(INT(H44)=INT(G44),"ส่งตรงกำหนด","ส่งล่าช้า "&amp;(INT(H44)-INT(G44))&amp;" วัน"))),IFS(G44&lt;TODAY(),"เกินกำหนด "&amp;(TODAY()-G44)&amp;" วัน",G44=TODAY(),"ครบกำหนดวันนี้",G44-TODAY()&lt;=3,"เร่งดำเนินการ",G44-TODAY()&lt;=5,"ต้องติดตาม",G44-TODAY()&lt;=10,"ใกล้ครบกำหนด",TRUE,"อยู่ระหว่างดำเนินการ"))))</x:f>
      </x:c>
      <x:c r="L44" s="114" t="str">
        <x:f>IF(OR(A44="",P44=""),"",HYPERLINK(P44,"เปิดใน Google Calendar"))</x:f>
      </x:c>
      <x:c r="M44" s="111"/>
      <x:c r="N44" s="123"/>
      <x:c r="O44" s="123"/>
      <x:c r="P44" s="123"/>
      <x:c r="Q44" s="126" t="b">
        <x:v>0</x:v>
      </x:c>
      <x:c r="R44" s="126" t="b">
        <x:v>0</x:v>
      </x:c>
      <x:c r="S44" s="126" t="b">
        <x:v>0</x:v>
      </x:c>
      <x:c r="T44" s="126" t="b">
        <x:v>0</x:v>
      </x:c>
      <x:c r="U44" s="144"/>
      <x:c r="V44" s="123"/>
      <x:c r="W44" s="123"/>
      <x:c r="X44" s="126" t="b">
        <x:v>0</x:v>
      </x:c>
    </x:row>
    <x:row r="45" ht="18" customHeight="1">
      <x:c r="A45" s="111"/>
      <x:c r="B45" s="111"/>
      <x:c r="C45" s="111"/>
      <x:c r="D45" s="111"/>
      <x:c r="E45" s="129"/>
      <x:c r="F45" s="138"/>
      <x:c r="G45" s="133" t="str">
        <x:f>IF(OR(A45="",E45="",F45=""),"",E45+F45-IF('ตั้งค่า'!$B$12="นับรวมวันเซ็น",1,0))</x:f>
      </x:c>
      <x:c r="H45" s="134"/>
      <x:c r="I45" s="117" t="str">
        <x:v>ยังไม่ส่ง</x:v>
      </x:c>
      <x:c r="J45" s="141" t="str">
        <x:f>IF(A45="","",IF(G45="","",IF(I45="ส่งแล้ว",0,G45-TODAY())))</x:f>
      </x:c>
      <x:c r="K45" s="114" t="str">
        <x:f>IF(A45="","",IF(G45="","ยังไม่ระบุวัน",IF(I45="ส่งแล้ว",IF(H45="","ส่งแล้ว",IF(INT(H45)&lt;INT(G45),"ส่งก่อนกำหนด "&amp;(INT(G45)-INT(H45))&amp;" วัน",IF(INT(H45)=INT(G45),"ส่งตรงกำหนด","ส่งล่าช้า "&amp;(INT(H45)-INT(G45))&amp;" วัน"))),IFS(G45&lt;TODAY(),"เกินกำหนด "&amp;(TODAY()-G45)&amp;" วัน",G45=TODAY(),"ครบกำหนดวันนี้",G45-TODAY()&lt;=3,"เร่งดำเนินการ",G45-TODAY()&lt;=5,"ต้องติดตาม",G45-TODAY()&lt;=10,"ใกล้ครบกำหนด",TRUE,"อยู่ระหว่างดำเนินการ"))))</x:f>
      </x:c>
      <x:c r="L45" s="114" t="str">
        <x:f>IF(OR(A45="",P45=""),"",HYPERLINK(P45,"เปิดใน Google Calendar"))</x:f>
      </x:c>
      <x:c r="M45" s="111"/>
      <x:c r="N45" s="123"/>
      <x:c r="O45" s="123"/>
      <x:c r="P45" s="123"/>
      <x:c r="Q45" s="126" t="b">
        <x:v>0</x:v>
      </x:c>
      <x:c r="R45" s="126" t="b">
        <x:v>0</x:v>
      </x:c>
      <x:c r="S45" s="126" t="b">
        <x:v>0</x:v>
      </x:c>
      <x:c r="T45" s="126" t="b">
        <x:v>0</x:v>
      </x:c>
      <x:c r="U45" s="144"/>
      <x:c r="V45" s="123"/>
      <x:c r="W45" s="123"/>
      <x:c r="X45" s="126" t="b">
        <x:v>0</x:v>
      </x:c>
    </x:row>
    <x:row r="46" ht="18" customHeight="1">
      <x:c r="A46" s="111"/>
      <x:c r="B46" s="111"/>
      <x:c r="C46" s="111"/>
      <x:c r="D46" s="111"/>
      <x:c r="E46" s="129"/>
      <x:c r="F46" s="138"/>
      <x:c r="G46" s="133" t="str">
        <x:f>IF(OR(A46="",E46="",F46=""),"",E46+F46-IF('ตั้งค่า'!$B$12="นับรวมวันเซ็น",1,0))</x:f>
      </x:c>
      <x:c r="H46" s="134"/>
      <x:c r="I46" s="117" t="str">
        <x:v>ยังไม่ส่ง</x:v>
      </x:c>
      <x:c r="J46" s="141" t="str">
        <x:f>IF(A46="","",IF(G46="","",IF(I46="ส่งแล้ว",0,G46-TODAY())))</x:f>
      </x:c>
      <x:c r="K46" s="114" t="str">
        <x:f>IF(A46="","",IF(G46="","ยังไม่ระบุวัน",IF(I46="ส่งแล้ว",IF(H46="","ส่งแล้ว",IF(INT(H46)&lt;INT(G46),"ส่งก่อนกำหนด "&amp;(INT(G46)-INT(H46))&amp;" วัน",IF(INT(H46)=INT(G46),"ส่งตรงกำหนด","ส่งล่าช้า "&amp;(INT(H46)-INT(G46))&amp;" วัน"))),IFS(G46&lt;TODAY(),"เกินกำหนด "&amp;(TODAY()-G46)&amp;" วัน",G46=TODAY(),"ครบกำหนดวันนี้",G46-TODAY()&lt;=3,"เร่งดำเนินการ",G46-TODAY()&lt;=5,"ต้องติดตาม",G46-TODAY()&lt;=10,"ใกล้ครบกำหนด",TRUE,"อยู่ระหว่างดำเนินการ"))))</x:f>
      </x:c>
      <x:c r="L46" s="114" t="str">
        <x:f>IF(OR(A46="",P46=""),"",HYPERLINK(P46,"เปิดใน Google Calendar"))</x:f>
      </x:c>
      <x:c r="M46" s="111"/>
      <x:c r="N46" s="123"/>
      <x:c r="O46" s="123"/>
      <x:c r="P46" s="123"/>
      <x:c r="Q46" s="126" t="b">
        <x:v>0</x:v>
      </x:c>
      <x:c r="R46" s="126" t="b">
        <x:v>0</x:v>
      </x:c>
      <x:c r="S46" s="126" t="b">
        <x:v>0</x:v>
      </x:c>
      <x:c r="T46" s="126" t="b">
        <x:v>0</x:v>
      </x:c>
      <x:c r="U46" s="144"/>
      <x:c r="V46" s="123"/>
      <x:c r="W46" s="123"/>
      <x:c r="X46" s="126" t="b">
        <x:v>0</x:v>
      </x:c>
    </x:row>
    <x:row r="47" ht="18" customHeight="1">
      <x:c r="A47" s="111"/>
      <x:c r="B47" s="111"/>
      <x:c r="C47" s="111"/>
      <x:c r="D47" s="111"/>
      <x:c r="E47" s="129"/>
      <x:c r="F47" s="138"/>
      <x:c r="G47" s="133" t="str">
        <x:f>IF(OR(A47="",E47="",F47=""),"",E47+F47-IF('ตั้งค่า'!$B$12="นับรวมวันเซ็น",1,0))</x:f>
      </x:c>
      <x:c r="H47" s="134"/>
      <x:c r="I47" s="117" t="str">
        <x:v>ยังไม่ส่ง</x:v>
      </x:c>
      <x:c r="J47" s="141" t="str">
        <x:f>IF(A47="","",IF(G47="","",IF(I47="ส่งแล้ว",0,G47-TODAY())))</x:f>
      </x:c>
      <x:c r="K47" s="114" t="str">
        <x:f>IF(A47="","",IF(G47="","ยังไม่ระบุวัน",IF(I47="ส่งแล้ว",IF(H47="","ส่งแล้ว",IF(INT(H47)&lt;INT(G47),"ส่งก่อนกำหนด "&amp;(INT(G47)-INT(H47))&amp;" วัน",IF(INT(H47)=INT(G47),"ส่งตรงกำหนด","ส่งล่าช้า "&amp;(INT(H47)-INT(G47))&amp;" วัน"))),IFS(G47&lt;TODAY(),"เกินกำหนด "&amp;(TODAY()-G47)&amp;" วัน",G47=TODAY(),"ครบกำหนดวันนี้",G47-TODAY()&lt;=3,"เร่งดำเนินการ",G47-TODAY()&lt;=5,"ต้องติดตาม",G47-TODAY()&lt;=10,"ใกล้ครบกำหนด",TRUE,"อยู่ระหว่างดำเนินการ"))))</x:f>
      </x:c>
      <x:c r="L47" s="114" t="str">
        <x:f>IF(OR(A47="",P47=""),"",HYPERLINK(P47,"เปิดใน Google Calendar"))</x:f>
      </x:c>
      <x:c r="M47" s="111"/>
      <x:c r="N47" s="123"/>
      <x:c r="O47" s="123"/>
      <x:c r="P47" s="123"/>
      <x:c r="Q47" s="126" t="b">
        <x:v>0</x:v>
      </x:c>
      <x:c r="R47" s="126" t="b">
        <x:v>0</x:v>
      </x:c>
      <x:c r="S47" s="126" t="b">
        <x:v>0</x:v>
      </x:c>
      <x:c r="T47" s="126" t="b">
        <x:v>0</x:v>
      </x:c>
      <x:c r="U47" s="144"/>
      <x:c r="V47" s="123"/>
      <x:c r="W47" s="123"/>
      <x:c r="X47" s="126" t="b">
        <x:v>0</x:v>
      </x:c>
    </x:row>
    <x:row r="48" ht="18" customHeight="1">
      <x:c r="A48" s="111"/>
      <x:c r="B48" s="111"/>
      <x:c r="C48" s="111"/>
      <x:c r="D48" s="111"/>
      <x:c r="E48" s="129"/>
      <x:c r="F48" s="138"/>
      <x:c r="G48" s="133" t="str">
        <x:f>IF(OR(A48="",E48="",F48=""),"",E48+F48-IF('ตั้งค่า'!$B$12="นับรวมวันเซ็น",1,0))</x:f>
      </x:c>
      <x:c r="H48" s="134"/>
      <x:c r="I48" s="117" t="str">
        <x:v>ยังไม่ส่ง</x:v>
      </x:c>
      <x:c r="J48" s="141" t="str">
        <x:f>IF(A48="","",IF(G48="","",IF(I48="ส่งแล้ว",0,G48-TODAY())))</x:f>
      </x:c>
      <x:c r="K48" s="114" t="str">
        <x:f>IF(A48="","",IF(G48="","ยังไม่ระบุวัน",IF(I48="ส่งแล้ว",IF(H48="","ส่งแล้ว",IF(INT(H48)&lt;INT(G48),"ส่งก่อนกำหนด "&amp;(INT(G48)-INT(H48))&amp;" วัน",IF(INT(H48)=INT(G48),"ส่งตรงกำหนด","ส่งล่าช้า "&amp;(INT(H48)-INT(G48))&amp;" วัน"))),IFS(G48&lt;TODAY(),"เกินกำหนด "&amp;(TODAY()-G48)&amp;" วัน",G48=TODAY(),"ครบกำหนดวันนี้",G48-TODAY()&lt;=3,"เร่งดำเนินการ",G48-TODAY()&lt;=5,"ต้องติดตาม",G48-TODAY()&lt;=10,"ใกล้ครบกำหนด",TRUE,"อยู่ระหว่างดำเนินการ"))))</x:f>
      </x:c>
      <x:c r="L48" s="114" t="str">
        <x:f>IF(OR(A48="",P48=""),"",HYPERLINK(P48,"เปิดใน Google Calendar"))</x:f>
      </x:c>
      <x:c r="M48" s="111"/>
      <x:c r="N48" s="123"/>
      <x:c r="O48" s="123"/>
      <x:c r="P48" s="123"/>
      <x:c r="Q48" s="126" t="b">
        <x:v>0</x:v>
      </x:c>
      <x:c r="R48" s="126" t="b">
        <x:v>0</x:v>
      </x:c>
      <x:c r="S48" s="126" t="b">
        <x:v>0</x:v>
      </x:c>
      <x:c r="T48" s="126" t="b">
        <x:v>0</x:v>
      </x:c>
      <x:c r="U48" s="144"/>
      <x:c r="V48" s="123"/>
      <x:c r="W48" s="123"/>
      <x:c r="X48" s="126" t="b">
        <x:v>0</x:v>
      </x:c>
    </x:row>
    <x:row r="49" ht="18" customHeight="1">
      <x:c r="A49" s="111"/>
      <x:c r="B49" s="111"/>
      <x:c r="C49" s="111"/>
      <x:c r="D49" s="111"/>
      <x:c r="E49" s="129"/>
      <x:c r="F49" s="138"/>
      <x:c r="G49" s="133" t="str">
        <x:f>IF(OR(A49="",E49="",F49=""),"",E49+F49-IF('ตั้งค่า'!$B$12="นับรวมวันเซ็น",1,0))</x:f>
      </x:c>
      <x:c r="H49" s="134"/>
      <x:c r="I49" s="117" t="str">
        <x:v>ยังไม่ส่ง</x:v>
      </x:c>
      <x:c r="J49" s="141" t="str">
        <x:f>IF(A49="","",IF(G49="","",IF(I49="ส่งแล้ว",0,G49-TODAY())))</x:f>
      </x:c>
      <x:c r="K49" s="114" t="str">
        <x:f>IF(A49="","",IF(G49="","ยังไม่ระบุวัน",IF(I49="ส่งแล้ว",IF(H49="","ส่งแล้ว",IF(INT(H49)&lt;INT(G49),"ส่งก่อนกำหนด "&amp;(INT(G49)-INT(H49))&amp;" วัน",IF(INT(H49)=INT(G49),"ส่งตรงกำหนด","ส่งล่าช้า "&amp;(INT(H49)-INT(G49))&amp;" วัน"))),IFS(G49&lt;TODAY(),"เกินกำหนด "&amp;(TODAY()-G49)&amp;" วัน",G49=TODAY(),"ครบกำหนดวันนี้",G49-TODAY()&lt;=3,"เร่งดำเนินการ",G49-TODAY()&lt;=5,"ต้องติดตาม",G49-TODAY()&lt;=10,"ใกล้ครบกำหนด",TRUE,"อยู่ระหว่างดำเนินการ"))))</x:f>
      </x:c>
      <x:c r="L49" s="114" t="str">
        <x:f>IF(OR(A49="",P49=""),"",HYPERLINK(P49,"เปิดใน Google Calendar"))</x:f>
      </x:c>
      <x:c r="M49" s="111"/>
      <x:c r="N49" s="123"/>
      <x:c r="O49" s="123"/>
      <x:c r="P49" s="123"/>
      <x:c r="Q49" s="126" t="b">
        <x:v>0</x:v>
      </x:c>
      <x:c r="R49" s="126" t="b">
        <x:v>0</x:v>
      </x:c>
      <x:c r="S49" s="126" t="b">
        <x:v>0</x:v>
      </x:c>
      <x:c r="T49" s="126" t="b">
        <x:v>0</x:v>
      </x:c>
      <x:c r="U49" s="144"/>
      <x:c r="V49" s="123"/>
      <x:c r="W49" s="123"/>
      <x:c r="X49" s="126" t="b">
        <x:v>0</x:v>
      </x:c>
    </x:row>
    <x:row r="50" ht="18" customHeight="1">
      <x:c r="A50" s="111"/>
      <x:c r="B50" s="111"/>
      <x:c r="C50" s="111"/>
      <x:c r="D50" s="111"/>
      <x:c r="E50" s="129"/>
      <x:c r="F50" s="138"/>
      <x:c r="G50" s="133" t="str">
        <x:f>IF(OR(A50="",E50="",F50=""),"",E50+F50-IF('ตั้งค่า'!$B$12="นับรวมวันเซ็น",1,0))</x:f>
      </x:c>
      <x:c r="H50" s="134"/>
      <x:c r="I50" s="117" t="str">
        <x:v>ยังไม่ส่ง</x:v>
      </x:c>
      <x:c r="J50" s="141" t="str">
        <x:f>IF(A50="","",IF(G50="","",IF(I50="ส่งแล้ว",0,G50-TODAY())))</x:f>
      </x:c>
      <x:c r="K50" s="114" t="str">
        <x:f>IF(A50="","",IF(G50="","ยังไม่ระบุวัน",IF(I50="ส่งแล้ว",IF(H50="","ส่งแล้ว",IF(INT(H50)&lt;INT(G50),"ส่งก่อนกำหนด "&amp;(INT(G50)-INT(H50))&amp;" วัน",IF(INT(H50)=INT(G50),"ส่งตรงกำหนด","ส่งล่าช้า "&amp;(INT(H50)-INT(G50))&amp;" วัน"))),IFS(G50&lt;TODAY(),"เกินกำหนด "&amp;(TODAY()-G50)&amp;" วัน",G50=TODAY(),"ครบกำหนดวันนี้",G50-TODAY()&lt;=3,"เร่งดำเนินการ",G50-TODAY()&lt;=5,"ต้องติดตาม",G50-TODAY()&lt;=10,"ใกล้ครบกำหนด",TRUE,"อยู่ระหว่างดำเนินการ"))))</x:f>
      </x:c>
      <x:c r="L50" s="114" t="str">
        <x:f>IF(OR(A50="",P50=""),"",HYPERLINK(P50,"เปิดใน Google Calendar"))</x:f>
      </x:c>
      <x:c r="M50" s="111"/>
      <x:c r="N50" s="123"/>
      <x:c r="O50" s="123"/>
      <x:c r="P50" s="123"/>
      <x:c r="Q50" s="126" t="b">
        <x:v>0</x:v>
      </x:c>
      <x:c r="R50" s="126" t="b">
        <x:v>0</x:v>
      </x:c>
      <x:c r="S50" s="126" t="b">
        <x:v>0</x:v>
      </x:c>
      <x:c r="T50" s="126" t="b">
        <x:v>0</x:v>
      </x:c>
      <x:c r="U50" s="144"/>
      <x:c r="V50" s="123"/>
      <x:c r="W50" s="123"/>
      <x:c r="X50" s="126" t="b">
        <x:v>0</x:v>
      </x:c>
    </x:row>
    <x:row r="51" ht="18" customHeight="1">
      <x:c r="A51" s="111"/>
      <x:c r="B51" s="111"/>
      <x:c r="C51" s="111"/>
      <x:c r="D51" s="111"/>
      <x:c r="E51" s="129"/>
      <x:c r="F51" s="138"/>
      <x:c r="G51" s="133" t="str">
        <x:f>IF(OR(A51="",E51="",F51=""),"",E51+F51-IF('ตั้งค่า'!$B$12="นับรวมวันเซ็น",1,0))</x:f>
      </x:c>
      <x:c r="H51" s="134"/>
      <x:c r="I51" s="117" t="str">
        <x:v>ยังไม่ส่ง</x:v>
      </x:c>
      <x:c r="J51" s="141" t="str">
        <x:f>IF(A51="","",IF(G51="","",IF(I51="ส่งแล้ว",0,G51-TODAY())))</x:f>
      </x:c>
      <x:c r="K51" s="114" t="str">
        <x:f>IF(A51="","",IF(G51="","ยังไม่ระบุวัน",IF(I51="ส่งแล้ว",IF(H51="","ส่งแล้ว",IF(INT(H51)&lt;INT(G51),"ส่งก่อนกำหนด "&amp;(INT(G51)-INT(H51))&amp;" วัน",IF(INT(H51)=INT(G51),"ส่งตรงกำหนด","ส่งล่าช้า "&amp;(INT(H51)-INT(G51))&amp;" วัน"))),IFS(G51&lt;TODAY(),"เกินกำหนด "&amp;(TODAY()-G51)&amp;" วัน",G51=TODAY(),"ครบกำหนดวันนี้",G51-TODAY()&lt;=3,"เร่งดำเนินการ",G51-TODAY()&lt;=5,"ต้องติดตาม",G51-TODAY()&lt;=10,"ใกล้ครบกำหนด",TRUE,"อยู่ระหว่างดำเนินการ"))))</x:f>
      </x:c>
      <x:c r="L51" s="114" t="str">
        <x:f>IF(OR(A51="",P51=""),"",HYPERLINK(P51,"เปิดใน Google Calendar"))</x:f>
      </x:c>
      <x:c r="M51" s="111"/>
      <x:c r="N51" s="123"/>
      <x:c r="O51" s="123"/>
      <x:c r="P51" s="123"/>
      <x:c r="Q51" s="126" t="b">
        <x:v>0</x:v>
      </x:c>
      <x:c r="R51" s="126" t="b">
        <x:v>0</x:v>
      </x:c>
      <x:c r="S51" s="126" t="b">
        <x:v>0</x:v>
      </x:c>
      <x:c r="T51" s="126" t="b">
        <x:v>0</x:v>
      </x:c>
      <x:c r="U51" s="144"/>
      <x:c r="V51" s="123"/>
      <x:c r="W51" s="123"/>
      <x:c r="X51" s="126" t="b">
        <x:v>0</x:v>
      </x:c>
    </x:row>
    <x:row r="52" ht="18" customHeight="1">
      <x:c r="A52" s="111"/>
      <x:c r="B52" s="111"/>
      <x:c r="C52" s="111"/>
      <x:c r="D52" s="111"/>
      <x:c r="E52" s="129"/>
      <x:c r="F52" s="138"/>
      <x:c r="G52" s="133" t="str">
        <x:f>IF(OR(A52="",E52="",F52=""),"",E52+F52-IF('ตั้งค่า'!$B$12="นับรวมวันเซ็น",1,0))</x:f>
      </x:c>
      <x:c r="H52" s="134"/>
      <x:c r="I52" s="117" t="str">
        <x:v>ยังไม่ส่ง</x:v>
      </x:c>
      <x:c r="J52" s="141" t="str">
        <x:f>IF(A52="","",IF(G52="","",IF(I52="ส่งแล้ว",0,G52-TODAY())))</x:f>
      </x:c>
      <x:c r="K52" s="114" t="str">
        <x:f>IF(A52="","",IF(G52="","ยังไม่ระบุวัน",IF(I52="ส่งแล้ว",IF(H52="","ส่งแล้ว",IF(INT(H52)&lt;INT(G52),"ส่งก่อนกำหนด "&amp;(INT(G52)-INT(H52))&amp;" วัน",IF(INT(H52)=INT(G52),"ส่งตรงกำหนด","ส่งล่าช้า "&amp;(INT(H52)-INT(G52))&amp;" วัน"))),IFS(G52&lt;TODAY(),"เกินกำหนด "&amp;(TODAY()-G52)&amp;" วัน",G52=TODAY(),"ครบกำหนดวันนี้",G52-TODAY()&lt;=3,"เร่งดำเนินการ",G52-TODAY()&lt;=5,"ต้องติดตาม",G52-TODAY()&lt;=10,"ใกล้ครบกำหนด",TRUE,"อยู่ระหว่างดำเนินการ"))))</x:f>
      </x:c>
      <x:c r="L52" s="114" t="str">
        <x:f>IF(OR(A52="",P52=""),"",HYPERLINK(P52,"เปิดใน Google Calendar"))</x:f>
      </x:c>
      <x:c r="M52" s="111"/>
      <x:c r="N52" s="123"/>
      <x:c r="O52" s="123"/>
      <x:c r="P52" s="123"/>
      <x:c r="Q52" s="126" t="b">
        <x:v>0</x:v>
      </x:c>
      <x:c r="R52" s="126" t="b">
        <x:v>0</x:v>
      </x:c>
      <x:c r="S52" s="126" t="b">
        <x:v>0</x:v>
      </x:c>
      <x:c r="T52" s="126" t="b">
        <x:v>0</x:v>
      </x:c>
      <x:c r="U52" s="144"/>
      <x:c r="V52" s="123"/>
      <x:c r="W52" s="123"/>
      <x:c r="X52" s="126" t="b">
        <x:v>0</x:v>
      </x:c>
    </x:row>
    <x:row r="53" ht="18" customHeight="1">
      <x:c r="A53" s="111"/>
      <x:c r="B53" s="111"/>
      <x:c r="C53" s="111"/>
      <x:c r="D53" s="111"/>
      <x:c r="E53" s="129"/>
      <x:c r="F53" s="138"/>
      <x:c r="G53" s="133" t="str">
        <x:f>IF(OR(A53="",E53="",F53=""),"",E53+F53-IF('ตั้งค่า'!$B$12="นับรวมวันเซ็น",1,0))</x:f>
      </x:c>
      <x:c r="H53" s="134"/>
      <x:c r="I53" s="117" t="str">
        <x:v>ยังไม่ส่ง</x:v>
      </x:c>
      <x:c r="J53" s="141" t="str">
        <x:f>IF(A53="","",IF(G53="","",IF(I53="ส่งแล้ว",0,G53-TODAY())))</x:f>
      </x:c>
      <x:c r="K53" s="114" t="str">
        <x:f>IF(A53="","",IF(G53="","ยังไม่ระบุวัน",IF(I53="ส่งแล้ว",IF(H53="","ส่งแล้ว",IF(INT(H53)&lt;INT(G53),"ส่งก่อนกำหนด "&amp;(INT(G53)-INT(H53))&amp;" วัน",IF(INT(H53)=INT(G53),"ส่งตรงกำหนด","ส่งล่าช้า "&amp;(INT(H53)-INT(G53))&amp;" วัน"))),IFS(G53&lt;TODAY(),"เกินกำหนด "&amp;(TODAY()-G53)&amp;" วัน",G53=TODAY(),"ครบกำหนดวันนี้",G53-TODAY()&lt;=3,"เร่งดำเนินการ",G53-TODAY()&lt;=5,"ต้องติดตาม",G53-TODAY()&lt;=10,"ใกล้ครบกำหนด",TRUE,"อยู่ระหว่างดำเนินการ"))))</x:f>
      </x:c>
      <x:c r="L53" s="114" t="str">
        <x:f>IF(OR(A53="",P53=""),"",HYPERLINK(P53,"เปิดใน Google Calendar"))</x:f>
      </x:c>
      <x:c r="M53" s="111"/>
      <x:c r="N53" s="123"/>
      <x:c r="O53" s="123"/>
      <x:c r="P53" s="123"/>
      <x:c r="Q53" s="126" t="b">
        <x:v>0</x:v>
      </x:c>
      <x:c r="R53" s="126" t="b">
        <x:v>0</x:v>
      </x:c>
      <x:c r="S53" s="126" t="b">
        <x:v>0</x:v>
      </x:c>
      <x:c r="T53" s="126" t="b">
        <x:v>0</x:v>
      </x:c>
      <x:c r="U53" s="144"/>
      <x:c r="V53" s="123"/>
      <x:c r="W53" s="123"/>
      <x:c r="X53" s="126" t="b">
        <x:v>0</x:v>
      </x:c>
    </x:row>
    <x:row r="54" ht="18" customHeight="1">
      <x:c r="A54" s="111"/>
      <x:c r="B54" s="111"/>
      <x:c r="C54" s="111"/>
      <x:c r="D54" s="111"/>
      <x:c r="E54" s="129"/>
      <x:c r="F54" s="138"/>
      <x:c r="G54" s="133" t="str">
        <x:f>IF(OR(A54="",E54="",F54=""),"",E54+F54-IF('ตั้งค่า'!$B$12="นับรวมวันเซ็น",1,0))</x:f>
      </x:c>
      <x:c r="H54" s="134"/>
      <x:c r="I54" s="117" t="str">
        <x:v>ยังไม่ส่ง</x:v>
      </x:c>
      <x:c r="J54" s="141" t="str">
        <x:f>IF(A54="","",IF(G54="","",IF(I54="ส่งแล้ว",0,G54-TODAY())))</x:f>
      </x:c>
      <x:c r="K54" s="114" t="str">
        <x:f>IF(A54="","",IF(G54="","ยังไม่ระบุวัน",IF(I54="ส่งแล้ว",IF(H54="","ส่งแล้ว",IF(INT(H54)&lt;INT(G54),"ส่งก่อนกำหนด "&amp;(INT(G54)-INT(H54))&amp;" วัน",IF(INT(H54)=INT(G54),"ส่งตรงกำหนด","ส่งล่าช้า "&amp;(INT(H54)-INT(G54))&amp;" วัน"))),IFS(G54&lt;TODAY(),"เกินกำหนด "&amp;(TODAY()-G54)&amp;" วัน",G54=TODAY(),"ครบกำหนดวันนี้",G54-TODAY()&lt;=3,"เร่งดำเนินการ",G54-TODAY()&lt;=5,"ต้องติดตาม",G54-TODAY()&lt;=10,"ใกล้ครบกำหนด",TRUE,"อยู่ระหว่างดำเนินการ"))))</x:f>
      </x:c>
      <x:c r="L54" s="114" t="str">
        <x:f>IF(OR(A54="",P54=""),"",HYPERLINK(P54,"เปิดใน Google Calendar"))</x:f>
      </x:c>
      <x:c r="M54" s="111"/>
      <x:c r="N54" s="123"/>
      <x:c r="O54" s="123"/>
      <x:c r="P54" s="123"/>
      <x:c r="Q54" s="126" t="b">
        <x:v>0</x:v>
      </x:c>
      <x:c r="R54" s="126" t="b">
        <x:v>0</x:v>
      </x:c>
      <x:c r="S54" s="126" t="b">
        <x:v>0</x:v>
      </x:c>
      <x:c r="T54" s="126" t="b">
        <x:v>0</x:v>
      </x:c>
      <x:c r="U54" s="144"/>
      <x:c r="V54" s="123"/>
      <x:c r="W54" s="123"/>
      <x:c r="X54" s="126" t="b">
        <x:v>0</x:v>
      </x:c>
    </x:row>
    <x:row r="55" ht="18" customHeight="1">
      <x:c r="A55" s="111"/>
      <x:c r="B55" s="111"/>
      <x:c r="C55" s="111"/>
      <x:c r="D55" s="111"/>
      <x:c r="E55" s="129"/>
      <x:c r="F55" s="138"/>
      <x:c r="G55" s="133" t="str">
        <x:f>IF(OR(A55="",E55="",F55=""),"",E55+F55-IF('ตั้งค่า'!$B$12="นับรวมวันเซ็น",1,0))</x:f>
      </x:c>
      <x:c r="H55" s="134"/>
      <x:c r="I55" s="117" t="str">
        <x:v>ยังไม่ส่ง</x:v>
      </x:c>
      <x:c r="J55" s="141" t="str">
        <x:f>IF(A55="","",IF(G55="","",IF(I55="ส่งแล้ว",0,G55-TODAY())))</x:f>
      </x:c>
      <x:c r="K55" s="114" t="str">
        <x:f>IF(A55="","",IF(G55="","ยังไม่ระบุวัน",IF(I55="ส่งแล้ว",IF(H55="","ส่งแล้ว",IF(INT(H55)&lt;INT(G55),"ส่งก่อนกำหนด "&amp;(INT(G55)-INT(H55))&amp;" วัน",IF(INT(H55)=INT(G55),"ส่งตรงกำหนด","ส่งล่าช้า "&amp;(INT(H55)-INT(G55))&amp;" วัน"))),IFS(G55&lt;TODAY(),"เกินกำหนด "&amp;(TODAY()-G55)&amp;" วัน",G55=TODAY(),"ครบกำหนดวันนี้",G55-TODAY()&lt;=3,"เร่งดำเนินการ",G55-TODAY()&lt;=5,"ต้องติดตาม",G55-TODAY()&lt;=10,"ใกล้ครบกำหนด",TRUE,"อยู่ระหว่างดำเนินการ"))))</x:f>
      </x:c>
      <x:c r="L55" s="114" t="str">
        <x:f>IF(OR(A55="",P55=""),"",HYPERLINK(P55,"เปิดใน Google Calendar"))</x:f>
      </x:c>
      <x:c r="M55" s="111"/>
      <x:c r="N55" s="123"/>
      <x:c r="O55" s="123"/>
      <x:c r="P55" s="123"/>
      <x:c r="Q55" s="126" t="b">
        <x:v>0</x:v>
      </x:c>
      <x:c r="R55" s="126" t="b">
        <x:v>0</x:v>
      </x:c>
      <x:c r="S55" s="126" t="b">
        <x:v>0</x:v>
      </x:c>
      <x:c r="T55" s="126" t="b">
        <x:v>0</x:v>
      </x:c>
      <x:c r="U55" s="144"/>
      <x:c r="V55" s="123"/>
      <x:c r="W55" s="123"/>
      <x:c r="X55" s="126" t="b">
        <x:v>0</x:v>
      </x:c>
    </x:row>
    <x:row r="56" ht="18" customHeight="1">
      <x:c r="A56" s="111"/>
      <x:c r="B56" s="111"/>
      <x:c r="C56" s="111"/>
      <x:c r="D56" s="111"/>
      <x:c r="E56" s="129"/>
      <x:c r="F56" s="138"/>
      <x:c r="G56" s="133" t="str">
        <x:f>IF(OR(A56="",E56="",F56=""),"",E56+F56-IF('ตั้งค่า'!$B$12="นับรวมวันเซ็น",1,0))</x:f>
      </x:c>
      <x:c r="H56" s="134"/>
      <x:c r="I56" s="117" t="str">
        <x:v>ยังไม่ส่ง</x:v>
      </x:c>
      <x:c r="J56" s="141" t="str">
        <x:f>IF(A56="","",IF(G56="","",IF(I56="ส่งแล้ว",0,G56-TODAY())))</x:f>
      </x:c>
      <x:c r="K56" s="114" t="str">
        <x:f>IF(A56="","",IF(G56="","ยังไม่ระบุวัน",IF(I56="ส่งแล้ว",IF(H56="","ส่งแล้ว",IF(INT(H56)&lt;INT(G56),"ส่งก่อนกำหนด "&amp;(INT(G56)-INT(H56))&amp;" วัน",IF(INT(H56)=INT(G56),"ส่งตรงกำหนด","ส่งล่าช้า "&amp;(INT(H56)-INT(G56))&amp;" วัน"))),IFS(G56&lt;TODAY(),"เกินกำหนด "&amp;(TODAY()-G56)&amp;" วัน",G56=TODAY(),"ครบกำหนดวันนี้",G56-TODAY()&lt;=3,"เร่งดำเนินการ",G56-TODAY()&lt;=5,"ต้องติดตาม",G56-TODAY()&lt;=10,"ใกล้ครบกำหนด",TRUE,"อยู่ระหว่างดำเนินการ"))))</x:f>
      </x:c>
      <x:c r="L56" s="114" t="str">
        <x:f>IF(OR(A56="",P56=""),"",HYPERLINK(P56,"เปิดใน Google Calendar"))</x:f>
      </x:c>
      <x:c r="M56" s="111"/>
      <x:c r="N56" s="123"/>
      <x:c r="O56" s="123"/>
      <x:c r="P56" s="123"/>
      <x:c r="Q56" s="126" t="b">
        <x:v>0</x:v>
      </x:c>
      <x:c r="R56" s="126" t="b">
        <x:v>0</x:v>
      </x:c>
      <x:c r="S56" s="126" t="b">
        <x:v>0</x:v>
      </x:c>
      <x:c r="T56" s="126" t="b">
        <x:v>0</x:v>
      </x:c>
      <x:c r="U56" s="144"/>
      <x:c r="V56" s="123"/>
      <x:c r="W56" s="123"/>
      <x:c r="X56" s="126" t="b">
        <x:v>0</x:v>
      </x:c>
    </x:row>
    <x:row r="57" ht="18" customHeight="1">
      <x:c r="A57" s="111"/>
      <x:c r="B57" s="111"/>
      <x:c r="C57" s="111"/>
      <x:c r="D57" s="111"/>
      <x:c r="E57" s="129"/>
      <x:c r="F57" s="138"/>
      <x:c r="G57" s="133" t="str">
        <x:f>IF(OR(A57="",E57="",F57=""),"",E57+F57-IF('ตั้งค่า'!$B$12="นับรวมวันเซ็น",1,0))</x:f>
      </x:c>
      <x:c r="H57" s="134"/>
      <x:c r="I57" s="117" t="str">
        <x:v>ยังไม่ส่ง</x:v>
      </x:c>
      <x:c r="J57" s="141" t="str">
        <x:f>IF(A57="","",IF(G57="","",IF(I57="ส่งแล้ว",0,G57-TODAY())))</x:f>
      </x:c>
      <x:c r="K57" s="114" t="str">
        <x:f>IF(A57="","",IF(G57="","ยังไม่ระบุวัน",IF(I57="ส่งแล้ว",IF(H57="","ส่งแล้ว",IF(INT(H57)&lt;INT(G57),"ส่งก่อนกำหนด "&amp;(INT(G57)-INT(H57))&amp;" วัน",IF(INT(H57)=INT(G57),"ส่งตรงกำหนด","ส่งล่าช้า "&amp;(INT(H57)-INT(G57))&amp;" วัน"))),IFS(G57&lt;TODAY(),"เกินกำหนด "&amp;(TODAY()-G57)&amp;" วัน",G57=TODAY(),"ครบกำหนดวันนี้",G57-TODAY()&lt;=3,"เร่งดำเนินการ",G57-TODAY()&lt;=5,"ต้องติดตาม",G57-TODAY()&lt;=10,"ใกล้ครบกำหนด",TRUE,"อยู่ระหว่างดำเนินการ"))))</x:f>
      </x:c>
      <x:c r="L57" s="114" t="str">
        <x:f>IF(OR(A57="",P57=""),"",HYPERLINK(P57,"เปิดใน Google Calendar"))</x:f>
      </x:c>
      <x:c r="M57" s="111"/>
      <x:c r="N57" s="123"/>
      <x:c r="O57" s="123"/>
      <x:c r="P57" s="123"/>
      <x:c r="Q57" s="126" t="b">
        <x:v>0</x:v>
      </x:c>
      <x:c r="R57" s="126" t="b">
        <x:v>0</x:v>
      </x:c>
      <x:c r="S57" s="126" t="b">
        <x:v>0</x:v>
      </x:c>
      <x:c r="T57" s="126" t="b">
        <x:v>0</x:v>
      </x:c>
      <x:c r="U57" s="144"/>
      <x:c r="V57" s="123"/>
      <x:c r="W57" s="123"/>
      <x:c r="X57" s="126" t="b">
        <x:v>0</x:v>
      </x:c>
    </x:row>
    <x:row r="58" ht="18" customHeight="1">
      <x:c r="A58" s="111"/>
      <x:c r="B58" s="111"/>
      <x:c r="C58" s="111"/>
      <x:c r="D58" s="111"/>
      <x:c r="E58" s="129"/>
      <x:c r="F58" s="138"/>
      <x:c r="G58" s="133" t="str">
        <x:f>IF(OR(A58="",E58="",F58=""),"",E58+F58-IF('ตั้งค่า'!$B$12="นับรวมวันเซ็น",1,0))</x:f>
      </x:c>
      <x:c r="H58" s="134"/>
      <x:c r="I58" s="117" t="str">
        <x:v>ยังไม่ส่ง</x:v>
      </x:c>
      <x:c r="J58" s="141" t="str">
        <x:f>IF(A58="","",IF(G58="","",IF(I58="ส่งแล้ว",0,G58-TODAY())))</x:f>
      </x:c>
      <x:c r="K58" s="114" t="str">
        <x:f>IF(A58="","",IF(G58="","ยังไม่ระบุวัน",IF(I58="ส่งแล้ว",IF(H58="","ส่งแล้ว",IF(INT(H58)&lt;INT(G58),"ส่งก่อนกำหนด "&amp;(INT(G58)-INT(H58))&amp;" วัน",IF(INT(H58)=INT(G58),"ส่งตรงกำหนด","ส่งล่าช้า "&amp;(INT(H58)-INT(G58))&amp;" วัน"))),IFS(G58&lt;TODAY(),"เกินกำหนด "&amp;(TODAY()-G58)&amp;" วัน",G58=TODAY(),"ครบกำหนดวันนี้",G58-TODAY()&lt;=3,"เร่งดำเนินการ",G58-TODAY()&lt;=5,"ต้องติดตาม",G58-TODAY()&lt;=10,"ใกล้ครบกำหนด",TRUE,"อยู่ระหว่างดำเนินการ"))))</x:f>
      </x:c>
      <x:c r="L58" s="114" t="str">
        <x:f>IF(OR(A58="",P58=""),"",HYPERLINK(P58,"เปิดใน Google Calendar"))</x:f>
      </x:c>
      <x:c r="M58" s="111"/>
      <x:c r="N58" s="123"/>
      <x:c r="O58" s="123"/>
      <x:c r="P58" s="123"/>
      <x:c r="Q58" s="126" t="b">
        <x:v>0</x:v>
      </x:c>
      <x:c r="R58" s="126" t="b">
        <x:v>0</x:v>
      </x:c>
      <x:c r="S58" s="126" t="b">
        <x:v>0</x:v>
      </x:c>
      <x:c r="T58" s="126" t="b">
        <x:v>0</x:v>
      </x:c>
      <x:c r="U58" s="144"/>
      <x:c r="V58" s="123"/>
      <x:c r="W58" s="123"/>
      <x:c r="X58" s="126" t="b">
        <x:v>0</x:v>
      </x:c>
    </x:row>
    <x:row r="59" ht="18" customHeight="1">
      <x:c r="A59" s="111"/>
      <x:c r="B59" s="111"/>
      <x:c r="C59" s="111"/>
      <x:c r="D59" s="111"/>
      <x:c r="E59" s="129"/>
      <x:c r="F59" s="138"/>
      <x:c r="G59" s="133" t="str">
        <x:f>IF(OR(A59="",E59="",F59=""),"",E59+F59-IF('ตั้งค่า'!$B$12="นับรวมวันเซ็น",1,0))</x:f>
      </x:c>
      <x:c r="H59" s="134"/>
      <x:c r="I59" s="117" t="str">
        <x:v>ยังไม่ส่ง</x:v>
      </x:c>
      <x:c r="J59" s="141" t="str">
        <x:f>IF(A59="","",IF(G59="","",IF(I59="ส่งแล้ว",0,G59-TODAY())))</x:f>
      </x:c>
      <x:c r="K59" s="114" t="str">
        <x:f>IF(A59="","",IF(G59="","ยังไม่ระบุวัน",IF(I59="ส่งแล้ว",IF(H59="","ส่งแล้ว",IF(INT(H59)&lt;INT(G59),"ส่งก่อนกำหนด "&amp;(INT(G59)-INT(H59))&amp;" วัน",IF(INT(H59)=INT(G59),"ส่งตรงกำหนด","ส่งล่าช้า "&amp;(INT(H59)-INT(G59))&amp;" วัน"))),IFS(G59&lt;TODAY(),"เกินกำหนด "&amp;(TODAY()-G59)&amp;" วัน",G59=TODAY(),"ครบกำหนดวันนี้",G59-TODAY()&lt;=3,"เร่งดำเนินการ",G59-TODAY()&lt;=5,"ต้องติดตาม",G59-TODAY()&lt;=10,"ใกล้ครบกำหนด",TRUE,"อยู่ระหว่างดำเนินการ"))))</x:f>
      </x:c>
      <x:c r="L59" s="114" t="str">
        <x:f>IF(OR(A59="",P59=""),"",HYPERLINK(P59,"เปิดใน Google Calendar"))</x:f>
      </x:c>
      <x:c r="M59" s="111"/>
      <x:c r="N59" s="123"/>
      <x:c r="O59" s="123"/>
      <x:c r="P59" s="123"/>
      <x:c r="Q59" s="126" t="b">
        <x:v>0</x:v>
      </x:c>
      <x:c r="R59" s="126" t="b">
        <x:v>0</x:v>
      </x:c>
      <x:c r="S59" s="126" t="b">
        <x:v>0</x:v>
      </x:c>
      <x:c r="T59" s="126" t="b">
        <x:v>0</x:v>
      </x:c>
      <x:c r="U59" s="144"/>
      <x:c r="V59" s="123"/>
      <x:c r="W59" s="123"/>
      <x:c r="X59" s="126" t="b">
        <x:v>0</x:v>
      </x:c>
    </x:row>
    <x:row r="60" ht="18" customHeight="1">
      <x:c r="A60" s="111"/>
      <x:c r="B60" s="111"/>
      <x:c r="C60" s="111"/>
      <x:c r="D60" s="111"/>
      <x:c r="E60" s="129"/>
      <x:c r="F60" s="138"/>
      <x:c r="G60" s="133" t="str">
        <x:f>IF(OR(A60="",E60="",F60=""),"",E60+F60-IF('ตั้งค่า'!$B$12="นับรวมวันเซ็น",1,0))</x:f>
      </x:c>
      <x:c r="H60" s="134"/>
      <x:c r="I60" s="117" t="str">
        <x:v>ยังไม่ส่ง</x:v>
      </x:c>
      <x:c r="J60" s="141" t="str">
        <x:f>IF(A60="","",IF(G60="","",IF(I60="ส่งแล้ว",0,G60-TODAY())))</x:f>
      </x:c>
      <x:c r="K60" s="114" t="str">
        <x:f>IF(A60="","",IF(G60="","ยังไม่ระบุวัน",IF(I60="ส่งแล้ว",IF(H60="","ส่งแล้ว",IF(INT(H60)&lt;INT(G60),"ส่งก่อนกำหนด "&amp;(INT(G60)-INT(H60))&amp;" วัน",IF(INT(H60)=INT(G60),"ส่งตรงกำหนด","ส่งล่าช้า "&amp;(INT(H60)-INT(G60))&amp;" วัน"))),IFS(G60&lt;TODAY(),"เกินกำหนด "&amp;(TODAY()-G60)&amp;" วัน",G60=TODAY(),"ครบกำหนดวันนี้",G60-TODAY()&lt;=3,"เร่งดำเนินการ",G60-TODAY()&lt;=5,"ต้องติดตาม",G60-TODAY()&lt;=10,"ใกล้ครบกำหนด",TRUE,"อยู่ระหว่างดำเนินการ"))))</x:f>
      </x:c>
      <x:c r="L60" s="114" t="str">
        <x:f>IF(OR(A60="",P60=""),"",HYPERLINK(P60,"เปิดใน Google Calendar"))</x:f>
      </x:c>
      <x:c r="M60" s="111"/>
      <x:c r="N60" s="123"/>
      <x:c r="O60" s="123"/>
      <x:c r="P60" s="123"/>
      <x:c r="Q60" s="126" t="b">
        <x:v>0</x:v>
      </x:c>
      <x:c r="R60" s="126" t="b">
        <x:v>0</x:v>
      </x:c>
      <x:c r="S60" s="126" t="b">
        <x:v>0</x:v>
      </x:c>
      <x:c r="T60" s="126" t="b">
        <x:v>0</x:v>
      </x:c>
      <x:c r="U60" s="144"/>
      <x:c r="V60" s="123"/>
      <x:c r="W60" s="123"/>
      <x:c r="X60" s="126" t="b">
        <x:v>0</x:v>
      </x:c>
    </x:row>
    <x:row r="61" ht="18" customHeight="1">
      <x:c r="A61" s="111"/>
      <x:c r="B61" s="111"/>
      <x:c r="C61" s="111"/>
      <x:c r="D61" s="111"/>
      <x:c r="E61" s="129"/>
      <x:c r="F61" s="138"/>
      <x:c r="G61" s="133" t="str">
        <x:f>IF(OR(A61="",E61="",F61=""),"",E61+F61-IF('ตั้งค่า'!$B$12="นับรวมวันเซ็น",1,0))</x:f>
      </x:c>
      <x:c r="H61" s="134"/>
      <x:c r="I61" s="117" t="str">
        <x:v>ยังไม่ส่ง</x:v>
      </x:c>
      <x:c r="J61" s="141" t="str">
        <x:f>IF(A61="","",IF(G61="","",IF(I61="ส่งแล้ว",0,G61-TODAY())))</x:f>
      </x:c>
      <x:c r="K61" s="114" t="str">
        <x:f>IF(A61="","",IF(G61="","ยังไม่ระบุวัน",IF(I61="ส่งแล้ว",IF(H61="","ส่งแล้ว",IF(INT(H61)&lt;INT(G61),"ส่งก่อนกำหนด "&amp;(INT(G61)-INT(H61))&amp;" วัน",IF(INT(H61)=INT(G61),"ส่งตรงกำหนด","ส่งล่าช้า "&amp;(INT(H61)-INT(G61))&amp;" วัน"))),IFS(G61&lt;TODAY(),"เกินกำหนด "&amp;(TODAY()-G61)&amp;" วัน",G61=TODAY(),"ครบกำหนดวันนี้",G61-TODAY()&lt;=3,"เร่งดำเนินการ",G61-TODAY()&lt;=5,"ต้องติดตาม",G61-TODAY()&lt;=10,"ใกล้ครบกำหนด",TRUE,"อยู่ระหว่างดำเนินการ"))))</x:f>
      </x:c>
      <x:c r="L61" s="114" t="str">
        <x:f>IF(OR(A61="",P61=""),"",HYPERLINK(P61,"เปิดใน Google Calendar"))</x:f>
      </x:c>
      <x:c r="M61" s="111"/>
      <x:c r="N61" s="123"/>
      <x:c r="O61" s="123"/>
      <x:c r="P61" s="123"/>
      <x:c r="Q61" s="126" t="b">
        <x:v>0</x:v>
      </x:c>
      <x:c r="R61" s="126" t="b">
        <x:v>0</x:v>
      </x:c>
      <x:c r="S61" s="126" t="b">
        <x:v>0</x:v>
      </x:c>
      <x:c r="T61" s="126" t="b">
        <x:v>0</x:v>
      </x:c>
      <x:c r="U61" s="144"/>
      <x:c r="V61" s="123"/>
      <x:c r="W61" s="123"/>
      <x:c r="X61" s="126" t="b">
        <x:v>0</x:v>
      </x:c>
    </x:row>
    <x:row r="62" ht="18" customHeight="1">
      <x:c r="A62" s="111"/>
      <x:c r="B62" s="111"/>
      <x:c r="C62" s="111"/>
      <x:c r="D62" s="111"/>
      <x:c r="E62" s="129"/>
      <x:c r="F62" s="138"/>
      <x:c r="G62" s="133" t="str">
        <x:f>IF(OR(A62="",E62="",F62=""),"",E62+F62-IF('ตั้งค่า'!$B$12="นับรวมวันเซ็น",1,0))</x:f>
      </x:c>
      <x:c r="H62" s="134"/>
      <x:c r="I62" s="117" t="str">
        <x:v>ยังไม่ส่ง</x:v>
      </x:c>
      <x:c r="J62" s="141" t="str">
        <x:f>IF(A62="","",IF(G62="","",IF(I62="ส่งแล้ว",0,G62-TODAY())))</x:f>
      </x:c>
      <x:c r="K62" s="114" t="str">
        <x:f>IF(A62="","",IF(G62="","ยังไม่ระบุวัน",IF(I62="ส่งแล้ว",IF(H62="","ส่งแล้ว",IF(INT(H62)&lt;INT(G62),"ส่งก่อนกำหนด "&amp;(INT(G62)-INT(H62))&amp;" วัน",IF(INT(H62)=INT(G62),"ส่งตรงกำหนด","ส่งล่าช้า "&amp;(INT(H62)-INT(G62))&amp;" วัน"))),IFS(G62&lt;TODAY(),"เกินกำหนด "&amp;(TODAY()-G62)&amp;" วัน",G62=TODAY(),"ครบกำหนดวันนี้",G62-TODAY()&lt;=3,"เร่งดำเนินการ",G62-TODAY()&lt;=5,"ต้องติดตาม",G62-TODAY()&lt;=10,"ใกล้ครบกำหนด",TRUE,"อยู่ระหว่างดำเนินการ"))))</x:f>
      </x:c>
      <x:c r="L62" s="114" t="str">
        <x:f>IF(OR(A62="",P62=""),"",HYPERLINK(P62,"เปิดใน Google Calendar"))</x:f>
      </x:c>
      <x:c r="M62" s="111"/>
      <x:c r="N62" s="123"/>
      <x:c r="O62" s="123"/>
      <x:c r="P62" s="123"/>
      <x:c r="Q62" s="126" t="b">
        <x:v>0</x:v>
      </x:c>
      <x:c r="R62" s="126" t="b">
        <x:v>0</x:v>
      </x:c>
      <x:c r="S62" s="126" t="b">
        <x:v>0</x:v>
      </x:c>
      <x:c r="T62" s="126" t="b">
        <x:v>0</x:v>
      </x:c>
      <x:c r="U62" s="144"/>
      <x:c r="V62" s="123"/>
      <x:c r="W62" s="123"/>
      <x:c r="X62" s="126" t="b">
        <x:v>0</x:v>
      </x:c>
    </x:row>
    <x:row r="63" ht="18" customHeight="1">
      <x:c r="A63" s="111"/>
      <x:c r="B63" s="111"/>
      <x:c r="C63" s="111"/>
      <x:c r="D63" s="111"/>
      <x:c r="E63" s="129"/>
      <x:c r="F63" s="138"/>
      <x:c r="G63" s="133" t="str">
        <x:f>IF(OR(A63="",E63="",F63=""),"",E63+F63-IF('ตั้งค่า'!$B$12="นับรวมวันเซ็น",1,0))</x:f>
      </x:c>
      <x:c r="H63" s="134"/>
      <x:c r="I63" s="117" t="str">
        <x:v>ยังไม่ส่ง</x:v>
      </x:c>
      <x:c r="J63" s="141" t="str">
        <x:f>IF(A63="","",IF(G63="","",IF(I63="ส่งแล้ว",0,G63-TODAY())))</x:f>
      </x:c>
      <x:c r="K63" s="114" t="str">
        <x:f>IF(A63="","",IF(G63="","ยังไม่ระบุวัน",IF(I63="ส่งแล้ว",IF(H63="","ส่งแล้ว",IF(INT(H63)&lt;INT(G63),"ส่งก่อนกำหนด "&amp;(INT(G63)-INT(H63))&amp;" วัน",IF(INT(H63)=INT(G63),"ส่งตรงกำหนด","ส่งล่าช้า "&amp;(INT(H63)-INT(G63))&amp;" วัน"))),IFS(G63&lt;TODAY(),"เกินกำหนด "&amp;(TODAY()-G63)&amp;" วัน",G63=TODAY(),"ครบกำหนดวันนี้",G63-TODAY()&lt;=3,"เร่งดำเนินการ",G63-TODAY()&lt;=5,"ต้องติดตาม",G63-TODAY()&lt;=10,"ใกล้ครบกำหนด",TRUE,"อยู่ระหว่างดำเนินการ"))))</x:f>
      </x:c>
      <x:c r="L63" s="114" t="str">
        <x:f>IF(OR(A63="",P63=""),"",HYPERLINK(P63,"เปิดใน Google Calendar"))</x:f>
      </x:c>
      <x:c r="M63" s="111"/>
      <x:c r="N63" s="123"/>
      <x:c r="O63" s="123"/>
      <x:c r="P63" s="123"/>
      <x:c r="Q63" s="126" t="b">
        <x:v>0</x:v>
      </x:c>
      <x:c r="R63" s="126" t="b">
        <x:v>0</x:v>
      </x:c>
      <x:c r="S63" s="126" t="b">
        <x:v>0</x:v>
      </x:c>
      <x:c r="T63" s="126" t="b">
        <x:v>0</x:v>
      </x:c>
      <x:c r="U63" s="144"/>
      <x:c r="V63" s="123"/>
      <x:c r="W63" s="123"/>
      <x:c r="X63" s="126" t="b">
        <x:v>0</x:v>
      </x:c>
    </x:row>
    <x:row r="64" ht="18" customHeight="1">
      <x:c r="A64" s="111"/>
      <x:c r="B64" s="111"/>
      <x:c r="C64" s="111"/>
      <x:c r="D64" s="111"/>
      <x:c r="E64" s="129"/>
      <x:c r="F64" s="138"/>
      <x:c r="G64" s="133" t="str">
        <x:f>IF(OR(A64="",E64="",F64=""),"",E64+F64-IF('ตั้งค่า'!$B$12="นับรวมวันเซ็น",1,0))</x:f>
      </x:c>
      <x:c r="H64" s="134"/>
      <x:c r="I64" s="117" t="str">
        <x:v>ยังไม่ส่ง</x:v>
      </x:c>
      <x:c r="J64" s="141" t="str">
        <x:f>IF(A64="","",IF(G64="","",IF(I64="ส่งแล้ว",0,G64-TODAY())))</x:f>
      </x:c>
      <x:c r="K64" s="114" t="str">
        <x:f>IF(A64="","",IF(G64="","ยังไม่ระบุวัน",IF(I64="ส่งแล้ว",IF(H64="","ส่งแล้ว",IF(INT(H64)&lt;INT(G64),"ส่งก่อนกำหนด "&amp;(INT(G64)-INT(H64))&amp;" วัน",IF(INT(H64)=INT(G64),"ส่งตรงกำหนด","ส่งล่าช้า "&amp;(INT(H64)-INT(G64))&amp;" วัน"))),IFS(G64&lt;TODAY(),"เกินกำหนด "&amp;(TODAY()-G64)&amp;" วัน",G64=TODAY(),"ครบกำหนดวันนี้",G64-TODAY()&lt;=3,"เร่งดำเนินการ",G64-TODAY()&lt;=5,"ต้องติดตาม",G64-TODAY()&lt;=10,"ใกล้ครบกำหนด",TRUE,"อยู่ระหว่างดำเนินการ"))))</x:f>
      </x:c>
      <x:c r="L64" s="114" t="str">
        <x:f>IF(OR(A64="",P64=""),"",HYPERLINK(P64,"เปิดใน Google Calendar"))</x:f>
      </x:c>
      <x:c r="M64" s="111"/>
      <x:c r="N64" s="123"/>
      <x:c r="O64" s="123"/>
      <x:c r="P64" s="123"/>
      <x:c r="Q64" s="126" t="b">
        <x:v>0</x:v>
      </x:c>
      <x:c r="R64" s="126" t="b">
        <x:v>0</x:v>
      </x:c>
      <x:c r="S64" s="126" t="b">
        <x:v>0</x:v>
      </x:c>
      <x:c r="T64" s="126" t="b">
        <x:v>0</x:v>
      </x:c>
      <x:c r="U64" s="144"/>
      <x:c r="V64" s="123"/>
      <x:c r="W64" s="123"/>
      <x:c r="X64" s="126" t="b">
        <x:v>0</x:v>
      </x:c>
    </x:row>
    <x:row r="65" ht="18" customHeight="1">
      <x:c r="A65" s="111"/>
      <x:c r="B65" s="111"/>
      <x:c r="C65" s="111"/>
      <x:c r="D65" s="111"/>
      <x:c r="E65" s="129"/>
      <x:c r="F65" s="138"/>
      <x:c r="G65" s="133" t="str">
        <x:f>IF(OR(A65="",E65="",F65=""),"",E65+F65-IF('ตั้งค่า'!$B$12="นับรวมวันเซ็น",1,0))</x:f>
      </x:c>
      <x:c r="H65" s="134"/>
      <x:c r="I65" s="117" t="str">
        <x:v>ยังไม่ส่ง</x:v>
      </x:c>
      <x:c r="J65" s="141" t="str">
        <x:f>IF(A65="","",IF(G65="","",IF(I65="ส่งแล้ว",0,G65-TODAY())))</x:f>
      </x:c>
      <x:c r="K65" s="114" t="str">
        <x:f>IF(A65="","",IF(G65="","ยังไม่ระบุวัน",IF(I65="ส่งแล้ว",IF(H65="","ส่งแล้ว",IF(INT(H65)&lt;INT(G65),"ส่งก่อนกำหนด "&amp;(INT(G65)-INT(H65))&amp;" วัน",IF(INT(H65)=INT(G65),"ส่งตรงกำหนด","ส่งล่าช้า "&amp;(INT(H65)-INT(G65))&amp;" วัน"))),IFS(G65&lt;TODAY(),"เกินกำหนด "&amp;(TODAY()-G65)&amp;" วัน",G65=TODAY(),"ครบกำหนดวันนี้",G65-TODAY()&lt;=3,"เร่งดำเนินการ",G65-TODAY()&lt;=5,"ต้องติดตาม",G65-TODAY()&lt;=10,"ใกล้ครบกำหนด",TRUE,"อยู่ระหว่างดำเนินการ"))))</x:f>
      </x:c>
      <x:c r="L65" s="114" t="str">
        <x:f>IF(OR(A65="",P65=""),"",HYPERLINK(P65,"เปิดใน Google Calendar"))</x:f>
      </x:c>
      <x:c r="M65" s="111"/>
      <x:c r="N65" s="123"/>
      <x:c r="O65" s="123"/>
      <x:c r="P65" s="123"/>
      <x:c r="Q65" s="126" t="b">
        <x:v>0</x:v>
      </x:c>
      <x:c r="R65" s="126" t="b">
        <x:v>0</x:v>
      </x:c>
      <x:c r="S65" s="126" t="b">
        <x:v>0</x:v>
      </x:c>
      <x:c r="T65" s="126" t="b">
        <x:v>0</x:v>
      </x:c>
      <x:c r="U65" s="144"/>
      <x:c r="V65" s="123"/>
      <x:c r="W65" s="123"/>
      <x:c r="X65" s="126" t="b">
        <x:v>0</x:v>
      </x:c>
    </x:row>
    <x:row r="66" ht="18" customHeight="1">
      <x:c r="A66" s="111"/>
      <x:c r="B66" s="111"/>
      <x:c r="C66" s="111"/>
      <x:c r="D66" s="111"/>
      <x:c r="E66" s="129"/>
      <x:c r="F66" s="138"/>
      <x:c r="G66" s="133" t="str">
        <x:f>IF(OR(A66="",E66="",F66=""),"",E66+F66-IF('ตั้งค่า'!$B$12="นับรวมวันเซ็น",1,0))</x:f>
      </x:c>
      <x:c r="H66" s="134"/>
      <x:c r="I66" s="117" t="str">
        <x:v>ยังไม่ส่ง</x:v>
      </x:c>
      <x:c r="J66" s="141" t="str">
        <x:f>IF(A66="","",IF(G66="","",IF(I66="ส่งแล้ว",0,G66-TODAY())))</x:f>
      </x:c>
      <x:c r="K66" s="114" t="str">
        <x:f>IF(A66="","",IF(G66="","ยังไม่ระบุวัน",IF(I66="ส่งแล้ว",IF(H66="","ส่งแล้ว",IF(INT(H66)&lt;INT(G66),"ส่งก่อนกำหนด "&amp;(INT(G66)-INT(H66))&amp;" วัน",IF(INT(H66)=INT(G66),"ส่งตรงกำหนด","ส่งล่าช้า "&amp;(INT(H66)-INT(G66))&amp;" วัน"))),IFS(G66&lt;TODAY(),"เกินกำหนด "&amp;(TODAY()-G66)&amp;" วัน",G66=TODAY(),"ครบกำหนดวันนี้",G66-TODAY()&lt;=3,"เร่งดำเนินการ",G66-TODAY()&lt;=5,"ต้องติดตาม",G66-TODAY()&lt;=10,"ใกล้ครบกำหนด",TRUE,"อยู่ระหว่างดำเนินการ"))))</x:f>
      </x:c>
      <x:c r="L66" s="114" t="str">
        <x:f>IF(OR(A66="",P66=""),"",HYPERLINK(P66,"เปิดใน Google Calendar"))</x:f>
      </x:c>
      <x:c r="M66" s="111"/>
      <x:c r="N66" s="123"/>
      <x:c r="O66" s="123"/>
      <x:c r="P66" s="123"/>
      <x:c r="Q66" s="126" t="b">
        <x:v>0</x:v>
      </x:c>
      <x:c r="R66" s="126" t="b">
        <x:v>0</x:v>
      </x:c>
      <x:c r="S66" s="126" t="b">
        <x:v>0</x:v>
      </x:c>
      <x:c r="T66" s="126" t="b">
        <x:v>0</x:v>
      </x:c>
      <x:c r="U66" s="144"/>
      <x:c r="V66" s="123"/>
      <x:c r="W66" s="123"/>
      <x:c r="X66" s="126" t="b">
        <x:v>0</x:v>
      </x:c>
    </x:row>
    <x:row r="67" ht="18" customHeight="1">
      <x:c r="A67" s="111"/>
      <x:c r="B67" s="111"/>
      <x:c r="C67" s="111"/>
      <x:c r="D67" s="111"/>
      <x:c r="E67" s="129"/>
      <x:c r="F67" s="138"/>
      <x:c r="G67" s="133" t="str">
        <x:f>IF(OR(A67="",E67="",F67=""),"",E67+F67-IF('ตั้งค่า'!$B$12="นับรวมวันเซ็น",1,0))</x:f>
      </x:c>
      <x:c r="H67" s="134"/>
      <x:c r="I67" s="117" t="str">
        <x:v>ยังไม่ส่ง</x:v>
      </x:c>
      <x:c r="J67" s="141" t="str">
        <x:f>IF(A67="","",IF(G67="","",IF(I67="ส่งแล้ว",0,G67-TODAY())))</x:f>
      </x:c>
      <x:c r="K67" s="114" t="str">
        <x:f>IF(A67="","",IF(G67="","ยังไม่ระบุวัน",IF(I67="ส่งแล้ว",IF(H67="","ส่งแล้ว",IF(INT(H67)&lt;INT(G67),"ส่งก่อนกำหนด "&amp;(INT(G67)-INT(H67))&amp;" วัน",IF(INT(H67)=INT(G67),"ส่งตรงกำหนด","ส่งล่าช้า "&amp;(INT(H67)-INT(G67))&amp;" วัน"))),IFS(G67&lt;TODAY(),"เกินกำหนด "&amp;(TODAY()-G67)&amp;" วัน",G67=TODAY(),"ครบกำหนดวันนี้",G67-TODAY()&lt;=3,"เร่งดำเนินการ",G67-TODAY()&lt;=5,"ต้องติดตาม",G67-TODAY()&lt;=10,"ใกล้ครบกำหนด",TRUE,"อยู่ระหว่างดำเนินการ"))))</x:f>
      </x:c>
      <x:c r="L67" s="114" t="str">
        <x:f>IF(OR(A67="",P67=""),"",HYPERLINK(P67,"เปิดใน Google Calendar"))</x:f>
      </x:c>
      <x:c r="M67" s="111"/>
      <x:c r="N67" s="123"/>
      <x:c r="O67" s="123"/>
      <x:c r="P67" s="123"/>
      <x:c r="Q67" s="126" t="b">
        <x:v>0</x:v>
      </x:c>
      <x:c r="R67" s="126" t="b">
        <x:v>0</x:v>
      </x:c>
      <x:c r="S67" s="126" t="b">
        <x:v>0</x:v>
      </x:c>
      <x:c r="T67" s="126" t="b">
        <x:v>0</x:v>
      </x:c>
      <x:c r="U67" s="144"/>
      <x:c r="V67" s="123"/>
      <x:c r="W67" s="123"/>
      <x:c r="X67" s="126" t="b">
        <x:v>0</x:v>
      </x:c>
    </x:row>
    <x:row r="68" ht="18" customHeight="1">
      <x:c r="A68" s="111"/>
      <x:c r="B68" s="111"/>
      <x:c r="C68" s="111"/>
      <x:c r="D68" s="111"/>
      <x:c r="E68" s="129"/>
      <x:c r="F68" s="138"/>
      <x:c r="G68" s="133" t="str">
        <x:f>IF(OR(A68="",E68="",F68=""),"",E68+F68-IF('ตั้งค่า'!$B$12="นับรวมวันเซ็น",1,0))</x:f>
      </x:c>
      <x:c r="H68" s="134"/>
      <x:c r="I68" s="117" t="str">
        <x:v>ยังไม่ส่ง</x:v>
      </x:c>
      <x:c r="J68" s="141" t="str">
        <x:f>IF(A68="","",IF(G68="","",IF(I68="ส่งแล้ว",0,G68-TODAY())))</x:f>
      </x:c>
      <x:c r="K68" s="114" t="str">
        <x:f>IF(A68="","",IF(G68="","ยังไม่ระบุวัน",IF(I68="ส่งแล้ว",IF(H68="","ส่งแล้ว",IF(INT(H68)&lt;INT(G68),"ส่งก่อนกำหนด "&amp;(INT(G68)-INT(H68))&amp;" วัน",IF(INT(H68)=INT(G68),"ส่งตรงกำหนด","ส่งล่าช้า "&amp;(INT(H68)-INT(G68))&amp;" วัน"))),IFS(G68&lt;TODAY(),"เกินกำหนด "&amp;(TODAY()-G68)&amp;" วัน",G68=TODAY(),"ครบกำหนดวันนี้",G68-TODAY()&lt;=3,"เร่งดำเนินการ",G68-TODAY()&lt;=5,"ต้องติดตาม",G68-TODAY()&lt;=10,"ใกล้ครบกำหนด",TRUE,"อยู่ระหว่างดำเนินการ"))))</x:f>
      </x:c>
      <x:c r="L68" s="114" t="str">
        <x:f>IF(OR(A68="",P68=""),"",HYPERLINK(P68,"เปิดใน Google Calendar"))</x:f>
      </x:c>
      <x:c r="M68" s="111"/>
      <x:c r="N68" s="123"/>
      <x:c r="O68" s="123"/>
      <x:c r="P68" s="123"/>
      <x:c r="Q68" s="126" t="b">
        <x:v>0</x:v>
      </x:c>
      <x:c r="R68" s="126" t="b">
        <x:v>0</x:v>
      </x:c>
      <x:c r="S68" s="126" t="b">
        <x:v>0</x:v>
      </x:c>
      <x:c r="T68" s="126" t="b">
        <x:v>0</x:v>
      </x:c>
      <x:c r="U68" s="144"/>
      <x:c r="V68" s="123"/>
      <x:c r="W68" s="123"/>
      <x:c r="X68" s="126" t="b">
        <x:v>0</x:v>
      </x:c>
    </x:row>
    <x:row r="69" ht="18" customHeight="1">
      <x:c r="A69" s="111"/>
      <x:c r="B69" s="111"/>
      <x:c r="C69" s="111"/>
      <x:c r="D69" s="111"/>
      <x:c r="E69" s="129"/>
      <x:c r="F69" s="138"/>
      <x:c r="G69" s="133" t="str">
        <x:f>IF(OR(A69="",E69="",F69=""),"",E69+F69-IF('ตั้งค่า'!$B$12="นับรวมวันเซ็น",1,0))</x:f>
      </x:c>
      <x:c r="H69" s="134"/>
      <x:c r="I69" s="117" t="str">
        <x:v>ยังไม่ส่ง</x:v>
      </x:c>
      <x:c r="J69" s="141" t="str">
        <x:f>IF(A69="","",IF(G69="","",IF(I69="ส่งแล้ว",0,G69-TODAY())))</x:f>
      </x:c>
      <x:c r="K69" s="114" t="str">
        <x:f>IF(A69="","",IF(G69="","ยังไม่ระบุวัน",IF(I69="ส่งแล้ว",IF(H69="","ส่งแล้ว",IF(INT(H69)&lt;INT(G69),"ส่งก่อนกำหนด "&amp;(INT(G69)-INT(H69))&amp;" วัน",IF(INT(H69)=INT(G69),"ส่งตรงกำหนด","ส่งล่าช้า "&amp;(INT(H69)-INT(G69))&amp;" วัน"))),IFS(G69&lt;TODAY(),"เกินกำหนด "&amp;(TODAY()-G69)&amp;" วัน",G69=TODAY(),"ครบกำหนดวันนี้",G69-TODAY()&lt;=3,"เร่งดำเนินการ",G69-TODAY()&lt;=5,"ต้องติดตาม",G69-TODAY()&lt;=10,"ใกล้ครบกำหนด",TRUE,"อยู่ระหว่างดำเนินการ"))))</x:f>
      </x:c>
      <x:c r="L69" s="114" t="str">
        <x:f>IF(OR(A69="",P69=""),"",HYPERLINK(P69,"เปิดใน Google Calendar"))</x:f>
      </x:c>
      <x:c r="M69" s="111"/>
      <x:c r="N69" s="123"/>
      <x:c r="O69" s="123"/>
      <x:c r="P69" s="123"/>
      <x:c r="Q69" s="126" t="b">
        <x:v>0</x:v>
      </x:c>
      <x:c r="R69" s="126" t="b">
        <x:v>0</x:v>
      </x:c>
      <x:c r="S69" s="126" t="b">
        <x:v>0</x:v>
      </x:c>
      <x:c r="T69" s="126" t="b">
        <x:v>0</x:v>
      </x:c>
      <x:c r="U69" s="144"/>
      <x:c r="V69" s="123"/>
      <x:c r="W69" s="123"/>
      <x:c r="X69" s="126" t="b">
        <x:v>0</x:v>
      </x:c>
    </x:row>
    <x:row r="70" ht="18" customHeight="1">
      <x:c r="A70" s="111"/>
      <x:c r="B70" s="111"/>
      <x:c r="C70" s="111"/>
      <x:c r="D70" s="111"/>
      <x:c r="E70" s="129"/>
      <x:c r="F70" s="138"/>
      <x:c r="G70" s="133" t="str">
        <x:f>IF(OR(A70="",E70="",F70=""),"",E70+F70-IF('ตั้งค่า'!$B$12="นับรวมวันเซ็น",1,0))</x:f>
      </x:c>
      <x:c r="H70" s="134"/>
      <x:c r="I70" s="117" t="str">
        <x:v>ยังไม่ส่ง</x:v>
      </x:c>
      <x:c r="J70" s="141" t="str">
        <x:f>IF(A70="","",IF(G70="","",IF(I70="ส่งแล้ว",0,G70-TODAY())))</x:f>
      </x:c>
      <x:c r="K70" s="114" t="str">
        <x:f>IF(A70="","",IF(G70="","ยังไม่ระบุวัน",IF(I70="ส่งแล้ว",IF(H70="","ส่งแล้ว",IF(INT(H70)&lt;INT(G70),"ส่งก่อนกำหนด "&amp;(INT(G70)-INT(H70))&amp;" วัน",IF(INT(H70)=INT(G70),"ส่งตรงกำหนด","ส่งล่าช้า "&amp;(INT(H70)-INT(G70))&amp;" วัน"))),IFS(G70&lt;TODAY(),"เกินกำหนด "&amp;(TODAY()-G70)&amp;" วัน",G70=TODAY(),"ครบกำหนดวันนี้",G70-TODAY()&lt;=3,"เร่งดำเนินการ",G70-TODAY()&lt;=5,"ต้องติดตาม",G70-TODAY()&lt;=10,"ใกล้ครบกำหนด",TRUE,"อยู่ระหว่างดำเนินการ"))))</x:f>
      </x:c>
      <x:c r="L70" s="114" t="str">
        <x:f>IF(OR(A70="",P70=""),"",HYPERLINK(P70,"เปิดใน Google Calendar"))</x:f>
      </x:c>
      <x:c r="M70" s="111"/>
      <x:c r="N70" s="123"/>
      <x:c r="O70" s="123"/>
      <x:c r="P70" s="123"/>
      <x:c r="Q70" s="126" t="b">
        <x:v>0</x:v>
      </x:c>
      <x:c r="R70" s="126" t="b">
        <x:v>0</x:v>
      </x:c>
      <x:c r="S70" s="126" t="b">
        <x:v>0</x:v>
      </x:c>
      <x:c r="T70" s="126" t="b">
        <x:v>0</x:v>
      </x:c>
      <x:c r="U70" s="144"/>
      <x:c r="V70" s="123"/>
      <x:c r="W70" s="123"/>
      <x:c r="X70" s="126" t="b">
        <x:v>0</x:v>
      </x:c>
    </x:row>
    <x:row r="71" ht="18" customHeight="1">
      <x:c r="A71" s="111"/>
      <x:c r="B71" s="111"/>
      <x:c r="C71" s="111"/>
      <x:c r="D71" s="111"/>
      <x:c r="E71" s="129"/>
      <x:c r="F71" s="138"/>
      <x:c r="G71" s="133" t="str">
        <x:f>IF(OR(A71="",E71="",F71=""),"",E71+F71-IF('ตั้งค่า'!$B$12="นับรวมวันเซ็น",1,0))</x:f>
      </x:c>
      <x:c r="H71" s="134"/>
      <x:c r="I71" s="117" t="str">
        <x:v>ยังไม่ส่ง</x:v>
      </x:c>
      <x:c r="J71" s="141" t="str">
        <x:f>IF(A71="","",IF(G71="","",IF(I71="ส่งแล้ว",0,G71-TODAY())))</x:f>
      </x:c>
      <x:c r="K71" s="114" t="str">
        <x:f>IF(A71="","",IF(G71="","ยังไม่ระบุวัน",IF(I71="ส่งแล้ว",IF(H71="","ส่งแล้ว",IF(INT(H71)&lt;INT(G71),"ส่งก่อนกำหนด "&amp;(INT(G71)-INT(H71))&amp;" วัน",IF(INT(H71)=INT(G71),"ส่งตรงกำหนด","ส่งล่าช้า "&amp;(INT(H71)-INT(G71))&amp;" วัน"))),IFS(G71&lt;TODAY(),"เกินกำหนด "&amp;(TODAY()-G71)&amp;" วัน",G71=TODAY(),"ครบกำหนดวันนี้",G71-TODAY()&lt;=3,"เร่งดำเนินการ",G71-TODAY()&lt;=5,"ต้องติดตาม",G71-TODAY()&lt;=10,"ใกล้ครบกำหนด",TRUE,"อยู่ระหว่างดำเนินการ"))))</x:f>
      </x:c>
      <x:c r="L71" s="114" t="str">
        <x:f>IF(OR(A71="",P71=""),"",HYPERLINK(P71,"เปิดใน Google Calendar"))</x:f>
      </x:c>
      <x:c r="M71" s="111"/>
      <x:c r="N71" s="123"/>
      <x:c r="O71" s="123"/>
      <x:c r="P71" s="123"/>
      <x:c r="Q71" s="126" t="b">
        <x:v>0</x:v>
      </x:c>
      <x:c r="R71" s="126" t="b">
        <x:v>0</x:v>
      </x:c>
      <x:c r="S71" s="126" t="b">
        <x:v>0</x:v>
      </x:c>
      <x:c r="T71" s="126" t="b">
        <x:v>0</x:v>
      </x:c>
      <x:c r="U71" s="144"/>
      <x:c r="V71" s="123"/>
      <x:c r="W71" s="123"/>
      <x:c r="X71" s="126" t="b">
        <x:v>0</x:v>
      </x:c>
    </x:row>
    <x:row r="72" ht="18" customHeight="1">
      <x:c r="A72" s="111"/>
      <x:c r="B72" s="111"/>
      <x:c r="C72" s="111"/>
      <x:c r="D72" s="111"/>
      <x:c r="E72" s="129"/>
      <x:c r="F72" s="138"/>
      <x:c r="G72" s="133" t="str">
        <x:f>IF(OR(A72="",E72="",F72=""),"",E72+F72-IF('ตั้งค่า'!$B$12="นับรวมวันเซ็น",1,0))</x:f>
      </x:c>
      <x:c r="H72" s="134"/>
      <x:c r="I72" s="117" t="str">
        <x:v>ยังไม่ส่ง</x:v>
      </x:c>
      <x:c r="J72" s="141" t="str">
        <x:f>IF(A72="","",IF(G72="","",IF(I72="ส่งแล้ว",0,G72-TODAY())))</x:f>
      </x:c>
      <x:c r="K72" s="114" t="str">
        <x:f>IF(A72="","",IF(G72="","ยังไม่ระบุวัน",IF(I72="ส่งแล้ว",IF(H72="","ส่งแล้ว",IF(INT(H72)&lt;INT(G72),"ส่งก่อนกำหนด "&amp;(INT(G72)-INT(H72))&amp;" วัน",IF(INT(H72)=INT(G72),"ส่งตรงกำหนด","ส่งล่าช้า "&amp;(INT(H72)-INT(G72))&amp;" วัน"))),IFS(G72&lt;TODAY(),"เกินกำหนด "&amp;(TODAY()-G72)&amp;" วัน",G72=TODAY(),"ครบกำหนดวันนี้",G72-TODAY()&lt;=3,"เร่งดำเนินการ",G72-TODAY()&lt;=5,"ต้องติดตาม",G72-TODAY()&lt;=10,"ใกล้ครบกำหนด",TRUE,"อยู่ระหว่างดำเนินการ"))))</x:f>
      </x:c>
      <x:c r="L72" s="114" t="str">
        <x:f>IF(OR(A72="",P72=""),"",HYPERLINK(P72,"เปิดใน Google Calendar"))</x:f>
      </x:c>
      <x:c r="M72" s="111"/>
      <x:c r="N72" s="123"/>
      <x:c r="O72" s="123"/>
      <x:c r="P72" s="123"/>
      <x:c r="Q72" s="126" t="b">
        <x:v>0</x:v>
      </x:c>
      <x:c r="R72" s="126" t="b">
        <x:v>0</x:v>
      </x:c>
      <x:c r="S72" s="126" t="b">
        <x:v>0</x:v>
      </x:c>
      <x:c r="T72" s="126" t="b">
        <x:v>0</x:v>
      </x:c>
      <x:c r="U72" s="144"/>
      <x:c r="V72" s="123"/>
      <x:c r="W72" s="123"/>
      <x:c r="X72" s="126" t="b">
        <x:v>0</x:v>
      </x:c>
    </x:row>
    <x:row r="73" ht="18" customHeight="1">
      <x:c r="A73" s="111"/>
      <x:c r="B73" s="111"/>
      <x:c r="C73" s="111"/>
      <x:c r="D73" s="111"/>
      <x:c r="E73" s="129"/>
      <x:c r="F73" s="138"/>
      <x:c r="G73" s="133" t="str">
        <x:f>IF(OR(A73="",E73="",F73=""),"",E73+F73-IF('ตั้งค่า'!$B$12="นับรวมวันเซ็น",1,0))</x:f>
      </x:c>
      <x:c r="H73" s="134"/>
      <x:c r="I73" s="117" t="str">
        <x:v>ยังไม่ส่ง</x:v>
      </x:c>
      <x:c r="J73" s="141" t="str">
        <x:f>IF(A73="","",IF(G73="","",IF(I73="ส่งแล้ว",0,G73-TODAY())))</x:f>
      </x:c>
      <x:c r="K73" s="114" t="str">
        <x:f>IF(A73="","",IF(G73="","ยังไม่ระบุวัน",IF(I73="ส่งแล้ว",IF(H73="","ส่งแล้ว",IF(INT(H73)&lt;INT(G73),"ส่งก่อนกำหนด "&amp;(INT(G73)-INT(H73))&amp;" วัน",IF(INT(H73)=INT(G73),"ส่งตรงกำหนด","ส่งล่าช้า "&amp;(INT(H73)-INT(G73))&amp;" วัน"))),IFS(G73&lt;TODAY(),"เกินกำหนด "&amp;(TODAY()-G73)&amp;" วัน",G73=TODAY(),"ครบกำหนดวันนี้",G73-TODAY()&lt;=3,"เร่งดำเนินการ",G73-TODAY()&lt;=5,"ต้องติดตาม",G73-TODAY()&lt;=10,"ใกล้ครบกำหนด",TRUE,"อยู่ระหว่างดำเนินการ"))))</x:f>
      </x:c>
      <x:c r="L73" s="114" t="str">
        <x:f>IF(OR(A73="",P73=""),"",HYPERLINK(P73,"เปิดใน Google Calendar"))</x:f>
      </x:c>
      <x:c r="M73" s="111"/>
      <x:c r="N73" s="123"/>
      <x:c r="O73" s="123"/>
      <x:c r="P73" s="123"/>
      <x:c r="Q73" s="126" t="b">
        <x:v>0</x:v>
      </x:c>
      <x:c r="R73" s="126" t="b">
        <x:v>0</x:v>
      </x:c>
      <x:c r="S73" s="126" t="b">
        <x:v>0</x:v>
      </x:c>
      <x:c r="T73" s="126" t="b">
        <x:v>0</x:v>
      </x:c>
      <x:c r="U73" s="144"/>
      <x:c r="V73" s="123"/>
      <x:c r="W73" s="123"/>
      <x:c r="X73" s="126" t="b">
        <x:v>0</x:v>
      </x:c>
    </x:row>
    <x:row r="74" ht="18" customHeight="1">
      <x:c r="A74" s="111"/>
      <x:c r="B74" s="111"/>
      <x:c r="C74" s="111"/>
      <x:c r="D74" s="111"/>
      <x:c r="E74" s="129"/>
      <x:c r="F74" s="138"/>
      <x:c r="G74" s="133" t="str">
        <x:f>IF(OR(A74="",E74="",F74=""),"",E74+F74-IF('ตั้งค่า'!$B$12="นับรวมวันเซ็น",1,0))</x:f>
      </x:c>
      <x:c r="H74" s="134"/>
      <x:c r="I74" s="117" t="str">
        <x:v>ยังไม่ส่ง</x:v>
      </x:c>
      <x:c r="J74" s="141" t="str">
        <x:f>IF(A74="","",IF(G74="","",IF(I74="ส่งแล้ว",0,G74-TODAY())))</x:f>
      </x:c>
      <x:c r="K74" s="114" t="str">
        <x:f>IF(A74="","",IF(G74="","ยังไม่ระบุวัน",IF(I74="ส่งแล้ว",IF(H74="","ส่งแล้ว",IF(INT(H74)&lt;INT(G74),"ส่งก่อนกำหนด "&amp;(INT(G74)-INT(H74))&amp;" วัน",IF(INT(H74)=INT(G74),"ส่งตรงกำหนด","ส่งล่าช้า "&amp;(INT(H74)-INT(G74))&amp;" วัน"))),IFS(G74&lt;TODAY(),"เกินกำหนด "&amp;(TODAY()-G74)&amp;" วัน",G74=TODAY(),"ครบกำหนดวันนี้",G74-TODAY()&lt;=3,"เร่งดำเนินการ",G74-TODAY()&lt;=5,"ต้องติดตาม",G74-TODAY()&lt;=10,"ใกล้ครบกำหนด",TRUE,"อยู่ระหว่างดำเนินการ"))))</x:f>
      </x:c>
      <x:c r="L74" s="114" t="str">
        <x:f>IF(OR(A74="",P74=""),"",HYPERLINK(P74,"เปิดใน Google Calendar"))</x:f>
      </x:c>
      <x:c r="M74" s="111"/>
      <x:c r="N74" s="123"/>
      <x:c r="O74" s="123"/>
      <x:c r="P74" s="123"/>
      <x:c r="Q74" s="126" t="b">
        <x:v>0</x:v>
      </x:c>
      <x:c r="R74" s="126" t="b">
        <x:v>0</x:v>
      </x:c>
      <x:c r="S74" s="126" t="b">
        <x:v>0</x:v>
      </x:c>
      <x:c r="T74" s="126" t="b">
        <x:v>0</x:v>
      </x:c>
      <x:c r="U74" s="144"/>
      <x:c r="V74" s="123"/>
      <x:c r="W74" s="123"/>
      <x:c r="X74" s="126" t="b">
        <x:v>0</x:v>
      </x:c>
    </x:row>
    <x:row r="75" ht="18" customHeight="1">
      <x:c r="A75" s="111"/>
      <x:c r="B75" s="111"/>
      <x:c r="C75" s="111"/>
      <x:c r="D75" s="111"/>
      <x:c r="E75" s="129"/>
      <x:c r="F75" s="138"/>
      <x:c r="G75" s="133" t="str">
        <x:f>IF(OR(A75="",E75="",F75=""),"",E75+F75-IF('ตั้งค่า'!$B$12="นับรวมวันเซ็น",1,0))</x:f>
      </x:c>
      <x:c r="H75" s="134"/>
      <x:c r="I75" s="117" t="str">
        <x:v>ยังไม่ส่ง</x:v>
      </x:c>
      <x:c r="J75" s="141" t="str">
        <x:f>IF(A75="","",IF(G75="","",IF(I75="ส่งแล้ว",0,G75-TODAY())))</x:f>
      </x:c>
      <x:c r="K75" s="114" t="str">
        <x:f>IF(A75="","",IF(G75="","ยังไม่ระบุวัน",IF(I75="ส่งแล้ว",IF(H75="","ส่งแล้ว",IF(INT(H75)&lt;INT(G75),"ส่งก่อนกำหนด "&amp;(INT(G75)-INT(H75))&amp;" วัน",IF(INT(H75)=INT(G75),"ส่งตรงกำหนด","ส่งล่าช้า "&amp;(INT(H75)-INT(G75))&amp;" วัน"))),IFS(G75&lt;TODAY(),"เกินกำหนด "&amp;(TODAY()-G75)&amp;" วัน",G75=TODAY(),"ครบกำหนดวันนี้",G75-TODAY()&lt;=3,"เร่งดำเนินการ",G75-TODAY()&lt;=5,"ต้องติดตาม",G75-TODAY()&lt;=10,"ใกล้ครบกำหนด",TRUE,"อยู่ระหว่างดำเนินการ"))))</x:f>
      </x:c>
      <x:c r="L75" s="114" t="str">
        <x:f>IF(OR(A75="",P75=""),"",HYPERLINK(P75,"เปิดใน Google Calendar"))</x:f>
      </x:c>
      <x:c r="M75" s="111"/>
      <x:c r="N75" s="123"/>
      <x:c r="O75" s="123"/>
      <x:c r="P75" s="123"/>
      <x:c r="Q75" s="126" t="b">
        <x:v>0</x:v>
      </x:c>
      <x:c r="R75" s="126" t="b">
        <x:v>0</x:v>
      </x:c>
      <x:c r="S75" s="126" t="b">
        <x:v>0</x:v>
      </x:c>
      <x:c r="T75" s="126" t="b">
        <x:v>0</x:v>
      </x:c>
      <x:c r="U75" s="144"/>
      <x:c r="V75" s="123"/>
      <x:c r="W75" s="123"/>
      <x:c r="X75" s="126" t="b">
        <x:v>0</x:v>
      </x:c>
    </x:row>
    <x:row r="76" ht="18" customHeight="1">
      <x:c r="A76" s="111"/>
      <x:c r="B76" s="111"/>
      <x:c r="C76" s="111"/>
      <x:c r="D76" s="111"/>
      <x:c r="E76" s="129"/>
      <x:c r="F76" s="138"/>
      <x:c r="G76" s="133" t="str">
        <x:f>IF(OR(A76="",E76="",F76=""),"",E76+F76-IF('ตั้งค่า'!$B$12="นับรวมวันเซ็น",1,0))</x:f>
      </x:c>
      <x:c r="H76" s="134"/>
      <x:c r="I76" s="117" t="str">
        <x:v>ยังไม่ส่ง</x:v>
      </x:c>
      <x:c r="J76" s="141" t="str">
        <x:f>IF(A76="","",IF(G76="","",IF(I76="ส่งแล้ว",0,G76-TODAY())))</x:f>
      </x:c>
      <x:c r="K76" s="114" t="str">
        <x:f>IF(A76="","",IF(G76="","ยังไม่ระบุวัน",IF(I76="ส่งแล้ว",IF(H76="","ส่งแล้ว",IF(INT(H76)&lt;INT(G76),"ส่งก่อนกำหนด "&amp;(INT(G76)-INT(H76))&amp;" วัน",IF(INT(H76)=INT(G76),"ส่งตรงกำหนด","ส่งล่าช้า "&amp;(INT(H76)-INT(G76))&amp;" วัน"))),IFS(G76&lt;TODAY(),"เกินกำหนด "&amp;(TODAY()-G76)&amp;" วัน",G76=TODAY(),"ครบกำหนดวันนี้",G76-TODAY()&lt;=3,"เร่งดำเนินการ",G76-TODAY()&lt;=5,"ต้องติดตาม",G76-TODAY()&lt;=10,"ใกล้ครบกำหนด",TRUE,"อยู่ระหว่างดำเนินการ"))))</x:f>
      </x:c>
      <x:c r="L76" s="114" t="str">
        <x:f>IF(OR(A76="",P76=""),"",HYPERLINK(P76,"เปิดใน Google Calendar"))</x:f>
      </x:c>
      <x:c r="M76" s="111"/>
      <x:c r="N76" s="123"/>
      <x:c r="O76" s="123"/>
      <x:c r="P76" s="123"/>
      <x:c r="Q76" s="126" t="b">
        <x:v>0</x:v>
      </x:c>
      <x:c r="R76" s="126" t="b">
        <x:v>0</x:v>
      </x:c>
      <x:c r="S76" s="126" t="b">
        <x:v>0</x:v>
      </x:c>
      <x:c r="T76" s="126" t="b">
        <x:v>0</x:v>
      </x:c>
      <x:c r="U76" s="144"/>
      <x:c r="V76" s="123"/>
      <x:c r="W76" s="123"/>
      <x:c r="X76" s="126" t="b">
        <x:v>0</x:v>
      </x:c>
    </x:row>
    <x:row r="77" ht="18" customHeight="1">
      <x:c r="A77" s="111"/>
      <x:c r="B77" s="111"/>
      <x:c r="C77" s="111"/>
      <x:c r="D77" s="111"/>
      <x:c r="E77" s="129"/>
      <x:c r="F77" s="138"/>
      <x:c r="G77" s="133" t="str">
        <x:f>IF(OR(A77="",E77="",F77=""),"",E77+F77-IF('ตั้งค่า'!$B$12="นับรวมวันเซ็น",1,0))</x:f>
      </x:c>
      <x:c r="H77" s="134"/>
      <x:c r="I77" s="117" t="str">
        <x:v>ยังไม่ส่ง</x:v>
      </x:c>
      <x:c r="J77" s="141" t="str">
        <x:f>IF(A77="","",IF(G77="","",IF(I77="ส่งแล้ว",0,G77-TODAY())))</x:f>
      </x:c>
      <x:c r="K77" s="114" t="str">
        <x:f>IF(A77="","",IF(G77="","ยังไม่ระบุวัน",IF(I77="ส่งแล้ว",IF(H77="","ส่งแล้ว",IF(INT(H77)&lt;INT(G77),"ส่งก่อนกำหนด "&amp;(INT(G77)-INT(H77))&amp;" วัน",IF(INT(H77)=INT(G77),"ส่งตรงกำหนด","ส่งล่าช้า "&amp;(INT(H77)-INT(G77))&amp;" วัน"))),IFS(G77&lt;TODAY(),"เกินกำหนด "&amp;(TODAY()-G77)&amp;" วัน",G77=TODAY(),"ครบกำหนดวันนี้",G77-TODAY()&lt;=3,"เร่งดำเนินการ",G77-TODAY()&lt;=5,"ต้องติดตาม",G77-TODAY()&lt;=10,"ใกล้ครบกำหนด",TRUE,"อยู่ระหว่างดำเนินการ"))))</x:f>
      </x:c>
      <x:c r="L77" s="114" t="str">
        <x:f>IF(OR(A77="",P77=""),"",HYPERLINK(P77,"เปิดใน Google Calendar"))</x:f>
      </x:c>
      <x:c r="M77" s="111"/>
      <x:c r="N77" s="123"/>
      <x:c r="O77" s="123"/>
      <x:c r="P77" s="123"/>
      <x:c r="Q77" s="126" t="b">
        <x:v>0</x:v>
      </x:c>
      <x:c r="R77" s="126" t="b">
        <x:v>0</x:v>
      </x:c>
      <x:c r="S77" s="126" t="b">
        <x:v>0</x:v>
      </x:c>
      <x:c r="T77" s="126" t="b">
        <x:v>0</x:v>
      </x:c>
      <x:c r="U77" s="144"/>
      <x:c r="V77" s="123"/>
      <x:c r="W77" s="123"/>
      <x:c r="X77" s="126" t="b">
        <x:v>0</x:v>
      </x:c>
    </x:row>
    <x:row r="78" ht="18" customHeight="1">
      <x:c r="A78" s="111"/>
      <x:c r="B78" s="111"/>
      <x:c r="C78" s="111"/>
      <x:c r="D78" s="111"/>
      <x:c r="E78" s="129"/>
      <x:c r="F78" s="138"/>
      <x:c r="G78" s="133" t="str">
        <x:f>IF(OR(A78="",E78="",F78=""),"",E78+F78-IF('ตั้งค่า'!$B$12="นับรวมวันเซ็น",1,0))</x:f>
      </x:c>
      <x:c r="H78" s="134"/>
      <x:c r="I78" s="117" t="str">
        <x:v>ยังไม่ส่ง</x:v>
      </x:c>
      <x:c r="J78" s="141" t="str">
        <x:f>IF(A78="","",IF(G78="","",IF(I78="ส่งแล้ว",0,G78-TODAY())))</x:f>
      </x:c>
      <x:c r="K78" s="114" t="str">
        <x:f>IF(A78="","",IF(G78="","ยังไม่ระบุวัน",IF(I78="ส่งแล้ว",IF(H78="","ส่งแล้ว",IF(INT(H78)&lt;INT(G78),"ส่งก่อนกำหนด "&amp;(INT(G78)-INT(H78))&amp;" วัน",IF(INT(H78)=INT(G78),"ส่งตรงกำหนด","ส่งล่าช้า "&amp;(INT(H78)-INT(G78))&amp;" วัน"))),IFS(G78&lt;TODAY(),"เกินกำหนด "&amp;(TODAY()-G78)&amp;" วัน",G78=TODAY(),"ครบกำหนดวันนี้",G78-TODAY()&lt;=3,"เร่งดำเนินการ",G78-TODAY()&lt;=5,"ต้องติดตาม",G78-TODAY()&lt;=10,"ใกล้ครบกำหนด",TRUE,"อยู่ระหว่างดำเนินการ"))))</x:f>
      </x:c>
      <x:c r="L78" s="114" t="str">
        <x:f>IF(OR(A78="",P78=""),"",HYPERLINK(P78,"เปิดใน Google Calendar"))</x:f>
      </x:c>
      <x:c r="M78" s="111"/>
      <x:c r="N78" s="123"/>
      <x:c r="O78" s="123"/>
      <x:c r="P78" s="123"/>
      <x:c r="Q78" s="126" t="b">
        <x:v>0</x:v>
      </x:c>
      <x:c r="R78" s="126" t="b">
        <x:v>0</x:v>
      </x:c>
      <x:c r="S78" s="126" t="b">
        <x:v>0</x:v>
      </x:c>
      <x:c r="T78" s="126" t="b">
        <x:v>0</x:v>
      </x:c>
      <x:c r="U78" s="144"/>
      <x:c r="V78" s="123"/>
      <x:c r="W78" s="123"/>
      <x:c r="X78" s="126" t="b">
        <x:v>0</x:v>
      </x:c>
    </x:row>
    <x:row r="79" ht="18" customHeight="1">
      <x:c r="A79" s="111"/>
      <x:c r="B79" s="111"/>
      <x:c r="C79" s="111"/>
      <x:c r="D79" s="111"/>
      <x:c r="E79" s="129"/>
      <x:c r="F79" s="138"/>
      <x:c r="G79" s="133" t="str">
        <x:f>IF(OR(A79="",E79="",F79=""),"",E79+F79-IF('ตั้งค่า'!$B$12="นับรวมวันเซ็น",1,0))</x:f>
      </x:c>
      <x:c r="H79" s="134"/>
      <x:c r="I79" s="117" t="str">
        <x:v>ยังไม่ส่ง</x:v>
      </x:c>
      <x:c r="J79" s="141" t="str">
        <x:f>IF(A79="","",IF(G79="","",IF(I79="ส่งแล้ว",0,G79-TODAY())))</x:f>
      </x:c>
      <x:c r="K79" s="114" t="str">
        <x:f>IF(A79="","",IF(G79="","ยังไม่ระบุวัน",IF(I79="ส่งแล้ว",IF(H79="","ส่งแล้ว",IF(INT(H79)&lt;INT(G79),"ส่งก่อนกำหนด "&amp;(INT(G79)-INT(H79))&amp;" วัน",IF(INT(H79)=INT(G79),"ส่งตรงกำหนด","ส่งล่าช้า "&amp;(INT(H79)-INT(G79))&amp;" วัน"))),IFS(G79&lt;TODAY(),"เกินกำหนด "&amp;(TODAY()-G79)&amp;" วัน",G79=TODAY(),"ครบกำหนดวันนี้",G79-TODAY()&lt;=3,"เร่งดำเนินการ",G79-TODAY()&lt;=5,"ต้องติดตาม",G79-TODAY()&lt;=10,"ใกล้ครบกำหนด",TRUE,"อยู่ระหว่างดำเนินการ"))))</x:f>
      </x:c>
      <x:c r="L79" s="114" t="str">
        <x:f>IF(OR(A79="",P79=""),"",HYPERLINK(P79,"เปิดใน Google Calendar"))</x:f>
      </x:c>
      <x:c r="M79" s="111"/>
      <x:c r="N79" s="123"/>
      <x:c r="O79" s="123"/>
      <x:c r="P79" s="123"/>
      <x:c r="Q79" s="126" t="b">
        <x:v>0</x:v>
      </x:c>
      <x:c r="R79" s="126" t="b">
        <x:v>0</x:v>
      </x:c>
      <x:c r="S79" s="126" t="b">
        <x:v>0</x:v>
      </x:c>
      <x:c r="T79" s="126" t="b">
        <x:v>0</x:v>
      </x:c>
      <x:c r="U79" s="144"/>
      <x:c r="V79" s="123"/>
      <x:c r="W79" s="123"/>
      <x:c r="X79" s="126" t="b">
        <x:v>0</x:v>
      </x:c>
    </x:row>
    <x:row r="80" ht="18" customHeight="1">
      <x:c r="A80" s="111"/>
      <x:c r="B80" s="111"/>
      <x:c r="C80" s="111"/>
      <x:c r="D80" s="111"/>
      <x:c r="E80" s="129"/>
      <x:c r="F80" s="138"/>
      <x:c r="G80" s="133" t="str">
        <x:f>IF(OR(A80="",E80="",F80=""),"",E80+F80-IF('ตั้งค่า'!$B$12="นับรวมวันเซ็น",1,0))</x:f>
      </x:c>
      <x:c r="H80" s="134"/>
      <x:c r="I80" s="117" t="str">
        <x:v>ยังไม่ส่ง</x:v>
      </x:c>
      <x:c r="J80" s="141" t="str">
        <x:f>IF(A80="","",IF(G80="","",IF(I80="ส่งแล้ว",0,G80-TODAY())))</x:f>
      </x:c>
      <x:c r="K80" s="114" t="str">
        <x:f>IF(A80="","",IF(G80="","ยังไม่ระบุวัน",IF(I80="ส่งแล้ว",IF(H80="","ส่งแล้ว",IF(INT(H80)&lt;INT(G80),"ส่งก่อนกำหนด "&amp;(INT(G80)-INT(H80))&amp;" วัน",IF(INT(H80)=INT(G80),"ส่งตรงกำหนด","ส่งล่าช้า "&amp;(INT(H80)-INT(G80))&amp;" วัน"))),IFS(G80&lt;TODAY(),"เกินกำหนด "&amp;(TODAY()-G80)&amp;" วัน",G80=TODAY(),"ครบกำหนดวันนี้",G80-TODAY()&lt;=3,"เร่งดำเนินการ",G80-TODAY()&lt;=5,"ต้องติดตาม",G80-TODAY()&lt;=10,"ใกล้ครบกำหนด",TRUE,"อยู่ระหว่างดำเนินการ"))))</x:f>
      </x:c>
      <x:c r="L80" s="114" t="str">
        <x:f>IF(OR(A80="",P80=""),"",HYPERLINK(P80,"เปิดใน Google Calendar"))</x:f>
      </x:c>
      <x:c r="M80" s="111"/>
      <x:c r="N80" s="123"/>
      <x:c r="O80" s="123"/>
      <x:c r="P80" s="123"/>
      <x:c r="Q80" s="126" t="b">
        <x:v>0</x:v>
      </x:c>
      <x:c r="R80" s="126" t="b">
        <x:v>0</x:v>
      </x:c>
      <x:c r="S80" s="126" t="b">
        <x:v>0</x:v>
      </x:c>
      <x:c r="T80" s="126" t="b">
        <x:v>0</x:v>
      </x:c>
      <x:c r="U80" s="144"/>
      <x:c r="V80" s="123"/>
      <x:c r="W80" s="123"/>
      <x:c r="X80" s="126" t="b">
        <x:v>0</x:v>
      </x:c>
    </x:row>
    <x:row r="81" ht="18" customHeight="1">
      <x:c r="A81" s="111"/>
      <x:c r="B81" s="111"/>
      <x:c r="C81" s="111"/>
      <x:c r="D81" s="111"/>
      <x:c r="E81" s="129"/>
      <x:c r="F81" s="138"/>
      <x:c r="G81" s="133" t="str">
        <x:f>IF(OR(A81="",E81="",F81=""),"",E81+F81-IF('ตั้งค่า'!$B$12="นับรวมวันเซ็น",1,0))</x:f>
      </x:c>
      <x:c r="H81" s="134"/>
      <x:c r="I81" s="117" t="str">
        <x:v>ยังไม่ส่ง</x:v>
      </x:c>
      <x:c r="J81" s="141" t="str">
        <x:f>IF(A81="","",IF(G81="","",IF(I81="ส่งแล้ว",0,G81-TODAY())))</x:f>
      </x:c>
      <x:c r="K81" s="114" t="str">
        <x:f>IF(A81="","",IF(G81="","ยังไม่ระบุวัน",IF(I81="ส่งแล้ว",IF(H81="","ส่งแล้ว",IF(INT(H81)&lt;INT(G81),"ส่งก่อนกำหนด "&amp;(INT(G81)-INT(H81))&amp;" วัน",IF(INT(H81)=INT(G81),"ส่งตรงกำหนด","ส่งล่าช้า "&amp;(INT(H81)-INT(G81))&amp;" วัน"))),IFS(G81&lt;TODAY(),"เกินกำหนด "&amp;(TODAY()-G81)&amp;" วัน",G81=TODAY(),"ครบกำหนดวันนี้",G81-TODAY()&lt;=3,"เร่งดำเนินการ",G81-TODAY()&lt;=5,"ต้องติดตาม",G81-TODAY()&lt;=10,"ใกล้ครบกำหนด",TRUE,"อยู่ระหว่างดำเนินการ"))))</x:f>
      </x:c>
      <x:c r="L81" s="114" t="str">
        <x:f>IF(OR(A81="",P81=""),"",HYPERLINK(P81,"เปิดใน Google Calendar"))</x:f>
      </x:c>
      <x:c r="M81" s="111"/>
      <x:c r="N81" s="123"/>
      <x:c r="O81" s="123"/>
      <x:c r="P81" s="123"/>
      <x:c r="Q81" s="126" t="b">
        <x:v>0</x:v>
      </x:c>
      <x:c r="R81" s="126" t="b">
        <x:v>0</x:v>
      </x:c>
      <x:c r="S81" s="126" t="b">
        <x:v>0</x:v>
      </x:c>
      <x:c r="T81" s="126" t="b">
        <x:v>0</x:v>
      </x:c>
      <x:c r="U81" s="144"/>
      <x:c r="V81" s="123"/>
      <x:c r="W81" s="123"/>
      <x:c r="X81" s="126" t="b">
        <x:v>0</x:v>
      </x:c>
    </x:row>
    <x:row r="82" ht="18" customHeight="1">
      <x:c r="A82" s="111"/>
      <x:c r="B82" s="111"/>
      <x:c r="C82" s="111"/>
      <x:c r="D82" s="111"/>
      <x:c r="E82" s="129"/>
      <x:c r="F82" s="138"/>
      <x:c r="G82" s="133" t="str">
        <x:f>IF(OR(A82="",E82="",F82=""),"",E82+F82-IF('ตั้งค่า'!$B$12="นับรวมวันเซ็น",1,0))</x:f>
      </x:c>
      <x:c r="H82" s="134"/>
      <x:c r="I82" s="117" t="str">
        <x:v>ยังไม่ส่ง</x:v>
      </x:c>
      <x:c r="J82" s="141" t="str">
        <x:f>IF(A82="","",IF(G82="","",IF(I82="ส่งแล้ว",0,G82-TODAY())))</x:f>
      </x:c>
      <x:c r="K82" s="114" t="str">
        <x:f>IF(A82="","",IF(G82="","ยังไม่ระบุวัน",IF(I82="ส่งแล้ว",IF(H82="","ส่งแล้ว",IF(INT(H82)&lt;INT(G82),"ส่งก่อนกำหนด "&amp;(INT(G82)-INT(H82))&amp;" วัน",IF(INT(H82)=INT(G82),"ส่งตรงกำหนด","ส่งล่าช้า "&amp;(INT(H82)-INT(G82))&amp;" วัน"))),IFS(G82&lt;TODAY(),"เกินกำหนด "&amp;(TODAY()-G82)&amp;" วัน",G82=TODAY(),"ครบกำหนดวันนี้",G82-TODAY()&lt;=3,"เร่งดำเนินการ",G82-TODAY()&lt;=5,"ต้องติดตาม",G82-TODAY()&lt;=10,"ใกล้ครบกำหนด",TRUE,"อยู่ระหว่างดำเนินการ"))))</x:f>
      </x:c>
      <x:c r="L82" s="114" t="str">
        <x:f>IF(OR(A82="",P82=""),"",HYPERLINK(P82,"เปิดใน Google Calendar"))</x:f>
      </x:c>
      <x:c r="M82" s="111"/>
      <x:c r="N82" s="123"/>
      <x:c r="O82" s="123"/>
      <x:c r="P82" s="123"/>
      <x:c r="Q82" s="126" t="b">
        <x:v>0</x:v>
      </x:c>
      <x:c r="R82" s="126" t="b">
        <x:v>0</x:v>
      </x:c>
      <x:c r="S82" s="126" t="b">
        <x:v>0</x:v>
      </x:c>
      <x:c r="T82" s="126" t="b">
        <x:v>0</x:v>
      </x:c>
      <x:c r="U82" s="144"/>
      <x:c r="V82" s="123"/>
      <x:c r="W82" s="123"/>
      <x:c r="X82" s="126" t="b">
        <x:v>0</x:v>
      </x:c>
    </x:row>
    <x:row r="83" ht="18" customHeight="1">
      <x:c r="A83" s="111"/>
      <x:c r="B83" s="111"/>
      <x:c r="C83" s="111"/>
      <x:c r="D83" s="111"/>
      <x:c r="E83" s="129"/>
      <x:c r="F83" s="138"/>
      <x:c r="G83" s="133" t="str">
        <x:f>IF(OR(A83="",E83="",F83=""),"",E83+F83-IF('ตั้งค่า'!$B$12="นับรวมวันเซ็น",1,0))</x:f>
      </x:c>
      <x:c r="H83" s="134"/>
      <x:c r="I83" s="117" t="str">
        <x:v>ยังไม่ส่ง</x:v>
      </x:c>
      <x:c r="J83" s="141" t="str">
        <x:f>IF(A83="","",IF(G83="","",IF(I83="ส่งแล้ว",0,G83-TODAY())))</x:f>
      </x:c>
      <x:c r="K83" s="114" t="str">
        <x:f>IF(A83="","",IF(G83="","ยังไม่ระบุวัน",IF(I83="ส่งแล้ว",IF(H83="","ส่งแล้ว",IF(INT(H83)&lt;INT(G83),"ส่งก่อนกำหนด "&amp;(INT(G83)-INT(H83))&amp;" วัน",IF(INT(H83)=INT(G83),"ส่งตรงกำหนด","ส่งล่าช้า "&amp;(INT(H83)-INT(G83))&amp;" วัน"))),IFS(G83&lt;TODAY(),"เกินกำหนด "&amp;(TODAY()-G83)&amp;" วัน",G83=TODAY(),"ครบกำหนดวันนี้",G83-TODAY()&lt;=3,"เร่งดำเนินการ",G83-TODAY()&lt;=5,"ต้องติดตาม",G83-TODAY()&lt;=10,"ใกล้ครบกำหนด",TRUE,"อยู่ระหว่างดำเนินการ"))))</x:f>
      </x:c>
      <x:c r="L83" s="114" t="str">
        <x:f>IF(OR(A83="",P83=""),"",HYPERLINK(P83,"เปิดใน Google Calendar"))</x:f>
      </x:c>
      <x:c r="M83" s="111"/>
      <x:c r="N83" s="123"/>
      <x:c r="O83" s="123"/>
      <x:c r="P83" s="123"/>
      <x:c r="Q83" s="126" t="b">
        <x:v>0</x:v>
      </x:c>
      <x:c r="R83" s="126" t="b">
        <x:v>0</x:v>
      </x:c>
      <x:c r="S83" s="126" t="b">
        <x:v>0</x:v>
      </x:c>
      <x:c r="T83" s="126" t="b">
        <x:v>0</x:v>
      </x:c>
      <x:c r="U83" s="144"/>
      <x:c r="V83" s="123"/>
      <x:c r="W83" s="123"/>
      <x:c r="X83" s="126" t="b">
        <x:v>0</x:v>
      </x:c>
    </x:row>
    <x:row r="84" ht="18" customHeight="1">
      <x:c r="A84" s="111"/>
      <x:c r="B84" s="111"/>
      <x:c r="C84" s="111"/>
      <x:c r="D84" s="111"/>
      <x:c r="E84" s="129"/>
      <x:c r="F84" s="138"/>
      <x:c r="G84" s="133" t="str">
        <x:f>IF(OR(A84="",E84="",F84=""),"",E84+F84-IF('ตั้งค่า'!$B$12="นับรวมวันเซ็น",1,0))</x:f>
      </x:c>
      <x:c r="H84" s="134"/>
      <x:c r="I84" s="117" t="str">
        <x:v>ยังไม่ส่ง</x:v>
      </x:c>
      <x:c r="J84" s="141" t="str">
        <x:f>IF(A84="","",IF(G84="","",IF(I84="ส่งแล้ว",0,G84-TODAY())))</x:f>
      </x:c>
      <x:c r="K84" s="114" t="str">
        <x:f>IF(A84="","",IF(G84="","ยังไม่ระบุวัน",IF(I84="ส่งแล้ว",IF(H84="","ส่งแล้ว",IF(INT(H84)&lt;INT(G84),"ส่งก่อนกำหนด "&amp;(INT(G84)-INT(H84))&amp;" วัน",IF(INT(H84)=INT(G84),"ส่งตรงกำหนด","ส่งล่าช้า "&amp;(INT(H84)-INT(G84))&amp;" วัน"))),IFS(G84&lt;TODAY(),"เกินกำหนด "&amp;(TODAY()-G84)&amp;" วัน",G84=TODAY(),"ครบกำหนดวันนี้",G84-TODAY()&lt;=3,"เร่งดำเนินการ",G84-TODAY()&lt;=5,"ต้องติดตาม",G84-TODAY()&lt;=10,"ใกล้ครบกำหนด",TRUE,"อยู่ระหว่างดำเนินการ"))))</x:f>
      </x:c>
      <x:c r="L84" s="114" t="str">
        <x:f>IF(OR(A84="",P84=""),"",HYPERLINK(P84,"เปิดใน Google Calendar"))</x:f>
      </x:c>
      <x:c r="M84" s="111"/>
      <x:c r="N84" s="123"/>
      <x:c r="O84" s="123"/>
      <x:c r="P84" s="123"/>
      <x:c r="Q84" s="126" t="b">
        <x:v>0</x:v>
      </x:c>
      <x:c r="R84" s="126" t="b">
        <x:v>0</x:v>
      </x:c>
      <x:c r="S84" s="126" t="b">
        <x:v>0</x:v>
      </x:c>
      <x:c r="T84" s="126" t="b">
        <x:v>0</x:v>
      </x:c>
      <x:c r="U84" s="144"/>
      <x:c r="V84" s="123"/>
      <x:c r="W84" s="123"/>
      <x:c r="X84" s="126" t="b">
        <x:v>0</x:v>
      </x:c>
    </x:row>
    <x:row r="85" ht="18" customHeight="1">
      <x:c r="A85" s="111"/>
      <x:c r="B85" s="111"/>
      <x:c r="C85" s="111"/>
      <x:c r="D85" s="111"/>
      <x:c r="E85" s="129"/>
      <x:c r="F85" s="138"/>
      <x:c r="G85" s="133" t="str">
        <x:f>IF(OR(A85="",E85="",F85=""),"",E85+F85-IF('ตั้งค่า'!$B$12="นับรวมวันเซ็น",1,0))</x:f>
      </x:c>
      <x:c r="H85" s="134"/>
      <x:c r="I85" s="117" t="str">
        <x:v>ยังไม่ส่ง</x:v>
      </x:c>
      <x:c r="J85" s="141" t="str">
        <x:f>IF(A85="","",IF(G85="","",IF(I85="ส่งแล้ว",0,G85-TODAY())))</x:f>
      </x:c>
      <x:c r="K85" s="114" t="str">
        <x:f>IF(A85="","",IF(G85="","ยังไม่ระบุวัน",IF(I85="ส่งแล้ว",IF(H85="","ส่งแล้ว",IF(INT(H85)&lt;INT(G85),"ส่งก่อนกำหนด "&amp;(INT(G85)-INT(H85))&amp;" วัน",IF(INT(H85)=INT(G85),"ส่งตรงกำหนด","ส่งล่าช้า "&amp;(INT(H85)-INT(G85))&amp;" วัน"))),IFS(G85&lt;TODAY(),"เกินกำหนด "&amp;(TODAY()-G85)&amp;" วัน",G85=TODAY(),"ครบกำหนดวันนี้",G85-TODAY()&lt;=3,"เร่งดำเนินการ",G85-TODAY()&lt;=5,"ต้องติดตาม",G85-TODAY()&lt;=10,"ใกล้ครบกำหนด",TRUE,"อยู่ระหว่างดำเนินการ"))))</x:f>
      </x:c>
      <x:c r="L85" s="114" t="str">
        <x:f>IF(OR(A85="",P85=""),"",HYPERLINK(P85,"เปิดใน Google Calendar"))</x:f>
      </x:c>
      <x:c r="M85" s="111"/>
      <x:c r="N85" s="123"/>
      <x:c r="O85" s="123"/>
      <x:c r="P85" s="123"/>
      <x:c r="Q85" s="126" t="b">
        <x:v>0</x:v>
      </x:c>
      <x:c r="R85" s="126" t="b">
        <x:v>0</x:v>
      </x:c>
      <x:c r="S85" s="126" t="b">
        <x:v>0</x:v>
      </x:c>
      <x:c r="T85" s="126" t="b">
        <x:v>0</x:v>
      </x:c>
      <x:c r="U85" s="144"/>
      <x:c r="V85" s="123"/>
      <x:c r="W85" s="123"/>
      <x:c r="X85" s="126" t="b">
        <x:v>0</x:v>
      </x:c>
    </x:row>
    <x:row r="86" ht="18" customHeight="1">
      <x:c r="A86" s="111"/>
      <x:c r="B86" s="111"/>
      <x:c r="C86" s="111"/>
      <x:c r="D86" s="111"/>
      <x:c r="E86" s="129"/>
      <x:c r="F86" s="138"/>
      <x:c r="G86" s="133" t="str">
        <x:f>IF(OR(A86="",E86="",F86=""),"",E86+F86-IF('ตั้งค่า'!$B$12="นับรวมวันเซ็น",1,0))</x:f>
      </x:c>
      <x:c r="H86" s="134"/>
      <x:c r="I86" s="117" t="str">
        <x:v>ยังไม่ส่ง</x:v>
      </x:c>
      <x:c r="J86" s="141" t="str">
        <x:f>IF(A86="","",IF(G86="","",IF(I86="ส่งแล้ว",0,G86-TODAY())))</x:f>
      </x:c>
      <x:c r="K86" s="114" t="str">
        <x:f>IF(A86="","",IF(G86="","ยังไม่ระบุวัน",IF(I86="ส่งแล้ว",IF(H86="","ส่งแล้ว",IF(INT(H86)&lt;INT(G86),"ส่งก่อนกำหนด "&amp;(INT(G86)-INT(H86))&amp;" วัน",IF(INT(H86)=INT(G86),"ส่งตรงกำหนด","ส่งล่าช้า "&amp;(INT(H86)-INT(G86))&amp;" วัน"))),IFS(G86&lt;TODAY(),"เกินกำหนด "&amp;(TODAY()-G86)&amp;" วัน",G86=TODAY(),"ครบกำหนดวันนี้",G86-TODAY()&lt;=3,"เร่งดำเนินการ",G86-TODAY()&lt;=5,"ต้องติดตาม",G86-TODAY()&lt;=10,"ใกล้ครบกำหนด",TRUE,"อยู่ระหว่างดำเนินการ"))))</x:f>
      </x:c>
      <x:c r="L86" s="114" t="str">
        <x:f>IF(OR(A86="",P86=""),"",HYPERLINK(P86,"เปิดใน Google Calendar"))</x:f>
      </x:c>
      <x:c r="M86" s="111"/>
      <x:c r="N86" s="123"/>
      <x:c r="O86" s="123"/>
      <x:c r="P86" s="123"/>
      <x:c r="Q86" s="126" t="b">
        <x:v>0</x:v>
      </x:c>
      <x:c r="R86" s="126" t="b">
        <x:v>0</x:v>
      </x:c>
      <x:c r="S86" s="126" t="b">
        <x:v>0</x:v>
      </x:c>
      <x:c r="T86" s="126" t="b">
        <x:v>0</x:v>
      </x:c>
      <x:c r="U86" s="144"/>
      <x:c r="V86" s="123"/>
      <x:c r="W86" s="123"/>
      <x:c r="X86" s="126" t="b">
        <x:v>0</x:v>
      </x:c>
    </x:row>
    <x:row r="87" ht="18" customHeight="1">
      <x:c r="A87" s="111"/>
      <x:c r="B87" s="111"/>
      <x:c r="C87" s="111"/>
      <x:c r="D87" s="111"/>
      <x:c r="E87" s="129"/>
      <x:c r="F87" s="138"/>
      <x:c r="G87" s="133" t="str">
        <x:f>IF(OR(A87="",E87="",F87=""),"",E87+F87-IF('ตั้งค่า'!$B$12="นับรวมวันเซ็น",1,0))</x:f>
      </x:c>
      <x:c r="H87" s="134"/>
      <x:c r="I87" s="117" t="str">
        <x:v>ยังไม่ส่ง</x:v>
      </x:c>
      <x:c r="J87" s="141" t="str">
        <x:f>IF(A87="","",IF(G87="","",IF(I87="ส่งแล้ว",0,G87-TODAY())))</x:f>
      </x:c>
      <x:c r="K87" s="114" t="str">
        <x:f>IF(A87="","",IF(G87="","ยังไม่ระบุวัน",IF(I87="ส่งแล้ว",IF(H87="","ส่งแล้ว",IF(INT(H87)&lt;INT(G87),"ส่งก่อนกำหนด "&amp;(INT(G87)-INT(H87))&amp;" วัน",IF(INT(H87)=INT(G87),"ส่งตรงกำหนด","ส่งล่าช้า "&amp;(INT(H87)-INT(G87))&amp;" วัน"))),IFS(G87&lt;TODAY(),"เกินกำหนด "&amp;(TODAY()-G87)&amp;" วัน",G87=TODAY(),"ครบกำหนดวันนี้",G87-TODAY()&lt;=3,"เร่งดำเนินการ",G87-TODAY()&lt;=5,"ต้องติดตาม",G87-TODAY()&lt;=10,"ใกล้ครบกำหนด",TRUE,"อยู่ระหว่างดำเนินการ"))))</x:f>
      </x:c>
      <x:c r="L87" s="114" t="str">
        <x:f>IF(OR(A87="",P87=""),"",HYPERLINK(P87,"เปิดใน Google Calendar"))</x:f>
      </x:c>
      <x:c r="M87" s="111"/>
      <x:c r="N87" s="123"/>
      <x:c r="O87" s="123"/>
      <x:c r="P87" s="123"/>
      <x:c r="Q87" s="126" t="b">
        <x:v>0</x:v>
      </x:c>
      <x:c r="R87" s="126" t="b">
        <x:v>0</x:v>
      </x:c>
      <x:c r="S87" s="126" t="b">
        <x:v>0</x:v>
      </x:c>
      <x:c r="T87" s="126" t="b">
        <x:v>0</x:v>
      </x:c>
      <x:c r="U87" s="144"/>
      <x:c r="V87" s="123"/>
      <x:c r="W87" s="123"/>
      <x:c r="X87" s="126" t="b">
        <x:v>0</x:v>
      </x:c>
    </x:row>
    <x:row r="88" ht="18" customHeight="1">
      <x:c r="A88" s="111"/>
      <x:c r="B88" s="111"/>
      <x:c r="C88" s="111"/>
      <x:c r="D88" s="111"/>
      <x:c r="E88" s="129"/>
      <x:c r="F88" s="138"/>
      <x:c r="G88" s="133" t="str">
        <x:f>IF(OR(A88="",E88="",F88=""),"",E88+F88-IF('ตั้งค่า'!$B$12="นับรวมวันเซ็น",1,0))</x:f>
      </x:c>
      <x:c r="H88" s="134"/>
      <x:c r="I88" s="117" t="str">
        <x:v>ยังไม่ส่ง</x:v>
      </x:c>
      <x:c r="J88" s="141" t="str">
        <x:f>IF(A88="","",IF(G88="","",IF(I88="ส่งแล้ว",0,G88-TODAY())))</x:f>
      </x:c>
      <x:c r="K88" s="114" t="str">
        <x:f>IF(A88="","",IF(G88="","ยังไม่ระบุวัน",IF(I88="ส่งแล้ว",IF(H88="","ส่งแล้ว",IF(INT(H88)&lt;INT(G88),"ส่งก่อนกำหนด "&amp;(INT(G88)-INT(H88))&amp;" วัน",IF(INT(H88)=INT(G88),"ส่งตรงกำหนด","ส่งล่าช้า "&amp;(INT(H88)-INT(G88))&amp;" วัน"))),IFS(G88&lt;TODAY(),"เกินกำหนด "&amp;(TODAY()-G88)&amp;" วัน",G88=TODAY(),"ครบกำหนดวันนี้",G88-TODAY()&lt;=3,"เร่งดำเนินการ",G88-TODAY()&lt;=5,"ต้องติดตาม",G88-TODAY()&lt;=10,"ใกล้ครบกำหนด",TRUE,"อยู่ระหว่างดำเนินการ"))))</x:f>
      </x:c>
      <x:c r="L88" s="114" t="str">
        <x:f>IF(OR(A88="",P88=""),"",HYPERLINK(P88,"เปิดใน Google Calendar"))</x:f>
      </x:c>
      <x:c r="M88" s="111"/>
      <x:c r="N88" s="123"/>
      <x:c r="O88" s="123"/>
      <x:c r="P88" s="123"/>
      <x:c r="Q88" s="126" t="b">
        <x:v>0</x:v>
      </x:c>
      <x:c r="R88" s="126" t="b">
        <x:v>0</x:v>
      </x:c>
      <x:c r="S88" s="126" t="b">
        <x:v>0</x:v>
      </x:c>
      <x:c r="T88" s="126" t="b">
        <x:v>0</x:v>
      </x:c>
      <x:c r="U88" s="144"/>
      <x:c r="V88" s="123"/>
      <x:c r="W88" s="123"/>
      <x:c r="X88" s="126" t="b">
        <x:v>0</x:v>
      </x:c>
    </x:row>
    <x:row r="89" ht="18" customHeight="1">
      <x:c r="A89" s="111"/>
      <x:c r="B89" s="111"/>
      <x:c r="C89" s="111"/>
      <x:c r="D89" s="111"/>
      <x:c r="E89" s="129"/>
      <x:c r="F89" s="138"/>
      <x:c r="G89" s="133" t="str">
        <x:f>IF(OR(A89="",E89="",F89=""),"",E89+F89-IF('ตั้งค่า'!$B$12="นับรวมวันเซ็น",1,0))</x:f>
      </x:c>
      <x:c r="H89" s="134"/>
      <x:c r="I89" s="117" t="str">
        <x:v>ยังไม่ส่ง</x:v>
      </x:c>
      <x:c r="J89" s="141" t="str">
        <x:f>IF(A89="","",IF(G89="","",IF(I89="ส่งแล้ว",0,G89-TODAY())))</x:f>
      </x:c>
      <x:c r="K89" s="114" t="str">
        <x:f>IF(A89="","",IF(G89="","ยังไม่ระบุวัน",IF(I89="ส่งแล้ว",IF(H89="","ส่งแล้ว",IF(INT(H89)&lt;INT(G89),"ส่งก่อนกำหนด "&amp;(INT(G89)-INT(H89))&amp;" วัน",IF(INT(H89)=INT(G89),"ส่งตรงกำหนด","ส่งล่าช้า "&amp;(INT(H89)-INT(G89))&amp;" วัน"))),IFS(G89&lt;TODAY(),"เกินกำหนด "&amp;(TODAY()-G89)&amp;" วัน",G89=TODAY(),"ครบกำหนดวันนี้",G89-TODAY()&lt;=3,"เร่งดำเนินการ",G89-TODAY()&lt;=5,"ต้องติดตาม",G89-TODAY()&lt;=10,"ใกล้ครบกำหนด",TRUE,"อยู่ระหว่างดำเนินการ"))))</x:f>
      </x:c>
      <x:c r="L89" s="114" t="str">
        <x:f>IF(OR(A89="",P89=""),"",HYPERLINK(P89,"เปิดใน Google Calendar"))</x:f>
      </x:c>
      <x:c r="M89" s="111"/>
      <x:c r="N89" s="123"/>
      <x:c r="O89" s="123"/>
      <x:c r="P89" s="123"/>
      <x:c r="Q89" s="126" t="b">
        <x:v>0</x:v>
      </x:c>
      <x:c r="R89" s="126" t="b">
        <x:v>0</x:v>
      </x:c>
      <x:c r="S89" s="126" t="b">
        <x:v>0</x:v>
      </x:c>
      <x:c r="T89" s="126" t="b">
        <x:v>0</x:v>
      </x:c>
      <x:c r="U89" s="144"/>
      <x:c r="V89" s="123"/>
      <x:c r="W89" s="123"/>
      <x:c r="X89" s="126" t="b">
        <x:v>0</x:v>
      </x:c>
    </x:row>
    <x:row r="90" ht="18" customHeight="1">
      <x:c r="A90" s="111"/>
      <x:c r="B90" s="111"/>
      <x:c r="C90" s="111"/>
      <x:c r="D90" s="111"/>
      <x:c r="E90" s="129"/>
      <x:c r="F90" s="138"/>
      <x:c r="G90" s="133" t="str">
        <x:f>IF(OR(A90="",E90="",F90=""),"",E90+F90-IF('ตั้งค่า'!$B$12="นับรวมวันเซ็น",1,0))</x:f>
      </x:c>
      <x:c r="H90" s="134"/>
      <x:c r="I90" s="117" t="str">
        <x:v>ยังไม่ส่ง</x:v>
      </x:c>
      <x:c r="J90" s="141" t="str">
        <x:f>IF(A90="","",IF(G90="","",IF(I90="ส่งแล้ว",0,G90-TODAY())))</x:f>
      </x:c>
      <x:c r="K90" s="114" t="str">
        <x:f>IF(A90="","",IF(G90="","ยังไม่ระบุวัน",IF(I90="ส่งแล้ว",IF(H90="","ส่งแล้ว",IF(INT(H90)&lt;INT(G90),"ส่งก่อนกำหนด "&amp;(INT(G90)-INT(H90))&amp;" วัน",IF(INT(H90)=INT(G90),"ส่งตรงกำหนด","ส่งล่าช้า "&amp;(INT(H90)-INT(G90))&amp;" วัน"))),IFS(G90&lt;TODAY(),"เกินกำหนด "&amp;(TODAY()-G90)&amp;" วัน",G90=TODAY(),"ครบกำหนดวันนี้",G90-TODAY()&lt;=3,"เร่งดำเนินการ",G90-TODAY()&lt;=5,"ต้องติดตาม",G90-TODAY()&lt;=10,"ใกล้ครบกำหนด",TRUE,"อยู่ระหว่างดำเนินการ"))))</x:f>
      </x:c>
      <x:c r="L90" s="114" t="str">
        <x:f>IF(OR(A90="",P90=""),"",HYPERLINK(P90,"เปิดใน Google Calendar"))</x:f>
      </x:c>
      <x:c r="M90" s="111"/>
      <x:c r="N90" s="123"/>
      <x:c r="O90" s="123"/>
      <x:c r="P90" s="123"/>
      <x:c r="Q90" s="126" t="b">
        <x:v>0</x:v>
      </x:c>
      <x:c r="R90" s="126" t="b">
        <x:v>0</x:v>
      </x:c>
      <x:c r="S90" s="126" t="b">
        <x:v>0</x:v>
      </x:c>
      <x:c r="T90" s="126" t="b">
        <x:v>0</x:v>
      </x:c>
      <x:c r="U90" s="144"/>
      <x:c r="V90" s="123"/>
      <x:c r="W90" s="123"/>
      <x:c r="X90" s="126" t="b">
        <x:v>0</x:v>
      </x:c>
    </x:row>
    <x:row r="91" ht="18" customHeight="1">
      <x:c r="A91" s="111"/>
      <x:c r="B91" s="111"/>
      <x:c r="C91" s="111"/>
      <x:c r="D91" s="111"/>
      <x:c r="E91" s="129"/>
      <x:c r="F91" s="138"/>
      <x:c r="G91" s="133" t="str">
        <x:f>IF(OR(A91="",E91="",F91=""),"",E91+F91-IF('ตั้งค่า'!$B$12="นับรวมวันเซ็น",1,0))</x:f>
      </x:c>
      <x:c r="H91" s="134"/>
      <x:c r="I91" s="117" t="str">
        <x:v>ยังไม่ส่ง</x:v>
      </x:c>
      <x:c r="J91" s="141" t="str">
        <x:f>IF(A91="","",IF(G91="","",IF(I91="ส่งแล้ว",0,G91-TODAY())))</x:f>
      </x:c>
      <x:c r="K91" s="114" t="str">
        <x:f>IF(A91="","",IF(G91="","ยังไม่ระบุวัน",IF(I91="ส่งแล้ว",IF(H91="","ส่งแล้ว",IF(INT(H91)&lt;INT(G91),"ส่งก่อนกำหนด "&amp;(INT(G91)-INT(H91))&amp;" วัน",IF(INT(H91)=INT(G91),"ส่งตรงกำหนด","ส่งล่าช้า "&amp;(INT(H91)-INT(G91))&amp;" วัน"))),IFS(G91&lt;TODAY(),"เกินกำหนด "&amp;(TODAY()-G91)&amp;" วัน",G91=TODAY(),"ครบกำหนดวันนี้",G91-TODAY()&lt;=3,"เร่งดำเนินการ",G91-TODAY()&lt;=5,"ต้องติดตาม",G91-TODAY()&lt;=10,"ใกล้ครบกำหนด",TRUE,"อยู่ระหว่างดำเนินการ"))))</x:f>
      </x:c>
      <x:c r="L91" s="114" t="str">
        <x:f>IF(OR(A91="",P91=""),"",HYPERLINK(P91,"เปิดใน Google Calendar"))</x:f>
      </x:c>
      <x:c r="M91" s="111"/>
      <x:c r="N91" s="123"/>
      <x:c r="O91" s="123"/>
      <x:c r="P91" s="123"/>
      <x:c r="Q91" s="126" t="b">
        <x:v>0</x:v>
      </x:c>
      <x:c r="R91" s="126" t="b">
        <x:v>0</x:v>
      </x:c>
      <x:c r="S91" s="126" t="b">
        <x:v>0</x:v>
      </x:c>
      <x:c r="T91" s="126" t="b">
        <x:v>0</x:v>
      </x:c>
      <x:c r="U91" s="144"/>
      <x:c r="V91" s="123"/>
      <x:c r="W91" s="123"/>
      <x:c r="X91" s="126" t="b">
        <x:v>0</x:v>
      </x:c>
    </x:row>
    <x:row r="92" ht="18" customHeight="1">
      <x:c r="A92" s="111"/>
      <x:c r="B92" s="111"/>
      <x:c r="C92" s="111"/>
      <x:c r="D92" s="111"/>
      <x:c r="E92" s="129"/>
      <x:c r="F92" s="138"/>
      <x:c r="G92" s="133" t="str">
        <x:f>IF(OR(A92="",E92="",F92=""),"",E92+F92-IF('ตั้งค่า'!$B$12="นับรวมวันเซ็น",1,0))</x:f>
      </x:c>
      <x:c r="H92" s="134"/>
      <x:c r="I92" s="117" t="str">
        <x:v>ยังไม่ส่ง</x:v>
      </x:c>
      <x:c r="J92" s="141" t="str">
        <x:f>IF(A92="","",IF(G92="","",IF(I92="ส่งแล้ว",0,G92-TODAY())))</x:f>
      </x:c>
      <x:c r="K92" s="114" t="str">
        <x:f>IF(A92="","",IF(G92="","ยังไม่ระบุวัน",IF(I92="ส่งแล้ว",IF(H92="","ส่งแล้ว",IF(INT(H92)&lt;INT(G92),"ส่งก่อนกำหนด "&amp;(INT(G92)-INT(H92))&amp;" วัน",IF(INT(H92)=INT(G92),"ส่งตรงกำหนด","ส่งล่าช้า "&amp;(INT(H92)-INT(G92))&amp;" วัน"))),IFS(G92&lt;TODAY(),"เกินกำหนด "&amp;(TODAY()-G92)&amp;" วัน",G92=TODAY(),"ครบกำหนดวันนี้",G92-TODAY()&lt;=3,"เร่งดำเนินการ",G92-TODAY()&lt;=5,"ต้องติดตาม",G92-TODAY()&lt;=10,"ใกล้ครบกำหนด",TRUE,"อยู่ระหว่างดำเนินการ"))))</x:f>
      </x:c>
      <x:c r="L92" s="114" t="str">
        <x:f>IF(OR(A92="",P92=""),"",HYPERLINK(P92,"เปิดใน Google Calendar"))</x:f>
      </x:c>
      <x:c r="M92" s="111"/>
      <x:c r="N92" s="123"/>
      <x:c r="O92" s="123"/>
      <x:c r="P92" s="123"/>
      <x:c r="Q92" s="126" t="b">
        <x:v>0</x:v>
      </x:c>
      <x:c r="R92" s="126" t="b">
        <x:v>0</x:v>
      </x:c>
      <x:c r="S92" s="126" t="b">
        <x:v>0</x:v>
      </x:c>
      <x:c r="T92" s="126" t="b">
        <x:v>0</x:v>
      </x:c>
      <x:c r="U92" s="144"/>
      <x:c r="V92" s="123"/>
      <x:c r="W92" s="123"/>
      <x:c r="X92" s="126" t="b">
        <x:v>0</x:v>
      </x:c>
    </x:row>
    <x:row r="93" ht="18" customHeight="1">
      <x:c r="A93" s="111"/>
      <x:c r="B93" s="111"/>
      <x:c r="C93" s="111"/>
      <x:c r="D93" s="111"/>
      <x:c r="E93" s="129"/>
      <x:c r="F93" s="138"/>
      <x:c r="G93" s="133" t="str">
        <x:f>IF(OR(A93="",E93="",F93=""),"",E93+F93-IF('ตั้งค่า'!$B$12="นับรวมวันเซ็น",1,0))</x:f>
      </x:c>
      <x:c r="H93" s="134"/>
      <x:c r="I93" s="117" t="str">
        <x:v>ยังไม่ส่ง</x:v>
      </x:c>
      <x:c r="J93" s="141" t="str">
        <x:f>IF(A93="","",IF(G93="","",IF(I93="ส่งแล้ว",0,G93-TODAY())))</x:f>
      </x:c>
      <x:c r="K93" s="114" t="str">
        <x:f>IF(A93="","",IF(G93="","ยังไม่ระบุวัน",IF(I93="ส่งแล้ว",IF(H93="","ส่งแล้ว",IF(INT(H93)&lt;INT(G93),"ส่งก่อนกำหนด "&amp;(INT(G93)-INT(H93))&amp;" วัน",IF(INT(H93)=INT(G93),"ส่งตรงกำหนด","ส่งล่าช้า "&amp;(INT(H93)-INT(G93))&amp;" วัน"))),IFS(G93&lt;TODAY(),"เกินกำหนด "&amp;(TODAY()-G93)&amp;" วัน",G93=TODAY(),"ครบกำหนดวันนี้",G93-TODAY()&lt;=3,"เร่งดำเนินการ",G93-TODAY()&lt;=5,"ต้องติดตาม",G93-TODAY()&lt;=10,"ใกล้ครบกำหนด",TRUE,"อยู่ระหว่างดำเนินการ"))))</x:f>
      </x:c>
      <x:c r="L93" s="114" t="str">
        <x:f>IF(OR(A93="",P93=""),"",HYPERLINK(P93,"เปิดใน Google Calendar"))</x:f>
      </x:c>
      <x:c r="M93" s="111"/>
      <x:c r="N93" s="123"/>
      <x:c r="O93" s="123"/>
      <x:c r="P93" s="123"/>
      <x:c r="Q93" s="126" t="b">
        <x:v>0</x:v>
      </x:c>
      <x:c r="R93" s="126" t="b">
        <x:v>0</x:v>
      </x:c>
      <x:c r="S93" s="126" t="b">
        <x:v>0</x:v>
      </x:c>
      <x:c r="T93" s="126" t="b">
        <x:v>0</x:v>
      </x:c>
      <x:c r="U93" s="144"/>
      <x:c r="V93" s="123"/>
      <x:c r="W93" s="123"/>
      <x:c r="X93" s="126" t="b">
        <x:v>0</x:v>
      </x:c>
    </x:row>
    <x:row r="94" ht="18" customHeight="1">
      <x:c r="A94" s="111"/>
      <x:c r="B94" s="111"/>
      <x:c r="C94" s="111"/>
      <x:c r="D94" s="111"/>
      <x:c r="E94" s="129"/>
      <x:c r="F94" s="138"/>
      <x:c r="G94" s="133" t="str">
        <x:f>IF(OR(A94="",E94="",F94=""),"",E94+F94-IF('ตั้งค่า'!$B$12="นับรวมวันเซ็น",1,0))</x:f>
      </x:c>
      <x:c r="H94" s="134"/>
      <x:c r="I94" s="117" t="str">
        <x:v>ยังไม่ส่ง</x:v>
      </x:c>
      <x:c r="J94" s="141" t="str">
        <x:f>IF(A94="","",IF(G94="","",IF(I94="ส่งแล้ว",0,G94-TODAY())))</x:f>
      </x:c>
      <x:c r="K94" s="114" t="str">
        <x:f>IF(A94="","",IF(G94="","ยังไม่ระบุวัน",IF(I94="ส่งแล้ว",IF(H94="","ส่งแล้ว",IF(INT(H94)&lt;INT(G94),"ส่งก่อนกำหนด "&amp;(INT(G94)-INT(H94))&amp;" วัน",IF(INT(H94)=INT(G94),"ส่งตรงกำหนด","ส่งล่าช้า "&amp;(INT(H94)-INT(G94))&amp;" วัน"))),IFS(G94&lt;TODAY(),"เกินกำหนด "&amp;(TODAY()-G94)&amp;" วัน",G94=TODAY(),"ครบกำหนดวันนี้",G94-TODAY()&lt;=3,"เร่งดำเนินการ",G94-TODAY()&lt;=5,"ต้องติดตาม",G94-TODAY()&lt;=10,"ใกล้ครบกำหนด",TRUE,"อยู่ระหว่างดำเนินการ"))))</x:f>
      </x:c>
      <x:c r="L94" s="114" t="str">
        <x:f>IF(OR(A94="",P94=""),"",HYPERLINK(P94,"เปิดใน Google Calendar"))</x:f>
      </x:c>
      <x:c r="M94" s="111"/>
      <x:c r="N94" s="123"/>
      <x:c r="O94" s="123"/>
      <x:c r="P94" s="123"/>
      <x:c r="Q94" s="126" t="b">
        <x:v>0</x:v>
      </x:c>
      <x:c r="R94" s="126" t="b">
        <x:v>0</x:v>
      </x:c>
      <x:c r="S94" s="126" t="b">
        <x:v>0</x:v>
      </x:c>
      <x:c r="T94" s="126" t="b">
        <x:v>0</x:v>
      </x:c>
      <x:c r="U94" s="144"/>
      <x:c r="V94" s="123"/>
      <x:c r="W94" s="123"/>
      <x:c r="X94" s="126" t="b">
        <x:v>0</x:v>
      </x:c>
    </x:row>
    <x:row r="95" ht="18" customHeight="1">
      <x:c r="A95" s="111"/>
      <x:c r="B95" s="111"/>
      <x:c r="C95" s="111"/>
      <x:c r="D95" s="111"/>
      <x:c r="E95" s="129"/>
      <x:c r="F95" s="138"/>
      <x:c r="G95" s="133" t="str">
        <x:f>IF(OR(A95="",E95="",F95=""),"",E95+F95-IF('ตั้งค่า'!$B$12="นับรวมวันเซ็น",1,0))</x:f>
      </x:c>
      <x:c r="H95" s="134"/>
      <x:c r="I95" s="117" t="str">
        <x:v>ยังไม่ส่ง</x:v>
      </x:c>
      <x:c r="J95" s="141" t="str">
        <x:f>IF(A95="","",IF(G95="","",IF(I95="ส่งแล้ว",0,G95-TODAY())))</x:f>
      </x:c>
      <x:c r="K95" s="114" t="str">
        <x:f>IF(A95="","",IF(G95="","ยังไม่ระบุวัน",IF(I95="ส่งแล้ว",IF(H95="","ส่งแล้ว",IF(INT(H95)&lt;INT(G95),"ส่งก่อนกำหนด "&amp;(INT(G95)-INT(H95))&amp;" วัน",IF(INT(H95)=INT(G95),"ส่งตรงกำหนด","ส่งล่าช้า "&amp;(INT(H95)-INT(G95))&amp;" วัน"))),IFS(G95&lt;TODAY(),"เกินกำหนด "&amp;(TODAY()-G95)&amp;" วัน",G95=TODAY(),"ครบกำหนดวันนี้",G95-TODAY()&lt;=3,"เร่งดำเนินการ",G95-TODAY()&lt;=5,"ต้องติดตาม",G95-TODAY()&lt;=10,"ใกล้ครบกำหนด",TRUE,"อยู่ระหว่างดำเนินการ"))))</x:f>
      </x:c>
      <x:c r="L95" s="114" t="str">
        <x:f>IF(OR(A95="",P95=""),"",HYPERLINK(P95,"เปิดใน Google Calendar"))</x:f>
      </x:c>
      <x:c r="M95" s="111"/>
      <x:c r="N95" s="123"/>
      <x:c r="O95" s="123"/>
      <x:c r="P95" s="123"/>
      <x:c r="Q95" s="126" t="b">
        <x:v>0</x:v>
      </x:c>
      <x:c r="R95" s="126" t="b">
        <x:v>0</x:v>
      </x:c>
      <x:c r="S95" s="126" t="b">
        <x:v>0</x:v>
      </x:c>
      <x:c r="T95" s="126" t="b">
        <x:v>0</x:v>
      </x:c>
      <x:c r="U95" s="144"/>
      <x:c r="V95" s="123"/>
      <x:c r="W95" s="123"/>
      <x:c r="X95" s="126" t="b">
        <x:v>0</x:v>
      </x:c>
    </x:row>
    <x:row r="96" ht="18" customHeight="1">
      <x:c r="A96" s="111"/>
      <x:c r="B96" s="111"/>
      <x:c r="C96" s="111"/>
      <x:c r="D96" s="111"/>
      <x:c r="E96" s="129"/>
      <x:c r="F96" s="138"/>
      <x:c r="G96" s="133" t="str">
        <x:f>IF(OR(A96="",E96="",F96=""),"",E96+F96-IF('ตั้งค่า'!$B$12="นับรวมวันเซ็น",1,0))</x:f>
      </x:c>
      <x:c r="H96" s="134"/>
      <x:c r="I96" s="117" t="str">
        <x:v>ยังไม่ส่ง</x:v>
      </x:c>
      <x:c r="J96" s="141" t="str">
        <x:f>IF(A96="","",IF(G96="","",IF(I96="ส่งแล้ว",0,G96-TODAY())))</x:f>
      </x:c>
      <x:c r="K96" s="114" t="str">
        <x:f>IF(A96="","",IF(G96="","ยังไม่ระบุวัน",IF(I96="ส่งแล้ว",IF(H96="","ส่งแล้ว",IF(INT(H96)&lt;INT(G96),"ส่งก่อนกำหนด "&amp;(INT(G96)-INT(H96))&amp;" วัน",IF(INT(H96)=INT(G96),"ส่งตรงกำหนด","ส่งล่าช้า "&amp;(INT(H96)-INT(G96))&amp;" วัน"))),IFS(G96&lt;TODAY(),"เกินกำหนด "&amp;(TODAY()-G96)&amp;" วัน",G96=TODAY(),"ครบกำหนดวันนี้",G96-TODAY()&lt;=3,"เร่งดำเนินการ",G96-TODAY()&lt;=5,"ต้องติดตาม",G96-TODAY()&lt;=10,"ใกล้ครบกำหนด",TRUE,"อยู่ระหว่างดำเนินการ"))))</x:f>
      </x:c>
      <x:c r="L96" s="114" t="str">
        <x:f>IF(OR(A96="",P96=""),"",HYPERLINK(P96,"เปิดใน Google Calendar"))</x:f>
      </x:c>
      <x:c r="M96" s="111"/>
      <x:c r="N96" s="123"/>
      <x:c r="O96" s="123"/>
      <x:c r="P96" s="123"/>
      <x:c r="Q96" s="126" t="b">
        <x:v>0</x:v>
      </x:c>
      <x:c r="R96" s="126" t="b">
        <x:v>0</x:v>
      </x:c>
      <x:c r="S96" s="126" t="b">
        <x:v>0</x:v>
      </x:c>
      <x:c r="T96" s="126" t="b">
        <x:v>0</x:v>
      </x:c>
      <x:c r="U96" s="144"/>
      <x:c r="V96" s="123"/>
      <x:c r="W96" s="123"/>
      <x:c r="X96" s="126" t="b">
        <x:v>0</x:v>
      </x:c>
    </x:row>
    <x:row r="97" ht="18" customHeight="1">
      <x:c r="A97" s="111"/>
      <x:c r="B97" s="111"/>
      <x:c r="C97" s="111"/>
      <x:c r="D97" s="111"/>
      <x:c r="E97" s="129"/>
      <x:c r="F97" s="138"/>
      <x:c r="G97" s="133" t="str">
        <x:f>IF(OR(A97="",E97="",F97=""),"",E97+F97-IF('ตั้งค่า'!$B$12="นับรวมวันเซ็น",1,0))</x:f>
      </x:c>
      <x:c r="H97" s="134"/>
      <x:c r="I97" s="117" t="str">
        <x:v>ยังไม่ส่ง</x:v>
      </x:c>
      <x:c r="J97" s="141" t="str">
        <x:f>IF(A97="","",IF(G97="","",IF(I97="ส่งแล้ว",0,G97-TODAY())))</x:f>
      </x:c>
      <x:c r="K97" s="114" t="str">
        <x:f>IF(A97="","",IF(G97="","ยังไม่ระบุวัน",IF(I97="ส่งแล้ว",IF(H97="","ส่งแล้ว",IF(INT(H97)&lt;INT(G97),"ส่งก่อนกำหนด "&amp;(INT(G97)-INT(H97))&amp;" วัน",IF(INT(H97)=INT(G97),"ส่งตรงกำหนด","ส่งล่าช้า "&amp;(INT(H97)-INT(G97))&amp;" วัน"))),IFS(G97&lt;TODAY(),"เกินกำหนด "&amp;(TODAY()-G97)&amp;" วัน",G97=TODAY(),"ครบกำหนดวันนี้",G97-TODAY()&lt;=3,"เร่งดำเนินการ",G97-TODAY()&lt;=5,"ต้องติดตาม",G97-TODAY()&lt;=10,"ใกล้ครบกำหนด",TRUE,"อยู่ระหว่างดำเนินการ"))))</x:f>
      </x:c>
      <x:c r="L97" s="114" t="str">
        <x:f>IF(OR(A97="",P97=""),"",HYPERLINK(P97,"เปิดใน Google Calendar"))</x:f>
      </x:c>
      <x:c r="M97" s="111"/>
      <x:c r="N97" s="123"/>
      <x:c r="O97" s="123"/>
      <x:c r="P97" s="123"/>
      <x:c r="Q97" s="126" t="b">
        <x:v>0</x:v>
      </x:c>
      <x:c r="R97" s="126" t="b">
        <x:v>0</x:v>
      </x:c>
      <x:c r="S97" s="126" t="b">
        <x:v>0</x:v>
      </x:c>
      <x:c r="T97" s="126" t="b">
        <x:v>0</x:v>
      </x:c>
      <x:c r="U97" s="144"/>
      <x:c r="V97" s="123"/>
      <x:c r="W97" s="123"/>
      <x:c r="X97" s="126" t="b">
        <x:v>0</x:v>
      </x:c>
    </x:row>
    <x:row r="98" ht="18" customHeight="1">
      <x:c r="A98" s="111"/>
      <x:c r="B98" s="111"/>
      <x:c r="C98" s="111"/>
      <x:c r="D98" s="111"/>
      <x:c r="E98" s="129"/>
      <x:c r="F98" s="138"/>
      <x:c r="G98" s="133" t="str">
        <x:f>IF(OR(A98="",E98="",F98=""),"",E98+F98-IF('ตั้งค่า'!$B$12="นับรวมวันเซ็น",1,0))</x:f>
      </x:c>
      <x:c r="H98" s="134"/>
      <x:c r="I98" s="117" t="str">
        <x:v>ยังไม่ส่ง</x:v>
      </x:c>
      <x:c r="J98" s="141" t="str">
        <x:f>IF(A98="","",IF(G98="","",IF(I98="ส่งแล้ว",0,G98-TODAY())))</x:f>
      </x:c>
      <x:c r="K98" s="114" t="str">
        <x:f>IF(A98="","",IF(G98="","ยังไม่ระบุวัน",IF(I98="ส่งแล้ว",IF(H98="","ส่งแล้ว",IF(INT(H98)&lt;INT(G98),"ส่งก่อนกำหนด "&amp;(INT(G98)-INT(H98))&amp;" วัน",IF(INT(H98)=INT(G98),"ส่งตรงกำหนด","ส่งล่าช้า "&amp;(INT(H98)-INT(G98))&amp;" วัน"))),IFS(G98&lt;TODAY(),"เกินกำหนด "&amp;(TODAY()-G98)&amp;" วัน",G98=TODAY(),"ครบกำหนดวันนี้",G98-TODAY()&lt;=3,"เร่งดำเนินการ",G98-TODAY()&lt;=5,"ต้องติดตาม",G98-TODAY()&lt;=10,"ใกล้ครบกำหนด",TRUE,"อยู่ระหว่างดำเนินการ"))))</x:f>
      </x:c>
      <x:c r="L98" s="114" t="str">
        <x:f>IF(OR(A98="",P98=""),"",HYPERLINK(P98,"เปิดใน Google Calendar"))</x:f>
      </x:c>
      <x:c r="M98" s="111"/>
      <x:c r="N98" s="123"/>
      <x:c r="O98" s="123"/>
      <x:c r="P98" s="123"/>
      <x:c r="Q98" s="126" t="b">
        <x:v>0</x:v>
      </x:c>
      <x:c r="R98" s="126" t="b">
        <x:v>0</x:v>
      </x:c>
      <x:c r="S98" s="126" t="b">
        <x:v>0</x:v>
      </x:c>
      <x:c r="T98" s="126" t="b">
        <x:v>0</x:v>
      </x:c>
      <x:c r="U98" s="144"/>
      <x:c r="V98" s="123"/>
      <x:c r="W98" s="123"/>
      <x:c r="X98" s="126" t="b">
        <x:v>0</x:v>
      </x:c>
    </x:row>
    <x:row r="99" ht="18" customHeight="1">
      <x:c r="A99" s="111"/>
      <x:c r="B99" s="111"/>
      <x:c r="C99" s="111"/>
      <x:c r="D99" s="111"/>
      <x:c r="E99" s="129"/>
      <x:c r="F99" s="138"/>
      <x:c r="G99" s="133" t="str">
        <x:f>IF(OR(A99="",E99="",F99=""),"",E99+F99-IF('ตั้งค่า'!$B$12="นับรวมวันเซ็น",1,0))</x:f>
      </x:c>
      <x:c r="H99" s="134"/>
      <x:c r="I99" s="117" t="str">
        <x:v>ยังไม่ส่ง</x:v>
      </x:c>
      <x:c r="J99" s="141" t="str">
        <x:f>IF(A99="","",IF(G99="","",IF(I99="ส่งแล้ว",0,G99-TODAY())))</x:f>
      </x:c>
      <x:c r="K99" s="114" t="str">
        <x:f>IF(A99="","",IF(G99="","ยังไม่ระบุวัน",IF(I99="ส่งแล้ว",IF(H99="","ส่งแล้ว",IF(INT(H99)&lt;INT(G99),"ส่งก่อนกำหนด "&amp;(INT(G99)-INT(H99))&amp;" วัน",IF(INT(H99)=INT(G99),"ส่งตรงกำหนด","ส่งล่าช้า "&amp;(INT(H99)-INT(G99))&amp;" วัน"))),IFS(G99&lt;TODAY(),"เกินกำหนด "&amp;(TODAY()-G99)&amp;" วัน",G99=TODAY(),"ครบกำหนดวันนี้",G99-TODAY()&lt;=3,"เร่งดำเนินการ",G99-TODAY()&lt;=5,"ต้องติดตาม",G99-TODAY()&lt;=10,"ใกล้ครบกำหนด",TRUE,"อยู่ระหว่างดำเนินการ"))))</x:f>
      </x:c>
      <x:c r="L99" s="114" t="str">
        <x:f>IF(OR(A99="",P99=""),"",HYPERLINK(P99,"เปิดใน Google Calendar"))</x:f>
      </x:c>
      <x:c r="M99" s="111"/>
      <x:c r="N99" s="123"/>
      <x:c r="O99" s="123"/>
      <x:c r="P99" s="123"/>
      <x:c r="Q99" s="126" t="b">
        <x:v>0</x:v>
      </x:c>
      <x:c r="R99" s="126" t="b">
        <x:v>0</x:v>
      </x:c>
      <x:c r="S99" s="126" t="b">
        <x:v>0</x:v>
      </x:c>
      <x:c r="T99" s="126" t="b">
        <x:v>0</x:v>
      </x:c>
      <x:c r="U99" s="144"/>
      <x:c r="V99" s="123"/>
      <x:c r="W99" s="123"/>
      <x:c r="X99" s="126" t="b">
        <x:v>0</x:v>
      </x:c>
    </x:row>
    <x:row r="100" ht="18" customHeight="1">
      <x:c r="A100" s="111"/>
      <x:c r="B100" s="111"/>
      <x:c r="C100" s="111"/>
      <x:c r="D100" s="111"/>
      <x:c r="E100" s="129"/>
      <x:c r="F100" s="138"/>
      <x:c r="G100" s="133" t="str">
        <x:f>IF(OR(A100="",E100="",F100=""),"",E100+F100-IF('ตั้งค่า'!$B$12="นับรวมวันเซ็น",1,0))</x:f>
      </x:c>
      <x:c r="H100" s="134"/>
      <x:c r="I100" s="117" t="str">
        <x:v>ยังไม่ส่ง</x:v>
      </x:c>
      <x:c r="J100" s="141" t="str">
        <x:f>IF(A100="","",IF(G100="","",IF(I100="ส่งแล้ว",0,G100-TODAY())))</x:f>
      </x:c>
      <x:c r="K100" s="114" t="str">
        <x:f>IF(A100="","",IF(G100="","ยังไม่ระบุวัน",IF(I100="ส่งแล้ว",IF(H100="","ส่งแล้ว",IF(INT(H100)&lt;INT(G100),"ส่งก่อนกำหนด "&amp;(INT(G100)-INT(H100))&amp;" วัน",IF(INT(H100)=INT(G100),"ส่งตรงกำหนด","ส่งล่าช้า "&amp;(INT(H100)-INT(G100))&amp;" วัน"))),IFS(G100&lt;TODAY(),"เกินกำหนด "&amp;(TODAY()-G100)&amp;" วัน",G100=TODAY(),"ครบกำหนดวันนี้",G100-TODAY()&lt;=3,"เร่งดำเนินการ",G100-TODAY()&lt;=5,"ต้องติดตาม",G100-TODAY()&lt;=10,"ใกล้ครบกำหนด",TRUE,"อยู่ระหว่างดำเนินการ"))))</x:f>
      </x:c>
      <x:c r="L100" s="114" t="str">
        <x:f>IF(OR(A100="",P100=""),"",HYPERLINK(P100,"เปิดใน Google Calendar"))</x:f>
      </x:c>
      <x:c r="M100" s="111"/>
      <x:c r="N100" s="123"/>
      <x:c r="O100" s="123"/>
      <x:c r="P100" s="123"/>
      <x:c r="Q100" s="126" t="b">
        <x:v>0</x:v>
      </x:c>
      <x:c r="R100" s="126" t="b">
        <x:v>0</x:v>
      </x:c>
      <x:c r="S100" s="126" t="b">
        <x:v>0</x:v>
      </x:c>
      <x:c r="T100" s="126" t="b">
        <x:v>0</x:v>
      </x:c>
      <x:c r="U100" s="144"/>
      <x:c r="V100" s="123"/>
      <x:c r="W100" s="123"/>
      <x:c r="X100" s="126" t="b">
        <x:v>0</x:v>
      </x:c>
    </x:row>
    <x:row r="101" ht="18" customHeight="1">
      <x:c r="A101" s="111"/>
      <x:c r="B101" s="111"/>
      <x:c r="C101" s="111"/>
      <x:c r="D101" s="111"/>
      <x:c r="E101" s="129"/>
      <x:c r="F101" s="138"/>
      <x:c r="G101" s="133" t="str">
        <x:f>IF(OR(A101="",E101="",F101=""),"",E101+F101-IF('ตั้งค่า'!$B$12="นับรวมวันเซ็น",1,0))</x:f>
      </x:c>
      <x:c r="H101" s="134"/>
      <x:c r="I101" s="117" t="str">
        <x:v>ยังไม่ส่ง</x:v>
      </x:c>
      <x:c r="J101" s="141" t="str">
        <x:f>IF(A101="","",IF(G101="","",IF(I101="ส่งแล้ว",0,G101-TODAY())))</x:f>
      </x:c>
      <x:c r="K101" s="114" t="str">
        <x:f>IF(A101="","",IF(G101="","ยังไม่ระบุวัน",IF(I101="ส่งแล้ว",IF(H101="","ส่งแล้ว",IF(INT(H101)&lt;INT(G101),"ส่งก่อนกำหนด "&amp;(INT(G101)-INT(H101))&amp;" วัน",IF(INT(H101)=INT(G101),"ส่งตรงกำหนด","ส่งล่าช้า "&amp;(INT(H101)-INT(G101))&amp;" วัน"))),IFS(G101&lt;TODAY(),"เกินกำหนด "&amp;(TODAY()-G101)&amp;" วัน",G101=TODAY(),"ครบกำหนดวันนี้",G101-TODAY()&lt;=3,"เร่งดำเนินการ",G101-TODAY()&lt;=5,"ต้องติดตาม",G101-TODAY()&lt;=10,"ใกล้ครบกำหนด",TRUE,"อยู่ระหว่างดำเนินการ"))))</x:f>
      </x:c>
      <x:c r="L101" s="114" t="str">
        <x:f>IF(OR(A101="",P101=""),"",HYPERLINK(P101,"เปิดใน Google Calendar"))</x:f>
      </x:c>
      <x:c r="M101" s="111"/>
      <x:c r="N101" s="123"/>
      <x:c r="O101" s="123"/>
      <x:c r="P101" s="123"/>
      <x:c r="Q101" s="126" t="b">
        <x:v>0</x:v>
      </x:c>
      <x:c r="R101" s="126" t="b">
        <x:v>0</x:v>
      </x:c>
      <x:c r="S101" s="126" t="b">
        <x:v>0</x:v>
      </x:c>
      <x:c r="T101" s="126" t="b">
        <x:v>0</x:v>
      </x:c>
      <x:c r="U101" s="144"/>
      <x:c r="V101" s="123"/>
      <x:c r="W101" s="123"/>
      <x:c r="X101" s="126" t="b">
        <x:v>0</x:v>
      </x:c>
    </x:row>
    <x:row r="102" ht="18" customHeight="1">
      <x:c r="A102" s="111"/>
      <x:c r="B102" s="111"/>
      <x:c r="C102" s="111"/>
      <x:c r="D102" s="111"/>
      <x:c r="E102" s="129"/>
      <x:c r="F102" s="138"/>
      <x:c r="G102" s="133" t="str">
        <x:f>IF(OR(A102="",E102="",F102=""),"",E102+F102-IF('ตั้งค่า'!$B$12="นับรวมวันเซ็น",1,0))</x:f>
      </x:c>
      <x:c r="H102" s="134"/>
      <x:c r="I102" s="117" t="str">
        <x:v>ยังไม่ส่ง</x:v>
      </x:c>
      <x:c r="J102" s="141" t="str">
        <x:f>IF(A102="","",IF(G102="","",IF(I102="ส่งแล้ว",0,G102-TODAY())))</x:f>
      </x:c>
      <x:c r="K102" s="114" t="str">
        <x:f>IF(A102="","",IF(G102="","ยังไม่ระบุวัน",IF(I102="ส่งแล้ว",IF(H102="","ส่งแล้ว",IF(INT(H102)&lt;INT(G102),"ส่งก่อนกำหนด "&amp;(INT(G102)-INT(H102))&amp;" วัน",IF(INT(H102)=INT(G102),"ส่งตรงกำหนด","ส่งล่าช้า "&amp;(INT(H102)-INT(G102))&amp;" วัน"))),IFS(G102&lt;TODAY(),"เกินกำหนด "&amp;(TODAY()-G102)&amp;" วัน",G102=TODAY(),"ครบกำหนดวันนี้",G102-TODAY()&lt;=3,"เร่งดำเนินการ",G102-TODAY()&lt;=5,"ต้องติดตาม",G102-TODAY()&lt;=10,"ใกล้ครบกำหนด",TRUE,"อยู่ระหว่างดำเนินการ"))))</x:f>
      </x:c>
      <x:c r="L102" s="114" t="str">
        <x:f>IF(OR(A102="",P102=""),"",HYPERLINK(P102,"เปิดใน Google Calendar"))</x:f>
      </x:c>
      <x:c r="M102" s="111"/>
      <x:c r="N102" s="123"/>
      <x:c r="O102" s="123"/>
      <x:c r="P102" s="123"/>
      <x:c r="Q102" s="126" t="b">
        <x:v>0</x:v>
      </x:c>
      <x:c r="R102" s="126" t="b">
        <x:v>0</x:v>
      </x:c>
      <x:c r="S102" s="126" t="b">
        <x:v>0</x:v>
      </x:c>
      <x:c r="T102" s="126" t="b">
        <x:v>0</x:v>
      </x:c>
      <x:c r="U102" s="144"/>
      <x:c r="V102" s="123"/>
      <x:c r="W102" s="123"/>
      <x:c r="X102" s="126" t="b">
        <x:v>0</x:v>
      </x:c>
    </x:row>
    <x:row r="103" ht="18" customHeight="1">
      <x:c r="A103" s="111"/>
      <x:c r="B103" s="111"/>
      <x:c r="C103" s="111"/>
      <x:c r="D103" s="111"/>
      <x:c r="E103" s="129"/>
      <x:c r="F103" s="138"/>
      <x:c r="G103" s="133" t="str">
        <x:f>IF(OR(A103="",E103="",F103=""),"",E103+F103-IF('ตั้งค่า'!$B$12="นับรวมวันเซ็น",1,0))</x:f>
      </x:c>
      <x:c r="H103" s="134"/>
      <x:c r="I103" s="117" t="str">
        <x:v>ยังไม่ส่ง</x:v>
      </x:c>
      <x:c r="J103" s="141" t="str">
        <x:f>IF(A103="","",IF(G103="","",IF(I103="ส่งแล้ว",0,G103-TODAY())))</x:f>
      </x:c>
      <x:c r="K103" s="114" t="str">
        <x:f>IF(A103="","",IF(G103="","ยังไม่ระบุวัน",IF(I103="ส่งแล้ว",IF(H103="","ส่งแล้ว",IF(INT(H103)&lt;INT(G103),"ส่งก่อนกำหนด "&amp;(INT(G103)-INT(H103))&amp;" วัน",IF(INT(H103)=INT(G103),"ส่งตรงกำหนด","ส่งล่าช้า "&amp;(INT(H103)-INT(G103))&amp;" วัน"))),IFS(G103&lt;TODAY(),"เกินกำหนด "&amp;(TODAY()-G103)&amp;" วัน",G103=TODAY(),"ครบกำหนดวันนี้",G103-TODAY()&lt;=3,"เร่งดำเนินการ",G103-TODAY()&lt;=5,"ต้องติดตาม",G103-TODAY()&lt;=10,"ใกล้ครบกำหนด",TRUE,"อยู่ระหว่างดำเนินการ"))))</x:f>
      </x:c>
      <x:c r="L103" s="114" t="str">
        <x:f>IF(OR(A103="",P103=""),"",HYPERLINK(P103,"เปิดใน Google Calendar"))</x:f>
      </x:c>
      <x:c r="M103" s="111"/>
      <x:c r="N103" s="123"/>
      <x:c r="O103" s="123"/>
      <x:c r="P103" s="123"/>
      <x:c r="Q103" s="126" t="b">
        <x:v>0</x:v>
      </x:c>
      <x:c r="R103" s="126" t="b">
        <x:v>0</x:v>
      </x:c>
      <x:c r="S103" s="126" t="b">
        <x:v>0</x:v>
      </x:c>
      <x:c r="T103" s="126" t="b">
        <x:v>0</x:v>
      </x:c>
      <x:c r="U103" s="144"/>
      <x:c r="V103" s="123"/>
      <x:c r="W103" s="123"/>
      <x:c r="X103" s="126" t="b">
        <x:v>0</x:v>
      </x:c>
    </x:row>
    <x:row r="104" ht="18" customHeight="1">
      <x:c r="A104" s="111"/>
      <x:c r="B104" s="111"/>
      <x:c r="C104" s="111"/>
      <x:c r="D104" s="111"/>
      <x:c r="E104" s="129"/>
      <x:c r="F104" s="138"/>
      <x:c r="G104" s="133" t="str">
        <x:f>IF(OR(A104="",E104="",F104=""),"",E104+F104-IF('ตั้งค่า'!$B$12="นับรวมวันเซ็น",1,0))</x:f>
      </x:c>
      <x:c r="H104" s="134"/>
      <x:c r="I104" s="117" t="str">
        <x:v>ยังไม่ส่ง</x:v>
      </x:c>
      <x:c r="J104" s="141" t="str">
        <x:f>IF(A104="","",IF(G104="","",IF(I104="ส่งแล้ว",0,G104-TODAY())))</x:f>
      </x:c>
      <x:c r="K104" s="114" t="str">
        <x:f>IF(A104="","",IF(G104="","ยังไม่ระบุวัน",IF(I104="ส่งแล้ว",IF(H104="","ส่งแล้ว",IF(INT(H104)&lt;INT(G104),"ส่งก่อนกำหนด "&amp;(INT(G104)-INT(H104))&amp;" วัน",IF(INT(H104)=INT(G104),"ส่งตรงกำหนด","ส่งล่าช้า "&amp;(INT(H104)-INT(G104))&amp;" วัน"))),IFS(G104&lt;TODAY(),"เกินกำหนด "&amp;(TODAY()-G104)&amp;" วัน",G104=TODAY(),"ครบกำหนดวันนี้",G104-TODAY()&lt;=3,"เร่งดำเนินการ",G104-TODAY()&lt;=5,"ต้องติดตาม",G104-TODAY()&lt;=10,"ใกล้ครบกำหนด",TRUE,"อยู่ระหว่างดำเนินการ"))))</x:f>
      </x:c>
      <x:c r="L104" s="114" t="str">
        <x:f>IF(OR(A104="",P104=""),"",HYPERLINK(P104,"เปิดใน Google Calendar"))</x:f>
      </x:c>
      <x:c r="M104" s="111"/>
      <x:c r="N104" s="123"/>
      <x:c r="O104" s="123"/>
      <x:c r="P104" s="123"/>
      <x:c r="Q104" s="126" t="b">
        <x:v>0</x:v>
      </x:c>
      <x:c r="R104" s="126" t="b">
        <x:v>0</x:v>
      </x:c>
      <x:c r="S104" s="126" t="b">
        <x:v>0</x:v>
      </x:c>
      <x:c r="T104" s="126" t="b">
        <x:v>0</x:v>
      </x:c>
      <x:c r="U104" s="144"/>
      <x:c r="V104" s="123"/>
      <x:c r="W104" s="123"/>
      <x:c r="X104" s="126" t="b">
        <x:v>0</x:v>
      </x:c>
    </x:row>
    <x:row r="105" ht="18" customHeight="1">
      <x:c r="A105" s="111"/>
      <x:c r="B105" s="111"/>
      <x:c r="C105" s="111"/>
      <x:c r="D105" s="111"/>
      <x:c r="E105" s="129"/>
      <x:c r="F105" s="138"/>
      <x:c r="G105" s="133" t="str">
        <x:f>IF(OR(A105="",E105="",F105=""),"",E105+F105-IF('ตั้งค่า'!$B$12="นับรวมวันเซ็น",1,0))</x:f>
      </x:c>
      <x:c r="H105" s="134"/>
      <x:c r="I105" s="117" t="str">
        <x:v>ยังไม่ส่ง</x:v>
      </x:c>
      <x:c r="J105" s="141" t="str">
        <x:f>IF(A105="","",IF(G105="","",IF(I105="ส่งแล้ว",0,G105-TODAY())))</x:f>
      </x:c>
      <x:c r="K105" s="114" t="str">
        <x:f>IF(A105="","",IF(G105="","ยังไม่ระบุวัน",IF(I105="ส่งแล้ว",IF(H105="","ส่งแล้ว",IF(INT(H105)&lt;INT(G105),"ส่งก่อนกำหนด "&amp;(INT(G105)-INT(H105))&amp;" วัน",IF(INT(H105)=INT(G105),"ส่งตรงกำหนด","ส่งล่าช้า "&amp;(INT(H105)-INT(G105))&amp;" วัน"))),IFS(G105&lt;TODAY(),"เกินกำหนด "&amp;(TODAY()-G105)&amp;" วัน",G105=TODAY(),"ครบกำหนดวันนี้",G105-TODAY()&lt;=3,"เร่งดำเนินการ",G105-TODAY()&lt;=5,"ต้องติดตาม",G105-TODAY()&lt;=10,"ใกล้ครบกำหนด",TRUE,"อยู่ระหว่างดำเนินการ"))))</x:f>
      </x:c>
      <x:c r="L105" s="114" t="str">
        <x:f>IF(OR(A105="",P105=""),"",HYPERLINK(P105,"เปิดใน Google Calendar"))</x:f>
      </x:c>
      <x:c r="M105" s="111"/>
      <x:c r="N105" s="123"/>
      <x:c r="O105" s="123"/>
      <x:c r="P105" s="123"/>
      <x:c r="Q105" s="126" t="b">
        <x:v>0</x:v>
      </x:c>
      <x:c r="R105" s="126" t="b">
        <x:v>0</x:v>
      </x:c>
      <x:c r="S105" s="126" t="b">
        <x:v>0</x:v>
      </x:c>
      <x:c r="T105" s="126" t="b">
        <x:v>0</x:v>
      </x:c>
      <x:c r="U105" s="144"/>
      <x:c r="V105" s="123"/>
      <x:c r="W105" s="123"/>
      <x:c r="X105" s="126" t="b">
        <x:v>0</x:v>
      </x:c>
    </x:row>
    <x:row r="106" ht="18" customHeight="1">
      <x:c r="A106" s="111"/>
      <x:c r="B106" s="111"/>
      <x:c r="C106" s="111"/>
      <x:c r="D106" s="111"/>
      <x:c r="E106" s="129"/>
      <x:c r="F106" s="138"/>
      <x:c r="G106" s="133" t="str">
        <x:f>IF(OR(A106="",E106="",F106=""),"",E106+F106-IF('ตั้งค่า'!$B$12="นับรวมวันเซ็น",1,0))</x:f>
      </x:c>
      <x:c r="H106" s="134"/>
      <x:c r="I106" s="117" t="str">
        <x:v>ยังไม่ส่ง</x:v>
      </x:c>
      <x:c r="J106" s="141" t="str">
        <x:f>IF(A106="","",IF(G106="","",IF(I106="ส่งแล้ว",0,G106-TODAY())))</x:f>
      </x:c>
      <x:c r="K106" s="114" t="str">
        <x:f>IF(A106="","",IF(G106="","ยังไม่ระบุวัน",IF(I106="ส่งแล้ว",IF(H106="","ส่งแล้ว",IF(INT(H106)&lt;INT(G106),"ส่งก่อนกำหนด "&amp;(INT(G106)-INT(H106))&amp;" วัน",IF(INT(H106)=INT(G106),"ส่งตรงกำหนด","ส่งล่าช้า "&amp;(INT(H106)-INT(G106))&amp;" วัน"))),IFS(G106&lt;TODAY(),"เกินกำหนด "&amp;(TODAY()-G106)&amp;" วัน",G106=TODAY(),"ครบกำหนดวันนี้",G106-TODAY()&lt;=3,"เร่งดำเนินการ",G106-TODAY()&lt;=5,"ต้องติดตาม",G106-TODAY()&lt;=10,"ใกล้ครบกำหนด",TRUE,"อยู่ระหว่างดำเนินการ"))))</x:f>
      </x:c>
      <x:c r="L106" s="114" t="str">
        <x:f>IF(OR(A106="",P106=""),"",HYPERLINK(P106,"เปิดใน Google Calendar"))</x:f>
      </x:c>
      <x:c r="M106" s="111"/>
      <x:c r="N106" s="123"/>
      <x:c r="O106" s="123"/>
      <x:c r="P106" s="123"/>
      <x:c r="Q106" s="126" t="b">
        <x:v>0</x:v>
      </x:c>
      <x:c r="R106" s="126" t="b">
        <x:v>0</x:v>
      </x:c>
      <x:c r="S106" s="126" t="b">
        <x:v>0</x:v>
      </x:c>
      <x:c r="T106" s="126" t="b">
        <x:v>0</x:v>
      </x:c>
      <x:c r="U106" s="144"/>
      <x:c r="V106" s="123"/>
      <x:c r="W106" s="123"/>
      <x:c r="X106" s="126" t="b">
        <x:v>0</x:v>
      </x:c>
    </x:row>
    <x:row r="107" ht="18" customHeight="1">
      <x:c r="A107" s="111"/>
      <x:c r="B107" s="111"/>
      <x:c r="C107" s="111"/>
      <x:c r="D107" s="111"/>
      <x:c r="E107" s="129"/>
      <x:c r="F107" s="138"/>
      <x:c r="G107" s="133" t="str">
        <x:f>IF(OR(A107="",E107="",F107=""),"",E107+F107-IF('ตั้งค่า'!$B$12="นับรวมวันเซ็น",1,0))</x:f>
      </x:c>
      <x:c r="H107" s="134"/>
      <x:c r="I107" s="117" t="str">
        <x:v>ยังไม่ส่ง</x:v>
      </x:c>
      <x:c r="J107" s="141" t="str">
        <x:f>IF(A107="","",IF(G107="","",IF(I107="ส่งแล้ว",0,G107-TODAY())))</x:f>
      </x:c>
      <x:c r="K107" s="114" t="str">
        <x:f>IF(A107="","",IF(G107="","ยังไม่ระบุวัน",IF(I107="ส่งแล้ว",IF(H107="","ส่งแล้ว",IF(INT(H107)&lt;INT(G107),"ส่งก่อนกำหนด "&amp;(INT(G107)-INT(H107))&amp;" วัน",IF(INT(H107)=INT(G107),"ส่งตรงกำหนด","ส่งล่าช้า "&amp;(INT(H107)-INT(G107))&amp;" วัน"))),IFS(G107&lt;TODAY(),"เกินกำหนด "&amp;(TODAY()-G107)&amp;" วัน",G107=TODAY(),"ครบกำหนดวันนี้",G107-TODAY()&lt;=3,"เร่งดำเนินการ",G107-TODAY()&lt;=5,"ต้องติดตาม",G107-TODAY()&lt;=10,"ใกล้ครบกำหนด",TRUE,"อยู่ระหว่างดำเนินการ"))))</x:f>
      </x:c>
      <x:c r="L107" s="114" t="str">
        <x:f>IF(OR(A107="",P107=""),"",HYPERLINK(P107,"เปิดใน Google Calendar"))</x:f>
      </x:c>
      <x:c r="M107" s="111"/>
      <x:c r="N107" s="123"/>
      <x:c r="O107" s="123"/>
      <x:c r="P107" s="123"/>
      <x:c r="Q107" s="126" t="b">
        <x:v>0</x:v>
      </x:c>
      <x:c r="R107" s="126" t="b">
        <x:v>0</x:v>
      </x:c>
      <x:c r="S107" s="126" t="b">
        <x:v>0</x:v>
      </x:c>
      <x:c r="T107" s="126" t="b">
        <x:v>0</x:v>
      </x:c>
      <x:c r="U107" s="144"/>
      <x:c r="V107" s="123"/>
      <x:c r="W107" s="123"/>
      <x:c r="X107" s="126" t="b">
        <x:v>0</x:v>
      </x:c>
    </x:row>
    <x:row r="108" ht="18" customHeight="1">
      <x:c r="A108" s="111"/>
      <x:c r="B108" s="111"/>
      <x:c r="C108" s="111"/>
      <x:c r="D108" s="111"/>
      <x:c r="E108" s="129"/>
      <x:c r="F108" s="138"/>
      <x:c r="G108" s="133" t="str">
        <x:f>IF(OR(A108="",E108="",F108=""),"",E108+F108-IF('ตั้งค่า'!$B$12="นับรวมวันเซ็น",1,0))</x:f>
      </x:c>
      <x:c r="H108" s="134"/>
      <x:c r="I108" s="117" t="str">
        <x:v>ยังไม่ส่ง</x:v>
      </x:c>
      <x:c r="J108" s="141" t="str">
        <x:f>IF(A108="","",IF(G108="","",IF(I108="ส่งแล้ว",0,G108-TODAY())))</x:f>
      </x:c>
      <x:c r="K108" s="114" t="str">
        <x:f>IF(A108="","",IF(G108="","ยังไม่ระบุวัน",IF(I108="ส่งแล้ว",IF(H108="","ส่งแล้ว",IF(INT(H108)&lt;INT(G108),"ส่งก่อนกำหนด "&amp;(INT(G108)-INT(H108))&amp;" วัน",IF(INT(H108)=INT(G108),"ส่งตรงกำหนด","ส่งล่าช้า "&amp;(INT(H108)-INT(G108))&amp;" วัน"))),IFS(G108&lt;TODAY(),"เกินกำหนด "&amp;(TODAY()-G108)&amp;" วัน",G108=TODAY(),"ครบกำหนดวันนี้",G108-TODAY()&lt;=3,"เร่งดำเนินการ",G108-TODAY()&lt;=5,"ต้องติดตาม",G108-TODAY()&lt;=10,"ใกล้ครบกำหนด",TRUE,"อยู่ระหว่างดำเนินการ"))))</x:f>
      </x:c>
      <x:c r="L108" s="114" t="str">
        <x:f>IF(OR(A108="",P108=""),"",HYPERLINK(P108,"เปิดใน Google Calendar"))</x:f>
      </x:c>
      <x:c r="M108" s="111"/>
      <x:c r="N108" s="123"/>
      <x:c r="O108" s="123"/>
      <x:c r="P108" s="123"/>
      <x:c r="Q108" s="126" t="b">
        <x:v>0</x:v>
      </x:c>
      <x:c r="R108" s="126" t="b">
        <x:v>0</x:v>
      </x:c>
      <x:c r="S108" s="126" t="b">
        <x:v>0</x:v>
      </x:c>
      <x:c r="T108" s="126" t="b">
        <x:v>0</x:v>
      </x:c>
      <x:c r="U108" s="144"/>
      <x:c r="V108" s="123"/>
      <x:c r="W108" s="123"/>
      <x:c r="X108" s="126" t="b">
        <x:v>0</x:v>
      </x:c>
    </x:row>
    <x:row r="109" ht="18" customHeight="1">
      <x:c r="A109" s="111"/>
      <x:c r="B109" s="111"/>
      <x:c r="C109" s="111"/>
      <x:c r="D109" s="111"/>
      <x:c r="E109" s="129"/>
      <x:c r="F109" s="138"/>
      <x:c r="G109" s="133" t="str">
        <x:f>IF(OR(A109="",E109="",F109=""),"",E109+F109-IF('ตั้งค่า'!$B$12="นับรวมวันเซ็น",1,0))</x:f>
      </x:c>
      <x:c r="H109" s="134"/>
      <x:c r="I109" s="117" t="str">
        <x:v>ยังไม่ส่ง</x:v>
      </x:c>
      <x:c r="J109" s="141" t="str">
        <x:f>IF(A109="","",IF(G109="","",IF(I109="ส่งแล้ว",0,G109-TODAY())))</x:f>
      </x:c>
      <x:c r="K109" s="114" t="str">
        <x:f>IF(A109="","",IF(G109="","ยังไม่ระบุวัน",IF(I109="ส่งแล้ว",IF(H109="","ส่งแล้ว",IF(INT(H109)&lt;INT(G109),"ส่งก่อนกำหนด "&amp;(INT(G109)-INT(H109))&amp;" วัน",IF(INT(H109)=INT(G109),"ส่งตรงกำหนด","ส่งล่าช้า "&amp;(INT(H109)-INT(G109))&amp;" วัน"))),IFS(G109&lt;TODAY(),"เกินกำหนด "&amp;(TODAY()-G109)&amp;" วัน",G109=TODAY(),"ครบกำหนดวันนี้",G109-TODAY()&lt;=3,"เร่งดำเนินการ",G109-TODAY()&lt;=5,"ต้องติดตาม",G109-TODAY()&lt;=10,"ใกล้ครบกำหนด",TRUE,"อยู่ระหว่างดำเนินการ"))))</x:f>
      </x:c>
      <x:c r="L109" s="114" t="str">
        <x:f>IF(OR(A109="",P109=""),"",HYPERLINK(P109,"เปิดใน Google Calendar"))</x:f>
      </x:c>
      <x:c r="M109" s="111"/>
      <x:c r="N109" s="123"/>
      <x:c r="O109" s="123"/>
      <x:c r="P109" s="123"/>
      <x:c r="Q109" s="126" t="b">
        <x:v>0</x:v>
      </x:c>
      <x:c r="R109" s="126" t="b">
        <x:v>0</x:v>
      </x:c>
      <x:c r="S109" s="126" t="b">
        <x:v>0</x:v>
      </x:c>
      <x:c r="T109" s="126" t="b">
        <x:v>0</x:v>
      </x:c>
      <x:c r="U109" s="144"/>
      <x:c r="V109" s="123"/>
      <x:c r="W109" s="123"/>
      <x:c r="X109" s="126" t="b">
        <x:v>0</x:v>
      </x:c>
    </x:row>
    <x:row r="110" ht="18" customHeight="1">
      <x:c r="A110" s="111"/>
      <x:c r="B110" s="111"/>
      <x:c r="C110" s="111"/>
      <x:c r="D110" s="111"/>
      <x:c r="E110" s="129"/>
      <x:c r="F110" s="138"/>
      <x:c r="G110" s="133" t="str">
        <x:f>IF(OR(A110="",E110="",F110=""),"",E110+F110-IF('ตั้งค่า'!$B$12="นับรวมวันเซ็น",1,0))</x:f>
      </x:c>
      <x:c r="H110" s="134"/>
      <x:c r="I110" s="117" t="str">
        <x:v>ยังไม่ส่ง</x:v>
      </x:c>
      <x:c r="J110" s="141" t="str">
        <x:f>IF(A110="","",IF(G110="","",IF(I110="ส่งแล้ว",0,G110-TODAY())))</x:f>
      </x:c>
      <x:c r="K110" s="114" t="str">
        <x:f>IF(A110="","",IF(G110="","ยังไม่ระบุวัน",IF(I110="ส่งแล้ว",IF(H110="","ส่งแล้ว",IF(INT(H110)&lt;INT(G110),"ส่งก่อนกำหนด "&amp;(INT(G110)-INT(H110))&amp;" วัน",IF(INT(H110)=INT(G110),"ส่งตรงกำหนด","ส่งล่าช้า "&amp;(INT(H110)-INT(G110))&amp;" วัน"))),IFS(G110&lt;TODAY(),"เกินกำหนด "&amp;(TODAY()-G110)&amp;" วัน",G110=TODAY(),"ครบกำหนดวันนี้",G110-TODAY()&lt;=3,"เร่งดำเนินการ",G110-TODAY()&lt;=5,"ต้องติดตาม",G110-TODAY()&lt;=10,"ใกล้ครบกำหนด",TRUE,"อยู่ระหว่างดำเนินการ"))))</x:f>
      </x:c>
      <x:c r="L110" s="114" t="str">
        <x:f>IF(OR(A110="",P110=""),"",HYPERLINK(P110,"เปิดใน Google Calendar"))</x:f>
      </x:c>
      <x:c r="M110" s="111"/>
      <x:c r="N110" s="123"/>
      <x:c r="O110" s="123"/>
      <x:c r="P110" s="123"/>
      <x:c r="Q110" s="126" t="b">
        <x:v>0</x:v>
      </x:c>
      <x:c r="R110" s="126" t="b">
        <x:v>0</x:v>
      </x:c>
      <x:c r="S110" s="126" t="b">
        <x:v>0</x:v>
      </x:c>
      <x:c r="T110" s="126" t="b">
        <x:v>0</x:v>
      </x:c>
      <x:c r="U110" s="144"/>
      <x:c r="V110" s="123"/>
      <x:c r="W110" s="123"/>
      <x:c r="X110" s="126" t="b">
        <x:v>0</x:v>
      </x:c>
    </x:row>
    <x:row r="111" ht="18" customHeight="1">
      <x:c r="A111" s="111"/>
      <x:c r="B111" s="111"/>
      <x:c r="C111" s="111"/>
      <x:c r="D111" s="111"/>
      <x:c r="E111" s="129"/>
      <x:c r="F111" s="138"/>
      <x:c r="G111" s="133" t="str">
        <x:f>IF(OR(A111="",E111="",F111=""),"",E111+F111-IF('ตั้งค่า'!$B$12="นับรวมวันเซ็น",1,0))</x:f>
      </x:c>
      <x:c r="H111" s="134"/>
      <x:c r="I111" s="117" t="str">
        <x:v>ยังไม่ส่ง</x:v>
      </x:c>
      <x:c r="J111" s="141" t="str">
        <x:f>IF(A111="","",IF(G111="","",IF(I111="ส่งแล้ว",0,G111-TODAY())))</x:f>
      </x:c>
      <x:c r="K111" s="114" t="str">
        <x:f>IF(A111="","",IF(G111="","ยังไม่ระบุวัน",IF(I111="ส่งแล้ว",IF(H111="","ส่งแล้ว",IF(INT(H111)&lt;INT(G111),"ส่งก่อนกำหนด "&amp;(INT(G111)-INT(H111))&amp;" วัน",IF(INT(H111)=INT(G111),"ส่งตรงกำหนด","ส่งล่าช้า "&amp;(INT(H111)-INT(G111))&amp;" วัน"))),IFS(G111&lt;TODAY(),"เกินกำหนด "&amp;(TODAY()-G111)&amp;" วัน",G111=TODAY(),"ครบกำหนดวันนี้",G111-TODAY()&lt;=3,"เร่งดำเนินการ",G111-TODAY()&lt;=5,"ต้องติดตาม",G111-TODAY()&lt;=10,"ใกล้ครบกำหนด",TRUE,"อยู่ระหว่างดำเนินการ"))))</x:f>
      </x:c>
      <x:c r="L111" s="114" t="str">
        <x:f>IF(OR(A111="",P111=""),"",HYPERLINK(P111,"เปิดใน Google Calendar"))</x:f>
      </x:c>
      <x:c r="M111" s="111"/>
      <x:c r="N111" s="123"/>
      <x:c r="O111" s="123"/>
      <x:c r="P111" s="123"/>
      <x:c r="Q111" s="126" t="b">
        <x:v>0</x:v>
      </x:c>
      <x:c r="R111" s="126" t="b">
        <x:v>0</x:v>
      </x:c>
      <x:c r="S111" s="126" t="b">
        <x:v>0</x:v>
      </x:c>
      <x:c r="T111" s="126" t="b">
        <x:v>0</x:v>
      </x:c>
      <x:c r="U111" s="144"/>
      <x:c r="V111" s="123"/>
      <x:c r="W111" s="123"/>
      <x:c r="X111" s="126" t="b">
        <x:v>0</x:v>
      </x:c>
    </x:row>
    <x:row r="112" ht="18" customHeight="1">
      <x:c r="A112" s="111"/>
      <x:c r="B112" s="111"/>
      <x:c r="C112" s="111"/>
      <x:c r="D112" s="111"/>
      <x:c r="E112" s="129"/>
      <x:c r="F112" s="138"/>
      <x:c r="G112" s="133" t="str">
        <x:f>IF(OR(A112="",E112="",F112=""),"",E112+F112-IF('ตั้งค่า'!$B$12="นับรวมวันเซ็น",1,0))</x:f>
      </x:c>
      <x:c r="H112" s="134"/>
      <x:c r="I112" s="117" t="str">
        <x:v>ยังไม่ส่ง</x:v>
      </x:c>
      <x:c r="J112" s="141" t="str">
        <x:f>IF(A112="","",IF(G112="","",IF(I112="ส่งแล้ว",0,G112-TODAY())))</x:f>
      </x:c>
      <x:c r="K112" s="114" t="str">
        <x:f>IF(A112="","",IF(G112="","ยังไม่ระบุวัน",IF(I112="ส่งแล้ว",IF(H112="","ส่งแล้ว",IF(INT(H112)&lt;INT(G112),"ส่งก่อนกำหนด "&amp;(INT(G112)-INT(H112))&amp;" วัน",IF(INT(H112)=INT(G112),"ส่งตรงกำหนด","ส่งล่าช้า "&amp;(INT(H112)-INT(G112))&amp;" วัน"))),IFS(G112&lt;TODAY(),"เกินกำหนด "&amp;(TODAY()-G112)&amp;" วัน",G112=TODAY(),"ครบกำหนดวันนี้",G112-TODAY()&lt;=3,"เร่งดำเนินการ",G112-TODAY()&lt;=5,"ต้องติดตาม",G112-TODAY()&lt;=10,"ใกล้ครบกำหนด",TRUE,"อยู่ระหว่างดำเนินการ"))))</x:f>
      </x:c>
      <x:c r="L112" s="114" t="str">
        <x:f>IF(OR(A112="",P112=""),"",HYPERLINK(P112,"เปิดใน Google Calendar"))</x:f>
      </x:c>
      <x:c r="M112" s="111"/>
      <x:c r="N112" s="123"/>
      <x:c r="O112" s="123"/>
      <x:c r="P112" s="123"/>
      <x:c r="Q112" s="126" t="b">
        <x:v>0</x:v>
      </x:c>
      <x:c r="R112" s="126" t="b">
        <x:v>0</x:v>
      </x:c>
      <x:c r="S112" s="126" t="b">
        <x:v>0</x:v>
      </x:c>
      <x:c r="T112" s="126" t="b">
        <x:v>0</x:v>
      </x:c>
      <x:c r="U112" s="144"/>
      <x:c r="V112" s="123"/>
      <x:c r="W112" s="123"/>
      <x:c r="X112" s="126" t="b">
        <x:v>0</x:v>
      </x:c>
    </x:row>
    <x:row r="113" ht="18" customHeight="1">
      <x:c r="A113" s="111"/>
      <x:c r="B113" s="111"/>
      <x:c r="C113" s="111"/>
      <x:c r="D113" s="111"/>
      <x:c r="E113" s="129"/>
      <x:c r="F113" s="138"/>
      <x:c r="G113" s="133" t="str">
        <x:f>IF(OR(A113="",E113="",F113=""),"",E113+F113-IF('ตั้งค่า'!$B$12="นับรวมวันเซ็น",1,0))</x:f>
      </x:c>
      <x:c r="H113" s="134"/>
      <x:c r="I113" s="117" t="str">
        <x:v>ยังไม่ส่ง</x:v>
      </x:c>
      <x:c r="J113" s="141" t="str">
        <x:f>IF(A113="","",IF(G113="","",IF(I113="ส่งแล้ว",0,G113-TODAY())))</x:f>
      </x:c>
      <x:c r="K113" s="114" t="str">
        <x:f>IF(A113="","",IF(G113="","ยังไม่ระบุวัน",IF(I113="ส่งแล้ว",IF(H113="","ส่งแล้ว",IF(INT(H113)&lt;INT(G113),"ส่งก่อนกำหนด "&amp;(INT(G113)-INT(H113))&amp;" วัน",IF(INT(H113)=INT(G113),"ส่งตรงกำหนด","ส่งล่าช้า "&amp;(INT(H113)-INT(G113))&amp;" วัน"))),IFS(G113&lt;TODAY(),"เกินกำหนด "&amp;(TODAY()-G113)&amp;" วัน",G113=TODAY(),"ครบกำหนดวันนี้",G113-TODAY()&lt;=3,"เร่งดำเนินการ",G113-TODAY()&lt;=5,"ต้องติดตาม",G113-TODAY()&lt;=10,"ใกล้ครบกำหนด",TRUE,"อยู่ระหว่างดำเนินการ"))))</x:f>
      </x:c>
      <x:c r="L113" s="114" t="str">
        <x:f>IF(OR(A113="",P113=""),"",HYPERLINK(P113,"เปิดใน Google Calendar"))</x:f>
      </x:c>
      <x:c r="M113" s="111"/>
      <x:c r="N113" s="123"/>
      <x:c r="O113" s="123"/>
      <x:c r="P113" s="123"/>
      <x:c r="Q113" s="126" t="b">
        <x:v>0</x:v>
      </x:c>
      <x:c r="R113" s="126" t="b">
        <x:v>0</x:v>
      </x:c>
      <x:c r="S113" s="126" t="b">
        <x:v>0</x:v>
      </x:c>
      <x:c r="T113" s="126" t="b">
        <x:v>0</x:v>
      </x:c>
      <x:c r="U113" s="144"/>
      <x:c r="V113" s="123"/>
      <x:c r="W113" s="123"/>
      <x:c r="X113" s="126" t="b">
        <x:v>0</x:v>
      </x:c>
    </x:row>
    <x:row r="114" ht="18" customHeight="1">
      <x:c r="A114" s="111"/>
      <x:c r="B114" s="111"/>
      <x:c r="C114" s="111"/>
      <x:c r="D114" s="111"/>
      <x:c r="E114" s="129"/>
      <x:c r="F114" s="138"/>
      <x:c r="G114" s="133" t="str">
        <x:f>IF(OR(A114="",E114="",F114=""),"",E114+F114-IF('ตั้งค่า'!$B$12="นับรวมวันเซ็น",1,0))</x:f>
      </x:c>
      <x:c r="H114" s="134"/>
      <x:c r="I114" s="117" t="str">
        <x:v>ยังไม่ส่ง</x:v>
      </x:c>
      <x:c r="J114" s="141" t="str">
        <x:f>IF(A114="","",IF(G114="","",IF(I114="ส่งแล้ว",0,G114-TODAY())))</x:f>
      </x:c>
      <x:c r="K114" s="114" t="str">
        <x:f>IF(A114="","",IF(G114="","ยังไม่ระบุวัน",IF(I114="ส่งแล้ว",IF(H114="","ส่งแล้ว",IF(INT(H114)&lt;INT(G114),"ส่งก่อนกำหนด "&amp;(INT(G114)-INT(H114))&amp;" วัน",IF(INT(H114)=INT(G114),"ส่งตรงกำหนด","ส่งล่าช้า "&amp;(INT(H114)-INT(G114))&amp;" วัน"))),IFS(G114&lt;TODAY(),"เกินกำหนด "&amp;(TODAY()-G114)&amp;" วัน",G114=TODAY(),"ครบกำหนดวันนี้",G114-TODAY()&lt;=3,"เร่งดำเนินการ",G114-TODAY()&lt;=5,"ต้องติดตาม",G114-TODAY()&lt;=10,"ใกล้ครบกำหนด",TRUE,"อยู่ระหว่างดำเนินการ"))))</x:f>
      </x:c>
      <x:c r="L114" s="114" t="str">
        <x:f>IF(OR(A114="",P114=""),"",HYPERLINK(P114,"เปิดใน Google Calendar"))</x:f>
      </x:c>
      <x:c r="M114" s="111"/>
      <x:c r="N114" s="123"/>
      <x:c r="O114" s="123"/>
      <x:c r="P114" s="123"/>
      <x:c r="Q114" s="126" t="b">
        <x:v>0</x:v>
      </x:c>
      <x:c r="R114" s="126" t="b">
        <x:v>0</x:v>
      </x:c>
      <x:c r="S114" s="126" t="b">
        <x:v>0</x:v>
      </x:c>
      <x:c r="T114" s="126" t="b">
        <x:v>0</x:v>
      </x:c>
      <x:c r="U114" s="144"/>
      <x:c r="V114" s="123"/>
      <x:c r="W114" s="123"/>
      <x:c r="X114" s="126" t="b">
        <x:v>0</x:v>
      </x:c>
    </x:row>
    <x:row r="115" ht="18" customHeight="1">
      <x:c r="A115" s="111"/>
      <x:c r="B115" s="111"/>
      <x:c r="C115" s="111"/>
      <x:c r="D115" s="111"/>
      <x:c r="E115" s="129"/>
      <x:c r="F115" s="138"/>
      <x:c r="G115" s="133" t="str">
        <x:f>IF(OR(A115="",E115="",F115=""),"",E115+F115-IF('ตั้งค่า'!$B$12="นับรวมวันเซ็น",1,0))</x:f>
      </x:c>
      <x:c r="H115" s="134"/>
      <x:c r="I115" s="117" t="str">
        <x:v>ยังไม่ส่ง</x:v>
      </x:c>
      <x:c r="J115" s="141" t="str">
        <x:f>IF(A115="","",IF(G115="","",IF(I115="ส่งแล้ว",0,G115-TODAY())))</x:f>
      </x:c>
      <x:c r="K115" s="114" t="str">
        <x:f>IF(A115="","",IF(G115="","ยังไม่ระบุวัน",IF(I115="ส่งแล้ว",IF(H115="","ส่งแล้ว",IF(INT(H115)&lt;INT(G115),"ส่งก่อนกำหนด "&amp;(INT(G115)-INT(H115))&amp;" วัน",IF(INT(H115)=INT(G115),"ส่งตรงกำหนด","ส่งล่าช้า "&amp;(INT(H115)-INT(G115))&amp;" วัน"))),IFS(G115&lt;TODAY(),"เกินกำหนด "&amp;(TODAY()-G115)&amp;" วัน",G115=TODAY(),"ครบกำหนดวันนี้",G115-TODAY()&lt;=3,"เร่งดำเนินการ",G115-TODAY()&lt;=5,"ต้องติดตาม",G115-TODAY()&lt;=10,"ใกล้ครบกำหนด",TRUE,"อยู่ระหว่างดำเนินการ"))))</x:f>
      </x:c>
      <x:c r="L115" s="114" t="str">
        <x:f>IF(OR(A115="",P115=""),"",HYPERLINK(P115,"เปิดใน Google Calendar"))</x:f>
      </x:c>
      <x:c r="M115" s="111"/>
      <x:c r="N115" s="123"/>
      <x:c r="O115" s="123"/>
      <x:c r="P115" s="123"/>
      <x:c r="Q115" s="126" t="b">
        <x:v>0</x:v>
      </x:c>
      <x:c r="R115" s="126" t="b">
        <x:v>0</x:v>
      </x:c>
      <x:c r="S115" s="126" t="b">
        <x:v>0</x:v>
      </x:c>
      <x:c r="T115" s="126" t="b">
        <x:v>0</x:v>
      </x:c>
      <x:c r="U115" s="144"/>
      <x:c r="V115" s="123"/>
      <x:c r="W115" s="123"/>
      <x:c r="X115" s="126" t="b">
        <x:v>0</x:v>
      </x:c>
    </x:row>
    <x:row r="116" ht="18" customHeight="1">
      <x:c r="A116" s="111"/>
      <x:c r="B116" s="111"/>
      <x:c r="C116" s="111"/>
      <x:c r="D116" s="111"/>
      <x:c r="E116" s="129"/>
      <x:c r="F116" s="138"/>
      <x:c r="G116" s="133" t="str">
        <x:f>IF(OR(A116="",E116="",F116=""),"",E116+F116-IF('ตั้งค่า'!$B$12="นับรวมวันเซ็น",1,0))</x:f>
      </x:c>
      <x:c r="H116" s="134"/>
      <x:c r="I116" s="117" t="str">
        <x:v>ยังไม่ส่ง</x:v>
      </x:c>
      <x:c r="J116" s="141" t="str">
        <x:f>IF(A116="","",IF(G116="","",IF(I116="ส่งแล้ว",0,G116-TODAY())))</x:f>
      </x:c>
      <x:c r="K116" s="114" t="str">
        <x:f>IF(A116="","",IF(G116="","ยังไม่ระบุวัน",IF(I116="ส่งแล้ว",IF(H116="","ส่งแล้ว",IF(INT(H116)&lt;INT(G116),"ส่งก่อนกำหนด "&amp;(INT(G116)-INT(H116))&amp;" วัน",IF(INT(H116)=INT(G116),"ส่งตรงกำหนด","ส่งล่าช้า "&amp;(INT(H116)-INT(G116))&amp;" วัน"))),IFS(G116&lt;TODAY(),"เกินกำหนด "&amp;(TODAY()-G116)&amp;" วัน",G116=TODAY(),"ครบกำหนดวันนี้",G116-TODAY()&lt;=3,"เร่งดำเนินการ",G116-TODAY()&lt;=5,"ต้องติดตาม",G116-TODAY()&lt;=10,"ใกล้ครบกำหนด",TRUE,"อยู่ระหว่างดำเนินการ"))))</x:f>
      </x:c>
      <x:c r="L116" s="114" t="str">
        <x:f>IF(OR(A116="",P116=""),"",HYPERLINK(P116,"เปิดใน Google Calendar"))</x:f>
      </x:c>
      <x:c r="M116" s="111"/>
      <x:c r="N116" s="123"/>
      <x:c r="O116" s="123"/>
      <x:c r="P116" s="123"/>
      <x:c r="Q116" s="126" t="b">
        <x:v>0</x:v>
      </x:c>
      <x:c r="R116" s="126" t="b">
        <x:v>0</x:v>
      </x:c>
      <x:c r="S116" s="126" t="b">
        <x:v>0</x:v>
      </x:c>
      <x:c r="T116" s="126" t="b">
        <x:v>0</x:v>
      </x:c>
      <x:c r="U116" s="144"/>
      <x:c r="V116" s="123"/>
      <x:c r="W116" s="123"/>
      <x:c r="X116" s="126" t="b">
        <x:v>0</x:v>
      </x:c>
    </x:row>
    <x:row r="117" ht="18" customHeight="1">
      <x:c r="A117" s="111"/>
      <x:c r="B117" s="111"/>
      <x:c r="C117" s="111"/>
      <x:c r="D117" s="111"/>
      <x:c r="E117" s="129"/>
      <x:c r="F117" s="138"/>
      <x:c r="G117" s="133" t="str">
        <x:f>IF(OR(A117="",E117="",F117=""),"",E117+F117-IF('ตั้งค่า'!$B$12="นับรวมวันเซ็น",1,0))</x:f>
      </x:c>
      <x:c r="H117" s="134"/>
      <x:c r="I117" s="117" t="str">
        <x:v>ยังไม่ส่ง</x:v>
      </x:c>
      <x:c r="J117" s="141" t="str">
        <x:f>IF(A117="","",IF(G117="","",IF(I117="ส่งแล้ว",0,G117-TODAY())))</x:f>
      </x:c>
      <x:c r="K117" s="114" t="str">
        <x:f>IF(A117="","",IF(G117="","ยังไม่ระบุวัน",IF(I117="ส่งแล้ว",IF(H117="","ส่งแล้ว",IF(INT(H117)&lt;INT(G117),"ส่งก่อนกำหนด "&amp;(INT(G117)-INT(H117))&amp;" วัน",IF(INT(H117)=INT(G117),"ส่งตรงกำหนด","ส่งล่าช้า "&amp;(INT(H117)-INT(G117))&amp;" วัน"))),IFS(G117&lt;TODAY(),"เกินกำหนด "&amp;(TODAY()-G117)&amp;" วัน",G117=TODAY(),"ครบกำหนดวันนี้",G117-TODAY()&lt;=3,"เร่งดำเนินการ",G117-TODAY()&lt;=5,"ต้องติดตาม",G117-TODAY()&lt;=10,"ใกล้ครบกำหนด",TRUE,"อยู่ระหว่างดำเนินการ"))))</x:f>
      </x:c>
      <x:c r="L117" s="114" t="str">
        <x:f>IF(OR(A117="",P117=""),"",HYPERLINK(P117,"เปิดใน Google Calendar"))</x:f>
      </x:c>
      <x:c r="M117" s="111"/>
      <x:c r="N117" s="123"/>
      <x:c r="O117" s="123"/>
      <x:c r="P117" s="123"/>
      <x:c r="Q117" s="126" t="b">
        <x:v>0</x:v>
      </x:c>
      <x:c r="R117" s="126" t="b">
        <x:v>0</x:v>
      </x:c>
      <x:c r="S117" s="126" t="b">
        <x:v>0</x:v>
      </x:c>
      <x:c r="T117" s="126" t="b">
        <x:v>0</x:v>
      </x:c>
      <x:c r="U117" s="144"/>
      <x:c r="V117" s="123"/>
      <x:c r="W117" s="123"/>
      <x:c r="X117" s="126" t="b">
        <x:v>0</x:v>
      </x:c>
    </x:row>
    <x:row r="118" ht="18" customHeight="1">
      <x:c r="A118" s="111"/>
      <x:c r="B118" s="111"/>
      <x:c r="C118" s="111"/>
      <x:c r="D118" s="111"/>
      <x:c r="E118" s="129"/>
      <x:c r="F118" s="138"/>
      <x:c r="G118" s="133" t="str">
        <x:f>IF(OR(A118="",E118="",F118=""),"",E118+F118-IF('ตั้งค่า'!$B$12="นับรวมวันเซ็น",1,0))</x:f>
      </x:c>
      <x:c r="H118" s="134"/>
      <x:c r="I118" s="117" t="str">
        <x:v>ยังไม่ส่ง</x:v>
      </x:c>
      <x:c r="J118" s="141" t="str">
        <x:f>IF(A118="","",IF(G118="","",IF(I118="ส่งแล้ว",0,G118-TODAY())))</x:f>
      </x:c>
      <x:c r="K118" s="114" t="str">
        <x:f>IF(A118="","",IF(G118="","ยังไม่ระบุวัน",IF(I118="ส่งแล้ว",IF(H118="","ส่งแล้ว",IF(INT(H118)&lt;INT(G118),"ส่งก่อนกำหนด "&amp;(INT(G118)-INT(H118))&amp;" วัน",IF(INT(H118)=INT(G118),"ส่งตรงกำหนด","ส่งล่าช้า "&amp;(INT(H118)-INT(G118))&amp;" วัน"))),IFS(G118&lt;TODAY(),"เกินกำหนด "&amp;(TODAY()-G118)&amp;" วัน",G118=TODAY(),"ครบกำหนดวันนี้",G118-TODAY()&lt;=3,"เร่งดำเนินการ",G118-TODAY()&lt;=5,"ต้องติดตาม",G118-TODAY()&lt;=10,"ใกล้ครบกำหนด",TRUE,"อยู่ระหว่างดำเนินการ"))))</x:f>
      </x:c>
      <x:c r="L118" s="114" t="str">
        <x:f>IF(OR(A118="",P118=""),"",HYPERLINK(P118,"เปิดใน Google Calendar"))</x:f>
      </x:c>
      <x:c r="M118" s="111"/>
      <x:c r="N118" s="123"/>
      <x:c r="O118" s="123"/>
      <x:c r="P118" s="123"/>
      <x:c r="Q118" s="126" t="b">
        <x:v>0</x:v>
      </x:c>
      <x:c r="R118" s="126" t="b">
        <x:v>0</x:v>
      </x:c>
      <x:c r="S118" s="126" t="b">
        <x:v>0</x:v>
      </x:c>
      <x:c r="T118" s="126" t="b">
        <x:v>0</x:v>
      </x:c>
      <x:c r="U118" s="144"/>
      <x:c r="V118" s="123"/>
      <x:c r="W118" s="123"/>
      <x:c r="X118" s="126" t="b">
        <x:v>0</x:v>
      </x:c>
    </x:row>
    <x:row r="119" ht="18" customHeight="1">
      <x:c r="A119" s="111"/>
      <x:c r="B119" s="111"/>
      <x:c r="C119" s="111"/>
      <x:c r="D119" s="111"/>
      <x:c r="E119" s="129"/>
      <x:c r="F119" s="138"/>
      <x:c r="G119" s="133" t="str">
        <x:f>IF(OR(A119="",E119="",F119=""),"",E119+F119-IF('ตั้งค่า'!$B$12="นับรวมวันเซ็น",1,0))</x:f>
      </x:c>
      <x:c r="H119" s="134"/>
      <x:c r="I119" s="117" t="str">
        <x:v>ยังไม่ส่ง</x:v>
      </x:c>
      <x:c r="J119" s="141" t="str">
        <x:f>IF(A119="","",IF(G119="","",IF(I119="ส่งแล้ว",0,G119-TODAY())))</x:f>
      </x:c>
      <x:c r="K119" s="114" t="str">
        <x:f>IF(A119="","",IF(G119="","ยังไม่ระบุวัน",IF(I119="ส่งแล้ว",IF(H119="","ส่งแล้ว",IF(INT(H119)&lt;INT(G119),"ส่งก่อนกำหนด "&amp;(INT(G119)-INT(H119))&amp;" วัน",IF(INT(H119)=INT(G119),"ส่งตรงกำหนด","ส่งล่าช้า "&amp;(INT(H119)-INT(G119))&amp;" วัน"))),IFS(G119&lt;TODAY(),"เกินกำหนด "&amp;(TODAY()-G119)&amp;" วัน",G119=TODAY(),"ครบกำหนดวันนี้",G119-TODAY()&lt;=3,"เร่งดำเนินการ",G119-TODAY()&lt;=5,"ต้องติดตาม",G119-TODAY()&lt;=10,"ใกล้ครบกำหนด",TRUE,"อยู่ระหว่างดำเนินการ"))))</x:f>
      </x:c>
      <x:c r="L119" s="114" t="str">
        <x:f>IF(OR(A119="",P119=""),"",HYPERLINK(P119,"เปิดใน Google Calendar"))</x:f>
      </x:c>
      <x:c r="M119" s="111"/>
      <x:c r="N119" s="123"/>
      <x:c r="O119" s="123"/>
      <x:c r="P119" s="123"/>
      <x:c r="Q119" s="126" t="b">
        <x:v>0</x:v>
      </x:c>
      <x:c r="R119" s="126" t="b">
        <x:v>0</x:v>
      </x:c>
      <x:c r="S119" s="126" t="b">
        <x:v>0</x:v>
      </x:c>
      <x:c r="T119" s="126" t="b">
        <x:v>0</x:v>
      </x:c>
      <x:c r="U119" s="144"/>
      <x:c r="V119" s="123"/>
      <x:c r="W119" s="123"/>
      <x:c r="X119" s="126" t="b">
        <x:v>0</x:v>
      </x:c>
    </x:row>
    <x:row r="120" ht="18" customHeight="1">
      <x:c r="A120" s="111"/>
      <x:c r="B120" s="111"/>
      <x:c r="C120" s="111"/>
      <x:c r="D120" s="111"/>
      <x:c r="E120" s="129"/>
      <x:c r="F120" s="138"/>
      <x:c r="G120" s="133" t="str">
        <x:f>IF(OR(A120="",E120="",F120=""),"",E120+F120-IF('ตั้งค่า'!$B$12="นับรวมวันเซ็น",1,0))</x:f>
      </x:c>
      <x:c r="H120" s="134"/>
      <x:c r="I120" s="117" t="str">
        <x:v>ยังไม่ส่ง</x:v>
      </x:c>
      <x:c r="J120" s="141" t="str">
        <x:f>IF(A120="","",IF(G120="","",IF(I120="ส่งแล้ว",0,G120-TODAY())))</x:f>
      </x:c>
      <x:c r="K120" s="114" t="str">
        <x:f>IF(A120="","",IF(G120="","ยังไม่ระบุวัน",IF(I120="ส่งแล้ว",IF(H120="","ส่งแล้ว",IF(INT(H120)&lt;INT(G120),"ส่งก่อนกำหนด "&amp;(INT(G120)-INT(H120))&amp;" วัน",IF(INT(H120)=INT(G120),"ส่งตรงกำหนด","ส่งล่าช้า "&amp;(INT(H120)-INT(G120))&amp;" วัน"))),IFS(G120&lt;TODAY(),"เกินกำหนด "&amp;(TODAY()-G120)&amp;" วัน",G120=TODAY(),"ครบกำหนดวันนี้",G120-TODAY()&lt;=3,"เร่งดำเนินการ",G120-TODAY()&lt;=5,"ต้องติดตาม",G120-TODAY()&lt;=10,"ใกล้ครบกำหนด",TRUE,"อยู่ระหว่างดำเนินการ"))))</x:f>
      </x:c>
      <x:c r="L120" s="114" t="str">
        <x:f>IF(OR(A120="",P120=""),"",HYPERLINK(P120,"เปิดใน Google Calendar"))</x:f>
      </x:c>
      <x:c r="M120" s="111"/>
      <x:c r="N120" s="123"/>
      <x:c r="O120" s="123"/>
      <x:c r="P120" s="123"/>
      <x:c r="Q120" s="126" t="b">
        <x:v>0</x:v>
      </x:c>
      <x:c r="R120" s="126" t="b">
        <x:v>0</x:v>
      </x:c>
      <x:c r="S120" s="126" t="b">
        <x:v>0</x:v>
      </x:c>
      <x:c r="T120" s="126" t="b">
        <x:v>0</x:v>
      </x:c>
      <x:c r="U120" s="144"/>
      <x:c r="V120" s="123"/>
      <x:c r="W120" s="123"/>
      <x:c r="X120" s="126" t="b">
        <x:v>0</x:v>
      </x:c>
    </x:row>
    <x:row r="121" ht="18" customHeight="1">
      <x:c r="A121" s="111"/>
      <x:c r="B121" s="111"/>
      <x:c r="C121" s="111"/>
      <x:c r="D121" s="111"/>
      <x:c r="E121" s="129"/>
      <x:c r="F121" s="138"/>
      <x:c r="G121" s="133" t="str">
        <x:f>IF(OR(A121="",E121="",F121=""),"",E121+F121-IF('ตั้งค่า'!$B$12="นับรวมวันเซ็น",1,0))</x:f>
      </x:c>
      <x:c r="H121" s="134"/>
      <x:c r="I121" s="117" t="str">
        <x:v>ยังไม่ส่ง</x:v>
      </x:c>
      <x:c r="J121" s="141" t="str">
        <x:f>IF(A121="","",IF(G121="","",IF(I121="ส่งแล้ว",0,G121-TODAY())))</x:f>
      </x:c>
      <x:c r="K121" s="114" t="str">
        <x:f>IF(A121="","",IF(G121="","ยังไม่ระบุวัน",IF(I121="ส่งแล้ว",IF(H121="","ส่งแล้ว",IF(INT(H121)&lt;INT(G121),"ส่งก่อนกำหนด "&amp;(INT(G121)-INT(H121))&amp;" วัน",IF(INT(H121)=INT(G121),"ส่งตรงกำหนด","ส่งล่าช้า "&amp;(INT(H121)-INT(G121))&amp;" วัน"))),IFS(G121&lt;TODAY(),"เกินกำหนด "&amp;(TODAY()-G121)&amp;" วัน",G121=TODAY(),"ครบกำหนดวันนี้",G121-TODAY()&lt;=3,"เร่งดำเนินการ",G121-TODAY()&lt;=5,"ต้องติดตาม",G121-TODAY()&lt;=10,"ใกล้ครบกำหนด",TRUE,"อยู่ระหว่างดำเนินการ"))))</x:f>
      </x:c>
      <x:c r="L121" s="114" t="str">
        <x:f>IF(OR(A121="",P121=""),"",HYPERLINK(P121,"เปิดใน Google Calendar"))</x:f>
      </x:c>
      <x:c r="M121" s="111"/>
      <x:c r="N121" s="123"/>
      <x:c r="O121" s="123"/>
      <x:c r="P121" s="123"/>
      <x:c r="Q121" s="126" t="b">
        <x:v>0</x:v>
      </x:c>
      <x:c r="R121" s="126" t="b">
        <x:v>0</x:v>
      </x:c>
      <x:c r="S121" s="126" t="b">
        <x:v>0</x:v>
      </x:c>
      <x:c r="T121" s="126" t="b">
        <x:v>0</x:v>
      </x:c>
      <x:c r="U121" s="144"/>
      <x:c r="V121" s="123"/>
      <x:c r="W121" s="123"/>
      <x:c r="X121" s="126" t="b">
        <x:v>0</x:v>
      </x:c>
    </x:row>
    <x:row r="122" ht="18" customHeight="1">
      <x:c r="A122" s="111"/>
      <x:c r="B122" s="111"/>
      <x:c r="C122" s="111"/>
      <x:c r="D122" s="111"/>
      <x:c r="E122" s="129"/>
      <x:c r="F122" s="138"/>
      <x:c r="G122" s="133" t="str">
        <x:f>IF(OR(A122="",E122="",F122=""),"",E122+F122-IF('ตั้งค่า'!$B$12="นับรวมวันเซ็น",1,0))</x:f>
      </x:c>
      <x:c r="H122" s="134"/>
      <x:c r="I122" s="117" t="str">
        <x:v>ยังไม่ส่ง</x:v>
      </x:c>
      <x:c r="J122" s="141" t="str">
        <x:f>IF(A122="","",IF(G122="","",IF(I122="ส่งแล้ว",0,G122-TODAY())))</x:f>
      </x:c>
      <x:c r="K122" s="114" t="str">
        <x:f>IF(A122="","",IF(G122="","ยังไม่ระบุวัน",IF(I122="ส่งแล้ว",IF(H122="","ส่งแล้ว",IF(INT(H122)&lt;INT(G122),"ส่งก่อนกำหนด "&amp;(INT(G122)-INT(H122))&amp;" วัน",IF(INT(H122)=INT(G122),"ส่งตรงกำหนด","ส่งล่าช้า "&amp;(INT(H122)-INT(G122))&amp;" วัน"))),IFS(G122&lt;TODAY(),"เกินกำหนด "&amp;(TODAY()-G122)&amp;" วัน",G122=TODAY(),"ครบกำหนดวันนี้",G122-TODAY()&lt;=3,"เร่งดำเนินการ",G122-TODAY()&lt;=5,"ต้องติดตาม",G122-TODAY()&lt;=10,"ใกล้ครบกำหนด",TRUE,"อยู่ระหว่างดำเนินการ"))))</x:f>
      </x:c>
      <x:c r="L122" s="114" t="str">
        <x:f>IF(OR(A122="",P122=""),"",HYPERLINK(P122,"เปิดใน Google Calendar"))</x:f>
      </x:c>
      <x:c r="M122" s="111"/>
      <x:c r="N122" s="123"/>
      <x:c r="O122" s="123"/>
      <x:c r="P122" s="123"/>
      <x:c r="Q122" s="126" t="b">
        <x:v>0</x:v>
      </x:c>
      <x:c r="R122" s="126" t="b">
        <x:v>0</x:v>
      </x:c>
      <x:c r="S122" s="126" t="b">
        <x:v>0</x:v>
      </x:c>
      <x:c r="T122" s="126" t="b">
        <x:v>0</x:v>
      </x:c>
      <x:c r="U122" s="144"/>
      <x:c r="V122" s="123"/>
      <x:c r="W122" s="123"/>
      <x:c r="X122" s="126" t="b">
        <x:v>0</x:v>
      </x:c>
    </x:row>
    <x:row r="123" ht="18" customHeight="1">
      <x:c r="A123" s="111"/>
      <x:c r="B123" s="111"/>
      <x:c r="C123" s="111"/>
      <x:c r="D123" s="111"/>
      <x:c r="E123" s="129"/>
      <x:c r="F123" s="138"/>
      <x:c r="G123" s="133" t="str">
        <x:f>IF(OR(A123="",E123="",F123=""),"",E123+F123-IF('ตั้งค่า'!$B$12="นับรวมวันเซ็น",1,0))</x:f>
      </x:c>
      <x:c r="H123" s="134"/>
      <x:c r="I123" s="117" t="str">
        <x:v>ยังไม่ส่ง</x:v>
      </x:c>
      <x:c r="J123" s="141" t="str">
        <x:f>IF(A123="","",IF(G123="","",IF(I123="ส่งแล้ว",0,G123-TODAY())))</x:f>
      </x:c>
      <x:c r="K123" s="114" t="str">
        <x:f>IF(A123="","",IF(G123="","ยังไม่ระบุวัน",IF(I123="ส่งแล้ว",IF(H123="","ส่งแล้ว",IF(INT(H123)&lt;INT(G123),"ส่งก่อนกำหนด "&amp;(INT(G123)-INT(H123))&amp;" วัน",IF(INT(H123)=INT(G123),"ส่งตรงกำหนด","ส่งล่าช้า "&amp;(INT(H123)-INT(G123))&amp;" วัน"))),IFS(G123&lt;TODAY(),"เกินกำหนด "&amp;(TODAY()-G123)&amp;" วัน",G123=TODAY(),"ครบกำหนดวันนี้",G123-TODAY()&lt;=3,"เร่งดำเนินการ",G123-TODAY()&lt;=5,"ต้องติดตาม",G123-TODAY()&lt;=10,"ใกล้ครบกำหนด",TRUE,"อยู่ระหว่างดำเนินการ"))))</x:f>
      </x:c>
      <x:c r="L123" s="114" t="str">
        <x:f>IF(OR(A123="",P123=""),"",HYPERLINK(P123,"เปิดใน Google Calendar"))</x:f>
      </x:c>
      <x:c r="M123" s="111"/>
      <x:c r="N123" s="123"/>
      <x:c r="O123" s="123"/>
      <x:c r="P123" s="123"/>
      <x:c r="Q123" s="126" t="b">
        <x:v>0</x:v>
      </x:c>
      <x:c r="R123" s="126" t="b">
        <x:v>0</x:v>
      </x:c>
      <x:c r="S123" s="126" t="b">
        <x:v>0</x:v>
      </x:c>
      <x:c r="T123" s="126" t="b">
        <x:v>0</x:v>
      </x:c>
      <x:c r="U123" s="144"/>
      <x:c r="V123" s="123"/>
      <x:c r="W123" s="123"/>
      <x:c r="X123" s="126" t="b">
        <x:v>0</x:v>
      </x:c>
    </x:row>
    <x:row r="124" ht="18" customHeight="1">
      <x:c r="A124" s="111"/>
      <x:c r="B124" s="111"/>
      <x:c r="C124" s="111"/>
      <x:c r="D124" s="111"/>
      <x:c r="E124" s="129"/>
      <x:c r="F124" s="138"/>
      <x:c r="G124" s="133" t="str">
        <x:f>IF(OR(A124="",E124="",F124=""),"",E124+F124-IF('ตั้งค่า'!$B$12="นับรวมวันเซ็น",1,0))</x:f>
      </x:c>
      <x:c r="H124" s="134"/>
      <x:c r="I124" s="117" t="str">
        <x:v>ยังไม่ส่ง</x:v>
      </x:c>
      <x:c r="J124" s="141" t="str">
        <x:f>IF(A124="","",IF(G124="","",IF(I124="ส่งแล้ว",0,G124-TODAY())))</x:f>
      </x:c>
      <x:c r="K124" s="114" t="str">
        <x:f>IF(A124="","",IF(G124="","ยังไม่ระบุวัน",IF(I124="ส่งแล้ว",IF(H124="","ส่งแล้ว",IF(INT(H124)&lt;INT(G124),"ส่งก่อนกำหนด "&amp;(INT(G124)-INT(H124))&amp;" วัน",IF(INT(H124)=INT(G124),"ส่งตรงกำหนด","ส่งล่าช้า "&amp;(INT(H124)-INT(G124))&amp;" วัน"))),IFS(G124&lt;TODAY(),"เกินกำหนด "&amp;(TODAY()-G124)&amp;" วัน",G124=TODAY(),"ครบกำหนดวันนี้",G124-TODAY()&lt;=3,"เร่งดำเนินการ",G124-TODAY()&lt;=5,"ต้องติดตาม",G124-TODAY()&lt;=10,"ใกล้ครบกำหนด",TRUE,"อยู่ระหว่างดำเนินการ"))))</x:f>
      </x:c>
      <x:c r="L124" s="114" t="str">
        <x:f>IF(OR(A124="",P124=""),"",HYPERLINK(P124,"เปิดใน Google Calendar"))</x:f>
      </x:c>
      <x:c r="M124" s="111"/>
      <x:c r="N124" s="123"/>
      <x:c r="O124" s="123"/>
      <x:c r="P124" s="123"/>
      <x:c r="Q124" s="126" t="b">
        <x:v>0</x:v>
      </x:c>
      <x:c r="R124" s="126" t="b">
        <x:v>0</x:v>
      </x:c>
      <x:c r="S124" s="126" t="b">
        <x:v>0</x:v>
      </x:c>
      <x:c r="T124" s="126" t="b">
        <x:v>0</x:v>
      </x:c>
      <x:c r="U124" s="144"/>
      <x:c r="V124" s="123"/>
      <x:c r="W124" s="123"/>
      <x:c r="X124" s="126" t="b">
        <x:v>0</x:v>
      </x:c>
    </x:row>
    <x:row r="125" ht="18" customHeight="1">
      <x:c r="A125" s="111"/>
      <x:c r="B125" s="111"/>
      <x:c r="C125" s="111"/>
      <x:c r="D125" s="111"/>
      <x:c r="E125" s="129"/>
      <x:c r="F125" s="138"/>
      <x:c r="G125" s="133" t="str">
        <x:f>IF(OR(A125="",E125="",F125=""),"",E125+F125-IF('ตั้งค่า'!$B$12="นับรวมวันเซ็น",1,0))</x:f>
      </x:c>
      <x:c r="H125" s="134"/>
      <x:c r="I125" s="117" t="str">
        <x:v>ยังไม่ส่ง</x:v>
      </x:c>
      <x:c r="J125" s="141" t="str">
        <x:f>IF(A125="","",IF(G125="","",IF(I125="ส่งแล้ว",0,G125-TODAY())))</x:f>
      </x:c>
      <x:c r="K125" s="114" t="str">
        <x:f>IF(A125="","",IF(G125="","ยังไม่ระบุวัน",IF(I125="ส่งแล้ว",IF(H125="","ส่งแล้ว",IF(INT(H125)&lt;INT(G125),"ส่งก่อนกำหนด "&amp;(INT(G125)-INT(H125))&amp;" วัน",IF(INT(H125)=INT(G125),"ส่งตรงกำหนด","ส่งล่าช้า "&amp;(INT(H125)-INT(G125))&amp;" วัน"))),IFS(G125&lt;TODAY(),"เกินกำหนด "&amp;(TODAY()-G125)&amp;" วัน",G125=TODAY(),"ครบกำหนดวันนี้",G125-TODAY()&lt;=3,"เร่งดำเนินการ",G125-TODAY()&lt;=5,"ต้องติดตาม",G125-TODAY()&lt;=10,"ใกล้ครบกำหนด",TRUE,"อยู่ระหว่างดำเนินการ"))))</x:f>
      </x:c>
      <x:c r="L125" s="114" t="str">
        <x:f>IF(OR(A125="",P125=""),"",HYPERLINK(P125,"เปิดใน Google Calendar"))</x:f>
      </x:c>
      <x:c r="M125" s="111"/>
      <x:c r="N125" s="123"/>
      <x:c r="O125" s="123"/>
      <x:c r="P125" s="123"/>
      <x:c r="Q125" s="126" t="b">
        <x:v>0</x:v>
      </x:c>
      <x:c r="R125" s="126" t="b">
        <x:v>0</x:v>
      </x:c>
      <x:c r="S125" s="126" t="b">
        <x:v>0</x:v>
      </x:c>
      <x:c r="T125" s="126" t="b">
        <x:v>0</x:v>
      </x:c>
      <x:c r="U125" s="144"/>
      <x:c r="V125" s="123"/>
      <x:c r="W125" s="123"/>
      <x:c r="X125" s="126" t="b">
        <x:v>0</x:v>
      </x:c>
    </x:row>
    <x:row r="126" ht="18" customHeight="1">
      <x:c r="A126" s="111"/>
      <x:c r="B126" s="111"/>
      <x:c r="C126" s="111"/>
      <x:c r="D126" s="111"/>
      <x:c r="E126" s="129"/>
      <x:c r="F126" s="138"/>
      <x:c r="G126" s="133" t="str">
        <x:f>IF(OR(A126="",E126="",F126=""),"",E126+F126-IF('ตั้งค่า'!$B$12="นับรวมวันเซ็น",1,0))</x:f>
      </x:c>
      <x:c r="H126" s="134"/>
      <x:c r="I126" s="117" t="str">
        <x:v>ยังไม่ส่ง</x:v>
      </x:c>
      <x:c r="J126" s="141" t="str">
        <x:f>IF(A126="","",IF(G126="","",IF(I126="ส่งแล้ว",0,G126-TODAY())))</x:f>
      </x:c>
      <x:c r="K126" s="114" t="str">
        <x:f>IF(A126="","",IF(G126="","ยังไม่ระบุวัน",IF(I126="ส่งแล้ว",IF(H126="","ส่งแล้ว",IF(INT(H126)&lt;INT(G126),"ส่งก่อนกำหนด "&amp;(INT(G126)-INT(H126))&amp;" วัน",IF(INT(H126)=INT(G126),"ส่งตรงกำหนด","ส่งล่าช้า "&amp;(INT(H126)-INT(G126))&amp;" วัน"))),IFS(G126&lt;TODAY(),"เกินกำหนด "&amp;(TODAY()-G126)&amp;" วัน",G126=TODAY(),"ครบกำหนดวันนี้",G126-TODAY()&lt;=3,"เร่งดำเนินการ",G126-TODAY()&lt;=5,"ต้องติดตาม",G126-TODAY()&lt;=10,"ใกล้ครบกำหนด",TRUE,"อยู่ระหว่างดำเนินการ"))))</x:f>
      </x:c>
      <x:c r="L126" s="114" t="str">
        <x:f>IF(OR(A126="",P126=""),"",HYPERLINK(P126,"เปิดใน Google Calendar"))</x:f>
      </x:c>
      <x:c r="M126" s="111"/>
      <x:c r="N126" s="123"/>
      <x:c r="O126" s="123"/>
      <x:c r="P126" s="123"/>
      <x:c r="Q126" s="126" t="b">
        <x:v>0</x:v>
      </x:c>
      <x:c r="R126" s="126" t="b">
        <x:v>0</x:v>
      </x:c>
      <x:c r="S126" s="126" t="b">
        <x:v>0</x:v>
      </x:c>
      <x:c r="T126" s="126" t="b">
        <x:v>0</x:v>
      </x:c>
      <x:c r="U126" s="144"/>
      <x:c r="V126" s="123"/>
      <x:c r="W126" s="123"/>
      <x:c r="X126" s="126" t="b">
        <x:v>0</x:v>
      </x:c>
    </x:row>
    <x:row r="127" ht="18" customHeight="1">
      <x:c r="A127" s="111"/>
      <x:c r="B127" s="111"/>
      <x:c r="C127" s="111"/>
      <x:c r="D127" s="111"/>
      <x:c r="E127" s="129"/>
      <x:c r="F127" s="138"/>
      <x:c r="G127" s="133" t="str">
        <x:f>IF(OR(A127="",E127="",F127=""),"",E127+F127-IF('ตั้งค่า'!$B$12="นับรวมวันเซ็น",1,0))</x:f>
      </x:c>
      <x:c r="H127" s="134"/>
      <x:c r="I127" s="117" t="str">
        <x:v>ยังไม่ส่ง</x:v>
      </x:c>
      <x:c r="J127" s="141" t="str">
        <x:f>IF(A127="","",IF(G127="","",IF(I127="ส่งแล้ว",0,G127-TODAY())))</x:f>
      </x:c>
      <x:c r="K127" s="114" t="str">
        <x:f>IF(A127="","",IF(G127="","ยังไม่ระบุวัน",IF(I127="ส่งแล้ว",IF(H127="","ส่งแล้ว",IF(INT(H127)&lt;INT(G127),"ส่งก่อนกำหนด "&amp;(INT(G127)-INT(H127))&amp;" วัน",IF(INT(H127)=INT(G127),"ส่งตรงกำหนด","ส่งล่าช้า "&amp;(INT(H127)-INT(G127))&amp;" วัน"))),IFS(G127&lt;TODAY(),"เกินกำหนด "&amp;(TODAY()-G127)&amp;" วัน",G127=TODAY(),"ครบกำหนดวันนี้",G127-TODAY()&lt;=3,"เร่งดำเนินการ",G127-TODAY()&lt;=5,"ต้องติดตาม",G127-TODAY()&lt;=10,"ใกล้ครบกำหนด",TRUE,"อยู่ระหว่างดำเนินการ"))))</x:f>
      </x:c>
      <x:c r="L127" s="114" t="str">
        <x:f>IF(OR(A127="",P127=""),"",HYPERLINK(P127,"เปิดใน Google Calendar"))</x:f>
      </x:c>
      <x:c r="M127" s="111"/>
      <x:c r="N127" s="123"/>
      <x:c r="O127" s="123"/>
      <x:c r="P127" s="123"/>
      <x:c r="Q127" s="126" t="b">
        <x:v>0</x:v>
      </x:c>
      <x:c r="R127" s="126" t="b">
        <x:v>0</x:v>
      </x:c>
      <x:c r="S127" s="126" t="b">
        <x:v>0</x:v>
      </x:c>
      <x:c r="T127" s="126" t="b">
        <x:v>0</x:v>
      </x:c>
      <x:c r="U127" s="144"/>
      <x:c r="V127" s="123"/>
      <x:c r="W127" s="123"/>
      <x:c r="X127" s="126" t="b">
        <x:v>0</x:v>
      </x:c>
    </x:row>
    <x:row r="128" ht="18" customHeight="1">
      <x:c r="A128" s="111"/>
      <x:c r="B128" s="111"/>
      <x:c r="C128" s="111"/>
      <x:c r="D128" s="111"/>
      <x:c r="E128" s="129"/>
      <x:c r="F128" s="138"/>
      <x:c r="G128" s="133" t="str">
        <x:f>IF(OR(A128="",E128="",F128=""),"",E128+F128-IF('ตั้งค่า'!$B$12="นับรวมวันเซ็น",1,0))</x:f>
      </x:c>
      <x:c r="H128" s="134"/>
      <x:c r="I128" s="117" t="str">
        <x:v>ยังไม่ส่ง</x:v>
      </x:c>
      <x:c r="J128" s="141" t="str">
        <x:f>IF(A128="","",IF(G128="","",IF(I128="ส่งแล้ว",0,G128-TODAY())))</x:f>
      </x:c>
      <x:c r="K128" s="114" t="str">
        <x:f>IF(A128="","",IF(G128="","ยังไม่ระบุวัน",IF(I128="ส่งแล้ว",IF(H128="","ส่งแล้ว",IF(INT(H128)&lt;INT(G128),"ส่งก่อนกำหนด "&amp;(INT(G128)-INT(H128))&amp;" วัน",IF(INT(H128)=INT(G128),"ส่งตรงกำหนด","ส่งล่าช้า "&amp;(INT(H128)-INT(G128))&amp;" วัน"))),IFS(G128&lt;TODAY(),"เกินกำหนด "&amp;(TODAY()-G128)&amp;" วัน",G128=TODAY(),"ครบกำหนดวันนี้",G128-TODAY()&lt;=3,"เร่งดำเนินการ",G128-TODAY()&lt;=5,"ต้องติดตาม",G128-TODAY()&lt;=10,"ใกล้ครบกำหนด",TRUE,"อยู่ระหว่างดำเนินการ"))))</x:f>
      </x:c>
      <x:c r="L128" s="114" t="str">
        <x:f>IF(OR(A128="",P128=""),"",HYPERLINK(P128,"เปิดใน Google Calendar"))</x:f>
      </x:c>
      <x:c r="M128" s="111"/>
      <x:c r="N128" s="123"/>
      <x:c r="O128" s="123"/>
      <x:c r="P128" s="123"/>
      <x:c r="Q128" s="126" t="b">
        <x:v>0</x:v>
      </x:c>
      <x:c r="R128" s="126" t="b">
        <x:v>0</x:v>
      </x:c>
      <x:c r="S128" s="126" t="b">
        <x:v>0</x:v>
      </x:c>
      <x:c r="T128" s="126" t="b">
        <x:v>0</x:v>
      </x:c>
      <x:c r="U128" s="144"/>
      <x:c r="V128" s="123"/>
      <x:c r="W128" s="123"/>
      <x:c r="X128" s="126" t="b">
        <x:v>0</x:v>
      </x:c>
    </x:row>
    <x:row r="129" ht="18" customHeight="1">
      <x:c r="A129" s="111"/>
      <x:c r="B129" s="111"/>
      <x:c r="C129" s="111"/>
      <x:c r="D129" s="111"/>
      <x:c r="E129" s="129"/>
      <x:c r="F129" s="138"/>
      <x:c r="G129" s="133" t="str">
        <x:f>IF(OR(A129="",E129="",F129=""),"",E129+F129-IF('ตั้งค่า'!$B$12="นับรวมวันเซ็น",1,0))</x:f>
      </x:c>
      <x:c r="H129" s="134"/>
      <x:c r="I129" s="117" t="str">
        <x:v>ยังไม่ส่ง</x:v>
      </x:c>
      <x:c r="J129" s="141" t="str">
        <x:f>IF(A129="","",IF(G129="","",IF(I129="ส่งแล้ว",0,G129-TODAY())))</x:f>
      </x:c>
      <x:c r="K129" s="114" t="str">
        <x:f>IF(A129="","",IF(G129="","ยังไม่ระบุวัน",IF(I129="ส่งแล้ว",IF(H129="","ส่งแล้ว",IF(INT(H129)&lt;INT(G129),"ส่งก่อนกำหนด "&amp;(INT(G129)-INT(H129))&amp;" วัน",IF(INT(H129)=INT(G129),"ส่งตรงกำหนด","ส่งล่าช้า "&amp;(INT(H129)-INT(G129))&amp;" วัน"))),IFS(G129&lt;TODAY(),"เกินกำหนด "&amp;(TODAY()-G129)&amp;" วัน",G129=TODAY(),"ครบกำหนดวันนี้",G129-TODAY()&lt;=3,"เร่งดำเนินการ",G129-TODAY()&lt;=5,"ต้องติดตาม",G129-TODAY()&lt;=10,"ใกล้ครบกำหนด",TRUE,"อยู่ระหว่างดำเนินการ"))))</x:f>
      </x:c>
      <x:c r="L129" s="114" t="str">
        <x:f>IF(OR(A129="",P129=""),"",HYPERLINK(P129,"เปิดใน Google Calendar"))</x:f>
      </x:c>
      <x:c r="M129" s="111"/>
      <x:c r="N129" s="123"/>
      <x:c r="O129" s="123"/>
      <x:c r="P129" s="123"/>
      <x:c r="Q129" s="126" t="b">
        <x:v>0</x:v>
      </x:c>
      <x:c r="R129" s="126" t="b">
        <x:v>0</x:v>
      </x:c>
      <x:c r="S129" s="126" t="b">
        <x:v>0</x:v>
      </x:c>
      <x:c r="T129" s="126" t="b">
        <x:v>0</x:v>
      </x:c>
      <x:c r="U129" s="144"/>
      <x:c r="V129" s="123"/>
      <x:c r="W129" s="123"/>
      <x:c r="X129" s="126" t="b">
        <x:v>0</x:v>
      </x:c>
    </x:row>
    <x:row r="130" ht="18" customHeight="1">
      <x:c r="A130" s="111"/>
      <x:c r="B130" s="111"/>
      <x:c r="C130" s="111"/>
      <x:c r="D130" s="111"/>
      <x:c r="E130" s="129"/>
      <x:c r="F130" s="138"/>
      <x:c r="G130" s="133" t="str">
        <x:f>IF(OR(A130="",E130="",F130=""),"",E130+F130-IF('ตั้งค่า'!$B$12="นับรวมวันเซ็น",1,0))</x:f>
      </x:c>
      <x:c r="H130" s="134"/>
      <x:c r="I130" s="117" t="str">
        <x:v>ยังไม่ส่ง</x:v>
      </x:c>
      <x:c r="J130" s="141" t="str">
        <x:f>IF(A130="","",IF(G130="","",IF(I130="ส่งแล้ว",0,G130-TODAY())))</x:f>
      </x:c>
      <x:c r="K130" s="114" t="str">
        <x:f>IF(A130="","",IF(G130="","ยังไม่ระบุวัน",IF(I130="ส่งแล้ว",IF(H130="","ส่งแล้ว",IF(INT(H130)&lt;INT(G130),"ส่งก่อนกำหนด "&amp;(INT(G130)-INT(H130))&amp;" วัน",IF(INT(H130)=INT(G130),"ส่งตรงกำหนด","ส่งล่าช้า "&amp;(INT(H130)-INT(G130))&amp;" วัน"))),IFS(G130&lt;TODAY(),"เกินกำหนด "&amp;(TODAY()-G130)&amp;" วัน",G130=TODAY(),"ครบกำหนดวันนี้",G130-TODAY()&lt;=3,"เร่งดำเนินการ",G130-TODAY()&lt;=5,"ต้องติดตาม",G130-TODAY()&lt;=10,"ใกล้ครบกำหนด",TRUE,"อยู่ระหว่างดำเนินการ"))))</x:f>
      </x:c>
      <x:c r="L130" s="114" t="str">
        <x:f>IF(OR(A130="",P130=""),"",HYPERLINK(P130,"เปิดใน Google Calendar"))</x:f>
      </x:c>
      <x:c r="M130" s="111"/>
      <x:c r="N130" s="123"/>
      <x:c r="O130" s="123"/>
      <x:c r="P130" s="123"/>
      <x:c r="Q130" s="126" t="b">
        <x:v>0</x:v>
      </x:c>
      <x:c r="R130" s="126" t="b">
        <x:v>0</x:v>
      </x:c>
      <x:c r="S130" s="126" t="b">
        <x:v>0</x:v>
      </x:c>
      <x:c r="T130" s="126" t="b">
        <x:v>0</x:v>
      </x:c>
      <x:c r="U130" s="144"/>
      <x:c r="V130" s="123"/>
      <x:c r="W130" s="123"/>
      <x:c r="X130" s="126" t="b">
        <x:v>0</x:v>
      </x:c>
    </x:row>
    <x:row r="131" ht="18" customHeight="1">
      <x:c r="A131" s="111"/>
      <x:c r="B131" s="111"/>
      <x:c r="C131" s="111"/>
      <x:c r="D131" s="111"/>
      <x:c r="E131" s="129"/>
      <x:c r="F131" s="138"/>
      <x:c r="G131" s="133" t="str">
        <x:f>IF(OR(A131="",E131="",F131=""),"",E131+F131-IF('ตั้งค่า'!$B$12="นับรวมวันเซ็น",1,0))</x:f>
      </x:c>
      <x:c r="H131" s="134"/>
      <x:c r="I131" s="117" t="str">
        <x:v>ยังไม่ส่ง</x:v>
      </x:c>
      <x:c r="J131" s="141" t="str">
        <x:f>IF(A131="","",IF(G131="","",IF(I131="ส่งแล้ว",0,G131-TODAY())))</x:f>
      </x:c>
      <x:c r="K131" s="114" t="str">
        <x:f>IF(A131="","",IF(G131="","ยังไม่ระบุวัน",IF(I131="ส่งแล้ว",IF(H131="","ส่งแล้ว",IF(INT(H131)&lt;INT(G131),"ส่งก่อนกำหนด "&amp;(INT(G131)-INT(H131))&amp;" วัน",IF(INT(H131)=INT(G131),"ส่งตรงกำหนด","ส่งล่าช้า "&amp;(INT(H131)-INT(G131))&amp;" วัน"))),IFS(G131&lt;TODAY(),"เกินกำหนด "&amp;(TODAY()-G131)&amp;" วัน",G131=TODAY(),"ครบกำหนดวันนี้",G131-TODAY()&lt;=3,"เร่งดำเนินการ",G131-TODAY()&lt;=5,"ต้องติดตาม",G131-TODAY()&lt;=10,"ใกล้ครบกำหนด",TRUE,"อยู่ระหว่างดำเนินการ"))))</x:f>
      </x:c>
      <x:c r="L131" s="114" t="str">
        <x:f>IF(OR(A131="",P131=""),"",HYPERLINK(P131,"เปิดใน Google Calendar"))</x:f>
      </x:c>
      <x:c r="M131" s="111"/>
      <x:c r="N131" s="123"/>
      <x:c r="O131" s="123"/>
      <x:c r="P131" s="123"/>
      <x:c r="Q131" s="126" t="b">
        <x:v>0</x:v>
      </x:c>
      <x:c r="R131" s="126" t="b">
        <x:v>0</x:v>
      </x:c>
      <x:c r="S131" s="126" t="b">
        <x:v>0</x:v>
      </x:c>
      <x:c r="T131" s="126" t="b">
        <x:v>0</x:v>
      </x:c>
      <x:c r="U131" s="144"/>
      <x:c r="V131" s="123"/>
      <x:c r="W131" s="123"/>
      <x:c r="X131" s="126" t="b">
        <x:v>0</x:v>
      </x:c>
    </x:row>
    <x:row r="132" ht="18" customHeight="1">
      <x:c r="A132" s="111"/>
      <x:c r="B132" s="111"/>
      <x:c r="C132" s="111"/>
      <x:c r="D132" s="111"/>
      <x:c r="E132" s="129"/>
      <x:c r="F132" s="138"/>
      <x:c r="G132" s="133" t="str">
        <x:f>IF(OR(A132="",E132="",F132=""),"",E132+F132-IF('ตั้งค่า'!$B$12="นับรวมวันเซ็น",1,0))</x:f>
      </x:c>
      <x:c r="H132" s="134"/>
      <x:c r="I132" s="117" t="str">
        <x:v>ยังไม่ส่ง</x:v>
      </x:c>
      <x:c r="J132" s="141" t="str">
        <x:f>IF(A132="","",IF(G132="","",IF(I132="ส่งแล้ว",0,G132-TODAY())))</x:f>
      </x:c>
      <x:c r="K132" s="114" t="str">
        <x:f>IF(A132="","",IF(G132="","ยังไม่ระบุวัน",IF(I132="ส่งแล้ว",IF(H132="","ส่งแล้ว",IF(INT(H132)&lt;INT(G132),"ส่งก่อนกำหนด "&amp;(INT(G132)-INT(H132))&amp;" วัน",IF(INT(H132)=INT(G132),"ส่งตรงกำหนด","ส่งล่าช้า "&amp;(INT(H132)-INT(G132))&amp;" วัน"))),IFS(G132&lt;TODAY(),"เกินกำหนด "&amp;(TODAY()-G132)&amp;" วัน",G132=TODAY(),"ครบกำหนดวันนี้",G132-TODAY()&lt;=3,"เร่งดำเนินการ",G132-TODAY()&lt;=5,"ต้องติดตาม",G132-TODAY()&lt;=10,"ใกล้ครบกำหนด",TRUE,"อยู่ระหว่างดำเนินการ"))))</x:f>
      </x:c>
      <x:c r="L132" s="114" t="str">
        <x:f>IF(OR(A132="",P132=""),"",HYPERLINK(P132,"เปิดใน Google Calendar"))</x:f>
      </x:c>
      <x:c r="M132" s="111"/>
      <x:c r="N132" s="123"/>
      <x:c r="O132" s="123"/>
      <x:c r="P132" s="123"/>
      <x:c r="Q132" s="126" t="b">
        <x:v>0</x:v>
      </x:c>
      <x:c r="R132" s="126" t="b">
        <x:v>0</x:v>
      </x:c>
      <x:c r="S132" s="126" t="b">
        <x:v>0</x:v>
      </x:c>
      <x:c r="T132" s="126" t="b">
        <x:v>0</x:v>
      </x:c>
      <x:c r="U132" s="144"/>
      <x:c r="V132" s="123"/>
      <x:c r="W132" s="123"/>
      <x:c r="X132" s="126" t="b">
        <x:v>0</x:v>
      </x:c>
    </x:row>
    <x:row r="133" ht="18" customHeight="1">
      <x:c r="A133" s="111"/>
      <x:c r="B133" s="111"/>
      <x:c r="C133" s="111"/>
      <x:c r="D133" s="111"/>
      <x:c r="E133" s="129"/>
      <x:c r="F133" s="138"/>
      <x:c r="G133" s="133" t="str">
        <x:f>IF(OR(A133="",E133="",F133=""),"",E133+F133-IF('ตั้งค่า'!$B$12="นับรวมวันเซ็น",1,0))</x:f>
      </x:c>
      <x:c r="H133" s="134"/>
      <x:c r="I133" s="117" t="str">
        <x:v>ยังไม่ส่ง</x:v>
      </x:c>
      <x:c r="J133" s="141" t="str">
        <x:f>IF(A133="","",IF(G133="","",IF(I133="ส่งแล้ว",0,G133-TODAY())))</x:f>
      </x:c>
      <x:c r="K133" s="114" t="str">
        <x:f>IF(A133="","",IF(G133="","ยังไม่ระบุวัน",IF(I133="ส่งแล้ว",IF(H133="","ส่งแล้ว",IF(INT(H133)&lt;INT(G133),"ส่งก่อนกำหนด "&amp;(INT(G133)-INT(H133))&amp;" วัน",IF(INT(H133)=INT(G133),"ส่งตรงกำหนด","ส่งล่าช้า "&amp;(INT(H133)-INT(G133))&amp;" วัน"))),IFS(G133&lt;TODAY(),"เกินกำหนด "&amp;(TODAY()-G133)&amp;" วัน",G133=TODAY(),"ครบกำหนดวันนี้",G133-TODAY()&lt;=3,"เร่งดำเนินการ",G133-TODAY()&lt;=5,"ต้องติดตาม",G133-TODAY()&lt;=10,"ใกล้ครบกำหนด",TRUE,"อยู่ระหว่างดำเนินการ"))))</x:f>
      </x:c>
      <x:c r="L133" s="114" t="str">
        <x:f>IF(OR(A133="",P133=""),"",HYPERLINK(P133,"เปิดใน Google Calendar"))</x:f>
      </x:c>
      <x:c r="M133" s="111"/>
      <x:c r="N133" s="123"/>
      <x:c r="O133" s="123"/>
      <x:c r="P133" s="123"/>
      <x:c r="Q133" s="126" t="b">
        <x:v>0</x:v>
      </x:c>
      <x:c r="R133" s="126" t="b">
        <x:v>0</x:v>
      </x:c>
      <x:c r="S133" s="126" t="b">
        <x:v>0</x:v>
      </x:c>
      <x:c r="T133" s="126" t="b">
        <x:v>0</x:v>
      </x:c>
      <x:c r="U133" s="144"/>
      <x:c r="V133" s="123"/>
      <x:c r="W133" s="123"/>
      <x:c r="X133" s="126" t="b">
        <x:v>0</x:v>
      </x:c>
    </x:row>
    <x:row r="134" ht="18" customHeight="1">
      <x:c r="A134" s="111"/>
      <x:c r="B134" s="111"/>
      <x:c r="C134" s="111"/>
      <x:c r="D134" s="111"/>
      <x:c r="E134" s="129"/>
      <x:c r="F134" s="138"/>
      <x:c r="G134" s="133" t="str">
        <x:f>IF(OR(A134="",E134="",F134=""),"",E134+F134-IF('ตั้งค่า'!$B$12="นับรวมวันเซ็น",1,0))</x:f>
      </x:c>
      <x:c r="H134" s="134"/>
      <x:c r="I134" s="117" t="str">
        <x:v>ยังไม่ส่ง</x:v>
      </x:c>
      <x:c r="J134" s="141" t="str">
        <x:f>IF(A134="","",IF(G134="","",IF(I134="ส่งแล้ว",0,G134-TODAY())))</x:f>
      </x:c>
      <x:c r="K134" s="114" t="str">
        <x:f>IF(A134="","",IF(G134="","ยังไม่ระบุวัน",IF(I134="ส่งแล้ว",IF(H134="","ส่งแล้ว",IF(INT(H134)&lt;INT(G134),"ส่งก่อนกำหนด "&amp;(INT(G134)-INT(H134))&amp;" วัน",IF(INT(H134)=INT(G134),"ส่งตรงกำหนด","ส่งล่าช้า "&amp;(INT(H134)-INT(G134))&amp;" วัน"))),IFS(G134&lt;TODAY(),"เกินกำหนด "&amp;(TODAY()-G134)&amp;" วัน",G134=TODAY(),"ครบกำหนดวันนี้",G134-TODAY()&lt;=3,"เร่งดำเนินการ",G134-TODAY()&lt;=5,"ต้องติดตาม",G134-TODAY()&lt;=10,"ใกล้ครบกำหนด",TRUE,"อยู่ระหว่างดำเนินการ"))))</x:f>
      </x:c>
      <x:c r="L134" s="114" t="str">
        <x:f>IF(OR(A134="",P134=""),"",HYPERLINK(P134,"เปิดใน Google Calendar"))</x:f>
      </x:c>
      <x:c r="M134" s="111"/>
      <x:c r="N134" s="123"/>
      <x:c r="O134" s="123"/>
      <x:c r="P134" s="123"/>
      <x:c r="Q134" s="126" t="b">
        <x:v>0</x:v>
      </x:c>
      <x:c r="R134" s="126" t="b">
        <x:v>0</x:v>
      </x:c>
      <x:c r="S134" s="126" t="b">
        <x:v>0</x:v>
      </x:c>
      <x:c r="T134" s="126" t="b">
        <x:v>0</x:v>
      </x:c>
      <x:c r="U134" s="144"/>
      <x:c r="V134" s="123"/>
      <x:c r="W134" s="123"/>
      <x:c r="X134" s="126" t="b">
        <x:v>0</x:v>
      </x:c>
    </x:row>
    <x:row r="135" ht="18" customHeight="1">
      <x:c r="A135" s="111"/>
      <x:c r="B135" s="111"/>
      <x:c r="C135" s="111"/>
      <x:c r="D135" s="111"/>
      <x:c r="E135" s="129"/>
      <x:c r="F135" s="138"/>
      <x:c r="G135" s="133" t="str">
        <x:f>IF(OR(A135="",E135="",F135=""),"",E135+F135-IF('ตั้งค่า'!$B$12="นับรวมวันเซ็น",1,0))</x:f>
      </x:c>
      <x:c r="H135" s="134"/>
      <x:c r="I135" s="117" t="str">
        <x:v>ยังไม่ส่ง</x:v>
      </x:c>
      <x:c r="J135" s="141" t="str">
        <x:f>IF(A135="","",IF(G135="","",IF(I135="ส่งแล้ว",0,G135-TODAY())))</x:f>
      </x:c>
      <x:c r="K135" s="114" t="str">
        <x:f>IF(A135="","",IF(G135="","ยังไม่ระบุวัน",IF(I135="ส่งแล้ว",IF(H135="","ส่งแล้ว",IF(INT(H135)&lt;INT(G135),"ส่งก่อนกำหนด "&amp;(INT(G135)-INT(H135))&amp;" วัน",IF(INT(H135)=INT(G135),"ส่งตรงกำหนด","ส่งล่าช้า "&amp;(INT(H135)-INT(G135))&amp;" วัน"))),IFS(G135&lt;TODAY(),"เกินกำหนด "&amp;(TODAY()-G135)&amp;" วัน",G135=TODAY(),"ครบกำหนดวันนี้",G135-TODAY()&lt;=3,"เร่งดำเนินการ",G135-TODAY()&lt;=5,"ต้องติดตาม",G135-TODAY()&lt;=10,"ใกล้ครบกำหนด",TRUE,"อยู่ระหว่างดำเนินการ"))))</x:f>
      </x:c>
      <x:c r="L135" s="114" t="str">
        <x:f>IF(OR(A135="",P135=""),"",HYPERLINK(P135,"เปิดใน Google Calendar"))</x:f>
      </x:c>
      <x:c r="M135" s="111"/>
      <x:c r="N135" s="123"/>
      <x:c r="O135" s="123"/>
      <x:c r="P135" s="123"/>
      <x:c r="Q135" s="126" t="b">
        <x:v>0</x:v>
      </x:c>
      <x:c r="R135" s="126" t="b">
        <x:v>0</x:v>
      </x:c>
      <x:c r="S135" s="126" t="b">
        <x:v>0</x:v>
      </x:c>
      <x:c r="T135" s="126" t="b">
        <x:v>0</x:v>
      </x:c>
      <x:c r="U135" s="144"/>
      <x:c r="V135" s="123"/>
      <x:c r="W135" s="123"/>
      <x:c r="X135" s="126" t="b">
        <x:v>0</x:v>
      </x:c>
    </x:row>
    <x:row r="136" ht="18" customHeight="1">
      <x:c r="A136" s="111"/>
      <x:c r="B136" s="111"/>
      <x:c r="C136" s="111"/>
      <x:c r="D136" s="111"/>
      <x:c r="E136" s="129"/>
      <x:c r="F136" s="138"/>
      <x:c r="G136" s="133" t="str">
        <x:f>IF(OR(A136="",E136="",F136=""),"",E136+F136-IF('ตั้งค่า'!$B$12="นับรวมวันเซ็น",1,0))</x:f>
      </x:c>
      <x:c r="H136" s="134"/>
      <x:c r="I136" s="117" t="str">
        <x:v>ยังไม่ส่ง</x:v>
      </x:c>
      <x:c r="J136" s="141" t="str">
        <x:f>IF(A136="","",IF(G136="","",IF(I136="ส่งแล้ว",0,G136-TODAY())))</x:f>
      </x:c>
      <x:c r="K136" s="114" t="str">
        <x:f>IF(A136="","",IF(G136="","ยังไม่ระบุวัน",IF(I136="ส่งแล้ว",IF(H136="","ส่งแล้ว",IF(INT(H136)&lt;INT(G136),"ส่งก่อนกำหนด "&amp;(INT(G136)-INT(H136))&amp;" วัน",IF(INT(H136)=INT(G136),"ส่งตรงกำหนด","ส่งล่าช้า "&amp;(INT(H136)-INT(G136))&amp;" วัน"))),IFS(G136&lt;TODAY(),"เกินกำหนด "&amp;(TODAY()-G136)&amp;" วัน",G136=TODAY(),"ครบกำหนดวันนี้",G136-TODAY()&lt;=3,"เร่งดำเนินการ",G136-TODAY()&lt;=5,"ต้องติดตาม",G136-TODAY()&lt;=10,"ใกล้ครบกำหนด",TRUE,"อยู่ระหว่างดำเนินการ"))))</x:f>
      </x:c>
      <x:c r="L136" s="114" t="str">
        <x:f>IF(OR(A136="",P136=""),"",HYPERLINK(P136,"เปิดใน Google Calendar"))</x:f>
      </x:c>
      <x:c r="M136" s="111"/>
      <x:c r="N136" s="123"/>
      <x:c r="O136" s="123"/>
      <x:c r="P136" s="123"/>
      <x:c r="Q136" s="126" t="b">
        <x:v>0</x:v>
      </x:c>
      <x:c r="R136" s="126" t="b">
        <x:v>0</x:v>
      </x:c>
      <x:c r="S136" s="126" t="b">
        <x:v>0</x:v>
      </x:c>
      <x:c r="T136" s="126" t="b">
        <x:v>0</x:v>
      </x:c>
      <x:c r="U136" s="144"/>
      <x:c r="V136" s="123"/>
      <x:c r="W136" s="123"/>
      <x:c r="X136" s="126" t="b">
        <x:v>0</x:v>
      </x:c>
    </x:row>
    <x:row r="137" ht="18" customHeight="1">
      <x:c r="A137" s="111"/>
      <x:c r="B137" s="111"/>
      <x:c r="C137" s="111"/>
      <x:c r="D137" s="111"/>
      <x:c r="E137" s="129"/>
      <x:c r="F137" s="138"/>
      <x:c r="G137" s="133" t="str">
        <x:f>IF(OR(A137="",E137="",F137=""),"",E137+F137-IF('ตั้งค่า'!$B$12="นับรวมวันเซ็น",1,0))</x:f>
      </x:c>
      <x:c r="H137" s="134"/>
      <x:c r="I137" s="117" t="str">
        <x:v>ยังไม่ส่ง</x:v>
      </x:c>
      <x:c r="J137" s="141" t="str">
        <x:f>IF(A137="","",IF(G137="","",IF(I137="ส่งแล้ว",0,G137-TODAY())))</x:f>
      </x:c>
      <x:c r="K137" s="114" t="str">
        <x:f>IF(A137="","",IF(G137="","ยังไม่ระบุวัน",IF(I137="ส่งแล้ว",IF(H137="","ส่งแล้ว",IF(INT(H137)&lt;INT(G137),"ส่งก่อนกำหนด "&amp;(INT(G137)-INT(H137))&amp;" วัน",IF(INT(H137)=INT(G137),"ส่งตรงกำหนด","ส่งล่าช้า "&amp;(INT(H137)-INT(G137))&amp;" วัน"))),IFS(G137&lt;TODAY(),"เกินกำหนด "&amp;(TODAY()-G137)&amp;" วัน",G137=TODAY(),"ครบกำหนดวันนี้",G137-TODAY()&lt;=3,"เร่งดำเนินการ",G137-TODAY()&lt;=5,"ต้องติดตาม",G137-TODAY()&lt;=10,"ใกล้ครบกำหนด",TRUE,"อยู่ระหว่างดำเนินการ"))))</x:f>
      </x:c>
      <x:c r="L137" s="114" t="str">
        <x:f>IF(OR(A137="",P137=""),"",HYPERLINK(P137,"เปิดใน Google Calendar"))</x:f>
      </x:c>
      <x:c r="M137" s="111"/>
      <x:c r="N137" s="123"/>
      <x:c r="O137" s="123"/>
      <x:c r="P137" s="123"/>
      <x:c r="Q137" s="126" t="b">
        <x:v>0</x:v>
      </x:c>
      <x:c r="R137" s="126" t="b">
        <x:v>0</x:v>
      </x:c>
      <x:c r="S137" s="126" t="b">
        <x:v>0</x:v>
      </x:c>
      <x:c r="T137" s="126" t="b">
        <x:v>0</x:v>
      </x:c>
      <x:c r="U137" s="144"/>
      <x:c r="V137" s="123"/>
      <x:c r="W137" s="123"/>
      <x:c r="X137" s="126" t="b">
        <x:v>0</x:v>
      </x:c>
    </x:row>
    <x:row r="138" ht="18" customHeight="1">
      <x:c r="A138" s="111"/>
      <x:c r="B138" s="111"/>
      <x:c r="C138" s="111"/>
      <x:c r="D138" s="111"/>
      <x:c r="E138" s="129"/>
      <x:c r="F138" s="138"/>
      <x:c r="G138" s="133" t="str">
        <x:f>IF(OR(A138="",E138="",F138=""),"",E138+F138-IF('ตั้งค่า'!$B$12="นับรวมวันเซ็น",1,0))</x:f>
      </x:c>
      <x:c r="H138" s="134"/>
      <x:c r="I138" s="117" t="str">
        <x:v>ยังไม่ส่ง</x:v>
      </x:c>
      <x:c r="J138" s="141" t="str">
        <x:f>IF(A138="","",IF(G138="","",IF(I138="ส่งแล้ว",0,G138-TODAY())))</x:f>
      </x:c>
      <x:c r="K138" s="114" t="str">
        <x:f>IF(A138="","",IF(G138="","ยังไม่ระบุวัน",IF(I138="ส่งแล้ว",IF(H138="","ส่งแล้ว",IF(INT(H138)&lt;INT(G138),"ส่งก่อนกำหนด "&amp;(INT(G138)-INT(H138))&amp;" วัน",IF(INT(H138)=INT(G138),"ส่งตรงกำหนด","ส่งล่าช้า "&amp;(INT(H138)-INT(G138))&amp;" วัน"))),IFS(G138&lt;TODAY(),"เกินกำหนด "&amp;(TODAY()-G138)&amp;" วัน",G138=TODAY(),"ครบกำหนดวันนี้",G138-TODAY()&lt;=3,"เร่งดำเนินการ",G138-TODAY()&lt;=5,"ต้องติดตาม",G138-TODAY()&lt;=10,"ใกล้ครบกำหนด",TRUE,"อยู่ระหว่างดำเนินการ"))))</x:f>
      </x:c>
      <x:c r="L138" s="114" t="str">
        <x:f>IF(OR(A138="",P138=""),"",HYPERLINK(P138,"เปิดใน Google Calendar"))</x:f>
      </x:c>
      <x:c r="M138" s="111"/>
      <x:c r="N138" s="123"/>
      <x:c r="O138" s="123"/>
      <x:c r="P138" s="123"/>
      <x:c r="Q138" s="126" t="b">
        <x:v>0</x:v>
      </x:c>
      <x:c r="R138" s="126" t="b">
        <x:v>0</x:v>
      </x:c>
      <x:c r="S138" s="126" t="b">
        <x:v>0</x:v>
      </x:c>
      <x:c r="T138" s="126" t="b">
        <x:v>0</x:v>
      </x:c>
      <x:c r="U138" s="144"/>
      <x:c r="V138" s="123"/>
      <x:c r="W138" s="123"/>
      <x:c r="X138" s="126" t="b">
        <x:v>0</x:v>
      </x:c>
    </x:row>
    <x:row r="139" ht="18" customHeight="1">
      <x:c r="A139" s="111"/>
      <x:c r="B139" s="111"/>
      <x:c r="C139" s="111"/>
      <x:c r="D139" s="111"/>
      <x:c r="E139" s="129"/>
      <x:c r="F139" s="138"/>
      <x:c r="G139" s="133" t="str">
        <x:f>IF(OR(A139="",E139="",F139=""),"",E139+F139-IF('ตั้งค่า'!$B$12="นับรวมวันเซ็น",1,0))</x:f>
      </x:c>
      <x:c r="H139" s="134"/>
      <x:c r="I139" s="117" t="str">
        <x:v>ยังไม่ส่ง</x:v>
      </x:c>
      <x:c r="J139" s="141" t="str">
        <x:f>IF(A139="","",IF(G139="","",IF(I139="ส่งแล้ว",0,G139-TODAY())))</x:f>
      </x:c>
      <x:c r="K139" s="114" t="str">
        <x:f>IF(A139="","",IF(G139="","ยังไม่ระบุวัน",IF(I139="ส่งแล้ว",IF(H139="","ส่งแล้ว",IF(INT(H139)&lt;INT(G139),"ส่งก่อนกำหนด "&amp;(INT(G139)-INT(H139))&amp;" วัน",IF(INT(H139)=INT(G139),"ส่งตรงกำหนด","ส่งล่าช้า "&amp;(INT(H139)-INT(G139))&amp;" วัน"))),IFS(G139&lt;TODAY(),"เกินกำหนด "&amp;(TODAY()-G139)&amp;" วัน",G139=TODAY(),"ครบกำหนดวันนี้",G139-TODAY()&lt;=3,"เร่งดำเนินการ",G139-TODAY()&lt;=5,"ต้องติดตาม",G139-TODAY()&lt;=10,"ใกล้ครบกำหนด",TRUE,"อยู่ระหว่างดำเนินการ"))))</x:f>
      </x:c>
      <x:c r="L139" s="114" t="str">
        <x:f>IF(OR(A139="",P139=""),"",HYPERLINK(P139,"เปิดใน Google Calendar"))</x:f>
      </x:c>
      <x:c r="M139" s="111"/>
      <x:c r="N139" s="123"/>
      <x:c r="O139" s="123"/>
      <x:c r="P139" s="123"/>
      <x:c r="Q139" s="126" t="b">
        <x:v>0</x:v>
      </x:c>
      <x:c r="R139" s="126" t="b">
        <x:v>0</x:v>
      </x:c>
      <x:c r="S139" s="126" t="b">
        <x:v>0</x:v>
      </x:c>
      <x:c r="T139" s="126" t="b">
        <x:v>0</x:v>
      </x:c>
      <x:c r="U139" s="144"/>
      <x:c r="V139" s="123"/>
      <x:c r="W139" s="123"/>
      <x:c r="X139" s="126" t="b">
        <x:v>0</x:v>
      </x:c>
    </x:row>
    <x:row r="140" ht="18" customHeight="1">
      <x:c r="A140" s="111"/>
      <x:c r="B140" s="111"/>
      <x:c r="C140" s="111"/>
      <x:c r="D140" s="111"/>
      <x:c r="E140" s="129"/>
      <x:c r="F140" s="138"/>
      <x:c r="G140" s="133" t="str">
        <x:f>IF(OR(A140="",E140="",F140=""),"",E140+F140-IF('ตั้งค่า'!$B$12="นับรวมวันเซ็น",1,0))</x:f>
      </x:c>
      <x:c r="H140" s="134"/>
      <x:c r="I140" s="117" t="str">
        <x:v>ยังไม่ส่ง</x:v>
      </x:c>
      <x:c r="J140" s="141" t="str">
        <x:f>IF(A140="","",IF(G140="","",IF(I140="ส่งแล้ว",0,G140-TODAY())))</x:f>
      </x:c>
      <x:c r="K140" s="114" t="str">
        <x:f>IF(A140="","",IF(G140="","ยังไม่ระบุวัน",IF(I140="ส่งแล้ว",IF(H140="","ส่งแล้ว",IF(INT(H140)&lt;INT(G140),"ส่งก่อนกำหนด "&amp;(INT(G140)-INT(H140))&amp;" วัน",IF(INT(H140)=INT(G140),"ส่งตรงกำหนด","ส่งล่าช้า "&amp;(INT(H140)-INT(G140))&amp;" วัน"))),IFS(G140&lt;TODAY(),"เกินกำหนด "&amp;(TODAY()-G140)&amp;" วัน",G140=TODAY(),"ครบกำหนดวันนี้",G140-TODAY()&lt;=3,"เร่งดำเนินการ",G140-TODAY()&lt;=5,"ต้องติดตาม",G140-TODAY()&lt;=10,"ใกล้ครบกำหนด",TRUE,"อยู่ระหว่างดำเนินการ"))))</x:f>
      </x:c>
      <x:c r="L140" s="114" t="str">
        <x:f>IF(OR(A140="",P140=""),"",HYPERLINK(P140,"เปิดใน Google Calendar"))</x:f>
      </x:c>
      <x:c r="M140" s="111"/>
      <x:c r="N140" s="123"/>
      <x:c r="O140" s="123"/>
      <x:c r="P140" s="123"/>
      <x:c r="Q140" s="126" t="b">
        <x:v>0</x:v>
      </x:c>
      <x:c r="R140" s="126" t="b">
        <x:v>0</x:v>
      </x:c>
      <x:c r="S140" s="126" t="b">
        <x:v>0</x:v>
      </x:c>
      <x:c r="T140" s="126" t="b">
        <x:v>0</x:v>
      </x:c>
      <x:c r="U140" s="144"/>
      <x:c r="V140" s="123"/>
      <x:c r="W140" s="123"/>
      <x:c r="X140" s="126" t="b">
        <x:v>0</x:v>
      </x:c>
    </x:row>
    <x:row r="141" ht="18" customHeight="1">
      <x:c r="A141" s="111"/>
      <x:c r="B141" s="111"/>
      <x:c r="C141" s="111"/>
      <x:c r="D141" s="111"/>
      <x:c r="E141" s="129"/>
      <x:c r="F141" s="138"/>
      <x:c r="G141" s="133" t="str">
        <x:f>IF(OR(A141="",E141="",F141=""),"",E141+F141-IF('ตั้งค่า'!$B$12="นับรวมวันเซ็น",1,0))</x:f>
      </x:c>
      <x:c r="H141" s="134"/>
      <x:c r="I141" s="117" t="str">
        <x:v>ยังไม่ส่ง</x:v>
      </x:c>
      <x:c r="J141" s="141" t="str">
        <x:f>IF(A141="","",IF(G141="","",IF(I141="ส่งแล้ว",0,G141-TODAY())))</x:f>
      </x:c>
      <x:c r="K141" s="114" t="str">
        <x:f>IF(A141="","",IF(G141="","ยังไม่ระบุวัน",IF(I141="ส่งแล้ว",IF(H141="","ส่งแล้ว",IF(INT(H141)&lt;INT(G141),"ส่งก่อนกำหนด "&amp;(INT(G141)-INT(H141))&amp;" วัน",IF(INT(H141)=INT(G141),"ส่งตรงกำหนด","ส่งล่าช้า "&amp;(INT(H141)-INT(G141))&amp;" วัน"))),IFS(G141&lt;TODAY(),"เกินกำหนด "&amp;(TODAY()-G141)&amp;" วัน",G141=TODAY(),"ครบกำหนดวันนี้",G141-TODAY()&lt;=3,"เร่งดำเนินการ",G141-TODAY()&lt;=5,"ต้องติดตาม",G141-TODAY()&lt;=10,"ใกล้ครบกำหนด",TRUE,"อยู่ระหว่างดำเนินการ"))))</x:f>
      </x:c>
      <x:c r="L141" s="114" t="str">
        <x:f>IF(OR(A141="",P141=""),"",HYPERLINK(P141,"เปิดใน Google Calendar"))</x:f>
      </x:c>
      <x:c r="M141" s="111"/>
      <x:c r="N141" s="123"/>
      <x:c r="O141" s="123"/>
      <x:c r="P141" s="123"/>
      <x:c r="Q141" s="126" t="b">
        <x:v>0</x:v>
      </x:c>
      <x:c r="R141" s="126" t="b">
        <x:v>0</x:v>
      </x:c>
      <x:c r="S141" s="126" t="b">
        <x:v>0</x:v>
      </x:c>
      <x:c r="T141" s="126" t="b">
        <x:v>0</x:v>
      </x:c>
      <x:c r="U141" s="144"/>
      <x:c r="V141" s="123"/>
      <x:c r="W141" s="123"/>
      <x:c r="X141" s="126" t="b">
        <x:v>0</x:v>
      </x:c>
    </x:row>
    <x:row r="142" ht="18" customHeight="1">
      <x:c r="A142" s="111"/>
      <x:c r="B142" s="111"/>
      <x:c r="C142" s="111"/>
      <x:c r="D142" s="111"/>
      <x:c r="E142" s="129"/>
      <x:c r="F142" s="138"/>
      <x:c r="G142" s="133" t="str">
        <x:f>IF(OR(A142="",E142="",F142=""),"",E142+F142-IF('ตั้งค่า'!$B$12="นับรวมวันเซ็น",1,0))</x:f>
      </x:c>
      <x:c r="H142" s="134"/>
      <x:c r="I142" s="117" t="str">
        <x:v>ยังไม่ส่ง</x:v>
      </x:c>
      <x:c r="J142" s="141" t="str">
        <x:f>IF(A142="","",IF(G142="","",IF(I142="ส่งแล้ว",0,G142-TODAY())))</x:f>
      </x:c>
      <x:c r="K142" s="114" t="str">
        <x:f>IF(A142="","",IF(G142="","ยังไม่ระบุวัน",IF(I142="ส่งแล้ว",IF(H142="","ส่งแล้ว",IF(INT(H142)&lt;INT(G142),"ส่งก่อนกำหนด "&amp;(INT(G142)-INT(H142))&amp;" วัน",IF(INT(H142)=INT(G142),"ส่งตรงกำหนด","ส่งล่าช้า "&amp;(INT(H142)-INT(G142))&amp;" วัน"))),IFS(G142&lt;TODAY(),"เกินกำหนด "&amp;(TODAY()-G142)&amp;" วัน",G142=TODAY(),"ครบกำหนดวันนี้",G142-TODAY()&lt;=3,"เร่งดำเนินการ",G142-TODAY()&lt;=5,"ต้องติดตาม",G142-TODAY()&lt;=10,"ใกล้ครบกำหนด",TRUE,"อยู่ระหว่างดำเนินการ"))))</x:f>
      </x:c>
      <x:c r="L142" s="114" t="str">
        <x:f>IF(OR(A142="",P142=""),"",HYPERLINK(P142,"เปิดใน Google Calendar"))</x:f>
      </x:c>
      <x:c r="M142" s="111"/>
      <x:c r="N142" s="123"/>
      <x:c r="O142" s="123"/>
      <x:c r="P142" s="123"/>
      <x:c r="Q142" s="126" t="b">
        <x:v>0</x:v>
      </x:c>
      <x:c r="R142" s="126" t="b">
        <x:v>0</x:v>
      </x:c>
      <x:c r="S142" s="126" t="b">
        <x:v>0</x:v>
      </x:c>
      <x:c r="T142" s="126" t="b">
        <x:v>0</x:v>
      </x:c>
      <x:c r="U142" s="144"/>
      <x:c r="V142" s="123"/>
      <x:c r="W142" s="123"/>
      <x:c r="X142" s="126" t="b">
        <x:v>0</x:v>
      </x:c>
    </x:row>
    <x:row r="143" ht="18" customHeight="1">
      <x:c r="A143" s="111"/>
      <x:c r="B143" s="111"/>
      <x:c r="C143" s="111"/>
      <x:c r="D143" s="111"/>
      <x:c r="E143" s="129"/>
      <x:c r="F143" s="138"/>
      <x:c r="G143" s="133" t="str">
        <x:f>IF(OR(A143="",E143="",F143=""),"",E143+F143-IF('ตั้งค่า'!$B$12="นับรวมวันเซ็น",1,0))</x:f>
      </x:c>
      <x:c r="H143" s="134"/>
      <x:c r="I143" s="117" t="str">
        <x:v>ยังไม่ส่ง</x:v>
      </x:c>
      <x:c r="J143" s="141" t="str">
        <x:f>IF(A143="","",IF(G143="","",IF(I143="ส่งแล้ว",0,G143-TODAY())))</x:f>
      </x:c>
      <x:c r="K143" s="114" t="str">
        <x:f>IF(A143="","",IF(G143="","ยังไม่ระบุวัน",IF(I143="ส่งแล้ว",IF(H143="","ส่งแล้ว",IF(INT(H143)&lt;INT(G143),"ส่งก่อนกำหนด "&amp;(INT(G143)-INT(H143))&amp;" วัน",IF(INT(H143)=INT(G143),"ส่งตรงกำหนด","ส่งล่าช้า "&amp;(INT(H143)-INT(G143))&amp;" วัน"))),IFS(G143&lt;TODAY(),"เกินกำหนด "&amp;(TODAY()-G143)&amp;" วัน",G143=TODAY(),"ครบกำหนดวันนี้",G143-TODAY()&lt;=3,"เร่งดำเนินการ",G143-TODAY()&lt;=5,"ต้องติดตาม",G143-TODAY()&lt;=10,"ใกล้ครบกำหนด",TRUE,"อยู่ระหว่างดำเนินการ"))))</x:f>
      </x:c>
      <x:c r="L143" s="114" t="str">
        <x:f>IF(OR(A143="",P143=""),"",HYPERLINK(P143,"เปิดใน Google Calendar"))</x:f>
      </x:c>
      <x:c r="M143" s="111"/>
      <x:c r="N143" s="123"/>
      <x:c r="O143" s="123"/>
      <x:c r="P143" s="123"/>
      <x:c r="Q143" s="126" t="b">
        <x:v>0</x:v>
      </x:c>
      <x:c r="R143" s="126" t="b">
        <x:v>0</x:v>
      </x:c>
      <x:c r="S143" s="126" t="b">
        <x:v>0</x:v>
      </x:c>
      <x:c r="T143" s="126" t="b">
        <x:v>0</x:v>
      </x:c>
      <x:c r="U143" s="144"/>
      <x:c r="V143" s="123"/>
      <x:c r="W143" s="123"/>
      <x:c r="X143" s="126" t="b">
        <x:v>0</x:v>
      </x:c>
    </x:row>
    <x:row r="144" ht="18" customHeight="1">
      <x:c r="A144" s="111"/>
      <x:c r="B144" s="111"/>
      <x:c r="C144" s="111"/>
      <x:c r="D144" s="111"/>
      <x:c r="E144" s="129"/>
      <x:c r="F144" s="138"/>
      <x:c r="G144" s="133" t="str">
        <x:f>IF(OR(A144="",E144="",F144=""),"",E144+F144-IF('ตั้งค่า'!$B$12="นับรวมวันเซ็น",1,0))</x:f>
      </x:c>
      <x:c r="H144" s="134"/>
      <x:c r="I144" s="117" t="str">
        <x:v>ยังไม่ส่ง</x:v>
      </x:c>
      <x:c r="J144" s="141" t="str">
        <x:f>IF(A144="","",IF(G144="","",IF(I144="ส่งแล้ว",0,G144-TODAY())))</x:f>
      </x:c>
      <x:c r="K144" s="114" t="str">
        <x:f>IF(A144="","",IF(G144="","ยังไม่ระบุวัน",IF(I144="ส่งแล้ว",IF(H144="","ส่งแล้ว",IF(INT(H144)&lt;INT(G144),"ส่งก่อนกำหนด "&amp;(INT(G144)-INT(H144))&amp;" วัน",IF(INT(H144)=INT(G144),"ส่งตรงกำหนด","ส่งล่าช้า "&amp;(INT(H144)-INT(G144))&amp;" วัน"))),IFS(G144&lt;TODAY(),"เกินกำหนด "&amp;(TODAY()-G144)&amp;" วัน",G144=TODAY(),"ครบกำหนดวันนี้",G144-TODAY()&lt;=3,"เร่งดำเนินการ",G144-TODAY()&lt;=5,"ต้องติดตาม",G144-TODAY()&lt;=10,"ใกล้ครบกำหนด",TRUE,"อยู่ระหว่างดำเนินการ"))))</x:f>
      </x:c>
      <x:c r="L144" s="114" t="str">
        <x:f>IF(OR(A144="",P144=""),"",HYPERLINK(P144,"เปิดใน Google Calendar"))</x:f>
      </x:c>
      <x:c r="M144" s="111"/>
      <x:c r="N144" s="123"/>
      <x:c r="O144" s="123"/>
      <x:c r="P144" s="123"/>
      <x:c r="Q144" s="126" t="b">
        <x:v>0</x:v>
      </x:c>
      <x:c r="R144" s="126" t="b">
        <x:v>0</x:v>
      </x:c>
      <x:c r="S144" s="126" t="b">
        <x:v>0</x:v>
      </x:c>
      <x:c r="T144" s="126" t="b">
        <x:v>0</x:v>
      </x:c>
      <x:c r="U144" s="144"/>
      <x:c r="V144" s="123"/>
      <x:c r="W144" s="123"/>
      <x:c r="X144" s="126" t="b">
        <x:v>0</x:v>
      </x:c>
    </x:row>
    <x:row r="145" ht="18" customHeight="1">
      <x:c r="A145" s="111"/>
      <x:c r="B145" s="111"/>
      <x:c r="C145" s="111"/>
      <x:c r="D145" s="111"/>
      <x:c r="E145" s="129"/>
      <x:c r="F145" s="138"/>
      <x:c r="G145" s="133" t="str">
        <x:f>IF(OR(A145="",E145="",F145=""),"",E145+F145-IF('ตั้งค่า'!$B$12="นับรวมวันเซ็น",1,0))</x:f>
      </x:c>
      <x:c r="H145" s="134"/>
      <x:c r="I145" s="117" t="str">
        <x:v>ยังไม่ส่ง</x:v>
      </x:c>
      <x:c r="J145" s="141" t="str">
        <x:f>IF(A145="","",IF(G145="","",IF(I145="ส่งแล้ว",0,G145-TODAY())))</x:f>
      </x:c>
      <x:c r="K145" s="114" t="str">
        <x:f>IF(A145="","",IF(G145="","ยังไม่ระบุวัน",IF(I145="ส่งแล้ว",IF(H145="","ส่งแล้ว",IF(INT(H145)&lt;INT(G145),"ส่งก่อนกำหนด "&amp;(INT(G145)-INT(H145))&amp;" วัน",IF(INT(H145)=INT(G145),"ส่งตรงกำหนด","ส่งล่าช้า "&amp;(INT(H145)-INT(G145))&amp;" วัน"))),IFS(G145&lt;TODAY(),"เกินกำหนด "&amp;(TODAY()-G145)&amp;" วัน",G145=TODAY(),"ครบกำหนดวันนี้",G145-TODAY()&lt;=3,"เร่งดำเนินการ",G145-TODAY()&lt;=5,"ต้องติดตาม",G145-TODAY()&lt;=10,"ใกล้ครบกำหนด",TRUE,"อยู่ระหว่างดำเนินการ"))))</x:f>
      </x:c>
      <x:c r="L145" s="114" t="str">
        <x:f>IF(OR(A145="",P145=""),"",HYPERLINK(P145,"เปิดใน Google Calendar"))</x:f>
      </x:c>
      <x:c r="M145" s="111"/>
      <x:c r="N145" s="123"/>
      <x:c r="O145" s="123"/>
      <x:c r="P145" s="123"/>
      <x:c r="Q145" s="126" t="b">
        <x:v>0</x:v>
      </x:c>
      <x:c r="R145" s="126" t="b">
        <x:v>0</x:v>
      </x:c>
      <x:c r="S145" s="126" t="b">
        <x:v>0</x:v>
      </x:c>
      <x:c r="T145" s="126" t="b">
        <x:v>0</x:v>
      </x:c>
      <x:c r="U145" s="144"/>
      <x:c r="V145" s="123"/>
      <x:c r="W145" s="123"/>
      <x:c r="X145" s="126" t="b">
        <x:v>0</x:v>
      </x:c>
    </x:row>
    <x:row r="146" ht="18" customHeight="1">
      <x:c r="A146" s="111"/>
      <x:c r="B146" s="111"/>
      <x:c r="C146" s="111"/>
      <x:c r="D146" s="111"/>
      <x:c r="E146" s="129"/>
      <x:c r="F146" s="138"/>
      <x:c r="G146" s="133" t="str">
        <x:f>IF(OR(A146="",E146="",F146=""),"",E146+F146-IF('ตั้งค่า'!$B$12="นับรวมวันเซ็น",1,0))</x:f>
      </x:c>
      <x:c r="H146" s="134"/>
      <x:c r="I146" s="117" t="str">
        <x:v>ยังไม่ส่ง</x:v>
      </x:c>
      <x:c r="J146" s="141" t="str">
        <x:f>IF(A146="","",IF(G146="","",IF(I146="ส่งแล้ว",0,G146-TODAY())))</x:f>
      </x:c>
      <x:c r="K146" s="114" t="str">
        <x:f>IF(A146="","",IF(G146="","ยังไม่ระบุวัน",IF(I146="ส่งแล้ว",IF(H146="","ส่งแล้ว",IF(INT(H146)&lt;INT(G146),"ส่งก่อนกำหนด "&amp;(INT(G146)-INT(H146))&amp;" วัน",IF(INT(H146)=INT(G146),"ส่งตรงกำหนด","ส่งล่าช้า "&amp;(INT(H146)-INT(G146))&amp;" วัน"))),IFS(G146&lt;TODAY(),"เกินกำหนด "&amp;(TODAY()-G146)&amp;" วัน",G146=TODAY(),"ครบกำหนดวันนี้",G146-TODAY()&lt;=3,"เร่งดำเนินการ",G146-TODAY()&lt;=5,"ต้องติดตาม",G146-TODAY()&lt;=10,"ใกล้ครบกำหนด",TRUE,"อยู่ระหว่างดำเนินการ"))))</x:f>
      </x:c>
      <x:c r="L146" s="114" t="str">
        <x:f>IF(OR(A146="",P146=""),"",HYPERLINK(P146,"เปิดใน Google Calendar"))</x:f>
      </x:c>
      <x:c r="M146" s="111"/>
      <x:c r="N146" s="123"/>
      <x:c r="O146" s="123"/>
      <x:c r="P146" s="123"/>
      <x:c r="Q146" s="126" t="b">
        <x:v>0</x:v>
      </x:c>
      <x:c r="R146" s="126" t="b">
        <x:v>0</x:v>
      </x:c>
      <x:c r="S146" s="126" t="b">
        <x:v>0</x:v>
      </x:c>
      <x:c r="T146" s="126" t="b">
        <x:v>0</x:v>
      </x:c>
      <x:c r="U146" s="144"/>
      <x:c r="V146" s="123"/>
      <x:c r="W146" s="123"/>
      <x:c r="X146" s="126" t="b">
        <x:v>0</x:v>
      </x:c>
    </x:row>
    <x:row r="147" ht="18" customHeight="1">
      <x:c r="A147" s="111"/>
      <x:c r="B147" s="111"/>
      <x:c r="C147" s="111"/>
      <x:c r="D147" s="111"/>
      <x:c r="E147" s="129"/>
      <x:c r="F147" s="138"/>
      <x:c r="G147" s="133" t="str">
        <x:f>IF(OR(A147="",E147="",F147=""),"",E147+F147-IF('ตั้งค่า'!$B$12="นับรวมวันเซ็น",1,0))</x:f>
      </x:c>
      <x:c r="H147" s="134"/>
      <x:c r="I147" s="117" t="str">
        <x:v>ยังไม่ส่ง</x:v>
      </x:c>
      <x:c r="J147" s="141" t="str">
        <x:f>IF(A147="","",IF(G147="","",IF(I147="ส่งแล้ว",0,G147-TODAY())))</x:f>
      </x:c>
      <x:c r="K147" s="114" t="str">
        <x:f>IF(A147="","",IF(G147="","ยังไม่ระบุวัน",IF(I147="ส่งแล้ว",IF(H147="","ส่งแล้ว",IF(INT(H147)&lt;INT(G147),"ส่งก่อนกำหนด "&amp;(INT(G147)-INT(H147))&amp;" วัน",IF(INT(H147)=INT(G147),"ส่งตรงกำหนด","ส่งล่าช้า "&amp;(INT(H147)-INT(G147))&amp;" วัน"))),IFS(G147&lt;TODAY(),"เกินกำหนด "&amp;(TODAY()-G147)&amp;" วัน",G147=TODAY(),"ครบกำหนดวันนี้",G147-TODAY()&lt;=3,"เร่งดำเนินการ",G147-TODAY()&lt;=5,"ต้องติดตาม",G147-TODAY()&lt;=10,"ใกล้ครบกำหนด",TRUE,"อยู่ระหว่างดำเนินการ"))))</x:f>
      </x:c>
      <x:c r="L147" s="114" t="str">
        <x:f>IF(OR(A147="",P147=""),"",HYPERLINK(P147,"เปิดใน Google Calendar"))</x:f>
      </x:c>
      <x:c r="M147" s="111"/>
      <x:c r="N147" s="123"/>
      <x:c r="O147" s="123"/>
      <x:c r="P147" s="123"/>
      <x:c r="Q147" s="126" t="b">
        <x:v>0</x:v>
      </x:c>
      <x:c r="R147" s="126" t="b">
        <x:v>0</x:v>
      </x:c>
      <x:c r="S147" s="126" t="b">
        <x:v>0</x:v>
      </x:c>
      <x:c r="T147" s="126" t="b">
        <x:v>0</x:v>
      </x:c>
      <x:c r="U147" s="144"/>
      <x:c r="V147" s="123"/>
      <x:c r="W147" s="123"/>
      <x:c r="X147" s="126" t="b">
        <x:v>0</x:v>
      </x:c>
    </x:row>
    <x:row r="148" ht="18" customHeight="1">
      <x:c r="A148" s="111"/>
      <x:c r="B148" s="111"/>
      <x:c r="C148" s="111"/>
      <x:c r="D148" s="111"/>
      <x:c r="E148" s="129"/>
      <x:c r="F148" s="138"/>
      <x:c r="G148" s="133" t="str">
        <x:f>IF(OR(A148="",E148="",F148=""),"",E148+F148-IF('ตั้งค่า'!$B$12="นับรวมวันเซ็น",1,0))</x:f>
      </x:c>
      <x:c r="H148" s="134"/>
      <x:c r="I148" s="117" t="str">
        <x:v>ยังไม่ส่ง</x:v>
      </x:c>
      <x:c r="J148" s="141" t="str">
        <x:f>IF(A148="","",IF(G148="","",IF(I148="ส่งแล้ว",0,G148-TODAY())))</x:f>
      </x:c>
      <x:c r="K148" s="114" t="str">
        <x:f>IF(A148="","",IF(G148="","ยังไม่ระบุวัน",IF(I148="ส่งแล้ว",IF(H148="","ส่งแล้ว",IF(INT(H148)&lt;INT(G148),"ส่งก่อนกำหนด "&amp;(INT(G148)-INT(H148))&amp;" วัน",IF(INT(H148)=INT(G148),"ส่งตรงกำหนด","ส่งล่าช้า "&amp;(INT(H148)-INT(G148))&amp;" วัน"))),IFS(G148&lt;TODAY(),"เกินกำหนด "&amp;(TODAY()-G148)&amp;" วัน",G148=TODAY(),"ครบกำหนดวันนี้",G148-TODAY()&lt;=3,"เร่งดำเนินการ",G148-TODAY()&lt;=5,"ต้องติดตาม",G148-TODAY()&lt;=10,"ใกล้ครบกำหนด",TRUE,"อยู่ระหว่างดำเนินการ"))))</x:f>
      </x:c>
      <x:c r="L148" s="114" t="str">
        <x:f>IF(OR(A148="",P148=""),"",HYPERLINK(P148,"เปิดใน Google Calendar"))</x:f>
      </x:c>
      <x:c r="M148" s="111"/>
      <x:c r="N148" s="123"/>
      <x:c r="O148" s="123"/>
      <x:c r="P148" s="123"/>
      <x:c r="Q148" s="126" t="b">
        <x:v>0</x:v>
      </x:c>
      <x:c r="R148" s="126" t="b">
        <x:v>0</x:v>
      </x:c>
      <x:c r="S148" s="126" t="b">
        <x:v>0</x:v>
      </x:c>
      <x:c r="T148" s="126" t="b">
        <x:v>0</x:v>
      </x:c>
      <x:c r="U148" s="144"/>
      <x:c r="V148" s="123"/>
      <x:c r="W148" s="123"/>
      <x:c r="X148" s="126" t="b">
        <x:v>0</x:v>
      </x:c>
    </x:row>
    <x:row r="149" ht="18" customHeight="1">
      <x:c r="A149" s="111"/>
      <x:c r="B149" s="111"/>
      <x:c r="C149" s="111"/>
      <x:c r="D149" s="111"/>
      <x:c r="E149" s="129"/>
      <x:c r="F149" s="138"/>
      <x:c r="G149" s="133" t="str">
        <x:f>IF(OR(A149="",E149="",F149=""),"",E149+F149-IF('ตั้งค่า'!$B$12="นับรวมวันเซ็น",1,0))</x:f>
      </x:c>
      <x:c r="H149" s="134"/>
      <x:c r="I149" s="117" t="str">
        <x:v>ยังไม่ส่ง</x:v>
      </x:c>
      <x:c r="J149" s="141" t="str">
        <x:f>IF(A149="","",IF(G149="","",IF(I149="ส่งแล้ว",0,G149-TODAY())))</x:f>
      </x:c>
      <x:c r="K149" s="114" t="str">
        <x:f>IF(A149="","",IF(G149="","ยังไม่ระบุวัน",IF(I149="ส่งแล้ว",IF(H149="","ส่งแล้ว",IF(INT(H149)&lt;INT(G149),"ส่งก่อนกำหนด "&amp;(INT(G149)-INT(H149))&amp;" วัน",IF(INT(H149)=INT(G149),"ส่งตรงกำหนด","ส่งล่าช้า "&amp;(INT(H149)-INT(G149))&amp;" วัน"))),IFS(G149&lt;TODAY(),"เกินกำหนด "&amp;(TODAY()-G149)&amp;" วัน",G149=TODAY(),"ครบกำหนดวันนี้",G149-TODAY()&lt;=3,"เร่งดำเนินการ",G149-TODAY()&lt;=5,"ต้องติดตาม",G149-TODAY()&lt;=10,"ใกล้ครบกำหนด",TRUE,"อยู่ระหว่างดำเนินการ"))))</x:f>
      </x:c>
      <x:c r="L149" s="114" t="str">
        <x:f>IF(OR(A149="",P149=""),"",HYPERLINK(P149,"เปิดใน Google Calendar"))</x:f>
      </x:c>
      <x:c r="M149" s="111"/>
      <x:c r="N149" s="123"/>
      <x:c r="O149" s="123"/>
      <x:c r="P149" s="123"/>
      <x:c r="Q149" s="126" t="b">
        <x:v>0</x:v>
      </x:c>
      <x:c r="R149" s="126" t="b">
        <x:v>0</x:v>
      </x:c>
      <x:c r="S149" s="126" t="b">
        <x:v>0</x:v>
      </x:c>
      <x:c r="T149" s="126" t="b">
        <x:v>0</x:v>
      </x:c>
      <x:c r="U149" s="144"/>
      <x:c r="V149" s="123"/>
      <x:c r="W149" s="123"/>
      <x:c r="X149" s="126" t="b">
        <x:v>0</x:v>
      </x:c>
    </x:row>
    <x:row r="150" ht="18" customHeight="1">
      <x:c r="A150" s="111"/>
      <x:c r="B150" s="111"/>
      <x:c r="C150" s="111"/>
      <x:c r="D150" s="111"/>
      <x:c r="E150" s="129"/>
      <x:c r="F150" s="138"/>
      <x:c r="G150" s="133" t="str">
        <x:f>IF(OR(A150="",E150="",F150=""),"",E150+F150-IF('ตั้งค่า'!$B$12="นับรวมวันเซ็น",1,0))</x:f>
      </x:c>
      <x:c r="H150" s="134"/>
      <x:c r="I150" s="117" t="str">
        <x:v>ยังไม่ส่ง</x:v>
      </x:c>
      <x:c r="J150" s="141" t="str">
        <x:f>IF(A150="","",IF(G150="","",IF(I150="ส่งแล้ว",0,G150-TODAY())))</x:f>
      </x:c>
      <x:c r="K150" s="114" t="str">
        <x:f>IF(A150="","",IF(G150="","ยังไม่ระบุวัน",IF(I150="ส่งแล้ว",IF(H150="","ส่งแล้ว",IF(INT(H150)&lt;INT(G150),"ส่งก่อนกำหนด "&amp;(INT(G150)-INT(H150))&amp;" วัน",IF(INT(H150)=INT(G150),"ส่งตรงกำหนด","ส่งล่าช้า "&amp;(INT(H150)-INT(G150))&amp;" วัน"))),IFS(G150&lt;TODAY(),"เกินกำหนด "&amp;(TODAY()-G150)&amp;" วัน",G150=TODAY(),"ครบกำหนดวันนี้",G150-TODAY()&lt;=3,"เร่งดำเนินการ",G150-TODAY()&lt;=5,"ต้องติดตาม",G150-TODAY()&lt;=10,"ใกล้ครบกำหนด",TRUE,"อยู่ระหว่างดำเนินการ"))))</x:f>
      </x:c>
      <x:c r="L150" s="114" t="str">
        <x:f>IF(OR(A150="",P150=""),"",HYPERLINK(P150,"เปิดใน Google Calendar"))</x:f>
      </x:c>
      <x:c r="M150" s="111"/>
      <x:c r="N150" s="123"/>
      <x:c r="O150" s="123"/>
      <x:c r="P150" s="123"/>
      <x:c r="Q150" s="126" t="b">
        <x:v>0</x:v>
      </x:c>
      <x:c r="R150" s="126" t="b">
        <x:v>0</x:v>
      </x:c>
      <x:c r="S150" s="126" t="b">
        <x:v>0</x:v>
      </x:c>
      <x:c r="T150" s="126" t="b">
        <x:v>0</x:v>
      </x:c>
      <x:c r="U150" s="144"/>
      <x:c r="V150" s="123"/>
      <x:c r="W150" s="123"/>
      <x:c r="X150" s="126" t="b">
        <x:v>0</x:v>
      </x:c>
    </x:row>
    <x:row r="151" ht="18" customHeight="1">
      <x:c r="A151" s="111"/>
      <x:c r="B151" s="111"/>
      <x:c r="C151" s="111"/>
      <x:c r="D151" s="111"/>
      <x:c r="E151" s="129"/>
      <x:c r="F151" s="138"/>
      <x:c r="G151" s="133" t="str">
        <x:f>IF(OR(A151="",E151="",F151=""),"",E151+F151-IF('ตั้งค่า'!$B$12="นับรวมวันเซ็น",1,0))</x:f>
      </x:c>
      <x:c r="H151" s="134"/>
      <x:c r="I151" s="117" t="str">
        <x:v>ยังไม่ส่ง</x:v>
      </x:c>
      <x:c r="J151" s="141" t="str">
        <x:f>IF(A151="","",IF(G151="","",IF(I151="ส่งแล้ว",0,G151-TODAY())))</x:f>
      </x:c>
      <x:c r="K151" s="114" t="str">
        <x:f>IF(A151="","",IF(G151="","ยังไม่ระบุวัน",IF(I151="ส่งแล้ว",IF(H151="","ส่งแล้ว",IF(INT(H151)&lt;INT(G151),"ส่งก่อนกำหนด "&amp;(INT(G151)-INT(H151))&amp;" วัน",IF(INT(H151)=INT(G151),"ส่งตรงกำหนด","ส่งล่าช้า "&amp;(INT(H151)-INT(G151))&amp;" วัน"))),IFS(G151&lt;TODAY(),"เกินกำหนด "&amp;(TODAY()-G151)&amp;" วัน",G151=TODAY(),"ครบกำหนดวันนี้",G151-TODAY()&lt;=3,"เร่งดำเนินการ",G151-TODAY()&lt;=5,"ต้องติดตาม",G151-TODAY()&lt;=10,"ใกล้ครบกำหนด",TRUE,"อยู่ระหว่างดำเนินการ"))))</x:f>
      </x:c>
      <x:c r="L151" s="114" t="str">
        <x:f>IF(OR(A151="",P151=""),"",HYPERLINK(P151,"เปิดใน Google Calendar"))</x:f>
      </x:c>
      <x:c r="M151" s="111"/>
      <x:c r="N151" s="123"/>
      <x:c r="O151" s="123"/>
      <x:c r="P151" s="123"/>
      <x:c r="Q151" s="126" t="b">
        <x:v>0</x:v>
      </x:c>
      <x:c r="R151" s="126" t="b">
        <x:v>0</x:v>
      </x:c>
      <x:c r="S151" s="126" t="b">
        <x:v>0</x:v>
      </x:c>
      <x:c r="T151" s="126" t="b">
        <x:v>0</x:v>
      </x:c>
      <x:c r="U151" s="144"/>
      <x:c r="V151" s="123"/>
      <x:c r="W151" s="123"/>
      <x:c r="X151" s="126" t="b">
        <x:v>0</x:v>
      </x:c>
    </x:row>
    <x:row r="152" ht="18" customHeight="1">
      <x:c r="A152" s="111"/>
      <x:c r="B152" s="111"/>
      <x:c r="C152" s="111"/>
      <x:c r="D152" s="111"/>
      <x:c r="E152" s="129"/>
      <x:c r="F152" s="138"/>
      <x:c r="G152" s="133" t="str">
        <x:f>IF(OR(A152="",E152="",F152=""),"",E152+F152-IF('ตั้งค่า'!$B$12="นับรวมวันเซ็น",1,0))</x:f>
      </x:c>
      <x:c r="H152" s="134"/>
      <x:c r="I152" s="117" t="str">
        <x:v>ยังไม่ส่ง</x:v>
      </x:c>
      <x:c r="J152" s="141" t="str">
        <x:f>IF(A152="","",IF(G152="","",IF(I152="ส่งแล้ว",0,G152-TODAY())))</x:f>
      </x:c>
      <x:c r="K152" s="114" t="str">
        <x:f>IF(A152="","",IF(G152="","ยังไม่ระบุวัน",IF(I152="ส่งแล้ว",IF(H152="","ส่งแล้ว",IF(INT(H152)&lt;INT(G152),"ส่งก่อนกำหนด "&amp;(INT(G152)-INT(H152))&amp;" วัน",IF(INT(H152)=INT(G152),"ส่งตรงกำหนด","ส่งล่าช้า "&amp;(INT(H152)-INT(G152))&amp;" วัน"))),IFS(G152&lt;TODAY(),"เกินกำหนด "&amp;(TODAY()-G152)&amp;" วัน",G152=TODAY(),"ครบกำหนดวันนี้",G152-TODAY()&lt;=3,"เร่งดำเนินการ",G152-TODAY()&lt;=5,"ต้องติดตาม",G152-TODAY()&lt;=10,"ใกล้ครบกำหนด",TRUE,"อยู่ระหว่างดำเนินการ"))))</x:f>
      </x:c>
      <x:c r="L152" s="114" t="str">
        <x:f>IF(OR(A152="",P152=""),"",HYPERLINK(P152,"เปิดใน Google Calendar"))</x:f>
      </x:c>
      <x:c r="M152" s="111"/>
      <x:c r="N152" s="123"/>
      <x:c r="O152" s="123"/>
      <x:c r="P152" s="123"/>
      <x:c r="Q152" s="126" t="b">
        <x:v>0</x:v>
      </x:c>
      <x:c r="R152" s="126" t="b">
        <x:v>0</x:v>
      </x:c>
      <x:c r="S152" s="126" t="b">
        <x:v>0</x:v>
      </x:c>
      <x:c r="T152" s="126" t="b">
        <x:v>0</x:v>
      </x:c>
      <x:c r="U152" s="144"/>
      <x:c r="V152" s="123"/>
      <x:c r="W152" s="123"/>
      <x:c r="X152" s="126" t="b">
        <x:v>0</x:v>
      </x:c>
    </x:row>
    <x:row r="153" ht="18" customHeight="1">
      <x:c r="A153" s="111"/>
      <x:c r="B153" s="111"/>
      <x:c r="C153" s="111"/>
      <x:c r="D153" s="111"/>
      <x:c r="E153" s="129"/>
      <x:c r="F153" s="138"/>
      <x:c r="G153" s="133" t="str">
        <x:f>IF(OR(A153="",E153="",F153=""),"",E153+F153-IF('ตั้งค่า'!$B$12="นับรวมวันเซ็น",1,0))</x:f>
      </x:c>
      <x:c r="H153" s="134"/>
      <x:c r="I153" s="117" t="str">
        <x:v>ยังไม่ส่ง</x:v>
      </x:c>
      <x:c r="J153" s="141" t="str">
        <x:f>IF(A153="","",IF(G153="","",IF(I153="ส่งแล้ว",0,G153-TODAY())))</x:f>
      </x:c>
      <x:c r="K153" s="114" t="str">
        <x:f>IF(A153="","",IF(G153="","ยังไม่ระบุวัน",IF(I153="ส่งแล้ว",IF(H153="","ส่งแล้ว",IF(INT(H153)&lt;INT(G153),"ส่งก่อนกำหนด "&amp;(INT(G153)-INT(H153))&amp;" วัน",IF(INT(H153)=INT(G153),"ส่งตรงกำหนด","ส่งล่าช้า "&amp;(INT(H153)-INT(G153))&amp;" วัน"))),IFS(G153&lt;TODAY(),"เกินกำหนด "&amp;(TODAY()-G153)&amp;" วัน",G153=TODAY(),"ครบกำหนดวันนี้",G153-TODAY()&lt;=3,"เร่งดำเนินการ",G153-TODAY()&lt;=5,"ต้องติดตาม",G153-TODAY()&lt;=10,"ใกล้ครบกำหนด",TRUE,"อยู่ระหว่างดำเนินการ"))))</x:f>
      </x:c>
      <x:c r="L153" s="114" t="str">
        <x:f>IF(OR(A153="",P153=""),"",HYPERLINK(P153,"เปิดใน Google Calendar"))</x:f>
      </x:c>
      <x:c r="M153" s="111"/>
      <x:c r="N153" s="123"/>
      <x:c r="O153" s="123"/>
      <x:c r="P153" s="123"/>
      <x:c r="Q153" s="126" t="b">
        <x:v>0</x:v>
      </x:c>
      <x:c r="R153" s="126" t="b">
        <x:v>0</x:v>
      </x:c>
      <x:c r="S153" s="126" t="b">
        <x:v>0</x:v>
      </x:c>
      <x:c r="T153" s="126" t="b">
        <x:v>0</x:v>
      </x:c>
      <x:c r="U153" s="144"/>
      <x:c r="V153" s="123"/>
      <x:c r="W153" s="123"/>
      <x:c r="X153" s="126" t="b">
        <x:v>0</x:v>
      </x:c>
    </x:row>
    <x:row r="154" ht="18" customHeight="1">
      <x:c r="A154" s="111"/>
      <x:c r="B154" s="111"/>
      <x:c r="C154" s="111"/>
      <x:c r="D154" s="111"/>
      <x:c r="E154" s="129"/>
      <x:c r="F154" s="138"/>
      <x:c r="G154" s="133" t="str">
        <x:f>IF(OR(A154="",E154="",F154=""),"",E154+F154-IF('ตั้งค่า'!$B$12="นับรวมวันเซ็น",1,0))</x:f>
      </x:c>
      <x:c r="H154" s="134"/>
      <x:c r="I154" s="117" t="str">
        <x:v>ยังไม่ส่ง</x:v>
      </x:c>
      <x:c r="J154" s="141" t="str">
        <x:f>IF(A154="","",IF(G154="","",IF(I154="ส่งแล้ว",0,G154-TODAY())))</x:f>
      </x:c>
      <x:c r="K154" s="114" t="str">
        <x:f>IF(A154="","",IF(G154="","ยังไม่ระบุวัน",IF(I154="ส่งแล้ว",IF(H154="","ส่งแล้ว",IF(INT(H154)&lt;INT(G154),"ส่งก่อนกำหนด "&amp;(INT(G154)-INT(H154))&amp;" วัน",IF(INT(H154)=INT(G154),"ส่งตรงกำหนด","ส่งล่าช้า "&amp;(INT(H154)-INT(G154))&amp;" วัน"))),IFS(G154&lt;TODAY(),"เกินกำหนด "&amp;(TODAY()-G154)&amp;" วัน",G154=TODAY(),"ครบกำหนดวันนี้",G154-TODAY()&lt;=3,"เร่งดำเนินการ",G154-TODAY()&lt;=5,"ต้องติดตาม",G154-TODAY()&lt;=10,"ใกล้ครบกำหนด",TRUE,"อยู่ระหว่างดำเนินการ"))))</x:f>
      </x:c>
      <x:c r="L154" s="114" t="str">
        <x:f>IF(OR(A154="",P154=""),"",HYPERLINK(P154,"เปิดใน Google Calendar"))</x:f>
      </x:c>
      <x:c r="M154" s="111"/>
      <x:c r="N154" s="123"/>
      <x:c r="O154" s="123"/>
      <x:c r="P154" s="123"/>
      <x:c r="Q154" s="126" t="b">
        <x:v>0</x:v>
      </x:c>
      <x:c r="R154" s="126" t="b">
        <x:v>0</x:v>
      </x:c>
      <x:c r="S154" s="126" t="b">
        <x:v>0</x:v>
      </x:c>
      <x:c r="T154" s="126" t="b">
        <x:v>0</x:v>
      </x:c>
      <x:c r="U154" s="144"/>
      <x:c r="V154" s="123"/>
      <x:c r="W154" s="123"/>
      <x:c r="X154" s="126" t="b">
        <x:v>0</x:v>
      </x:c>
    </x:row>
    <x:row r="155" ht="18" customHeight="1">
      <x:c r="A155" s="111"/>
      <x:c r="B155" s="111"/>
      <x:c r="C155" s="111"/>
      <x:c r="D155" s="111"/>
      <x:c r="E155" s="129"/>
      <x:c r="F155" s="138"/>
      <x:c r="G155" s="133" t="str">
        <x:f>IF(OR(A155="",E155="",F155=""),"",E155+F155-IF('ตั้งค่า'!$B$12="นับรวมวันเซ็น",1,0))</x:f>
      </x:c>
      <x:c r="H155" s="134"/>
      <x:c r="I155" s="117" t="str">
        <x:v>ยังไม่ส่ง</x:v>
      </x:c>
      <x:c r="J155" s="141" t="str">
        <x:f>IF(A155="","",IF(G155="","",IF(I155="ส่งแล้ว",0,G155-TODAY())))</x:f>
      </x:c>
      <x:c r="K155" s="114" t="str">
        <x:f>IF(A155="","",IF(G155="","ยังไม่ระบุวัน",IF(I155="ส่งแล้ว",IF(H155="","ส่งแล้ว",IF(INT(H155)&lt;INT(G155),"ส่งก่อนกำหนด "&amp;(INT(G155)-INT(H155))&amp;" วัน",IF(INT(H155)=INT(G155),"ส่งตรงกำหนด","ส่งล่าช้า "&amp;(INT(H155)-INT(G155))&amp;" วัน"))),IFS(G155&lt;TODAY(),"เกินกำหนด "&amp;(TODAY()-G155)&amp;" วัน",G155=TODAY(),"ครบกำหนดวันนี้",G155-TODAY()&lt;=3,"เร่งดำเนินการ",G155-TODAY()&lt;=5,"ต้องติดตาม",G155-TODAY()&lt;=10,"ใกล้ครบกำหนด",TRUE,"อยู่ระหว่างดำเนินการ"))))</x:f>
      </x:c>
      <x:c r="L155" s="114" t="str">
        <x:f>IF(OR(A155="",P155=""),"",HYPERLINK(P155,"เปิดใน Google Calendar"))</x:f>
      </x:c>
      <x:c r="M155" s="111"/>
      <x:c r="N155" s="123"/>
      <x:c r="O155" s="123"/>
      <x:c r="P155" s="123"/>
      <x:c r="Q155" s="126" t="b">
        <x:v>0</x:v>
      </x:c>
      <x:c r="R155" s="126" t="b">
        <x:v>0</x:v>
      </x:c>
      <x:c r="S155" s="126" t="b">
        <x:v>0</x:v>
      </x:c>
      <x:c r="T155" s="126" t="b">
        <x:v>0</x:v>
      </x:c>
      <x:c r="U155" s="144"/>
      <x:c r="V155" s="123"/>
      <x:c r="W155" s="123"/>
      <x:c r="X155" s="126" t="b">
        <x:v>0</x:v>
      </x:c>
    </x:row>
    <x:row r="156" ht="18" customHeight="1">
      <x:c r="A156" s="111"/>
      <x:c r="B156" s="111"/>
      <x:c r="C156" s="111"/>
      <x:c r="D156" s="111"/>
      <x:c r="E156" s="129"/>
      <x:c r="F156" s="138"/>
      <x:c r="G156" s="133" t="str">
        <x:f>IF(OR(A156="",E156="",F156=""),"",E156+F156-IF('ตั้งค่า'!$B$12="นับรวมวันเซ็น",1,0))</x:f>
      </x:c>
      <x:c r="H156" s="134"/>
      <x:c r="I156" s="117" t="str">
        <x:v>ยังไม่ส่ง</x:v>
      </x:c>
      <x:c r="J156" s="141" t="str">
        <x:f>IF(A156="","",IF(G156="","",IF(I156="ส่งแล้ว",0,G156-TODAY())))</x:f>
      </x:c>
      <x:c r="K156" s="114" t="str">
        <x:f>IF(A156="","",IF(G156="","ยังไม่ระบุวัน",IF(I156="ส่งแล้ว",IF(H156="","ส่งแล้ว",IF(INT(H156)&lt;INT(G156),"ส่งก่อนกำหนด "&amp;(INT(G156)-INT(H156))&amp;" วัน",IF(INT(H156)=INT(G156),"ส่งตรงกำหนด","ส่งล่าช้า "&amp;(INT(H156)-INT(G156))&amp;" วัน"))),IFS(G156&lt;TODAY(),"เกินกำหนด "&amp;(TODAY()-G156)&amp;" วัน",G156=TODAY(),"ครบกำหนดวันนี้",G156-TODAY()&lt;=3,"เร่งดำเนินการ",G156-TODAY()&lt;=5,"ต้องติดตาม",G156-TODAY()&lt;=10,"ใกล้ครบกำหนด",TRUE,"อยู่ระหว่างดำเนินการ"))))</x:f>
      </x:c>
      <x:c r="L156" s="114" t="str">
        <x:f>IF(OR(A156="",P156=""),"",HYPERLINK(P156,"เปิดใน Google Calendar"))</x:f>
      </x:c>
      <x:c r="M156" s="111"/>
      <x:c r="N156" s="123"/>
      <x:c r="O156" s="123"/>
      <x:c r="P156" s="123"/>
      <x:c r="Q156" s="126" t="b">
        <x:v>0</x:v>
      </x:c>
      <x:c r="R156" s="126" t="b">
        <x:v>0</x:v>
      </x:c>
      <x:c r="S156" s="126" t="b">
        <x:v>0</x:v>
      </x:c>
      <x:c r="T156" s="126" t="b">
        <x:v>0</x:v>
      </x:c>
      <x:c r="U156" s="144"/>
      <x:c r="V156" s="123"/>
      <x:c r="W156" s="123"/>
      <x:c r="X156" s="126" t="b">
        <x:v>0</x:v>
      </x:c>
    </x:row>
    <x:row r="157" ht="18" customHeight="1">
      <x:c r="A157" s="111"/>
      <x:c r="B157" s="111"/>
      <x:c r="C157" s="111"/>
      <x:c r="D157" s="111"/>
      <x:c r="E157" s="129"/>
      <x:c r="F157" s="138"/>
      <x:c r="G157" s="133" t="str">
        <x:f>IF(OR(A157="",E157="",F157=""),"",E157+F157-IF('ตั้งค่า'!$B$12="นับรวมวันเซ็น",1,0))</x:f>
      </x:c>
      <x:c r="H157" s="134"/>
      <x:c r="I157" s="117" t="str">
        <x:v>ยังไม่ส่ง</x:v>
      </x:c>
      <x:c r="J157" s="141" t="str">
        <x:f>IF(A157="","",IF(G157="","",IF(I157="ส่งแล้ว",0,G157-TODAY())))</x:f>
      </x:c>
      <x:c r="K157" s="114" t="str">
        <x:f>IF(A157="","",IF(G157="","ยังไม่ระบุวัน",IF(I157="ส่งแล้ว",IF(H157="","ส่งแล้ว",IF(INT(H157)&lt;INT(G157),"ส่งก่อนกำหนด "&amp;(INT(G157)-INT(H157))&amp;" วัน",IF(INT(H157)=INT(G157),"ส่งตรงกำหนด","ส่งล่าช้า "&amp;(INT(H157)-INT(G157))&amp;" วัน"))),IFS(G157&lt;TODAY(),"เกินกำหนด "&amp;(TODAY()-G157)&amp;" วัน",G157=TODAY(),"ครบกำหนดวันนี้",G157-TODAY()&lt;=3,"เร่งดำเนินการ",G157-TODAY()&lt;=5,"ต้องติดตาม",G157-TODAY()&lt;=10,"ใกล้ครบกำหนด",TRUE,"อยู่ระหว่างดำเนินการ"))))</x:f>
      </x:c>
      <x:c r="L157" s="114" t="str">
        <x:f>IF(OR(A157="",P157=""),"",HYPERLINK(P157,"เปิดใน Google Calendar"))</x:f>
      </x:c>
      <x:c r="M157" s="111"/>
      <x:c r="N157" s="123"/>
      <x:c r="O157" s="123"/>
      <x:c r="P157" s="123"/>
      <x:c r="Q157" s="126" t="b">
        <x:v>0</x:v>
      </x:c>
      <x:c r="R157" s="126" t="b">
        <x:v>0</x:v>
      </x:c>
      <x:c r="S157" s="126" t="b">
        <x:v>0</x:v>
      </x:c>
      <x:c r="T157" s="126" t="b">
        <x:v>0</x:v>
      </x:c>
      <x:c r="U157" s="144"/>
      <x:c r="V157" s="123"/>
      <x:c r="W157" s="123"/>
      <x:c r="X157" s="126" t="b">
        <x:v>0</x:v>
      </x:c>
    </x:row>
    <x:row r="158" ht="18" customHeight="1">
      <x:c r="A158" s="111"/>
      <x:c r="B158" s="111"/>
      <x:c r="C158" s="111"/>
      <x:c r="D158" s="111"/>
      <x:c r="E158" s="129"/>
      <x:c r="F158" s="138"/>
      <x:c r="G158" s="133" t="str">
        <x:f>IF(OR(A158="",E158="",F158=""),"",E158+F158-IF('ตั้งค่า'!$B$12="นับรวมวันเซ็น",1,0))</x:f>
      </x:c>
      <x:c r="H158" s="134"/>
      <x:c r="I158" s="117" t="str">
        <x:v>ยังไม่ส่ง</x:v>
      </x:c>
      <x:c r="J158" s="141" t="str">
        <x:f>IF(A158="","",IF(G158="","",IF(I158="ส่งแล้ว",0,G158-TODAY())))</x:f>
      </x:c>
      <x:c r="K158" s="114" t="str">
        <x:f>IF(A158="","",IF(G158="","ยังไม่ระบุวัน",IF(I158="ส่งแล้ว",IF(H158="","ส่งแล้ว",IF(INT(H158)&lt;INT(G158),"ส่งก่อนกำหนด "&amp;(INT(G158)-INT(H158))&amp;" วัน",IF(INT(H158)=INT(G158),"ส่งตรงกำหนด","ส่งล่าช้า "&amp;(INT(H158)-INT(G158))&amp;" วัน"))),IFS(G158&lt;TODAY(),"เกินกำหนด "&amp;(TODAY()-G158)&amp;" วัน",G158=TODAY(),"ครบกำหนดวันนี้",G158-TODAY()&lt;=3,"เร่งดำเนินการ",G158-TODAY()&lt;=5,"ต้องติดตาม",G158-TODAY()&lt;=10,"ใกล้ครบกำหนด",TRUE,"อยู่ระหว่างดำเนินการ"))))</x:f>
      </x:c>
      <x:c r="L158" s="114" t="str">
        <x:f>IF(OR(A158="",P158=""),"",HYPERLINK(P158,"เปิดใน Google Calendar"))</x:f>
      </x:c>
      <x:c r="M158" s="111"/>
      <x:c r="N158" s="123"/>
      <x:c r="O158" s="123"/>
      <x:c r="P158" s="123"/>
      <x:c r="Q158" s="126" t="b">
        <x:v>0</x:v>
      </x:c>
      <x:c r="R158" s="126" t="b">
        <x:v>0</x:v>
      </x:c>
      <x:c r="S158" s="126" t="b">
        <x:v>0</x:v>
      </x:c>
      <x:c r="T158" s="126" t="b">
        <x:v>0</x:v>
      </x:c>
      <x:c r="U158" s="144"/>
      <x:c r="V158" s="123"/>
      <x:c r="W158" s="123"/>
      <x:c r="X158" s="126" t="b">
        <x:v>0</x:v>
      </x:c>
    </x:row>
    <x:row r="159" ht="18" customHeight="1">
      <x:c r="A159" s="111"/>
      <x:c r="B159" s="111"/>
      <x:c r="C159" s="111"/>
      <x:c r="D159" s="111"/>
      <x:c r="E159" s="129"/>
      <x:c r="F159" s="138"/>
      <x:c r="G159" s="133" t="str">
        <x:f>IF(OR(A159="",E159="",F159=""),"",E159+F159-IF('ตั้งค่า'!$B$12="นับรวมวันเซ็น",1,0))</x:f>
      </x:c>
      <x:c r="H159" s="134"/>
      <x:c r="I159" s="117" t="str">
        <x:v>ยังไม่ส่ง</x:v>
      </x:c>
      <x:c r="J159" s="141" t="str">
        <x:f>IF(A159="","",IF(G159="","",IF(I159="ส่งแล้ว",0,G159-TODAY())))</x:f>
      </x:c>
      <x:c r="K159" s="114" t="str">
        <x:f>IF(A159="","",IF(G159="","ยังไม่ระบุวัน",IF(I159="ส่งแล้ว",IF(H159="","ส่งแล้ว",IF(INT(H159)&lt;INT(G159),"ส่งก่อนกำหนด "&amp;(INT(G159)-INT(H159))&amp;" วัน",IF(INT(H159)=INT(G159),"ส่งตรงกำหนด","ส่งล่าช้า "&amp;(INT(H159)-INT(G159))&amp;" วัน"))),IFS(G159&lt;TODAY(),"เกินกำหนด "&amp;(TODAY()-G159)&amp;" วัน",G159=TODAY(),"ครบกำหนดวันนี้",G159-TODAY()&lt;=3,"เร่งดำเนินการ",G159-TODAY()&lt;=5,"ต้องติดตาม",G159-TODAY()&lt;=10,"ใกล้ครบกำหนด",TRUE,"อยู่ระหว่างดำเนินการ"))))</x:f>
      </x:c>
      <x:c r="L159" s="114" t="str">
        <x:f>IF(OR(A159="",P159=""),"",HYPERLINK(P159,"เปิดใน Google Calendar"))</x:f>
      </x:c>
      <x:c r="M159" s="111"/>
      <x:c r="N159" s="123"/>
      <x:c r="O159" s="123"/>
      <x:c r="P159" s="123"/>
      <x:c r="Q159" s="126" t="b">
        <x:v>0</x:v>
      </x:c>
      <x:c r="R159" s="126" t="b">
        <x:v>0</x:v>
      </x:c>
      <x:c r="S159" s="126" t="b">
        <x:v>0</x:v>
      </x:c>
      <x:c r="T159" s="126" t="b">
        <x:v>0</x:v>
      </x:c>
      <x:c r="U159" s="144"/>
      <x:c r="V159" s="123"/>
      <x:c r="W159" s="123"/>
      <x:c r="X159" s="126" t="b">
        <x:v>0</x:v>
      </x:c>
    </x:row>
    <x:row r="160" ht="18" customHeight="1">
      <x:c r="A160" s="111"/>
      <x:c r="B160" s="111"/>
      <x:c r="C160" s="111"/>
      <x:c r="D160" s="111"/>
      <x:c r="E160" s="129"/>
      <x:c r="F160" s="138"/>
      <x:c r="G160" s="133" t="str">
        <x:f>IF(OR(A160="",E160="",F160=""),"",E160+F160-IF('ตั้งค่า'!$B$12="นับรวมวันเซ็น",1,0))</x:f>
      </x:c>
      <x:c r="H160" s="134"/>
      <x:c r="I160" s="117" t="str">
        <x:v>ยังไม่ส่ง</x:v>
      </x:c>
      <x:c r="J160" s="141" t="str">
        <x:f>IF(A160="","",IF(G160="","",IF(I160="ส่งแล้ว",0,G160-TODAY())))</x:f>
      </x:c>
      <x:c r="K160" s="114" t="str">
        <x:f>IF(A160="","",IF(G160="","ยังไม่ระบุวัน",IF(I160="ส่งแล้ว",IF(H160="","ส่งแล้ว",IF(INT(H160)&lt;INT(G160),"ส่งก่อนกำหนด "&amp;(INT(G160)-INT(H160))&amp;" วัน",IF(INT(H160)=INT(G160),"ส่งตรงกำหนด","ส่งล่าช้า "&amp;(INT(H160)-INT(G160))&amp;" วัน"))),IFS(G160&lt;TODAY(),"เกินกำหนด "&amp;(TODAY()-G160)&amp;" วัน",G160=TODAY(),"ครบกำหนดวันนี้",G160-TODAY()&lt;=3,"เร่งดำเนินการ",G160-TODAY()&lt;=5,"ต้องติดตาม",G160-TODAY()&lt;=10,"ใกล้ครบกำหนด",TRUE,"อยู่ระหว่างดำเนินการ"))))</x:f>
      </x:c>
      <x:c r="L160" s="114" t="str">
        <x:f>IF(OR(A160="",P160=""),"",HYPERLINK(P160,"เปิดใน Google Calendar"))</x:f>
      </x:c>
      <x:c r="M160" s="111"/>
      <x:c r="N160" s="123"/>
      <x:c r="O160" s="123"/>
      <x:c r="P160" s="123"/>
      <x:c r="Q160" s="126" t="b">
        <x:v>0</x:v>
      </x:c>
      <x:c r="R160" s="126" t="b">
        <x:v>0</x:v>
      </x:c>
      <x:c r="S160" s="126" t="b">
        <x:v>0</x:v>
      </x:c>
      <x:c r="T160" s="126" t="b">
        <x:v>0</x:v>
      </x:c>
      <x:c r="U160" s="144"/>
      <x:c r="V160" s="123"/>
      <x:c r="W160" s="123"/>
      <x:c r="X160" s="126" t="b">
        <x:v>0</x:v>
      </x:c>
    </x:row>
    <x:row r="161" ht="18" customHeight="1">
      <x:c r="A161" s="111"/>
      <x:c r="B161" s="111"/>
      <x:c r="C161" s="111"/>
      <x:c r="D161" s="111"/>
      <x:c r="E161" s="129"/>
      <x:c r="F161" s="138"/>
      <x:c r="G161" s="133" t="str">
        <x:f>IF(OR(A161="",E161="",F161=""),"",E161+F161-IF('ตั้งค่า'!$B$12="นับรวมวันเซ็น",1,0))</x:f>
      </x:c>
      <x:c r="H161" s="134"/>
      <x:c r="I161" s="117" t="str">
        <x:v>ยังไม่ส่ง</x:v>
      </x:c>
      <x:c r="J161" s="141" t="str">
        <x:f>IF(A161="","",IF(G161="","",IF(I161="ส่งแล้ว",0,G161-TODAY())))</x:f>
      </x:c>
      <x:c r="K161" s="114" t="str">
        <x:f>IF(A161="","",IF(G161="","ยังไม่ระบุวัน",IF(I161="ส่งแล้ว",IF(H161="","ส่งแล้ว",IF(INT(H161)&lt;INT(G161),"ส่งก่อนกำหนด "&amp;(INT(G161)-INT(H161))&amp;" วัน",IF(INT(H161)=INT(G161),"ส่งตรงกำหนด","ส่งล่าช้า "&amp;(INT(H161)-INT(G161))&amp;" วัน"))),IFS(G161&lt;TODAY(),"เกินกำหนด "&amp;(TODAY()-G161)&amp;" วัน",G161=TODAY(),"ครบกำหนดวันนี้",G161-TODAY()&lt;=3,"เร่งดำเนินการ",G161-TODAY()&lt;=5,"ต้องติดตาม",G161-TODAY()&lt;=10,"ใกล้ครบกำหนด",TRUE,"อยู่ระหว่างดำเนินการ"))))</x:f>
      </x:c>
      <x:c r="L161" s="114" t="str">
        <x:f>IF(OR(A161="",P161=""),"",HYPERLINK(P161,"เปิดใน Google Calendar"))</x:f>
      </x:c>
      <x:c r="M161" s="111"/>
      <x:c r="N161" s="123"/>
      <x:c r="O161" s="123"/>
      <x:c r="P161" s="123"/>
      <x:c r="Q161" s="126" t="b">
        <x:v>0</x:v>
      </x:c>
      <x:c r="R161" s="126" t="b">
        <x:v>0</x:v>
      </x:c>
      <x:c r="S161" s="126" t="b">
        <x:v>0</x:v>
      </x:c>
      <x:c r="T161" s="126" t="b">
        <x:v>0</x:v>
      </x:c>
      <x:c r="U161" s="144"/>
      <x:c r="V161" s="123"/>
      <x:c r="W161" s="123"/>
      <x:c r="X161" s="126" t="b">
        <x:v>0</x:v>
      </x:c>
    </x:row>
    <x:row r="162" ht="18" customHeight="1">
      <x:c r="A162" s="111"/>
      <x:c r="B162" s="111"/>
      <x:c r="C162" s="111"/>
      <x:c r="D162" s="111"/>
      <x:c r="E162" s="129"/>
      <x:c r="F162" s="138"/>
      <x:c r="G162" s="133" t="str">
        <x:f>IF(OR(A162="",E162="",F162=""),"",E162+F162-IF('ตั้งค่า'!$B$12="นับรวมวันเซ็น",1,0))</x:f>
      </x:c>
      <x:c r="H162" s="134"/>
      <x:c r="I162" s="117" t="str">
        <x:v>ยังไม่ส่ง</x:v>
      </x:c>
      <x:c r="J162" s="141" t="str">
        <x:f>IF(A162="","",IF(G162="","",IF(I162="ส่งแล้ว",0,G162-TODAY())))</x:f>
      </x:c>
      <x:c r="K162" s="114" t="str">
        <x:f>IF(A162="","",IF(G162="","ยังไม่ระบุวัน",IF(I162="ส่งแล้ว",IF(H162="","ส่งแล้ว",IF(INT(H162)&lt;INT(G162),"ส่งก่อนกำหนด "&amp;(INT(G162)-INT(H162))&amp;" วัน",IF(INT(H162)=INT(G162),"ส่งตรงกำหนด","ส่งล่าช้า "&amp;(INT(H162)-INT(G162))&amp;" วัน"))),IFS(G162&lt;TODAY(),"เกินกำหนด "&amp;(TODAY()-G162)&amp;" วัน",G162=TODAY(),"ครบกำหนดวันนี้",G162-TODAY()&lt;=3,"เร่งดำเนินการ",G162-TODAY()&lt;=5,"ต้องติดตาม",G162-TODAY()&lt;=10,"ใกล้ครบกำหนด",TRUE,"อยู่ระหว่างดำเนินการ"))))</x:f>
      </x:c>
      <x:c r="L162" s="114" t="str">
        <x:f>IF(OR(A162="",P162=""),"",HYPERLINK(P162,"เปิดใน Google Calendar"))</x:f>
      </x:c>
      <x:c r="M162" s="111"/>
      <x:c r="N162" s="123"/>
      <x:c r="O162" s="123"/>
      <x:c r="P162" s="123"/>
      <x:c r="Q162" s="126" t="b">
        <x:v>0</x:v>
      </x:c>
      <x:c r="R162" s="126" t="b">
        <x:v>0</x:v>
      </x:c>
      <x:c r="S162" s="126" t="b">
        <x:v>0</x:v>
      </x:c>
      <x:c r="T162" s="126" t="b">
        <x:v>0</x:v>
      </x:c>
      <x:c r="U162" s="144"/>
      <x:c r="V162" s="123"/>
      <x:c r="W162" s="123"/>
      <x:c r="X162" s="126" t="b">
        <x:v>0</x:v>
      </x:c>
    </x:row>
    <x:row r="163" ht="18" customHeight="1">
      <x:c r="A163" s="111"/>
      <x:c r="B163" s="111"/>
      <x:c r="C163" s="111"/>
      <x:c r="D163" s="111"/>
      <x:c r="E163" s="129"/>
      <x:c r="F163" s="138"/>
      <x:c r="G163" s="133" t="str">
        <x:f>IF(OR(A163="",E163="",F163=""),"",E163+F163-IF('ตั้งค่า'!$B$12="นับรวมวันเซ็น",1,0))</x:f>
      </x:c>
      <x:c r="H163" s="134"/>
      <x:c r="I163" s="117" t="str">
        <x:v>ยังไม่ส่ง</x:v>
      </x:c>
      <x:c r="J163" s="141" t="str">
        <x:f>IF(A163="","",IF(G163="","",IF(I163="ส่งแล้ว",0,G163-TODAY())))</x:f>
      </x:c>
      <x:c r="K163" s="114" t="str">
        <x:f>IF(A163="","",IF(G163="","ยังไม่ระบุวัน",IF(I163="ส่งแล้ว",IF(H163="","ส่งแล้ว",IF(INT(H163)&lt;INT(G163),"ส่งก่อนกำหนด "&amp;(INT(G163)-INT(H163))&amp;" วัน",IF(INT(H163)=INT(G163),"ส่งตรงกำหนด","ส่งล่าช้า "&amp;(INT(H163)-INT(G163))&amp;" วัน"))),IFS(G163&lt;TODAY(),"เกินกำหนด "&amp;(TODAY()-G163)&amp;" วัน",G163=TODAY(),"ครบกำหนดวันนี้",G163-TODAY()&lt;=3,"เร่งดำเนินการ",G163-TODAY()&lt;=5,"ต้องติดตาม",G163-TODAY()&lt;=10,"ใกล้ครบกำหนด",TRUE,"อยู่ระหว่างดำเนินการ"))))</x:f>
      </x:c>
      <x:c r="L163" s="114" t="str">
        <x:f>IF(OR(A163="",P163=""),"",HYPERLINK(P163,"เปิดใน Google Calendar"))</x:f>
      </x:c>
      <x:c r="M163" s="111"/>
      <x:c r="N163" s="123"/>
      <x:c r="O163" s="123"/>
      <x:c r="P163" s="123"/>
      <x:c r="Q163" s="126" t="b">
        <x:v>0</x:v>
      </x:c>
      <x:c r="R163" s="126" t="b">
        <x:v>0</x:v>
      </x:c>
      <x:c r="S163" s="126" t="b">
        <x:v>0</x:v>
      </x:c>
      <x:c r="T163" s="126" t="b">
        <x:v>0</x:v>
      </x:c>
      <x:c r="U163" s="144"/>
      <x:c r="V163" s="123"/>
      <x:c r="W163" s="123"/>
      <x:c r="X163" s="126" t="b">
        <x:v>0</x:v>
      </x:c>
    </x:row>
    <x:row r="164" ht="18" customHeight="1">
      <x:c r="A164" s="111"/>
      <x:c r="B164" s="111"/>
      <x:c r="C164" s="111"/>
      <x:c r="D164" s="111"/>
      <x:c r="E164" s="129"/>
      <x:c r="F164" s="138"/>
      <x:c r="G164" s="133" t="str">
        <x:f>IF(OR(A164="",E164="",F164=""),"",E164+F164-IF('ตั้งค่า'!$B$12="นับรวมวันเซ็น",1,0))</x:f>
      </x:c>
      <x:c r="H164" s="134"/>
      <x:c r="I164" s="117" t="str">
        <x:v>ยังไม่ส่ง</x:v>
      </x:c>
      <x:c r="J164" s="141" t="str">
        <x:f>IF(A164="","",IF(G164="","",IF(I164="ส่งแล้ว",0,G164-TODAY())))</x:f>
      </x:c>
      <x:c r="K164" s="114" t="str">
        <x:f>IF(A164="","",IF(G164="","ยังไม่ระบุวัน",IF(I164="ส่งแล้ว",IF(H164="","ส่งแล้ว",IF(INT(H164)&lt;INT(G164),"ส่งก่อนกำหนด "&amp;(INT(G164)-INT(H164))&amp;" วัน",IF(INT(H164)=INT(G164),"ส่งตรงกำหนด","ส่งล่าช้า "&amp;(INT(H164)-INT(G164))&amp;" วัน"))),IFS(G164&lt;TODAY(),"เกินกำหนด "&amp;(TODAY()-G164)&amp;" วัน",G164=TODAY(),"ครบกำหนดวันนี้",G164-TODAY()&lt;=3,"เร่งดำเนินการ",G164-TODAY()&lt;=5,"ต้องติดตาม",G164-TODAY()&lt;=10,"ใกล้ครบกำหนด",TRUE,"อยู่ระหว่างดำเนินการ"))))</x:f>
      </x:c>
      <x:c r="L164" s="114" t="str">
        <x:f>IF(OR(A164="",P164=""),"",HYPERLINK(P164,"เปิดใน Google Calendar"))</x:f>
      </x:c>
      <x:c r="M164" s="111"/>
      <x:c r="N164" s="123"/>
      <x:c r="O164" s="123"/>
      <x:c r="P164" s="123"/>
      <x:c r="Q164" s="126" t="b">
        <x:v>0</x:v>
      </x:c>
      <x:c r="R164" s="126" t="b">
        <x:v>0</x:v>
      </x:c>
      <x:c r="S164" s="126" t="b">
        <x:v>0</x:v>
      </x:c>
      <x:c r="T164" s="126" t="b">
        <x:v>0</x:v>
      </x:c>
      <x:c r="U164" s="144"/>
      <x:c r="V164" s="123"/>
      <x:c r="W164" s="123"/>
      <x:c r="X164" s="126" t="b">
        <x:v>0</x:v>
      </x:c>
    </x:row>
    <x:row r="165" ht="18" customHeight="1">
      <x:c r="A165" s="111"/>
      <x:c r="B165" s="111"/>
      <x:c r="C165" s="111"/>
      <x:c r="D165" s="111"/>
      <x:c r="E165" s="129"/>
      <x:c r="F165" s="138"/>
      <x:c r="G165" s="133" t="str">
        <x:f>IF(OR(A165="",E165="",F165=""),"",E165+F165-IF('ตั้งค่า'!$B$12="นับรวมวันเซ็น",1,0))</x:f>
      </x:c>
      <x:c r="H165" s="134"/>
      <x:c r="I165" s="117" t="str">
        <x:v>ยังไม่ส่ง</x:v>
      </x:c>
      <x:c r="J165" s="141" t="str">
        <x:f>IF(A165="","",IF(G165="","",IF(I165="ส่งแล้ว",0,G165-TODAY())))</x:f>
      </x:c>
      <x:c r="K165" s="114" t="str">
        <x:f>IF(A165="","",IF(G165="","ยังไม่ระบุวัน",IF(I165="ส่งแล้ว",IF(H165="","ส่งแล้ว",IF(INT(H165)&lt;INT(G165),"ส่งก่อนกำหนด "&amp;(INT(G165)-INT(H165))&amp;" วัน",IF(INT(H165)=INT(G165),"ส่งตรงกำหนด","ส่งล่าช้า "&amp;(INT(H165)-INT(G165))&amp;" วัน"))),IFS(G165&lt;TODAY(),"เกินกำหนด "&amp;(TODAY()-G165)&amp;" วัน",G165=TODAY(),"ครบกำหนดวันนี้",G165-TODAY()&lt;=3,"เร่งดำเนินการ",G165-TODAY()&lt;=5,"ต้องติดตาม",G165-TODAY()&lt;=10,"ใกล้ครบกำหนด",TRUE,"อยู่ระหว่างดำเนินการ"))))</x:f>
      </x:c>
      <x:c r="L165" s="114" t="str">
        <x:f>IF(OR(A165="",P165=""),"",HYPERLINK(P165,"เปิดใน Google Calendar"))</x:f>
      </x:c>
      <x:c r="M165" s="111"/>
      <x:c r="N165" s="123"/>
      <x:c r="O165" s="123"/>
      <x:c r="P165" s="123"/>
      <x:c r="Q165" s="126" t="b">
        <x:v>0</x:v>
      </x:c>
      <x:c r="R165" s="126" t="b">
        <x:v>0</x:v>
      </x:c>
      <x:c r="S165" s="126" t="b">
        <x:v>0</x:v>
      </x:c>
      <x:c r="T165" s="126" t="b">
        <x:v>0</x:v>
      </x:c>
      <x:c r="U165" s="144"/>
      <x:c r="V165" s="123"/>
      <x:c r="W165" s="123"/>
      <x:c r="X165" s="126" t="b">
        <x:v>0</x:v>
      </x:c>
    </x:row>
    <x:row r="166" ht="18" customHeight="1">
      <x:c r="A166" s="111"/>
      <x:c r="B166" s="111"/>
      <x:c r="C166" s="111"/>
      <x:c r="D166" s="111"/>
      <x:c r="E166" s="129"/>
      <x:c r="F166" s="138"/>
      <x:c r="G166" s="133" t="str">
        <x:f>IF(OR(A166="",E166="",F166=""),"",E166+F166-IF('ตั้งค่า'!$B$12="นับรวมวันเซ็น",1,0))</x:f>
      </x:c>
      <x:c r="H166" s="134"/>
      <x:c r="I166" s="117" t="str">
        <x:v>ยังไม่ส่ง</x:v>
      </x:c>
      <x:c r="J166" s="141" t="str">
        <x:f>IF(A166="","",IF(G166="","",IF(I166="ส่งแล้ว",0,G166-TODAY())))</x:f>
      </x:c>
      <x:c r="K166" s="114" t="str">
        <x:f>IF(A166="","",IF(G166="","ยังไม่ระบุวัน",IF(I166="ส่งแล้ว",IF(H166="","ส่งแล้ว",IF(INT(H166)&lt;INT(G166),"ส่งก่อนกำหนด "&amp;(INT(G166)-INT(H166))&amp;" วัน",IF(INT(H166)=INT(G166),"ส่งตรงกำหนด","ส่งล่าช้า "&amp;(INT(H166)-INT(G166))&amp;" วัน"))),IFS(G166&lt;TODAY(),"เกินกำหนด "&amp;(TODAY()-G166)&amp;" วัน",G166=TODAY(),"ครบกำหนดวันนี้",G166-TODAY()&lt;=3,"เร่งดำเนินการ",G166-TODAY()&lt;=5,"ต้องติดตาม",G166-TODAY()&lt;=10,"ใกล้ครบกำหนด",TRUE,"อยู่ระหว่างดำเนินการ"))))</x:f>
      </x:c>
      <x:c r="L166" s="114" t="str">
        <x:f>IF(OR(A166="",P166=""),"",HYPERLINK(P166,"เปิดใน Google Calendar"))</x:f>
      </x:c>
      <x:c r="M166" s="111"/>
      <x:c r="N166" s="123"/>
      <x:c r="O166" s="123"/>
      <x:c r="P166" s="123"/>
      <x:c r="Q166" s="126" t="b">
        <x:v>0</x:v>
      </x:c>
      <x:c r="R166" s="126" t="b">
        <x:v>0</x:v>
      </x:c>
      <x:c r="S166" s="126" t="b">
        <x:v>0</x:v>
      </x:c>
      <x:c r="T166" s="126" t="b">
        <x:v>0</x:v>
      </x:c>
      <x:c r="U166" s="144"/>
      <x:c r="V166" s="123"/>
      <x:c r="W166" s="123"/>
      <x:c r="X166" s="126" t="b">
        <x:v>0</x:v>
      </x:c>
    </x:row>
    <x:row r="167" ht="18" customHeight="1">
      <x:c r="A167" s="111"/>
      <x:c r="B167" s="111"/>
      <x:c r="C167" s="111"/>
      <x:c r="D167" s="111"/>
      <x:c r="E167" s="129"/>
      <x:c r="F167" s="138"/>
      <x:c r="G167" s="133" t="str">
        <x:f>IF(OR(A167="",E167="",F167=""),"",E167+F167-IF('ตั้งค่า'!$B$12="นับรวมวันเซ็น",1,0))</x:f>
      </x:c>
      <x:c r="H167" s="134"/>
      <x:c r="I167" s="117" t="str">
        <x:v>ยังไม่ส่ง</x:v>
      </x:c>
      <x:c r="J167" s="141" t="str">
        <x:f>IF(A167="","",IF(G167="","",IF(I167="ส่งแล้ว",0,G167-TODAY())))</x:f>
      </x:c>
      <x:c r="K167" s="114" t="str">
        <x:f>IF(A167="","",IF(G167="","ยังไม่ระบุวัน",IF(I167="ส่งแล้ว",IF(H167="","ส่งแล้ว",IF(INT(H167)&lt;INT(G167),"ส่งก่อนกำหนด "&amp;(INT(G167)-INT(H167))&amp;" วัน",IF(INT(H167)=INT(G167),"ส่งตรงกำหนด","ส่งล่าช้า "&amp;(INT(H167)-INT(G167))&amp;" วัน"))),IFS(G167&lt;TODAY(),"เกินกำหนด "&amp;(TODAY()-G167)&amp;" วัน",G167=TODAY(),"ครบกำหนดวันนี้",G167-TODAY()&lt;=3,"เร่งดำเนินการ",G167-TODAY()&lt;=5,"ต้องติดตาม",G167-TODAY()&lt;=10,"ใกล้ครบกำหนด",TRUE,"อยู่ระหว่างดำเนินการ"))))</x:f>
      </x:c>
      <x:c r="L167" s="114" t="str">
        <x:f>IF(OR(A167="",P167=""),"",HYPERLINK(P167,"เปิดใน Google Calendar"))</x:f>
      </x:c>
      <x:c r="M167" s="111"/>
      <x:c r="N167" s="123"/>
      <x:c r="O167" s="123"/>
      <x:c r="P167" s="123"/>
      <x:c r="Q167" s="126" t="b">
        <x:v>0</x:v>
      </x:c>
      <x:c r="R167" s="126" t="b">
        <x:v>0</x:v>
      </x:c>
      <x:c r="S167" s="126" t="b">
        <x:v>0</x:v>
      </x:c>
      <x:c r="T167" s="126" t="b">
        <x:v>0</x:v>
      </x:c>
      <x:c r="U167" s="144"/>
      <x:c r="V167" s="123"/>
      <x:c r="W167" s="123"/>
      <x:c r="X167" s="126" t="b">
        <x:v>0</x:v>
      </x:c>
    </x:row>
    <x:row r="168" ht="18" customHeight="1">
      <x:c r="A168" s="111"/>
      <x:c r="B168" s="111"/>
      <x:c r="C168" s="111"/>
      <x:c r="D168" s="111"/>
      <x:c r="E168" s="129"/>
      <x:c r="F168" s="138"/>
      <x:c r="G168" s="133" t="str">
        <x:f>IF(OR(A168="",E168="",F168=""),"",E168+F168-IF('ตั้งค่า'!$B$12="นับรวมวันเซ็น",1,0))</x:f>
      </x:c>
      <x:c r="H168" s="134"/>
      <x:c r="I168" s="117" t="str">
        <x:v>ยังไม่ส่ง</x:v>
      </x:c>
      <x:c r="J168" s="141" t="str">
        <x:f>IF(A168="","",IF(G168="","",IF(I168="ส่งแล้ว",0,G168-TODAY())))</x:f>
      </x:c>
      <x:c r="K168" s="114" t="str">
        <x:f>IF(A168="","",IF(G168="","ยังไม่ระบุวัน",IF(I168="ส่งแล้ว",IF(H168="","ส่งแล้ว",IF(INT(H168)&lt;INT(G168),"ส่งก่อนกำหนด "&amp;(INT(G168)-INT(H168))&amp;" วัน",IF(INT(H168)=INT(G168),"ส่งตรงกำหนด","ส่งล่าช้า "&amp;(INT(H168)-INT(G168))&amp;" วัน"))),IFS(G168&lt;TODAY(),"เกินกำหนด "&amp;(TODAY()-G168)&amp;" วัน",G168=TODAY(),"ครบกำหนดวันนี้",G168-TODAY()&lt;=3,"เร่งดำเนินการ",G168-TODAY()&lt;=5,"ต้องติดตาม",G168-TODAY()&lt;=10,"ใกล้ครบกำหนด",TRUE,"อยู่ระหว่างดำเนินการ"))))</x:f>
      </x:c>
      <x:c r="L168" s="114" t="str">
        <x:f>IF(OR(A168="",P168=""),"",HYPERLINK(P168,"เปิดใน Google Calendar"))</x:f>
      </x:c>
      <x:c r="M168" s="111"/>
      <x:c r="N168" s="123"/>
      <x:c r="O168" s="123"/>
      <x:c r="P168" s="123"/>
      <x:c r="Q168" s="126" t="b">
        <x:v>0</x:v>
      </x:c>
      <x:c r="R168" s="126" t="b">
        <x:v>0</x:v>
      </x:c>
      <x:c r="S168" s="126" t="b">
        <x:v>0</x:v>
      </x:c>
      <x:c r="T168" s="126" t="b">
        <x:v>0</x:v>
      </x:c>
      <x:c r="U168" s="144"/>
      <x:c r="V168" s="123"/>
      <x:c r="W168" s="123"/>
      <x:c r="X168" s="126" t="b">
        <x:v>0</x:v>
      </x:c>
    </x:row>
    <x:row r="169" ht="18" customHeight="1">
      <x:c r="A169" s="111"/>
      <x:c r="B169" s="111"/>
      <x:c r="C169" s="111"/>
      <x:c r="D169" s="111"/>
      <x:c r="E169" s="129"/>
      <x:c r="F169" s="138"/>
      <x:c r="G169" s="133" t="str">
        <x:f>IF(OR(A169="",E169="",F169=""),"",E169+F169-IF('ตั้งค่า'!$B$12="นับรวมวันเซ็น",1,0))</x:f>
      </x:c>
      <x:c r="H169" s="134"/>
      <x:c r="I169" s="117" t="str">
        <x:v>ยังไม่ส่ง</x:v>
      </x:c>
      <x:c r="J169" s="141" t="str">
        <x:f>IF(A169="","",IF(G169="","",IF(I169="ส่งแล้ว",0,G169-TODAY())))</x:f>
      </x:c>
      <x:c r="K169" s="114" t="str">
        <x:f>IF(A169="","",IF(G169="","ยังไม่ระบุวัน",IF(I169="ส่งแล้ว",IF(H169="","ส่งแล้ว",IF(INT(H169)&lt;INT(G169),"ส่งก่อนกำหนด "&amp;(INT(G169)-INT(H169))&amp;" วัน",IF(INT(H169)=INT(G169),"ส่งตรงกำหนด","ส่งล่าช้า "&amp;(INT(H169)-INT(G169))&amp;" วัน"))),IFS(G169&lt;TODAY(),"เกินกำหนด "&amp;(TODAY()-G169)&amp;" วัน",G169=TODAY(),"ครบกำหนดวันนี้",G169-TODAY()&lt;=3,"เร่งดำเนินการ",G169-TODAY()&lt;=5,"ต้องติดตาม",G169-TODAY()&lt;=10,"ใกล้ครบกำหนด",TRUE,"อยู่ระหว่างดำเนินการ"))))</x:f>
      </x:c>
      <x:c r="L169" s="114" t="str">
        <x:f>IF(OR(A169="",P169=""),"",HYPERLINK(P169,"เปิดใน Google Calendar"))</x:f>
      </x:c>
      <x:c r="M169" s="111"/>
      <x:c r="N169" s="123"/>
      <x:c r="O169" s="123"/>
      <x:c r="P169" s="123"/>
      <x:c r="Q169" s="126" t="b">
        <x:v>0</x:v>
      </x:c>
      <x:c r="R169" s="126" t="b">
        <x:v>0</x:v>
      </x:c>
      <x:c r="S169" s="126" t="b">
        <x:v>0</x:v>
      </x:c>
      <x:c r="T169" s="126" t="b">
        <x:v>0</x:v>
      </x:c>
      <x:c r="U169" s="144"/>
      <x:c r="V169" s="123"/>
      <x:c r="W169" s="123"/>
      <x:c r="X169" s="126" t="b">
        <x:v>0</x:v>
      </x:c>
    </x:row>
    <x:row r="170" ht="18" customHeight="1">
      <x:c r="A170" s="111"/>
      <x:c r="B170" s="111"/>
      <x:c r="C170" s="111"/>
      <x:c r="D170" s="111"/>
      <x:c r="E170" s="129"/>
      <x:c r="F170" s="138"/>
      <x:c r="G170" s="133" t="str">
        <x:f>IF(OR(A170="",E170="",F170=""),"",E170+F170-IF('ตั้งค่า'!$B$12="นับรวมวันเซ็น",1,0))</x:f>
      </x:c>
      <x:c r="H170" s="134"/>
      <x:c r="I170" s="117" t="str">
        <x:v>ยังไม่ส่ง</x:v>
      </x:c>
      <x:c r="J170" s="141" t="str">
        <x:f>IF(A170="","",IF(G170="","",IF(I170="ส่งแล้ว",0,G170-TODAY())))</x:f>
      </x:c>
      <x:c r="K170" s="114" t="str">
        <x:f>IF(A170="","",IF(G170="","ยังไม่ระบุวัน",IF(I170="ส่งแล้ว",IF(H170="","ส่งแล้ว",IF(INT(H170)&lt;INT(G170),"ส่งก่อนกำหนด "&amp;(INT(G170)-INT(H170))&amp;" วัน",IF(INT(H170)=INT(G170),"ส่งตรงกำหนด","ส่งล่าช้า "&amp;(INT(H170)-INT(G170))&amp;" วัน"))),IFS(G170&lt;TODAY(),"เกินกำหนด "&amp;(TODAY()-G170)&amp;" วัน",G170=TODAY(),"ครบกำหนดวันนี้",G170-TODAY()&lt;=3,"เร่งดำเนินการ",G170-TODAY()&lt;=5,"ต้องติดตาม",G170-TODAY()&lt;=10,"ใกล้ครบกำหนด",TRUE,"อยู่ระหว่างดำเนินการ"))))</x:f>
      </x:c>
      <x:c r="L170" s="114" t="str">
        <x:f>IF(OR(A170="",P170=""),"",HYPERLINK(P170,"เปิดใน Google Calendar"))</x:f>
      </x:c>
      <x:c r="M170" s="111"/>
      <x:c r="N170" s="123"/>
      <x:c r="O170" s="123"/>
      <x:c r="P170" s="123"/>
      <x:c r="Q170" s="126" t="b">
        <x:v>0</x:v>
      </x:c>
      <x:c r="R170" s="126" t="b">
        <x:v>0</x:v>
      </x:c>
      <x:c r="S170" s="126" t="b">
        <x:v>0</x:v>
      </x:c>
      <x:c r="T170" s="126" t="b">
        <x:v>0</x:v>
      </x:c>
      <x:c r="U170" s="144"/>
      <x:c r="V170" s="123"/>
      <x:c r="W170" s="123"/>
      <x:c r="X170" s="126" t="b">
        <x:v>0</x:v>
      </x:c>
    </x:row>
    <x:row r="171" ht="18" customHeight="1">
      <x:c r="A171" s="111"/>
      <x:c r="B171" s="111"/>
      <x:c r="C171" s="111"/>
      <x:c r="D171" s="111"/>
      <x:c r="E171" s="129"/>
      <x:c r="F171" s="138"/>
      <x:c r="G171" s="133" t="str">
        <x:f>IF(OR(A171="",E171="",F171=""),"",E171+F171-IF('ตั้งค่า'!$B$12="นับรวมวันเซ็น",1,0))</x:f>
      </x:c>
      <x:c r="H171" s="134"/>
      <x:c r="I171" s="117" t="str">
        <x:v>ยังไม่ส่ง</x:v>
      </x:c>
      <x:c r="J171" s="141" t="str">
        <x:f>IF(A171="","",IF(G171="","",IF(I171="ส่งแล้ว",0,G171-TODAY())))</x:f>
      </x:c>
      <x:c r="K171" s="114" t="str">
        <x:f>IF(A171="","",IF(G171="","ยังไม่ระบุวัน",IF(I171="ส่งแล้ว",IF(H171="","ส่งแล้ว",IF(INT(H171)&lt;INT(G171),"ส่งก่อนกำหนด "&amp;(INT(G171)-INT(H171))&amp;" วัน",IF(INT(H171)=INT(G171),"ส่งตรงกำหนด","ส่งล่าช้า "&amp;(INT(H171)-INT(G171))&amp;" วัน"))),IFS(G171&lt;TODAY(),"เกินกำหนด "&amp;(TODAY()-G171)&amp;" วัน",G171=TODAY(),"ครบกำหนดวันนี้",G171-TODAY()&lt;=3,"เร่งดำเนินการ",G171-TODAY()&lt;=5,"ต้องติดตาม",G171-TODAY()&lt;=10,"ใกล้ครบกำหนด",TRUE,"อยู่ระหว่างดำเนินการ"))))</x:f>
      </x:c>
      <x:c r="L171" s="114" t="str">
        <x:f>IF(OR(A171="",P171=""),"",HYPERLINK(P171,"เปิดใน Google Calendar"))</x:f>
      </x:c>
      <x:c r="M171" s="111"/>
      <x:c r="N171" s="123"/>
      <x:c r="O171" s="123"/>
      <x:c r="P171" s="123"/>
      <x:c r="Q171" s="126" t="b">
        <x:v>0</x:v>
      </x:c>
      <x:c r="R171" s="126" t="b">
        <x:v>0</x:v>
      </x:c>
      <x:c r="S171" s="126" t="b">
        <x:v>0</x:v>
      </x:c>
      <x:c r="T171" s="126" t="b">
        <x:v>0</x:v>
      </x:c>
      <x:c r="U171" s="144"/>
      <x:c r="V171" s="123"/>
      <x:c r="W171" s="123"/>
      <x:c r="X171" s="126" t="b">
        <x:v>0</x:v>
      </x:c>
    </x:row>
    <x:row r="172" ht="18" customHeight="1">
      <x:c r="A172" s="111"/>
      <x:c r="B172" s="111"/>
      <x:c r="C172" s="111"/>
      <x:c r="D172" s="111"/>
      <x:c r="E172" s="129"/>
      <x:c r="F172" s="138"/>
      <x:c r="G172" s="133" t="str">
        <x:f>IF(OR(A172="",E172="",F172=""),"",E172+F172-IF('ตั้งค่า'!$B$12="นับรวมวันเซ็น",1,0))</x:f>
      </x:c>
      <x:c r="H172" s="134"/>
      <x:c r="I172" s="117" t="str">
        <x:v>ยังไม่ส่ง</x:v>
      </x:c>
      <x:c r="J172" s="141" t="str">
        <x:f>IF(A172="","",IF(G172="","",IF(I172="ส่งแล้ว",0,G172-TODAY())))</x:f>
      </x:c>
      <x:c r="K172" s="114" t="str">
        <x:f>IF(A172="","",IF(G172="","ยังไม่ระบุวัน",IF(I172="ส่งแล้ว",IF(H172="","ส่งแล้ว",IF(INT(H172)&lt;INT(G172),"ส่งก่อนกำหนด "&amp;(INT(G172)-INT(H172))&amp;" วัน",IF(INT(H172)=INT(G172),"ส่งตรงกำหนด","ส่งล่าช้า "&amp;(INT(H172)-INT(G172))&amp;" วัน"))),IFS(G172&lt;TODAY(),"เกินกำหนด "&amp;(TODAY()-G172)&amp;" วัน",G172=TODAY(),"ครบกำหนดวันนี้",G172-TODAY()&lt;=3,"เร่งดำเนินการ",G172-TODAY()&lt;=5,"ต้องติดตาม",G172-TODAY()&lt;=10,"ใกล้ครบกำหนด",TRUE,"อยู่ระหว่างดำเนินการ"))))</x:f>
      </x:c>
      <x:c r="L172" s="114" t="str">
        <x:f>IF(OR(A172="",P172=""),"",HYPERLINK(P172,"เปิดใน Google Calendar"))</x:f>
      </x:c>
      <x:c r="M172" s="111"/>
      <x:c r="N172" s="123"/>
      <x:c r="O172" s="123"/>
      <x:c r="P172" s="123"/>
      <x:c r="Q172" s="126" t="b">
        <x:v>0</x:v>
      </x:c>
      <x:c r="R172" s="126" t="b">
        <x:v>0</x:v>
      </x:c>
      <x:c r="S172" s="126" t="b">
        <x:v>0</x:v>
      </x:c>
      <x:c r="T172" s="126" t="b">
        <x:v>0</x:v>
      </x:c>
      <x:c r="U172" s="144"/>
      <x:c r="V172" s="123"/>
      <x:c r="W172" s="123"/>
      <x:c r="X172" s="126" t="b">
        <x:v>0</x:v>
      </x:c>
    </x:row>
    <x:row r="173" ht="18" customHeight="1">
      <x:c r="A173" s="111"/>
      <x:c r="B173" s="111"/>
      <x:c r="C173" s="111"/>
      <x:c r="D173" s="111"/>
      <x:c r="E173" s="129"/>
      <x:c r="F173" s="138"/>
      <x:c r="G173" s="133" t="str">
        <x:f>IF(OR(A173="",E173="",F173=""),"",E173+F173-IF('ตั้งค่า'!$B$12="นับรวมวันเซ็น",1,0))</x:f>
      </x:c>
      <x:c r="H173" s="134"/>
      <x:c r="I173" s="117" t="str">
        <x:v>ยังไม่ส่ง</x:v>
      </x:c>
      <x:c r="J173" s="141" t="str">
        <x:f>IF(A173="","",IF(G173="","",IF(I173="ส่งแล้ว",0,G173-TODAY())))</x:f>
      </x:c>
      <x:c r="K173" s="114" t="str">
        <x:f>IF(A173="","",IF(G173="","ยังไม่ระบุวัน",IF(I173="ส่งแล้ว",IF(H173="","ส่งแล้ว",IF(INT(H173)&lt;INT(G173),"ส่งก่อนกำหนด "&amp;(INT(G173)-INT(H173))&amp;" วัน",IF(INT(H173)=INT(G173),"ส่งตรงกำหนด","ส่งล่าช้า "&amp;(INT(H173)-INT(G173))&amp;" วัน"))),IFS(G173&lt;TODAY(),"เกินกำหนด "&amp;(TODAY()-G173)&amp;" วัน",G173=TODAY(),"ครบกำหนดวันนี้",G173-TODAY()&lt;=3,"เร่งดำเนินการ",G173-TODAY()&lt;=5,"ต้องติดตาม",G173-TODAY()&lt;=10,"ใกล้ครบกำหนด",TRUE,"อยู่ระหว่างดำเนินการ"))))</x:f>
      </x:c>
      <x:c r="L173" s="114" t="str">
        <x:f>IF(OR(A173="",P173=""),"",HYPERLINK(P173,"เปิดใน Google Calendar"))</x:f>
      </x:c>
      <x:c r="M173" s="111"/>
      <x:c r="N173" s="123"/>
      <x:c r="O173" s="123"/>
      <x:c r="P173" s="123"/>
      <x:c r="Q173" s="126" t="b">
        <x:v>0</x:v>
      </x:c>
      <x:c r="R173" s="126" t="b">
        <x:v>0</x:v>
      </x:c>
      <x:c r="S173" s="126" t="b">
        <x:v>0</x:v>
      </x:c>
      <x:c r="T173" s="126" t="b">
        <x:v>0</x:v>
      </x:c>
      <x:c r="U173" s="144"/>
      <x:c r="V173" s="123"/>
      <x:c r="W173" s="123"/>
      <x:c r="X173" s="126" t="b">
        <x:v>0</x:v>
      </x:c>
    </x:row>
    <x:row r="174" ht="18" customHeight="1">
      <x:c r="A174" s="111"/>
      <x:c r="B174" s="111"/>
      <x:c r="C174" s="111"/>
      <x:c r="D174" s="111"/>
      <x:c r="E174" s="129"/>
      <x:c r="F174" s="138"/>
      <x:c r="G174" s="133" t="str">
        <x:f>IF(OR(A174="",E174="",F174=""),"",E174+F174-IF('ตั้งค่า'!$B$12="นับรวมวันเซ็น",1,0))</x:f>
      </x:c>
      <x:c r="H174" s="134"/>
      <x:c r="I174" s="117" t="str">
        <x:v>ยังไม่ส่ง</x:v>
      </x:c>
      <x:c r="J174" s="141" t="str">
        <x:f>IF(A174="","",IF(G174="","",IF(I174="ส่งแล้ว",0,G174-TODAY())))</x:f>
      </x:c>
      <x:c r="K174" s="114" t="str">
        <x:f>IF(A174="","",IF(G174="","ยังไม่ระบุวัน",IF(I174="ส่งแล้ว",IF(H174="","ส่งแล้ว",IF(INT(H174)&lt;INT(G174),"ส่งก่อนกำหนด "&amp;(INT(G174)-INT(H174))&amp;" วัน",IF(INT(H174)=INT(G174),"ส่งตรงกำหนด","ส่งล่าช้า "&amp;(INT(H174)-INT(G174))&amp;" วัน"))),IFS(G174&lt;TODAY(),"เกินกำหนด "&amp;(TODAY()-G174)&amp;" วัน",G174=TODAY(),"ครบกำหนดวันนี้",G174-TODAY()&lt;=3,"เร่งดำเนินการ",G174-TODAY()&lt;=5,"ต้องติดตาม",G174-TODAY()&lt;=10,"ใกล้ครบกำหนด",TRUE,"อยู่ระหว่างดำเนินการ"))))</x:f>
      </x:c>
      <x:c r="L174" s="114" t="str">
        <x:f>IF(OR(A174="",P174=""),"",HYPERLINK(P174,"เปิดใน Google Calendar"))</x:f>
      </x:c>
      <x:c r="M174" s="111"/>
      <x:c r="N174" s="123"/>
      <x:c r="O174" s="123"/>
      <x:c r="P174" s="123"/>
      <x:c r="Q174" s="126" t="b">
        <x:v>0</x:v>
      </x:c>
      <x:c r="R174" s="126" t="b">
        <x:v>0</x:v>
      </x:c>
      <x:c r="S174" s="126" t="b">
        <x:v>0</x:v>
      </x:c>
      <x:c r="T174" s="126" t="b">
        <x:v>0</x:v>
      </x:c>
      <x:c r="U174" s="144"/>
      <x:c r="V174" s="123"/>
      <x:c r="W174" s="123"/>
      <x:c r="X174" s="126" t="b">
        <x:v>0</x:v>
      </x:c>
    </x:row>
    <x:row r="175" ht="18" customHeight="1">
      <x:c r="A175" s="111"/>
      <x:c r="B175" s="111"/>
      <x:c r="C175" s="111"/>
      <x:c r="D175" s="111"/>
      <x:c r="E175" s="129"/>
      <x:c r="F175" s="138"/>
      <x:c r="G175" s="133" t="str">
        <x:f>IF(OR(A175="",E175="",F175=""),"",E175+F175-IF('ตั้งค่า'!$B$12="นับรวมวันเซ็น",1,0))</x:f>
      </x:c>
      <x:c r="H175" s="134"/>
      <x:c r="I175" s="117" t="str">
        <x:v>ยังไม่ส่ง</x:v>
      </x:c>
      <x:c r="J175" s="141" t="str">
        <x:f>IF(A175="","",IF(G175="","",IF(I175="ส่งแล้ว",0,G175-TODAY())))</x:f>
      </x:c>
      <x:c r="K175" s="114" t="str">
        <x:f>IF(A175="","",IF(G175="","ยังไม่ระบุวัน",IF(I175="ส่งแล้ว",IF(H175="","ส่งแล้ว",IF(INT(H175)&lt;INT(G175),"ส่งก่อนกำหนด "&amp;(INT(G175)-INT(H175))&amp;" วัน",IF(INT(H175)=INT(G175),"ส่งตรงกำหนด","ส่งล่าช้า "&amp;(INT(H175)-INT(G175))&amp;" วัน"))),IFS(G175&lt;TODAY(),"เกินกำหนด "&amp;(TODAY()-G175)&amp;" วัน",G175=TODAY(),"ครบกำหนดวันนี้",G175-TODAY()&lt;=3,"เร่งดำเนินการ",G175-TODAY()&lt;=5,"ต้องติดตาม",G175-TODAY()&lt;=10,"ใกล้ครบกำหนด",TRUE,"อยู่ระหว่างดำเนินการ"))))</x:f>
      </x:c>
      <x:c r="L175" s="114" t="str">
        <x:f>IF(OR(A175="",P175=""),"",HYPERLINK(P175,"เปิดใน Google Calendar"))</x:f>
      </x:c>
      <x:c r="M175" s="111"/>
      <x:c r="N175" s="123"/>
      <x:c r="O175" s="123"/>
      <x:c r="P175" s="123"/>
      <x:c r="Q175" s="126" t="b">
        <x:v>0</x:v>
      </x:c>
      <x:c r="R175" s="126" t="b">
        <x:v>0</x:v>
      </x:c>
      <x:c r="S175" s="126" t="b">
        <x:v>0</x:v>
      </x:c>
      <x:c r="T175" s="126" t="b">
        <x:v>0</x:v>
      </x:c>
      <x:c r="U175" s="144"/>
      <x:c r="V175" s="123"/>
      <x:c r="W175" s="123"/>
      <x:c r="X175" s="126" t="b">
        <x:v>0</x:v>
      </x:c>
    </x:row>
    <x:row r="176" ht="18" customHeight="1">
      <x:c r="A176" s="111"/>
      <x:c r="B176" s="111"/>
      <x:c r="C176" s="111"/>
      <x:c r="D176" s="111"/>
      <x:c r="E176" s="129"/>
      <x:c r="F176" s="138"/>
      <x:c r="G176" s="133" t="str">
        <x:f>IF(OR(A176="",E176="",F176=""),"",E176+F176-IF('ตั้งค่า'!$B$12="นับรวมวันเซ็น",1,0))</x:f>
      </x:c>
      <x:c r="H176" s="134"/>
      <x:c r="I176" s="117" t="str">
        <x:v>ยังไม่ส่ง</x:v>
      </x:c>
      <x:c r="J176" s="141" t="str">
        <x:f>IF(A176="","",IF(G176="","",IF(I176="ส่งแล้ว",0,G176-TODAY())))</x:f>
      </x:c>
      <x:c r="K176" s="114" t="str">
        <x:f>IF(A176="","",IF(G176="","ยังไม่ระบุวัน",IF(I176="ส่งแล้ว",IF(H176="","ส่งแล้ว",IF(INT(H176)&lt;INT(G176),"ส่งก่อนกำหนด "&amp;(INT(G176)-INT(H176))&amp;" วัน",IF(INT(H176)=INT(G176),"ส่งตรงกำหนด","ส่งล่าช้า "&amp;(INT(H176)-INT(G176))&amp;" วัน"))),IFS(G176&lt;TODAY(),"เกินกำหนด "&amp;(TODAY()-G176)&amp;" วัน",G176=TODAY(),"ครบกำหนดวันนี้",G176-TODAY()&lt;=3,"เร่งดำเนินการ",G176-TODAY()&lt;=5,"ต้องติดตาม",G176-TODAY()&lt;=10,"ใกล้ครบกำหนด",TRUE,"อยู่ระหว่างดำเนินการ"))))</x:f>
      </x:c>
      <x:c r="L176" s="114" t="str">
        <x:f>IF(OR(A176="",P176=""),"",HYPERLINK(P176,"เปิดใน Google Calendar"))</x:f>
      </x:c>
      <x:c r="M176" s="111"/>
      <x:c r="N176" s="123"/>
      <x:c r="O176" s="123"/>
      <x:c r="P176" s="123"/>
      <x:c r="Q176" s="126" t="b">
        <x:v>0</x:v>
      </x:c>
      <x:c r="R176" s="126" t="b">
        <x:v>0</x:v>
      </x:c>
      <x:c r="S176" s="126" t="b">
        <x:v>0</x:v>
      </x:c>
      <x:c r="T176" s="126" t="b">
        <x:v>0</x:v>
      </x:c>
      <x:c r="U176" s="144"/>
      <x:c r="V176" s="123"/>
      <x:c r="W176" s="123"/>
      <x:c r="X176" s="126" t="b">
        <x:v>0</x:v>
      </x:c>
    </x:row>
    <x:row r="177" ht="18" customHeight="1">
      <x:c r="A177" s="111"/>
      <x:c r="B177" s="111"/>
      <x:c r="C177" s="111"/>
      <x:c r="D177" s="111"/>
      <x:c r="E177" s="129"/>
      <x:c r="F177" s="138"/>
      <x:c r="G177" s="133" t="str">
        <x:f>IF(OR(A177="",E177="",F177=""),"",E177+F177-IF('ตั้งค่า'!$B$12="นับรวมวันเซ็น",1,0))</x:f>
      </x:c>
      <x:c r="H177" s="134"/>
      <x:c r="I177" s="117" t="str">
        <x:v>ยังไม่ส่ง</x:v>
      </x:c>
      <x:c r="J177" s="141" t="str">
        <x:f>IF(A177="","",IF(G177="","",IF(I177="ส่งแล้ว",0,G177-TODAY())))</x:f>
      </x:c>
      <x:c r="K177" s="114" t="str">
        <x:f>IF(A177="","",IF(G177="","ยังไม่ระบุวัน",IF(I177="ส่งแล้ว",IF(H177="","ส่งแล้ว",IF(INT(H177)&lt;INT(G177),"ส่งก่อนกำหนด "&amp;(INT(G177)-INT(H177))&amp;" วัน",IF(INT(H177)=INT(G177),"ส่งตรงกำหนด","ส่งล่าช้า "&amp;(INT(H177)-INT(G177))&amp;" วัน"))),IFS(G177&lt;TODAY(),"เกินกำหนด "&amp;(TODAY()-G177)&amp;" วัน",G177=TODAY(),"ครบกำหนดวันนี้",G177-TODAY()&lt;=3,"เร่งดำเนินการ",G177-TODAY()&lt;=5,"ต้องติดตาม",G177-TODAY()&lt;=10,"ใกล้ครบกำหนด",TRUE,"อยู่ระหว่างดำเนินการ"))))</x:f>
      </x:c>
      <x:c r="L177" s="114" t="str">
        <x:f>IF(OR(A177="",P177=""),"",HYPERLINK(P177,"เปิดใน Google Calendar"))</x:f>
      </x:c>
      <x:c r="M177" s="111"/>
      <x:c r="N177" s="123"/>
      <x:c r="O177" s="123"/>
      <x:c r="P177" s="123"/>
      <x:c r="Q177" s="126" t="b">
        <x:v>0</x:v>
      </x:c>
      <x:c r="R177" s="126" t="b">
        <x:v>0</x:v>
      </x:c>
      <x:c r="S177" s="126" t="b">
        <x:v>0</x:v>
      </x:c>
      <x:c r="T177" s="126" t="b">
        <x:v>0</x:v>
      </x:c>
      <x:c r="U177" s="144"/>
      <x:c r="V177" s="123"/>
      <x:c r="W177" s="123"/>
      <x:c r="X177" s="126" t="b">
        <x:v>0</x:v>
      </x:c>
    </x:row>
    <x:row r="178" ht="18" customHeight="1">
      <x:c r="A178" s="111"/>
      <x:c r="B178" s="111"/>
      <x:c r="C178" s="111"/>
      <x:c r="D178" s="111"/>
      <x:c r="E178" s="129"/>
      <x:c r="F178" s="138"/>
      <x:c r="G178" s="133" t="str">
        <x:f>IF(OR(A178="",E178="",F178=""),"",E178+F178-IF('ตั้งค่า'!$B$12="นับรวมวันเซ็น",1,0))</x:f>
      </x:c>
      <x:c r="H178" s="134"/>
      <x:c r="I178" s="117" t="str">
        <x:v>ยังไม่ส่ง</x:v>
      </x:c>
      <x:c r="J178" s="141" t="str">
        <x:f>IF(A178="","",IF(G178="","",IF(I178="ส่งแล้ว",0,G178-TODAY())))</x:f>
      </x:c>
      <x:c r="K178" s="114" t="str">
        <x:f>IF(A178="","",IF(G178="","ยังไม่ระบุวัน",IF(I178="ส่งแล้ว",IF(H178="","ส่งแล้ว",IF(INT(H178)&lt;INT(G178),"ส่งก่อนกำหนด "&amp;(INT(G178)-INT(H178))&amp;" วัน",IF(INT(H178)=INT(G178),"ส่งตรงกำหนด","ส่งล่าช้า "&amp;(INT(H178)-INT(G178))&amp;" วัน"))),IFS(G178&lt;TODAY(),"เกินกำหนด "&amp;(TODAY()-G178)&amp;" วัน",G178=TODAY(),"ครบกำหนดวันนี้",G178-TODAY()&lt;=3,"เร่งดำเนินการ",G178-TODAY()&lt;=5,"ต้องติดตาม",G178-TODAY()&lt;=10,"ใกล้ครบกำหนด",TRUE,"อยู่ระหว่างดำเนินการ"))))</x:f>
      </x:c>
      <x:c r="L178" s="114" t="str">
        <x:f>IF(OR(A178="",P178=""),"",HYPERLINK(P178,"เปิดใน Google Calendar"))</x:f>
      </x:c>
      <x:c r="M178" s="111"/>
      <x:c r="N178" s="123"/>
      <x:c r="O178" s="123"/>
      <x:c r="P178" s="123"/>
      <x:c r="Q178" s="126" t="b">
        <x:v>0</x:v>
      </x:c>
      <x:c r="R178" s="126" t="b">
        <x:v>0</x:v>
      </x:c>
      <x:c r="S178" s="126" t="b">
        <x:v>0</x:v>
      </x:c>
      <x:c r="T178" s="126" t="b">
        <x:v>0</x:v>
      </x:c>
      <x:c r="U178" s="144"/>
      <x:c r="V178" s="123"/>
      <x:c r="W178" s="123"/>
      <x:c r="X178" s="126" t="b">
        <x:v>0</x:v>
      </x:c>
    </x:row>
    <x:row r="179" ht="18" customHeight="1">
      <x:c r="A179" s="111"/>
      <x:c r="B179" s="111"/>
      <x:c r="C179" s="111"/>
      <x:c r="D179" s="111"/>
      <x:c r="E179" s="129"/>
      <x:c r="F179" s="138"/>
      <x:c r="G179" s="133" t="str">
        <x:f>IF(OR(A179="",E179="",F179=""),"",E179+F179-IF('ตั้งค่า'!$B$12="นับรวมวันเซ็น",1,0))</x:f>
      </x:c>
      <x:c r="H179" s="134"/>
      <x:c r="I179" s="117" t="str">
        <x:v>ยังไม่ส่ง</x:v>
      </x:c>
      <x:c r="J179" s="141" t="str">
        <x:f>IF(A179="","",IF(G179="","",IF(I179="ส่งแล้ว",0,G179-TODAY())))</x:f>
      </x:c>
      <x:c r="K179" s="114" t="str">
        <x:f>IF(A179="","",IF(G179="","ยังไม่ระบุวัน",IF(I179="ส่งแล้ว",IF(H179="","ส่งแล้ว",IF(INT(H179)&lt;INT(G179),"ส่งก่อนกำหนด "&amp;(INT(G179)-INT(H179))&amp;" วัน",IF(INT(H179)=INT(G179),"ส่งตรงกำหนด","ส่งล่าช้า "&amp;(INT(H179)-INT(G179))&amp;" วัน"))),IFS(G179&lt;TODAY(),"เกินกำหนด "&amp;(TODAY()-G179)&amp;" วัน",G179=TODAY(),"ครบกำหนดวันนี้",G179-TODAY()&lt;=3,"เร่งดำเนินการ",G179-TODAY()&lt;=5,"ต้องติดตาม",G179-TODAY()&lt;=10,"ใกล้ครบกำหนด",TRUE,"อยู่ระหว่างดำเนินการ"))))</x:f>
      </x:c>
      <x:c r="L179" s="114" t="str">
        <x:f>IF(OR(A179="",P179=""),"",HYPERLINK(P179,"เปิดใน Google Calendar"))</x:f>
      </x:c>
      <x:c r="M179" s="111"/>
      <x:c r="N179" s="123"/>
      <x:c r="O179" s="123"/>
      <x:c r="P179" s="123"/>
      <x:c r="Q179" s="126" t="b">
        <x:v>0</x:v>
      </x:c>
      <x:c r="R179" s="126" t="b">
        <x:v>0</x:v>
      </x:c>
      <x:c r="S179" s="126" t="b">
        <x:v>0</x:v>
      </x:c>
      <x:c r="T179" s="126" t="b">
        <x:v>0</x:v>
      </x:c>
      <x:c r="U179" s="144"/>
      <x:c r="V179" s="123"/>
      <x:c r="W179" s="123"/>
      <x:c r="X179" s="126" t="b">
        <x:v>0</x:v>
      </x:c>
    </x:row>
    <x:row r="180" ht="18" customHeight="1">
      <x:c r="A180" s="111"/>
      <x:c r="B180" s="111"/>
      <x:c r="C180" s="111"/>
      <x:c r="D180" s="111"/>
      <x:c r="E180" s="129"/>
      <x:c r="F180" s="138"/>
      <x:c r="G180" s="133" t="str">
        <x:f>IF(OR(A180="",E180="",F180=""),"",E180+F180-IF('ตั้งค่า'!$B$12="นับรวมวันเซ็น",1,0))</x:f>
      </x:c>
      <x:c r="H180" s="134"/>
      <x:c r="I180" s="117" t="str">
        <x:v>ยังไม่ส่ง</x:v>
      </x:c>
      <x:c r="J180" s="141" t="str">
        <x:f>IF(A180="","",IF(G180="","",IF(I180="ส่งแล้ว",0,G180-TODAY())))</x:f>
      </x:c>
      <x:c r="K180" s="114" t="str">
        <x:f>IF(A180="","",IF(G180="","ยังไม่ระบุวัน",IF(I180="ส่งแล้ว",IF(H180="","ส่งแล้ว",IF(INT(H180)&lt;INT(G180),"ส่งก่อนกำหนด "&amp;(INT(G180)-INT(H180))&amp;" วัน",IF(INT(H180)=INT(G180),"ส่งตรงกำหนด","ส่งล่าช้า "&amp;(INT(H180)-INT(G180))&amp;" วัน"))),IFS(G180&lt;TODAY(),"เกินกำหนด "&amp;(TODAY()-G180)&amp;" วัน",G180=TODAY(),"ครบกำหนดวันนี้",G180-TODAY()&lt;=3,"เร่งดำเนินการ",G180-TODAY()&lt;=5,"ต้องติดตาม",G180-TODAY()&lt;=10,"ใกล้ครบกำหนด",TRUE,"อยู่ระหว่างดำเนินการ"))))</x:f>
      </x:c>
      <x:c r="L180" s="114" t="str">
        <x:f>IF(OR(A180="",P180=""),"",HYPERLINK(P180,"เปิดใน Google Calendar"))</x:f>
      </x:c>
      <x:c r="M180" s="111"/>
      <x:c r="N180" s="123"/>
      <x:c r="O180" s="123"/>
      <x:c r="P180" s="123"/>
      <x:c r="Q180" s="126" t="b">
        <x:v>0</x:v>
      </x:c>
      <x:c r="R180" s="126" t="b">
        <x:v>0</x:v>
      </x:c>
      <x:c r="S180" s="126" t="b">
        <x:v>0</x:v>
      </x:c>
      <x:c r="T180" s="126" t="b">
        <x:v>0</x:v>
      </x:c>
      <x:c r="U180" s="144"/>
      <x:c r="V180" s="123"/>
      <x:c r="W180" s="123"/>
      <x:c r="X180" s="126" t="b">
        <x:v>0</x:v>
      </x:c>
    </x:row>
    <x:row r="181" ht="18" customHeight="1">
      <x:c r="A181" s="111"/>
      <x:c r="B181" s="111"/>
      <x:c r="C181" s="111"/>
      <x:c r="D181" s="111"/>
      <x:c r="E181" s="129"/>
      <x:c r="F181" s="138"/>
      <x:c r="G181" s="133" t="str">
        <x:f>IF(OR(A181="",E181="",F181=""),"",E181+F181-IF('ตั้งค่า'!$B$12="นับรวมวันเซ็น",1,0))</x:f>
      </x:c>
      <x:c r="H181" s="134"/>
      <x:c r="I181" s="117" t="str">
        <x:v>ยังไม่ส่ง</x:v>
      </x:c>
      <x:c r="J181" s="141" t="str">
        <x:f>IF(A181="","",IF(G181="","",IF(I181="ส่งแล้ว",0,G181-TODAY())))</x:f>
      </x:c>
      <x:c r="K181" s="114" t="str">
        <x:f>IF(A181="","",IF(G181="","ยังไม่ระบุวัน",IF(I181="ส่งแล้ว",IF(H181="","ส่งแล้ว",IF(INT(H181)&lt;INT(G181),"ส่งก่อนกำหนด "&amp;(INT(G181)-INT(H181))&amp;" วัน",IF(INT(H181)=INT(G181),"ส่งตรงกำหนด","ส่งล่าช้า "&amp;(INT(H181)-INT(G181))&amp;" วัน"))),IFS(G181&lt;TODAY(),"เกินกำหนด "&amp;(TODAY()-G181)&amp;" วัน",G181=TODAY(),"ครบกำหนดวันนี้",G181-TODAY()&lt;=3,"เร่งดำเนินการ",G181-TODAY()&lt;=5,"ต้องติดตาม",G181-TODAY()&lt;=10,"ใกล้ครบกำหนด",TRUE,"อยู่ระหว่างดำเนินการ"))))</x:f>
      </x:c>
      <x:c r="L181" s="114" t="str">
        <x:f>IF(OR(A181="",P181=""),"",HYPERLINK(P181,"เปิดใน Google Calendar"))</x:f>
      </x:c>
      <x:c r="M181" s="111"/>
      <x:c r="N181" s="123"/>
      <x:c r="O181" s="123"/>
      <x:c r="P181" s="123"/>
      <x:c r="Q181" s="126" t="b">
        <x:v>0</x:v>
      </x:c>
      <x:c r="R181" s="126" t="b">
        <x:v>0</x:v>
      </x:c>
      <x:c r="S181" s="126" t="b">
        <x:v>0</x:v>
      </x:c>
      <x:c r="T181" s="126" t="b">
        <x:v>0</x:v>
      </x:c>
      <x:c r="U181" s="144"/>
      <x:c r="V181" s="123"/>
      <x:c r="W181" s="123"/>
      <x:c r="X181" s="126" t="b">
        <x:v>0</x:v>
      </x:c>
    </x:row>
    <x:row r="182" ht="18" customHeight="1">
      <x:c r="A182" s="111"/>
      <x:c r="B182" s="111"/>
      <x:c r="C182" s="111"/>
      <x:c r="D182" s="111"/>
      <x:c r="E182" s="129"/>
      <x:c r="F182" s="138"/>
      <x:c r="G182" s="133" t="str">
        <x:f>IF(OR(A182="",E182="",F182=""),"",E182+F182-IF('ตั้งค่า'!$B$12="นับรวมวันเซ็น",1,0))</x:f>
      </x:c>
      <x:c r="H182" s="134"/>
      <x:c r="I182" s="117" t="str">
        <x:v>ยังไม่ส่ง</x:v>
      </x:c>
      <x:c r="J182" s="141" t="str">
        <x:f>IF(A182="","",IF(G182="","",IF(I182="ส่งแล้ว",0,G182-TODAY())))</x:f>
      </x:c>
      <x:c r="K182" s="114" t="str">
        <x:f>IF(A182="","",IF(G182="","ยังไม่ระบุวัน",IF(I182="ส่งแล้ว",IF(H182="","ส่งแล้ว",IF(INT(H182)&lt;INT(G182),"ส่งก่อนกำหนด "&amp;(INT(G182)-INT(H182))&amp;" วัน",IF(INT(H182)=INT(G182),"ส่งตรงกำหนด","ส่งล่าช้า "&amp;(INT(H182)-INT(G182))&amp;" วัน"))),IFS(G182&lt;TODAY(),"เกินกำหนด "&amp;(TODAY()-G182)&amp;" วัน",G182=TODAY(),"ครบกำหนดวันนี้",G182-TODAY()&lt;=3,"เร่งดำเนินการ",G182-TODAY()&lt;=5,"ต้องติดตาม",G182-TODAY()&lt;=10,"ใกล้ครบกำหนด",TRUE,"อยู่ระหว่างดำเนินการ"))))</x:f>
      </x:c>
      <x:c r="L182" s="114" t="str">
        <x:f>IF(OR(A182="",P182=""),"",HYPERLINK(P182,"เปิดใน Google Calendar"))</x:f>
      </x:c>
      <x:c r="M182" s="111"/>
      <x:c r="N182" s="123"/>
      <x:c r="O182" s="123"/>
      <x:c r="P182" s="123"/>
      <x:c r="Q182" s="126" t="b">
        <x:v>0</x:v>
      </x:c>
      <x:c r="R182" s="126" t="b">
        <x:v>0</x:v>
      </x:c>
      <x:c r="S182" s="126" t="b">
        <x:v>0</x:v>
      </x:c>
      <x:c r="T182" s="126" t="b">
        <x:v>0</x:v>
      </x:c>
      <x:c r="U182" s="144"/>
      <x:c r="V182" s="123"/>
      <x:c r="W182" s="123"/>
      <x:c r="X182" s="126" t="b">
        <x:v>0</x:v>
      </x:c>
    </x:row>
    <x:row r="183" ht="18" customHeight="1">
      <x:c r="A183" s="111"/>
      <x:c r="B183" s="111"/>
      <x:c r="C183" s="111"/>
      <x:c r="D183" s="111"/>
      <x:c r="E183" s="129"/>
      <x:c r="F183" s="138"/>
      <x:c r="G183" s="133" t="str">
        <x:f>IF(OR(A183="",E183="",F183=""),"",E183+F183-IF('ตั้งค่า'!$B$12="นับรวมวันเซ็น",1,0))</x:f>
      </x:c>
      <x:c r="H183" s="134"/>
      <x:c r="I183" s="117" t="str">
        <x:v>ยังไม่ส่ง</x:v>
      </x:c>
      <x:c r="J183" s="141" t="str">
        <x:f>IF(A183="","",IF(G183="","",IF(I183="ส่งแล้ว",0,G183-TODAY())))</x:f>
      </x:c>
      <x:c r="K183" s="114" t="str">
        <x:f>IF(A183="","",IF(G183="","ยังไม่ระบุวัน",IF(I183="ส่งแล้ว",IF(H183="","ส่งแล้ว",IF(INT(H183)&lt;INT(G183),"ส่งก่อนกำหนด "&amp;(INT(G183)-INT(H183))&amp;" วัน",IF(INT(H183)=INT(G183),"ส่งตรงกำหนด","ส่งล่าช้า "&amp;(INT(H183)-INT(G183))&amp;" วัน"))),IFS(G183&lt;TODAY(),"เกินกำหนด "&amp;(TODAY()-G183)&amp;" วัน",G183=TODAY(),"ครบกำหนดวันนี้",G183-TODAY()&lt;=3,"เร่งดำเนินการ",G183-TODAY()&lt;=5,"ต้องติดตาม",G183-TODAY()&lt;=10,"ใกล้ครบกำหนด",TRUE,"อยู่ระหว่างดำเนินการ"))))</x:f>
      </x:c>
      <x:c r="L183" s="114" t="str">
        <x:f>IF(OR(A183="",P183=""),"",HYPERLINK(P183,"เปิดใน Google Calendar"))</x:f>
      </x:c>
      <x:c r="M183" s="111"/>
      <x:c r="N183" s="123"/>
      <x:c r="O183" s="123"/>
      <x:c r="P183" s="123"/>
      <x:c r="Q183" s="126" t="b">
        <x:v>0</x:v>
      </x:c>
      <x:c r="R183" s="126" t="b">
        <x:v>0</x:v>
      </x:c>
      <x:c r="S183" s="126" t="b">
        <x:v>0</x:v>
      </x:c>
      <x:c r="T183" s="126" t="b">
        <x:v>0</x:v>
      </x:c>
      <x:c r="U183" s="144"/>
      <x:c r="V183" s="123"/>
      <x:c r="W183" s="123"/>
      <x:c r="X183" s="126" t="b">
        <x:v>0</x:v>
      </x:c>
    </x:row>
    <x:row r="184" ht="18" customHeight="1">
      <x:c r="A184" s="111"/>
      <x:c r="B184" s="111"/>
      <x:c r="C184" s="111"/>
      <x:c r="D184" s="111"/>
      <x:c r="E184" s="129"/>
      <x:c r="F184" s="138"/>
      <x:c r="G184" s="133" t="str">
        <x:f>IF(OR(A184="",E184="",F184=""),"",E184+F184-IF('ตั้งค่า'!$B$12="นับรวมวันเซ็น",1,0))</x:f>
      </x:c>
      <x:c r="H184" s="134"/>
      <x:c r="I184" s="117" t="str">
        <x:v>ยังไม่ส่ง</x:v>
      </x:c>
      <x:c r="J184" s="141" t="str">
        <x:f>IF(A184="","",IF(G184="","",IF(I184="ส่งแล้ว",0,G184-TODAY())))</x:f>
      </x:c>
      <x:c r="K184" s="114" t="str">
        <x:f>IF(A184="","",IF(G184="","ยังไม่ระบุวัน",IF(I184="ส่งแล้ว",IF(H184="","ส่งแล้ว",IF(INT(H184)&lt;INT(G184),"ส่งก่อนกำหนด "&amp;(INT(G184)-INT(H184))&amp;" วัน",IF(INT(H184)=INT(G184),"ส่งตรงกำหนด","ส่งล่าช้า "&amp;(INT(H184)-INT(G184))&amp;" วัน"))),IFS(G184&lt;TODAY(),"เกินกำหนด "&amp;(TODAY()-G184)&amp;" วัน",G184=TODAY(),"ครบกำหนดวันนี้",G184-TODAY()&lt;=3,"เร่งดำเนินการ",G184-TODAY()&lt;=5,"ต้องติดตาม",G184-TODAY()&lt;=10,"ใกล้ครบกำหนด",TRUE,"อยู่ระหว่างดำเนินการ"))))</x:f>
      </x:c>
      <x:c r="L184" s="114" t="str">
        <x:f>IF(OR(A184="",P184=""),"",HYPERLINK(P184,"เปิดใน Google Calendar"))</x:f>
      </x:c>
      <x:c r="M184" s="111"/>
      <x:c r="N184" s="123"/>
      <x:c r="O184" s="123"/>
      <x:c r="P184" s="123"/>
      <x:c r="Q184" s="126" t="b">
        <x:v>0</x:v>
      </x:c>
      <x:c r="R184" s="126" t="b">
        <x:v>0</x:v>
      </x:c>
      <x:c r="S184" s="126" t="b">
        <x:v>0</x:v>
      </x:c>
      <x:c r="T184" s="126" t="b">
        <x:v>0</x:v>
      </x:c>
      <x:c r="U184" s="144"/>
      <x:c r="V184" s="123"/>
      <x:c r="W184" s="123"/>
      <x:c r="X184" s="126" t="b">
        <x:v>0</x:v>
      </x:c>
    </x:row>
    <x:row r="185" ht="18" customHeight="1">
      <x:c r="A185" s="111"/>
      <x:c r="B185" s="111"/>
      <x:c r="C185" s="111"/>
      <x:c r="D185" s="111"/>
      <x:c r="E185" s="129"/>
      <x:c r="F185" s="138"/>
      <x:c r="G185" s="133" t="str">
        <x:f>IF(OR(A185="",E185="",F185=""),"",E185+F185-IF('ตั้งค่า'!$B$12="นับรวมวันเซ็น",1,0))</x:f>
      </x:c>
      <x:c r="H185" s="134"/>
      <x:c r="I185" s="117" t="str">
        <x:v>ยังไม่ส่ง</x:v>
      </x:c>
      <x:c r="J185" s="141" t="str">
        <x:f>IF(A185="","",IF(G185="","",IF(I185="ส่งแล้ว",0,G185-TODAY())))</x:f>
      </x:c>
      <x:c r="K185" s="114" t="str">
        <x:f>IF(A185="","",IF(G185="","ยังไม่ระบุวัน",IF(I185="ส่งแล้ว",IF(H185="","ส่งแล้ว",IF(INT(H185)&lt;INT(G185),"ส่งก่อนกำหนด "&amp;(INT(G185)-INT(H185))&amp;" วัน",IF(INT(H185)=INT(G185),"ส่งตรงกำหนด","ส่งล่าช้า "&amp;(INT(H185)-INT(G185))&amp;" วัน"))),IFS(G185&lt;TODAY(),"เกินกำหนด "&amp;(TODAY()-G185)&amp;" วัน",G185=TODAY(),"ครบกำหนดวันนี้",G185-TODAY()&lt;=3,"เร่งดำเนินการ",G185-TODAY()&lt;=5,"ต้องติดตาม",G185-TODAY()&lt;=10,"ใกล้ครบกำหนด",TRUE,"อยู่ระหว่างดำเนินการ"))))</x:f>
      </x:c>
      <x:c r="L185" s="114" t="str">
        <x:f>IF(OR(A185="",P185=""),"",HYPERLINK(P185,"เปิดใน Google Calendar"))</x:f>
      </x:c>
      <x:c r="M185" s="111"/>
      <x:c r="N185" s="123"/>
      <x:c r="O185" s="123"/>
      <x:c r="P185" s="123"/>
      <x:c r="Q185" s="126" t="b">
        <x:v>0</x:v>
      </x:c>
      <x:c r="R185" s="126" t="b">
        <x:v>0</x:v>
      </x:c>
      <x:c r="S185" s="126" t="b">
        <x:v>0</x:v>
      </x:c>
      <x:c r="T185" s="126" t="b">
        <x:v>0</x:v>
      </x:c>
      <x:c r="U185" s="144"/>
      <x:c r="V185" s="123"/>
      <x:c r="W185" s="123"/>
      <x:c r="X185" s="126" t="b">
        <x:v>0</x:v>
      </x:c>
    </x:row>
    <x:row r="186" ht="18" customHeight="1">
      <x:c r="A186" s="111"/>
      <x:c r="B186" s="111"/>
      <x:c r="C186" s="111"/>
      <x:c r="D186" s="111"/>
      <x:c r="E186" s="129"/>
      <x:c r="F186" s="138"/>
      <x:c r="G186" s="133" t="str">
        <x:f>IF(OR(A186="",E186="",F186=""),"",E186+F186-IF('ตั้งค่า'!$B$12="นับรวมวันเซ็น",1,0))</x:f>
      </x:c>
      <x:c r="H186" s="134"/>
      <x:c r="I186" s="117" t="str">
        <x:v>ยังไม่ส่ง</x:v>
      </x:c>
      <x:c r="J186" s="141" t="str">
        <x:f>IF(A186="","",IF(G186="","",IF(I186="ส่งแล้ว",0,G186-TODAY())))</x:f>
      </x:c>
      <x:c r="K186" s="114" t="str">
        <x:f>IF(A186="","",IF(G186="","ยังไม่ระบุวัน",IF(I186="ส่งแล้ว",IF(H186="","ส่งแล้ว",IF(INT(H186)&lt;INT(G186),"ส่งก่อนกำหนด "&amp;(INT(G186)-INT(H186))&amp;" วัน",IF(INT(H186)=INT(G186),"ส่งตรงกำหนด","ส่งล่าช้า "&amp;(INT(H186)-INT(G186))&amp;" วัน"))),IFS(G186&lt;TODAY(),"เกินกำหนด "&amp;(TODAY()-G186)&amp;" วัน",G186=TODAY(),"ครบกำหนดวันนี้",G186-TODAY()&lt;=3,"เร่งดำเนินการ",G186-TODAY()&lt;=5,"ต้องติดตาม",G186-TODAY()&lt;=10,"ใกล้ครบกำหนด",TRUE,"อยู่ระหว่างดำเนินการ"))))</x:f>
      </x:c>
      <x:c r="L186" s="114" t="str">
        <x:f>IF(OR(A186="",P186=""),"",HYPERLINK(P186,"เปิดใน Google Calendar"))</x:f>
      </x:c>
      <x:c r="M186" s="111"/>
      <x:c r="N186" s="123"/>
      <x:c r="O186" s="123"/>
      <x:c r="P186" s="123"/>
      <x:c r="Q186" s="126" t="b">
        <x:v>0</x:v>
      </x:c>
      <x:c r="R186" s="126" t="b">
        <x:v>0</x:v>
      </x:c>
      <x:c r="S186" s="126" t="b">
        <x:v>0</x:v>
      </x:c>
      <x:c r="T186" s="126" t="b">
        <x:v>0</x:v>
      </x:c>
      <x:c r="U186" s="144"/>
      <x:c r="V186" s="123"/>
      <x:c r="W186" s="123"/>
      <x:c r="X186" s="126" t="b">
        <x:v>0</x:v>
      </x:c>
    </x:row>
    <x:row r="187" ht="18" customHeight="1">
      <x:c r="A187" s="111"/>
      <x:c r="B187" s="111"/>
      <x:c r="C187" s="111"/>
      <x:c r="D187" s="111"/>
      <x:c r="E187" s="129"/>
      <x:c r="F187" s="138"/>
      <x:c r="G187" s="133" t="str">
        <x:f>IF(OR(A187="",E187="",F187=""),"",E187+F187-IF('ตั้งค่า'!$B$12="นับรวมวันเซ็น",1,0))</x:f>
      </x:c>
      <x:c r="H187" s="134"/>
      <x:c r="I187" s="117" t="str">
        <x:v>ยังไม่ส่ง</x:v>
      </x:c>
      <x:c r="J187" s="141" t="str">
        <x:f>IF(A187="","",IF(G187="","",IF(I187="ส่งแล้ว",0,G187-TODAY())))</x:f>
      </x:c>
      <x:c r="K187" s="114" t="str">
        <x:f>IF(A187="","",IF(G187="","ยังไม่ระบุวัน",IF(I187="ส่งแล้ว",IF(H187="","ส่งแล้ว",IF(INT(H187)&lt;INT(G187),"ส่งก่อนกำหนด "&amp;(INT(G187)-INT(H187))&amp;" วัน",IF(INT(H187)=INT(G187),"ส่งตรงกำหนด","ส่งล่าช้า "&amp;(INT(H187)-INT(G187))&amp;" วัน"))),IFS(G187&lt;TODAY(),"เกินกำหนด "&amp;(TODAY()-G187)&amp;" วัน",G187=TODAY(),"ครบกำหนดวันนี้",G187-TODAY()&lt;=3,"เร่งดำเนินการ",G187-TODAY()&lt;=5,"ต้องติดตาม",G187-TODAY()&lt;=10,"ใกล้ครบกำหนด",TRUE,"อยู่ระหว่างดำเนินการ"))))</x:f>
      </x:c>
      <x:c r="L187" s="114" t="str">
        <x:f>IF(OR(A187="",P187=""),"",HYPERLINK(P187,"เปิดใน Google Calendar"))</x:f>
      </x:c>
      <x:c r="M187" s="111"/>
      <x:c r="N187" s="123"/>
      <x:c r="O187" s="123"/>
      <x:c r="P187" s="123"/>
      <x:c r="Q187" s="126" t="b">
        <x:v>0</x:v>
      </x:c>
      <x:c r="R187" s="126" t="b">
        <x:v>0</x:v>
      </x:c>
      <x:c r="S187" s="126" t="b">
        <x:v>0</x:v>
      </x:c>
      <x:c r="T187" s="126" t="b">
        <x:v>0</x:v>
      </x:c>
      <x:c r="U187" s="144"/>
      <x:c r="V187" s="123"/>
      <x:c r="W187" s="123"/>
      <x:c r="X187" s="126" t="b">
        <x:v>0</x:v>
      </x:c>
    </x:row>
    <x:row r="188" ht="18" customHeight="1">
      <x:c r="A188" s="111"/>
      <x:c r="B188" s="111"/>
      <x:c r="C188" s="111"/>
      <x:c r="D188" s="111"/>
      <x:c r="E188" s="129"/>
      <x:c r="F188" s="138"/>
      <x:c r="G188" s="133" t="str">
        <x:f>IF(OR(A188="",E188="",F188=""),"",E188+F188-IF('ตั้งค่า'!$B$12="นับรวมวันเซ็น",1,0))</x:f>
      </x:c>
      <x:c r="H188" s="134"/>
      <x:c r="I188" s="117" t="str">
        <x:v>ยังไม่ส่ง</x:v>
      </x:c>
      <x:c r="J188" s="141" t="str">
        <x:f>IF(A188="","",IF(G188="","",IF(I188="ส่งแล้ว",0,G188-TODAY())))</x:f>
      </x:c>
      <x:c r="K188" s="114" t="str">
        <x:f>IF(A188="","",IF(G188="","ยังไม่ระบุวัน",IF(I188="ส่งแล้ว",IF(H188="","ส่งแล้ว",IF(INT(H188)&lt;INT(G188),"ส่งก่อนกำหนด "&amp;(INT(G188)-INT(H188))&amp;" วัน",IF(INT(H188)=INT(G188),"ส่งตรงกำหนด","ส่งล่าช้า "&amp;(INT(H188)-INT(G188))&amp;" วัน"))),IFS(G188&lt;TODAY(),"เกินกำหนด "&amp;(TODAY()-G188)&amp;" วัน",G188=TODAY(),"ครบกำหนดวันนี้",G188-TODAY()&lt;=3,"เร่งดำเนินการ",G188-TODAY()&lt;=5,"ต้องติดตาม",G188-TODAY()&lt;=10,"ใกล้ครบกำหนด",TRUE,"อยู่ระหว่างดำเนินการ"))))</x:f>
      </x:c>
      <x:c r="L188" s="114" t="str">
        <x:f>IF(OR(A188="",P188=""),"",HYPERLINK(P188,"เปิดใน Google Calendar"))</x:f>
      </x:c>
      <x:c r="M188" s="111"/>
      <x:c r="N188" s="123"/>
      <x:c r="O188" s="123"/>
      <x:c r="P188" s="123"/>
      <x:c r="Q188" s="126" t="b">
        <x:v>0</x:v>
      </x:c>
      <x:c r="R188" s="126" t="b">
        <x:v>0</x:v>
      </x:c>
      <x:c r="S188" s="126" t="b">
        <x:v>0</x:v>
      </x:c>
      <x:c r="T188" s="126" t="b">
        <x:v>0</x:v>
      </x:c>
      <x:c r="U188" s="144"/>
      <x:c r="V188" s="123"/>
      <x:c r="W188" s="123"/>
      <x:c r="X188" s="126" t="b">
        <x:v>0</x:v>
      </x:c>
    </x:row>
    <x:row r="189" ht="18" customHeight="1">
      <x:c r="A189" s="111"/>
      <x:c r="B189" s="111"/>
      <x:c r="C189" s="111"/>
      <x:c r="D189" s="111"/>
      <x:c r="E189" s="129"/>
      <x:c r="F189" s="138"/>
      <x:c r="G189" s="133" t="str">
        <x:f>IF(OR(A189="",E189="",F189=""),"",E189+F189-IF('ตั้งค่า'!$B$12="นับรวมวันเซ็น",1,0))</x:f>
      </x:c>
      <x:c r="H189" s="134"/>
      <x:c r="I189" s="117" t="str">
        <x:v>ยังไม่ส่ง</x:v>
      </x:c>
      <x:c r="J189" s="141" t="str">
        <x:f>IF(A189="","",IF(G189="","",IF(I189="ส่งแล้ว",0,G189-TODAY())))</x:f>
      </x:c>
      <x:c r="K189" s="114" t="str">
        <x:f>IF(A189="","",IF(G189="","ยังไม่ระบุวัน",IF(I189="ส่งแล้ว",IF(H189="","ส่งแล้ว",IF(INT(H189)&lt;INT(G189),"ส่งก่อนกำหนด "&amp;(INT(G189)-INT(H189))&amp;" วัน",IF(INT(H189)=INT(G189),"ส่งตรงกำหนด","ส่งล่าช้า "&amp;(INT(H189)-INT(G189))&amp;" วัน"))),IFS(G189&lt;TODAY(),"เกินกำหนด "&amp;(TODAY()-G189)&amp;" วัน",G189=TODAY(),"ครบกำหนดวันนี้",G189-TODAY()&lt;=3,"เร่งดำเนินการ",G189-TODAY()&lt;=5,"ต้องติดตาม",G189-TODAY()&lt;=10,"ใกล้ครบกำหนด",TRUE,"อยู่ระหว่างดำเนินการ"))))</x:f>
      </x:c>
      <x:c r="L189" s="114" t="str">
        <x:f>IF(OR(A189="",P189=""),"",HYPERLINK(P189,"เปิดใน Google Calendar"))</x:f>
      </x:c>
      <x:c r="M189" s="111"/>
      <x:c r="N189" s="123"/>
      <x:c r="O189" s="123"/>
      <x:c r="P189" s="123"/>
      <x:c r="Q189" s="126" t="b">
        <x:v>0</x:v>
      </x:c>
      <x:c r="R189" s="126" t="b">
        <x:v>0</x:v>
      </x:c>
      <x:c r="S189" s="126" t="b">
        <x:v>0</x:v>
      </x:c>
      <x:c r="T189" s="126" t="b">
        <x:v>0</x:v>
      </x:c>
      <x:c r="U189" s="144"/>
      <x:c r="V189" s="123"/>
      <x:c r="W189" s="123"/>
      <x:c r="X189" s="126" t="b">
        <x:v>0</x:v>
      </x:c>
    </x:row>
    <x:row r="190" ht="18" customHeight="1">
      <x:c r="A190" s="111"/>
      <x:c r="B190" s="111"/>
      <x:c r="C190" s="111"/>
      <x:c r="D190" s="111"/>
      <x:c r="E190" s="129"/>
      <x:c r="F190" s="138"/>
      <x:c r="G190" s="133" t="str">
        <x:f>IF(OR(A190="",E190="",F190=""),"",E190+F190-IF('ตั้งค่า'!$B$12="นับรวมวันเซ็น",1,0))</x:f>
      </x:c>
      <x:c r="H190" s="134"/>
      <x:c r="I190" s="117" t="str">
        <x:v>ยังไม่ส่ง</x:v>
      </x:c>
      <x:c r="J190" s="141" t="str">
        <x:f>IF(A190="","",IF(G190="","",IF(I190="ส่งแล้ว",0,G190-TODAY())))</x:f>
      </x:c>
      <x:c r="K190" s="114" t="str">
        <x:f>IF(A190="","",IF(G190="","ยังไม่ระบุวัน",IF(I190="ส่งแล้ว",IF(H190="","ส่งแล้ว",IF(INT(H190)&lt;INT(G190),"ส่งก่อนกำหนด "&amp;(INT(G190)-INT(H190))&amp;" วัน",IF(INT(H190)=INT(G190),"ส่งตรงกำหนด","ส่งล่าช้า "&amp;(INT(H190)-INT(G190))&amp;" วัน"))),IFS(G190&lt;TODAY(),"เกินกำหนด "&amp;(TODAY()-G190)&amp;" วัน",G190=TODAY(),"ครบกำหนดวันนี้",G190-TODAY()&lt;=3,"เร่งดำเนินการ",G190-TODAY()&lt;=5,"ต้องติดตาม",G190-TODAY()&lt;=10,"ใกล้ครบกำหนด",TRUE,"อยู่ระหว่างดำเนินการ"))))</x:f>
      </x:c>
      <x:c r="L190" s="114" t="str">
        <x:f>IF(OR(A190="",P190=""),"",HYPERLINK(P190,"เปิดใน Google Calendar"))</x:f>
      </x:c>
      <x:c r="M190" s="111"/>
      <x:c r="N190" s="123"/>
      <x:c r="O190" s="123"/>
      <x:c r="P190" s="123"/>
      <x:c r="Q190" s="126" t="b">
        <x:v>0</x:v>
      </x:c>
      <x:c r="R190" s="126" t="b">
        <x:v>0</x:v>
      </x:c>
      <x:c r="S190" s="126" t="b">
        <x:v>0</x:v>
      </x:c>
      <x:c r="T190" s="126" t="b">
        <x:v>0</x:v>
      </x:c>
      <x:c r="U190" s="144"/>
      <x:c r="V190" s="123"/>
      <x:c r="W190" s="123"/>
      <x:c r="X190" s="126" t="b">
        <x:v>0</x:v>
      </x:c>
    </x:row>
    <x:row r="191" ht="18" customHeight="1">
      <x:c r="A191" s="111"/>
      <x:c r="B191" s="111"/>
      <x:c r="C191" s="111"/>
      <x:c r="D191" s="111"/>
      <x:c r="E191" s="129"/>
      <x:c r="F191" s="138"/>
      <x:c r="G191" s="133" t="str">
        <x:f>IF(OR(A191="",E191="",F191=""),"",E191+F191-IF('ตั้งค่า'!$B$12="นับรวมวันเซ็น",1,0))</x:f>
      </x:c>
      <x:c r="H191" s="134"/>
      <x:c r="I191" s="117" t="str">
        <x:v>ยังไม่ส่ง</x:v>
      </x:c>
      <x:c r="J191" s="141" t="str">
        <x:f>IF(A191="","",IF(G191="","",IF(I191="ส่งแล้ว",0,G191-TODAY())))</x:f>
      </x:c>
      <x:c r="K191" s="114" t="str">
        <x:f>IF(A191="","",IF(G191="","ยังไม่ระบุวัน",IF(I191="ส่งแล้ว",IF(H191="","ส่งแล้ว",IF(INT(H191)&lt;INT(G191),"ส่งก่อนกำหนด "&amp;(INT(G191)-INT(H191))&amp;" วัน",IF(INT(H191)=INT(G191),"ส่งตรงกำหนด","ส่งล่าช้า "&amp;(INT(H191)-INT(G191))&amp;" วัน"))),IFS(G191&lt;TODAY(),"เกินกำหนด "&amp;(TODAY()-G191)&amp;" วัน",G191=TODAY(),"ครบกำหนดวันนี้",G191-TODAY()&lt;=3,"เร่งดำเนินการ",G191-TODAY()&lt;=5,"ต้องติดตาม",G191-TODAY()&lt;=10,"ใกล้ครบกำหนด",TRUE,"อยู่ระหว่างดำเนินการ"))))</x:f>
      </x:c>
      <x:c r="L191" s="114" t="str">
        <x:f>IF(OR(A191="",P191=""),"",HYPERLINK(P191,"เปิดใน Google Calendar"))</x:f>
      </x:c>
      <x:c r="M191" s="111"/>
      <x:c r="N191" s="123"/>
      <x:c r="O191" s="123"/>
      <x:c r="P191" s="123"/>
      <x:c r="Q191" s="126" t="b">
        <x:v>0</x:v>
      </x:c>
      <x:c r="R191" s="126" t="b">
        <x:v>0</x:v>
      </x:c>
      <x:c r="S191" s="126" t="b">
        <x:v>0</x:v>
      </x:c>
      <x:c r="T191" s="126" t="b">
        <x:v>0</x:v>
      </x:c>
      <x:c r="U191" s="144"/>
      <x:c r="V191" s="123"/>
      <x:c r="W191" s="123"/>
      <x:c r="X191" s="126" t="b">
        <x:v>0</x:v>
      </x:c>
    </x:row>
    <x:row r="192" ht="18" customHeight="1">
      <x:c r="A192" s="111"/>
      <x:c r="B192" s="111"/>
      <x:c r="C192" s="111"/>
      <x:c r="D192" s="111"/>
      <x:c r="E192" s="129"/>
      <x:c r="F192" s="138"/>
      <x:c r="G192" s="133" t="str">
        <x:f>IF(OR(A192="",E192="",F192=""),"",E192+F192-IF('ตั้งค่า'!$B$12="นับรวมวันเซ็น",1,0))</x:f>
      </x:c>
      <x:c r="H192" s="134"/>
      <x:c r="I192" s="117" t="str">
        <x:v>ยังไม่ส่ง</x:v>
      </x:c>
      <x:c r="J192" s="141" t="str">
        <x:f>IF(A192="","",IF(G192="","",IF(I192="ส่งแล้ว",0,G192-TODAY())))</x:f>
      </x:c>
      <x:c r="K192" s="114" t="str">
        <x:f>IF(A192="","",IF(G192="","ยังไม่ระบุวัน",IF(I192="ส่งแล้ว",IF(H192="","ส่งแล้ว",IF(INT(H192)&lt;INT(G192),"ส่งก่อนกำหนด "&amp;(INT(G192)-INT(H192))&amp;" วัน",IF(INT(H192)=INT(G192),"ส่งตรงกำหนด","ส่งล่าช้า "&amp;(INT(H192)-INT(G192))&amp;" วัน"))),IFS(G192&lt;TODAY(),"เกินกำหนด "&amp;(TODAY()-G192)&amp;" วัน",G192=TODAY(),"ครบกำหนดวันนี้",G192-TODAY()&lt;=3,"เร่งดำเนินการ",G192-TODAY()&lt;=5,"ต้องติดตาม",G192-TODAY()&lt;=10,"ใกล้ครบกำหนด",TRUE,"อยู่ระหว่างดำเนินการ"))))</x:f>
      </x:c>
      <x:c r="L192" s="114" t="str">
        <x:f>IF(OR(A192="",P192=""),"",HYPERLINK(P192,"เปิดใน Google Calendar"))</x:f>
      </x:c>
      <x:c r="M192" s="111"/>
      <x:c r="N192" s="123"/>
      <x:c r="O192" s="123"/>
      <x:c r="P192" s="123"/>
      <x:c r="Q192" s="126" t="b">
        <x:v>0</x:v>
      </x:c>
      <x:c r="R192" s="126" t="b">
        <x:v>0</x:v>
      </x:c>
      <x:c r="S192" s="126" t="b">
        <x:v>0</x:v>
      </x:c>
      <x:c r="T192" s="126" t="b">
        <x:v>0</x:v>
      </x:c>
      <x:c r="U192" s="144"/>
      <x:c r="V192" s="123"/>
      <x:c r="W192" s="123"/>
      <x:c r="X192" s="126" t="b">
        <x:v>0</x:v>
      </x:c>
    </x:row>
    <x:row r="193" ht="18" customHeight="1">
      <x:c r="A193" s="111"/>
      <x:c r="B193" s="111"/>
      <x:c r="C193" s="111"/>
      <x:c r="D193" s="111"/>
      <x:c r="E193" s="129"/>
      <x:c r="F193" s="138"/>
      <x:c r="G193" s="133" t="str">
        <x:f>IF(OR(A193="",E193="",F193=""),"",E193+F193-IF('ตั้งค่า'!$B$12="นับรวมวันเซ็น",1,0))</x:f>
      </x:c>
      <x:c r="H193" s="134"/>
      <x:c r="I193" s="117" t="str">
        <x:v>ยังไม่ส่ง</x:v>
      </x:c>
      <x:c r="J193" s="141" t="str">
        <x:f>IF(A193="","",IF(G193="","",IF(I193="ส่งแล้ว",0,G193-TODAY())))</x:f>
      </x:c>
      <x:c r="K193" s="114" t="str">
        <x:f>IF(A193="","",IF(G193="","ยังไม่ระบุวัน",IF(I193="ส่งแล้ว",IF(H193="","ส่งแล้ว",IF(INT(H193)&lt;INT(G193),"ส่งก่อนกำหนด "&amp;(INT(G193)-INT(H193))&amp;" วัน",IF(INT(H193)=INT(G193),"ส่งตรงกำหนด","ส่งล่าช้า "&amp;(INT(H193)-INT(G193))&amp;" วัน"))),IFS(G193&lt;TODAY(),"เกินกำหนด "&amp;(TODAY()-G193)&amp;" วัน",G193=TODAY(),"ครบกำหนดวันนี้",G193-TODAY()&lt;=3,"เร่งดำเนินการ",G193-TODAY()&lt;=5,"ต้องติดตาม",G193-TODAY()&lt;=10,"ใกล้ครบกำหนด",TRUE,"อยู่ระหว่างดำเนินการ"))))</x:f>
      </x:c>
      <x:c r="L193" s="114" t="str">
        <x:f>IF(OR(A193="",P193=""),"",HYPERLINK(P193,"เปิดใน Google Calendar"))</x:f>
      </x:c>
      <x:c r="M193" s="111"/>
      <x:c r="N193" s="123"/>
      <x:c r="O193" s="123"/>
      <x:c r="P193" s="123"/>
      <x:c r="Q193" s="126" t="b">
        <x:v>0</x:v>
      </x:c>
      <x:c r="R193" s="126" t="b">
        <x:v>0</x:v>
      </x:c>
      <x:c r="S193" s="126" t="b">
        <x:v>0</x:v>
      </x:c>
      <x:c r="T193" s="126" t="b">
        <x:v>0</x:v>
      </x:c>
      <x:c r="U193" s="144"/>
      <x:c r="V193" s="123"/>
      <x:c r="W193" s="123"/>
      <x:c r="X193" s="126" t="b">
        <x:v>0</x:v>
      </x:c>
    </x:row>
    <x:row r="194" ht="18" customHeight="1">
      <x:c r="A194" s="111"/>
      <x:c r="B194" s="111"/>
      <x:c r="C194" s="111"/>
      <x:c r="D194" s="111"/>
      <x:c r="E194" s="129"/>
      <x:c r="F194" s="138"/>
      <x:c r="G194" s="133" t="str">
        <x:f>IF(OR(A194="",E194="",F194=""),"",E194+F194-IF('ตั้งค่า'!$B$12="นับรวมวันเซ็น",1,0))</x:f>
      </x:c>
      <x:c r="H194" s="134"/>
      <x:c r="I194" s="117" t="str">
        <x:v>ยังไม่ส่ง</x:v>
      </x:c>
      <x:c r="J194" s="141" t="str">
        <x:f>IF(A194="","",IF(G194="","",IF(I194="ส่งแล้ว",0,G194-TODAY())))</x:f>
      </x:c>
      <x:c r="K194" s="114" t="str">
        <x:f>IF(A194="","",IF(G194="","ยังไม่ระบุวัน",IF(I194="ส่งแล้ว",IF(H194="","ส่งแล้ว",IF(INT(H194)&lt;INT(G194),"ส่งก่อนกำหนด "&amp;(INT(G194)-INT(H194))&amp;" วัน",IF(INT(H194)=INT(G194),"ส่งตรงกำหนด","ส่งล่าช้า "&amp;(INT(H194)-INT(G194))&amp;" วัน"))),IFS(G194&lt;TODAY(),"เกินกำหนด "&amp;(TODAY()-G194)&amp;" วัน",G194=TODAY(),"ครบกำหนดวันนี้",G194-TODAY()&lt;=3,"เร่งดำเนินการ",G194-TODAY()&lt;=5,"ต้องติดตาม",G194-TODAY()&lt;=10,"ใกล้ครบกำหนด",TRUE,"อยู่ระหว่างดำเนินการ"))))</x:f>
      </x:c>
      <x:c r="L194" s="114" t="str">
        <x:f>IF(OR(A194="",P194=""),"",HYPERLINK(P194,"เปิดใน Google Calendar"))</x:f>
      </x:c>
      <x:c r="M194" s="111"/>
      <x:c r="N194" s="123"/>
      <x:c r="O194" s="123"/>
      <x:c r="P194" s="123"/>
      <x:c r="Q194" s="126" t="b">
        <x:v>0</x:v>
      </x:c>
      <x:c r="R194" s="126" t="b">
        <x:v>0</x:v>
      </x:c>
      <x:c r="S194" s="126" t="b">
        <x:v>0</x:v>
      </x:c>
      <x:c r="T194" s="126" t="b">
        <x:v>0</x:v>
      </x:c>
      <x:c r="U194" s="144"/>
      <x:c r="V194" s="123"/>
      <x:c r="W194" s="123"/>
      <x:c r="X194" s="126" t="b">
        <x:v>0</x:v>
      </x:c>
    </x:row>
    <x:row r="195" ht="18" customHeight="1">
      <x:c r="A195" s="111"/>
      <x:c r="B195" s="111"/>
      <x:c r="C195" s="111"/>
      <x:c r="D195" s="111"/>
      <x:c r="E195" s="129"/>
      <x:c r="F195" s="138"/>
      <x:c r="G195" s="133" t="str">
        <x:f>IF(OR(A195="",E195="",F195=""),"",E195+F195-IF('ตั้งค่า'!$B$12="นับรวมวันเซ็น",1,0))</x:f>
      </x:c>
      <x:c r="H195" s="134"/>
      <x:c r="I195" s="117" t="str">
        <x:v>ยังไม่ส่ง</x:v>
      </x:c>
      <x:c r="J195" s="141" t="str">
        <x:f>IF(A195="","",IF(G195="","",IF(I195="ส่งแล้ว",0,G195-TODAY())))</x:f>
      </x:c>
      <x:c r="K195" s="114" t="str">
        <x:f>IF(A195="","",IF(G195="","ยังไม่ระบุวัน",IF(I195="ส่งแล้ว",IF(H195="","ส่งแล้ว",IF(INT(H195)&lt;INT(G195),"ส่งก่อนกำหนด "&amp;(INT(G195)-INT(H195))&amp;" วัน",IF(INT(H195)=INT(G195),"ส่งตรงกำหนด","ส่งล่าช้า "&amp;(INT(H195)-INT(G195))&amp;" วัน"))),IFS(G195&lt;TODAY(),"เกินกำหนด "&amp;(TODAY()-G195)&amp;" วัน",G195=TODAY(),"ครบกำหนดวันนี้",G195-TODAY()&lt;=3,"เร่งดำเนินการ",G195-TODAY()&lt;=5,"ต้องติดตาม",G195-TODAY()&lt;=10,"ใกล้ครบกำหนด",TRUE,"อยู่ระหว่างดำเนินการ"))))</x:f>
      </x:c>
      <x:c r="L195" s="114" t="str">
        <x:f>IF(OR(A195="",P195=""),"",HYPERLINK(P195,"เปิดใน Google Calendar"))</x:f>
      </x:c>
      <x:c r="M195" s="111"/>
      <x:c r="N195" s="123"/>
      <x:c r="O195" s="123"/>
      <x:c r="P195" s="123"/>
      <x:c r="Q195" s="126" t="b">
        <x:v>0</x:v>
      </x:c>
      <x:c r="R195" s="126" t="b">
        <x:v>0</x:v>
      </x:c>
      <x:c r="S195" s="126" t="b">
        <x:v>0</x:v>
      </x:c>
      <x:c r="T195" s="126" t="b">
        <x:v>0</x:v>
      </x:c>
      <x:c r="U195" s="144"/>
      <x:c r="V195" s="123"/>
      <x:c r="W195" s="123"/>
      <x:c r="X195" s="126" t="b">
        <x:v>0</x:v>
      </x:c>
    </x:row>
    <x:row r="196" ht="18" customHeight="1">
      <x:c r="A196" s="111"/>
      <x:c r="B196" s="111"/>
      <x:c r="C196" s="111"/>
      <x:c r="D196" s="111"/>
      <x:c r="E196" s="129"/>
      <x:c r="F196" s="138"/>
      <x:c r="G196" s="133" t="str">
        <x:f>IF(OR(A196="",E196="",F196=""),"",E196+F196-IF('ตั้งค่า'!$B$12="นับรวมวันเซ็น",1,0))</x:f>
      </x:c>
      <x:c r="H196" s="134"/>
      <x:c r="I196" s="117" t="str">
        <x:v>ยังไม่ส่ง</x:v>
      </x:c>
      <x:c r="J196" s="141" t="str">
        <x:f>IF(A196="","",IF(G196="","",IF(I196="ส่งแล้ว",0,G196-TODAY())))</x:f>
      </x:c>
      <x:c r="K196" s="114" t="str">
        <x:f>IF(A196="","",IF(G196="","ยังไม่ระบุวัน",IF(I196="ส่งแล้ว",IF(H196="","ส่งแล้ว",IF(INT(H196)&lt;INT(G196),"ส่งก่อนกำหนด "&amp;(INT(G196)-INT(H196))&amp;" วัน",IF(INT(H196)=INT(G196),"ส่งตรงกำหนด","ส่งล่าช้า "&amp;(INT(H196)-INT(G196))&amp;" วัน"))),IFS(G196&lt;TODAY(),"เกินกำหนด "&amp;(TODAY()-G196)&amp;" วัน",G196=TODAY(),"ครบกำหนดวันนี้",G196-TODAY()&lt;=3,"เร่งดำเนินการ",G196-TODAY()&lt;=5,"ต้องติดตาม",G196-TODAY()&lt;=10,"ใกล้ครบกำหนด",TRUE,"อยู่ระหว่างดำเนินการ"))))</x:f>
      </x:c>
      <x:c r="L196" s="114" t="str">
        <x:f>IF(OR(A196="",P196=""),"",HYPERLINK(P196,"เปิดใน Google Calendar"))</x:f>
      </x:c>
      <x:c r="M196" s="111"/>
      <x:c r="N196" s="123"/>
      <x:c r="O196" s="123"/>
      <x:c r="P196" s="123"/>
      <x:c r="Q196" s="126" t="b">
        <x:v>0</x:v>
      </x:c>
      <x:c r="R196" s="126" t="b">
        <x:v>0</x:v>
      </x:c>
      <x:c r="S196" s="126" t="b">
        <x:v>0</x:v>
      </x:c>
      <x:c r="T196" s="126" t="b">
        <x:v>0</x:v>
      </x:c>
      <x:c r="U196" s="144"/>
      <x:c r="V196" s="123"/>
      <x:c r="W196" s="123"/>
      <x:c r="X196" s="126" t="b">
        <x:v>0</x:v>
      </x:c>
    </x:row>
    <x:row r="197" ht="18" customHeight="1">
      <x:c r="A197" s="111"/>
      <x:c r="B197" s="111"/>
      <x:c r="C197" s="111"/>
      <x:c r="D197" s="111"/>
      <x:c r="E197" s="129"/>
      <x:c r="F197" s="138"/>
      <x:c r="G197" s="133" t="str">
        <x:f>IF(OR(A197="",E197="",F197=""),"",E197+F197-IF('ตั้งค่า'!$B$12="นับรวมวันเซ็น",1,0))</x:f>
      </x:c>
      <x:c r="H197" s="134"/>
      <x:c r="I197" s="117" t="str">
        <x:v>ยังไม่ส่ง</x:v>
      </x:c>
      <x:c r="J197" s="141" t="str">
        <x:f>IF(A197="","",IF(G197="","",IF(I197="ส่งแล้ว",0,G197-TODAY())))</x:f>
      </x:c>
      <x:c r="K197" s="114" t="str">
        <x:f>IF(A197="","",IF(G197="","ยังไม่ระบุวัน",IF(I197="ส่งแล้ว",IF(H197="","ส่งแล้ว",IF(INT(H197)&lt;INT(G197),"ส่งก่อนกำหนด "&amp;(INT(G197)-INT(H197))&amp;" วัน",IF(INT(H197)=INT(G197),"ส่งตรงกำหนด","ส่งล่าช้า "&amp;(INT(H197)-INT(G197))&amp;" วัน"))),IFS(G197&lt;TODAY(),"เกินกำหนด "&amp;(TODAY()-G197)&amp;" วัน",G197=TODAY(),"ครบกำหนดวันนี้",G197-TODAY()&lt;=3,"เร่งดำเนินการ",G197-TODAY()&lt;=5,"ต้องติดตาม",G197-TODAY()&lt;=10,"ใกล้ครบกำหนด",TRUE,"อยู่ระหว่างดำเนินการ"))))</x:f>
      </x:c>
      <x:c r="L197" s="114" t="str">
        <x:f>IF(OR(A197="",P197=""),"",HYPERLINK(P197,"เปิดใน Google Calendar"))</x:f>
      </x:c>
      <x:c r="M197" s="111"/>
      <x:c r="N197" s="123"/>
      <x:c r="O197" s="123"/>
      <x:c r="P197" s="123"/>
      <x:c r="Q197" s="126" t="b">
        <x:v>0</x:v>
      </x:c>
      <x:c r="R197" s="126" t="b">
        <x:v>0</x:v>
      </x:c>
      <x:c r="S197" s="126" t="b">
        <x:v>0</x:v>
      </x:c>
      <x:c r="T197" s="126" t="b">
        <x:v>0</x:v>
      </x:c>
      <x:c r="U197" s="144"/>
      <x:c r="V197" s="123"/>
      <x:c r="W197" s="123"/>
      <x:c r="X197" s="126" t="b">
        <x:v>0</x:v>
      </x:c>
    </x:row>
    <x:row r="198" ht="18" customHeight="1">
      <x:c r="A198" s="111"/>
      <x:c r="B198" s="111"/>
      <x:c r="C198" s="111"/>
      <x:c r="D198" s="111"/>
      <x:c r="E198" s="129"/>
      <x:c r="F198" s="138"/>
      <x:c r="G198" s="133" t="str">
        <x:f>IF(OR(A198="",E198="",F198=""),"",E198+F198-IF('ตั้งค่า'!$B$12="นับรวมวันเซ็น",1,0))</x:f>
      </x:c>
      <x:c r="H198" s="134"/>
      <x:c r="I198" s="117" t="str">
        <x:v>ยังไม่ส่ง</x:v>
      </x:c>
      <x:c r="J198" s="141" t="str">
        <x:f>IF(A198="","",IF(G198="","",IF(I198="ส่งแล้ว",0,G198-TODAY())))</x:f>
      </x:c>
      <x:c r="K198" s="114" t="str">
        <x:f>IF(A198="","",IF(G198="","ยังไม่ระบุวัน",IF(I198="ส่งแล้ว",IF(H198="","ส่งแล้ว",IF(INT(H198)&lt;INT(G198),"ส่งก่อนกำหนด "&amp;(INT(G198)-INT(H198))&amp;" วัน",IF(INT(H198)=INT(G198),"ส่งตรงกำหนด","ส่งล่าช้า "&amp;(INT(H198)-INT(G198))&amp;" วัน"))),IFS(G198&lt;TODAY(),"เกินกำหนด "&amp;(TODAY()-G198)&amp;" วัน",G198=TODAY(),"ครบกำหนดวันนี้",G198-TODAY()&lt;=3,"เร่งดำเนินการ",G198-TODAY()&lt;=5,"ต้องติดตาม",G198-TODAY()&lt;=10,"ใกล้ครบกำหนด",TRUE,"อยู่ระหว่างดำเนินการ"))))</x:f>
      </x:c>
      <x:c r="L198" s="114" t="str">
        <x:f>IF(OR(A198="",P198=""),"",HYPERLINK(P198,"เปิดใน Google Calendar"))</x:f>
      </x:c>
      <x:c r="M198" s="111"/>
      <x:c r="N198" s="123"/>
      <x:c r="O198" s="123"/>
      <x:c r="P198" s="123"/>
      <x:c r="Q198" s="126" t="b">
        <x:v>0</x:v>
      </x:c>
      <x:c r="R198" s="126" t="b">
        <x:v>0</x:v>
      </x:c>
      <x:c r="S198" s="126" t="b">
        <x:v>0</x:v>
      </x:c>
      <x:c r="T198" s="126" t="b">
        <x:v>0</x:v>
      </x:c>
      <x:c r="U198" s="144"/>
      <x:c r="V198" s="123"/>
      <x:c r="W198" s="123"/>
      <x:c r="X198" s="126" t="b">
        <x:v>0</x:v>
      </x:c>
    </x:row>
    <x:row r="199" ht="18" customHeight="1">
      <x:c r="A199" s="111"/>
      <x:c r="B199" s="111"/>
      <x:c r="C199" s="111"/>
      <x:c r="D199" s="111"/>
      <x:c r="E199" s="129"/>
      <x:c r="F199" s="138"/>
      <x:c r="G199" s="133" t="str">
        <x:f>IF(OR(A199="",E199="",F199=""),"",E199+F199-IF('ตั้งค่า'!$B$12="นับรวมวันเซ็น",1,0))</x:f>
      </x:c>
      <x:c r="H199" s="134"/>
      <x:c r="I199" s="117" t="str">
        <x:v>ยังไม่ส่ง</x:v>
      </x:c>
      <x:c r="J199" s="141" t="str">
        <x:f>IF(A199="","",IF(G199="","",IF(I199="ส่งแล้ว",0,G199-TODAY())))</x:f>
      </x:c>
      <x:c r="K199" s="114" t="str">
        <x:f>IF(A199="","",IF(G199="","ยังไม่ระบุวัน",IF(I199="ส่งแล้ว",IF(H199="","ส่งแล้ว",IF(INT(H199)&lt;INT(G199),"ส่งก่อนกำหนด "&amp;(INT(G199)-INT(H199))&amp;" วัน",IF(INT(H199)=INT(G199),"ส่งตรงกำหนด","ส่งล่าช้า "&amp;(INT(H199)-INT(G199))&amp;" วัน"))),IFS(G199&lt;TODAY(),"เกินกำหนด "&amp;(TODAY()-G199)&amp;" วัน",G199=TODAY(),"ครบกำหนดวันนี้",G199-TODAY()&lt;=3,"เร่งดำเนินการ",G199-TODAY()&lt;=5,"ต้องติดตาม",G199-TODAY()&lt;=10,"ใกล้ครบกำหนด",TRUE,"อยู่ระหว่างดำเนินการ"))))</x:f>
      </x:c>
      <x:c r="L199" s="114" t="str">
        <x:f>IF(OR(A199="",P199=""),"",HYPERLINK(P199,"เปิดใน Google Calendar"))</x:f>
      </x:c>
      <x:c r="M199" s="111"/>
      <x:c r="N199" s="123"/>
      <x:c r="O199" s="123"/>
      <x:c r="P199" s="123"/>
      <x:c r="Q199" s="126" t="b">
        <x:v>0</x:v>
      </x:c>
      <x:c r="R199" s="126" t="b">
        <x:v>0</x:v>
      </x:c>
      <x:c r="S199" s="126" t="b">
        <x:v>0</x:v>
      </x:c>
      <x:c r="T199" s="126" t="b">
        <x:v>0</x:v>
      </x:c>
      <x:c r="U199" s="144"/>
      <x:c r="V199" s="123"/>
      <x:c r="W199" s="123"/>
      <x:c r="X199" s="126" t="b">
        <x:v>0</x:v>
      </x:c>
    </x:row>
    <x:row r="200" ht="18" customHeight="1">
      <x:c r="A200" s="111"/>
      <x:c r="B200" s="111"/>
      <x:c r="C200" s="111"/>
      <x:c r="D200" s="111"/>
      <x:c r="E200" s="129"/>
      <x:c r="F200" s="138"/>
      <x:c r="G200" s="133" t="str">
        <x:f>IF(OR(A200="",E200="",F200=""),"",E200+F200-IF('ตั้งค่า'!$B$12="นับรวมวันเซ็น",1,0))</x:f>
      </x:c>
      <x:c r="H200" s="134"/>
      <x:c r="I200" s="117" t="str">
        <x:v>ยังไม่ส่ง</x:v>
      </x:c>
      <x:c r="J200" s="141" t="str">
        <x:f>IF(A200="","",IF(G200="","",IF(I200="ส่งแล้ว",0,G200-TODAY())))</x:f>
      </x:c>
      <x:c r="K200" s="114" t="str">
        <x:f>IF(A200="","",IF(G200="","ยังไม่ระบุวัน",IF(I200="ส่งแล้ว",IF(H200="","ส่งแล้ว",IF(INT(H200)&lt;INT(G200),"ส่งก่อนกำหนด "&amp;(INT(G200)-INT(H200))&amp;" วัน",IF(INT(H200)=INT(G200),"ส่งตรงกำหนด","ส่งล่าช้า "&amp;(INT(H200)-INT(G200))&amp;" วัน"))),IFS(G200&lt;TODAY(),"เกินกำหนด "&amp;(TODAY()-G200)&amp;" วัน",G200=TODAY(),"ครบกำหนดวันนี้",G200-TODAY()&lt;=3,"เร่งดำเนินการ",G200-TODAY()&lt;=5,"ต้องติดตาม",G200-TODAY()&lt;=10,"ใกล้ครบกำหนด",TRUE,"อยู่ระหว่างดำเนินการ"))))</x:f>
      </x:c>
      <x:c r="L200" s="114" t="str">
        <x:f>IF(OR(A200="",P200=""),"",HYPERLINK(P200,"เปิดใน Google Calendar"))</x:f>
      </x:c>
      <x:c r="M200" s="111"/>
      <x:c r="N200" s="123"/>
      <x:c r="O200" s="123"/>
      <x:c r="P200" s="123"/>
      <x:c r="Q200" s="126" t="b">
        <x:v>0</x:v>
      </x:c>
      <x:c r="R200" s="126" t="b">
        <x:v>0</x:v>
      </x:c>
      <x:c r="S200" s="126" t="b">
        <x:v>0</x:v>
      </x:c>
      <x:c r="T200" s="126" t="b">
        <x:v>0</x:v>
      </x:c>
      <x:c r="U200" s="144"/>
      <x:c r="V200" s="123"/>
      <x:c r="W200" s="123"/>
      <x:c r="X200" s="126" t="b">
        <x:v>0</x:v>
      </x:c>
    </x:row>
    <x:row r="201" ht="18" customHeight="1">
      <x:c r="A201" s="111"/>
      <x:c r="B201" s="111"/>
      <x:c r="C201" s="111"/>
      <x:c r="D201" s="111"/>
      <x:c r="E201" s="129"/>
      <x:c r="F201" s="138"/>
      <x:c r="G201" s="133" t="str">
        <x:f>IF(OR(A201="",E201="",F201=""),"",E201+F201-IF('ตั้งค่า'!$B$12="นับรวมวันเซ็น",1,0))</x:f>
      </x:c>
      <x:c r="H201" s="134"/>
      <x:c r="I201" s="117" t="str">
        <x:v>ยังไม่ส่ง</x:v>
      </x:c>
      <x:c r="J201" s="141" t="str">
        <x:f>IF(A201="","",IF(G201="","",IF(I201="ส่งแล้ว",0,G201-TODAY())))</x:f>
      </x:c>
      <x:c r="K201" s="114" t="str">
        <x:f>IF(A201="","",IF(G201="","ยังไม่ระบุวัน",IF(I201="ส่งแล้ว",IF(H201="","ส่งแล้ว",IF(INT(H201)&lt;INT(G201),"ส่งก่อนกำหนด "&amp;(INT(G201)-INT(H201))&amp;" วัน",IF(INT(H201)=INT(G201),"ส่งตรงกำหนด","ส่งล่าช้า "&amp;(INT(H201)-INT(G201))&amp;" วัน"))),IFS(G201&lt;TODAY(),"เกินกำหนด "&amp;(TODAY()-G201)&amp;" วัน",G201=TODAY(),"ครบกำหนดวันนี้",G201-TODAY()&lt;=3,"เร่งดำเนินการ",G201-TODAY()&lt;=5,"ต้องติดตาม",G201-TODAY()&lt;=10,"ใกล้ครบกำหนด",TRUE,"อยู่ระหว่างดำเนินการ"))))</x:f>
      </x:c>
      <x:c r="L201" s="114" t="str">
        <x:f>IF(OR(A201="",P201=""),"",HYPERLINK(P201,"เปิดใน Google Calendar"))</x:f>
      </x:c>
      <x:c r="M201" s="111"/>
      <x:c r="N201" s="123"/>
      <x:c r="O201" s="123"/>
      <x:c r="P201" s="123"/>
      <x:c r="Q201" s="126" t="b">
        <x:v>0</x:v>
      </x:c>
      <x:c r="R201" s="126" t="b">
        <x:v>0</x:v>
      </x:c>
      <x:c r="S201" s="126" t="b">
        <x:v>0</x:v>
      </x:c>
      <x:c r="T201" s="126" t="b">
        <x:v>0</x:v>
      </x:c>
      <x:c r="U201" s="144"/>
      <x:c r="V201" s="123"/>
      <x:c r="W201" s="123"/>
      <x:c r="X201" s="126" t="b">
        <x:v>0</x:v>
      </x:c>
    </x:row>
    <x:row r="202" ht="18" customHeight="1">
      <x:c r="A202" s="111"/>
      <x:c r="B202" s="111"/>
      <x:c r="C202" s="111"/>
      <x:c r="D202" s="111"/>
      <x:c r="E202" s="129"/>
      <x:c r="F202" s="138"/>
      <x:c r="G202" s="133" t="str">
        <x:f>IF(OR(A202="",E202="",F202=""),"",E202+F202-IF('ตั้งค่า'!$B$12="นับรวมวันเซ็น",1,0))</x:f>
      </x:c>
      <x:c r="H202" s="134"/>
      <x:c r="I202" s="117" t="str">
        <x:v>ยังไม่ส่ง</x:v>
      </x:c>
      <x:c r="J202" s="141" t="str">
        <x:f>IF(A202="","",IF(G202="","",IF(I202="ส่งแล้ว",0,G202-TODAY())))</x:f>
      </x:c>
      <x:c r="K202" s="114" t="str">
        <x:f>IF(A202="","",IF(G202="","ยังไม่ระบุวัน",IF(I202="ส่งแล้ว",IF(H202="","ส่งแล้ว",IF(INT(H202)&lt;INT(G202),"ส่งก่อนกำหนด "&amp;(INT(G202)-INT(H202))&amp;" วัน",IF(INT(H202)=INT(G202),"ส่งตรงกำหนด","ส่งล่าช้า "&amp;(INT(H202)-INT(G202))&amp;" วัน"))),IFS(G202&lt;TODAY(),"เกินกำหนด "&amp;(TODAY()-G202)&amp;" วัน",G202=TODAY(),"ครบกำหนดวันนี้",G202-TODAY()&lt;=3,"เร่งดำเนินการ",G202-TODAY()&lt;=5,"ต้องติดตาม",G202-TODAY()&lt;=10,"ใกล้ครบกำหนด",TRUE,"อยู่ระหว่างดำเนินการ"))))</x:f>
      </x:c>
      <x:c r="L202" s="114" t="str">
        <x:f>IF(OR(A202="",P202=""),"",HYPERLINK(P202,"เปิดใน Google Calendar"))</x:f>
      </x:c>
      <x:c r="M202" s="111"/>
      <x:c r="N202" s="123"/>
      <x:c r="O202" s="123"/>
      <x:c r="P202" s="123"/>
      <x:c r="Q202" s="126" t="b">
        <x:v>0</x:v>
      </x:c>
      <x:c r="R202" s="126" t="b">
        <x:v>0</x:v>
      </x:c>
      <x:c r="S202" s="126" t="b">
        <x:v>0</x:v>
      </x:c>
      <x:c r="T202" s="126" t="b">
        <x:v>0</x:v>
      </x:c>
      <x:c r="U202" s="144"/>
      <x:c r="V202" s="123"/>
      <x:c r="W202" s="123"/>
      <x:c r="X202" s="126" t="b">
        <x:v>0</x:v>
      </x:c>
    </x:row>
    <x:row r="203" ht="18" customHeight="1">
      <x:c r="A203" s="111"/>
      <x:c r="B203" s="111"/>
      <x:c r="C203" s="111"/>
      <x:c r="D203" s="111"/>
      <x:c r="E203" s="129"/>
      <x:c r="F203" s="138"/>
      <x:c r="G203" s="133" t="str">
        <x:f>IF(OR(A203="",E203="",F203=""),"",E203+F203-IF('ตั้งค่า'!$B$12="นับรวมวันเซ็น",1,0))</x:f>
      </x:c>
      <x:c r="H203" s="134"/>
      <x:c r="I203" s="117" t="str">
        <x:v>ยังไม่ส่ง</x:v>
      </x:c>
      <x:c r="J203" s="141" t="str">
        <x:f>IF(A203="","",IF(G203="","",IF(I203="ส่งแล้ว",0,G203-TODAY())))</x:f>
      </x:c>
      <x:c r="K203" s="114" t="str">
        <x:f>IF(A203="","",IF(G203="","ยังไม่ระบุวัน",IF(I203="ส่งแล้ว",IF(H203="","ส่งแล้ว",IF(INT(H203)&lt;INT(G203),"ส่งก่อนกำหนด "&amp;(INT(G203)-INT(H203))&amp;" วัน",IF(INT(H203)=INT(G203),"ส่งตรงกำหนด","ส่งล่าช้า "&amp;(INT(H203)-INT(G203))&amp;" วัน"))),IFS(G203&lt;TODAY(),"เกินกำหนด "&amp;(TODAY()-G203)&amp;" วัน",G203=TODAY(),"ครบกำหนดวันนี้",G203-TODAY()&lt;=3,"เร่งดำเนินการ",G203-TODAY()&lt;=5,"ต้องติดตาม",G203-TODAY()&lt;=10,"ใกล้ครบกำหนด",TRUE,"อยู่ระหว่างดำเนินการ"))))</x:f>
      </x:c>
      <x:c r="L203" s="114" t="str">
        <x:f>IF(OR(A203="",P203=""),"",HYPERLINK(P203,"เปิดใน Google Calendar"))</x:f>
      </x:c>
      <x:c r="M203" s="111"/>
      <x:c r="N203" s="123"/>
      <x:c r="O203" s="123"/>
      <x:c r="P203" s="123"/>
      <x:c r="Q203" s="126" t="b">
        <x:v>0</x:v>
      </x:c>
      <x:c r="R203" s="126" t="b">
        <x:v>0</x:v>
      </x:c>
      <x:c r="S203" s="126" t="b">
        <x:v>0</x:v>
      </x:c>
      <x:c r="T203" s="126" t="b">
        <x:v>0</x:v>
      </x:c>
      <x:c r="U203" s="144"/>
      <x:c r="V203" s="123"/>
      <x:c r="W203" s="123"/>
      <x:c r="X203" s="126" t="b">
        <x:v>0</x:v>
      </x:c>
    </x:row>
    <x:row r="204" ht="18" customHeight="1">
      <x:c r="A204" s="111"/>
      <x:c r="B204" s="111"/>
      <x:c r="C204" s="111"/>
      <x:c r="D204" s="111"/>
      <x:c r="E204" s="129"/>
      <x:c r="F204" s="138"/>
      <x:c r="G204" s="133" t="str">
        <x:f>IF(OR(A204="",E204="",F204=""),"",E204+F204-IF('ตั้งค่า'!$B$12="นับรวมวันเซ็น",1,0))</x:f>
      </x:c>
      <x:c r="H204" s="134"/>
      <x:c r="I204" s="117" t="str">
        <x:v>ยังไม่ส่ง</x:v>
      </x:c>
      <x:c r="J204" s="141" t="str">
        <x:f>IF(A204="","",IF(G204="","",IF(I204="ส่งแล้ว",0,G204-TODAY())))</x:f>
      </x:c>
      <x:c r="K204" s="114" t="str">
        <x:f>IF(A204="","",IF(G204="","ยังไม่ระบุวัน",IF(I204="ส่งแล้ว",IF(H204="","ส่งแล้ว",IF(INT(H204)&lt;INT(G204),"ส่งก่อนกำหนด "&amp;(INT(G204)-INT(H204))&amp;" วัน",IF(INT(H204)=INT(G204),"ส่งตรงกำหนด","ส่งล่าช้า "&amp;(INT(H204)-INT(G204))&amp;" วัน"))),IFS(G204&lt;TODAY(),"เกินกำหนด "&amp;(TODAY()-G204)&amp;" วัน",G204=TODAY(),"ครบกำหนดวันนี้",G204-TODAY()&lt;=3,"เร่งดำเนินการ",G204-TODAY()&lt;=5,"ต้องติดตาม",G204-TODAY()&lt;=10,"ใกล้ครบกำหนด",TRUE,"อยู่ระหว่างดำเนินการ"))))</x:f>
      </x:c>
      <x:c r="L204" s="114" t="str">
        <x:f>IF(OR(A204="",P204=""),"",HYPERLINK(P204,"เปิดใน Google Calendar"))</x:f>
      </x:c>
      <x:c r="M204" s="111"/>
      <x:c r="N204" s="123"/>
      <x:c r="O204" s="123"/>
      <x:c r="P204" s="123"/>
      <x:c r="Q204" s="126" t="b">
        <x:v>0</x:v>
      </x:c>
      <x:c r="R204" s="126" t="b">
        <x:v>0</x:v>
      </x:c>
      <x:c r="S204" s="126" t="b">
        <x:v>0</x:v>
      </x:c>
      <x:c r="T204" s="126" t="b">
        <x:v>0</x:v>
      </x:c>
      <x:c r="U204" s="144"/>
      <x:c r="V204" s="123"/>
      <x:c r="W204" s="123"/>
      <x:c r="X204" s="126" t="b">
        <x:v>0</x:v>
      </x:c>
    </x:row>
    <x:row r="205" ht="18" customHeight="1">
      <x:c r="A205" s="111"/>
      <x:c r="B205" s="111"/>
      <x:c r="C205" s="111"/>
      <x:c r="D205" s="111"/>
      <x:c r="E205" s="129"/>
      <x:c r="F205" s="138"/>
      <x:c r="G205" s="133" t="str">
        <x:f>IF(OR(A205="",E205="",F205=""),"",E205+F205-IF('ตั้งค่า'!$B$12="นับรวมวันเซ็น",1,0))</x:f>
      </x:c>
      <x:c r="H205" s="134"/>
      <x:c r="I205" s="117" t="str">
        <x:v>ยังไม่ส่ง</x:v>
      </x:c>
      <x:c r="J205" s="141" t="str">
        <x:f>IF(A205="","",IF(G205="","",IF(I205="ส่งแล้ว",0,G205-TODAY())))</x:f>
      </x:c>
      <x:c r="K205" s="114" t="str">
        <x:f>IF(A205="","",IF(G205="","ยังไม่ระบุวัน",IF(I205="ส่งแล้ว",IF(H205="","ส่งแล้ว",IF(INT(H205)&lt;INT(G205),"ส่งก่อนกำหนด "&amp;(INT(G205)-INT(H205))&amp;" วัน",IF(INT(H205)=INT(G205),"ส่งตรงกำหนด","ส่งล่าช้า "&amp;(INT(H205)-INT(G205))&amp;" วัน"))),IFS(G205&lt;TODAY(),"เกินกำหนด "&amp;(TODAY()-G205)&amp;" วัน",G205=TODAY(),"ครบกำหนดวันนี้",G205-TODAY()&lt;=3,"เร่งดำเนินการ",G205-TODAY()&lt;=5,"ต้องติดตาม",G205-TODAY()&lt;=10,"ใกล้ครบกำหนด",TRUE,"อยู่ระหว่างดำเนินการ"))))</x:f>
      </x:c>
      <x:c r="L205" s="114" t="str">
        <x:f>IF(OR(A205="",P205=""),"",HYPERLINK(P205,"เปิดใน Google Calendar"))</x:f>
      </x:c>
      <x:c r="M205" s="111"/>
      <x:c r="N205" s="123"/>
      <x:c r="O205" s="123"/>
      <x:c r="P205" s="123"/>
      <x:c r="Q205" s="126" t="b">
        <x:v>0</x:v>
      </x:c>
      <x:c r="R205" s="126" t="b">
        <x:v>0</x:v>
      </x:c>
      <x:c r="S205" s="126" t="b">
        <x:v>0</x:v>
      </x:c>
      <x:c r="T205" s="126" t="b">
        <x:v>0</x:v>
      </x:c>
      <x:c r="U205" s="144"/>
      <x:c r="V205" s="123"/>
      <x:c r="W205" s="123"/>
      <x:c r="X205" s="126" t="b">
        <x:v>0</x:v>
      </x:c>
    </x:row>
    <x:row r="206" ht="18" customHeight="1">
      <x:c r="A206" s="111"/>
      <x:c r="B206" s="111"/>
      <x:c r="C206" s="111"/>
      <x:c r="D206" s="111"/>
      <x:c r="E206" s="129"/>
      <x:c r="F206" s="138"/>
      <x:c r="G206" s="133" t="str">
        <x:f>IF(OR(A206="",E206="",F206=""),"",E206+F206-IF('ตั้งค่า'!$B$12="นับรวมวันเซ็น",1,0))</x:f>
      </x:c>
      <x:c r="H206" s="134"/>
      <x:c r="I206" s="117" t="str">
        <x:v>ยังไม่ส่ง</x:v>
      </x:c>
      <x:c r="J206" s="141" t="str">
        <x:f>IF(A206="","",IF(G206="","",IF(I206="ส่งแล้ว",0,G206-TODAY())))</x:f>
      </x:c>
      <x:c r="K206" s="114" t="str">
        <x:f>IF(A206="","",IF(G206="","ยังไม่ระบุวัน",IF(I206="ส่งแล้ว",IF(H206="","ส่งแล้ว",IF(INT(H206)&lt;INT(G206),"ส่งก่อนกำหนด "&amp;(INT(G206)-INT(H206))&amp;" วัน",IF(INT(H206)=INT(G206),"ส่งตรงกำหนด","ส่งล่าช้า "&amp;(INT(H206)-INT(G206))&amp;" วัน"))),IFS(G206&lt;TODAY(),"เกินกำหนด "&amp;(TODAY()-G206)&amp;" วัน",G206=TODAY(),"ครบกำหนดวันนี้",G206-TODAY()&lt;=3,"เร่งดำเนินการ",G206-TODAY()&lt;=5,"ต้องติดตาม",G206-TODAY()&lt;=10,"ใกล้ครบกำหนด",TRUE,"อยู่ระหว่างดำเนินการ"))))</x:f>
      </x:c>
      <x:c r="L206" s="114" t="str">
        <x:f>IF(OR(A206="",P206=""),"",HYPERLINK(P206,"เปิดใน Google Calendar"))</x:f>
      </x:c>
      <x:c r="M206" s="111"/>
      <x:c r="N206" s="123"/>
      <x:c r="O206" s="123"/>
      <x:c r="P206" s="123"/>
      <x:c r="Q206" s="126" t="b">
        <x:v>0</x:v>
      </x:c>
      <x:c r="R206" s="126" t="b">
        <x:v>0</x:v>
      </x:c>
      <x:c r="S206" s="126" t="b">
        <x:v>0</x:v>
      </x:c>
      <x:c r="T206" s="126" t="b">
        <x:v>0</x:v>
      </x:c>
      <x:c r="U206" s="144"/>
      <x:c r="V206" s="123"/>
      <x:c r="W206" s="123"/>
      <x:c r="X206" s="126" t="b">
        <x:v>0</x:v>
      </x:c>
    </x:row>
    <x:row r="207" ht="18" customHeight="1">
      <x:c r="A207" s="111"/>
      <x:c r="B207" s="111"/>
      <x:c r="C207" s="111"/>
      <x:c r="D207" s="111"/>
      <x:c r="E207" s="129"/>
      <x:c r="F207" s="138"/>
      <x:c r="G207" s="133" t="str">
        <x:f>IF(OR(A207="",E207="",F207=""),"",E207+F207-IF('ตั้งค่า'!$B$12="นับรวมวันเซ็น",1,0))</x:f>
      </x:c>
      <x:c r="H207" s="134"/>
      <x:c r="I207" s="117" t="str">
        <x:v>ยังไม่ส่ง</x:v>
      </x:c>
      <x:c r="J207" s="141" t="str">
        <x:f>IF(A207="","",IF(G207="","",IF(I207="ส่งแล้ว",0,G207-TODAY())))</x:f>
      </x:c>
      <x:c r="K207" s="114" t="str">
        <x:f>IF(A207="","",IF(G207="","ยังไม่ระบุวัน",IF(I207="ส่งแล้ว",IF(H207="","ส่งแล้ว",IF(INT(H207)&lt;INT(G207),"ส่งก่อนกำหนด "&amp;(INT(G207)-INT(H207))&amp;" วัน",IF(INT(H207)=INT(G207),"ส่งตรงกำหนด","ส่งล่าช้า "&amp;(INT(H207)-INT(G207))&amp;" วัน"))),IFS(G207&lt;TODAY(),"เกินกำหนด "&amp;(TODAY()-G207)&amp;" วัน",G207=TODAY(),"ครบกำหนดวันนี้",G207-TODAY()&lt;=3,"เร่งดำเนินการ",G207-TODAY()&lt;=5,"ต้องติดตาม",G207-TODAY()&lt;=10,"ใกล้ครบกำหนด",TRUE,"อยู่ระหว่างดำเนินการ"))))</x:f>
      </x:c>
      <x:c r="L207" s="114" t="str">
        <x:f>IF(OR(A207="",P207=""),"",HYPERLINK(P207,"เปิดใน Google Calendar"))</x:f>
      </x:c>
      <x:c r="M207" s="111"/>
      <x:c r="N207" s="123"/>
      <x:c r="O207" s="123"/>
      <x:c r="P207" s="123"/>
      <x:c r="Q207" s="126" t="b">
        <x:v>0</x:v>
      </x:c>
      <x:c r="R207" s="126" t="b">
        <x:v>0</x:v>
      </x:c>
      <x:c r="S207" s="126" t="b">
        <x:v>0</x:v>
      </x:c>
      <x:c r="T207" s="126" t="b">
        <x:v>0</x:v>
      </x:c>
      <x:c r="U207" s="144"/>
      <x:c r="V207" s="123"/>
      <x:c r="W207" s="123"/>
      <x:c r="X207" s="126" t="b">
        <x:v>0</x:v>
      </x:c>
    </x:row>
    <x:row r="208" ht="18" customHeight="1">
      <x:c r="A208" s="111"/>
      <x:c r="B208" s="111"/>
      <x:c r="C208" s="111"/>
      <x:c r="D208" s="111"/>
      <x:c r="E208" s="129"/>
      <x:c r="F208" s="138"/>
      <x:c r="G208" s="133" t="str">
        <x:f>IF(OR(A208="",E208="",F208=""),"",E208+F208-IF('ตั้งค่า'!$B$12="นับรวมวันเซ็น",1,0))</x:f>
      </x:c>
      <x:c r="H208" s="134"/>
      <x:c r="I208" s="117" t="str">
        <x:v>ยังไม่ส่ง</x:v>
      </x:c>
      <x:c r="J208" s="141" t="str">
        <x:f>IF(A208="","",IF(G208="","",IF(I208="ส่งแล้ว",0,G208-TODAY())))</x:f>
      </x:c>
      <x:c r="K208" s="114" t="str">
        <x:f>IF(A208="","",IF(G208="","ยังไม่ระบุวัน",IF(I208="ส่งแล้ว",IF(H208="","ส่งแล้ว",IF(INT(H208)&lt;INT(G208),"ส่งก่อนกำหนด "&amp;(INT(G208)-INT(H208))&amp;" วัน",IF(INT(H208)=INT(G208),"ส่งตรงกำหนด","ส่งล่าช้า "&amp;(INT(H208)-INT(G208))&amp;" วัน"))),IFS(G208&lt;TODAY(),"เกินกำหนด "&amp;(TODAY()-G208)&amp;" วัน",G208=TODAY(),"ครบกำหนดวันนี้",G208-TODAY()&lt;=3,"เร่งดำเนินการ",G208-TODAY()&lt;=5,"ต้องติดตาม",G208-TODAY()&lt;=10,"ใกล้ครบกำหนด",TRUE,"อยู่ระหว่างดำเนินการ"))))</x:f>
      </x:c>
      <x:c r="L208" s="114" t="str">
        <x:f>IF(OR(A208="",P208=""),"",HYPERLINK(P208,"เปิดใน Google Calendar"))</x:f>
      </x:c>
      <x:c r="M208" s="111"/>
      <x:c r="N208" s="123"/>
      <x:c r="O208" s="123"/>
      <x:c r="P208" s="123"/>
      <x:c r="Q208" s="126" t="b">
        <x:v>0</x:v>
      </x:c>
      <x:c r="R208" s="126" t="b">
        <x:v>0</x:v>
      </x:c>
      <x:c r="S208" s="126" t="b">
        <x:v>0</x:v>
      </x:c>
      <x:c r="T208" s="126" t="b">
        <x:v>0</x:v>
      </x:c>
      <x:c r="U208" s="144"/>
      <x:c r="V208" s="123"/>
      <x:c r="W208" s="123"/>
      <x:c r="X208" s="126" t="b">
        <x:v>0</x:v>
      </x:c>
    </x:row>
    <x:row r="209" ht="18" customHeight="1">
      <x:c r="A209" s="111"/>
      <x:c r="B209" s="111"/>
      <x:c r="C209" s="111"/>
      <x:c r="D209" s="111"/>
      <x:c r="E209" s="129"/>
      <x:c r="F209" s="138"/>
      <x:c r="G209" s="133" t="str">
        <x:f>IF(OR(A209="",E209="",F209=""),"",E209+F209-IF('ตั้งค่า'!$B$12="นับรวมวันเซ็น",1,0))</x:f>
      </x:c>
      <x:c r="H209" s="134"/>
      <x:c r="I209" s="117" t="str">
        <x:v>ยังไม่ส่ง</x:v>
      </x:c>
      <x:c r="J209" s="141" t="str">
        <x:f>IF(A209="","",IF(G209="","",IF(I209="ส่งแล้ว",0,G209-TODAY())))</x:f>
      </x:c>
      <x:c r="K209" s="114" t="str">
        <x:f>IF(A209="","",IF(G209="","ยังไม่ระบุวัน",IF(I209="ส่งแล้ว",IF(H209="","ส่งแล้ว",IF(INT(H209)&lt;INT(G209),"ส่งก่อนกำหนด "&amp;(INT(G209)-INT(H209))&amp;" วัน",IF(INT(H209)=INT(G209),"ส่งตรงกำหนด","ส่งล่าช้า "&amp;(INT(H209)-INT(G209))&amp;" วัน"))),IFS(G209&lt;TODAY(),"เกินกำหนด "&amp;(TODAY()-G209)&amp;" วัน",G209=TODAY(),"ครบกำหนดวันนี้",G209-TODAY()&lt;=3,"เร่งดำเนินการ",G209-TODAY()&lt;=5,"ต้องติดตาม",G209-TODAY()&lt;=10,"ใกล้ครบกำหนด",TRUE,"อยู่ระหว่างดำเนินการ"))))</x:f>
      </x:c>
      <x:c r="L209" s="114" t="str">
        <x:f>IF(OR(A209="",P209=""),"",HYPERLINK(P209,"เปิดใน Google Calendar"))</x:f>
      </x:c>
      <x:c r="M209" s="111"/>
      <x:c r="N209" s="123"/>
      <x:c r="O209" s="123"/>
      <x:c r="P209" s="123"/>
      <x:c r="Q209" s="126" t="b">
        <x:v>0</x:v>
      </x:c>
      <x:c r="R209" s="126" t="b">
        <x:v>0</x:v>
      </x:c>
      <x:c r="S209" s="126" t="b">
        <x:v>0</x:v>
      </x:c>
      <x:c r="T209" s="126" t="b">
        <x:v>0</x:v>
      </x:c>
      <x:c r="U209" s="144"/>
      <x:c r="V209" s="123"/>
      <x:c r="W209" s="123"/>
      <x:c r="X209" s="126" t="b">
        <x:v>0</x:v>
      </x:c>
    </x:row>
    <x:row r="210" ht="18" customHeight="1">
      <x:c r="A210" s="111"/>
      <x:c r="B210" s="111"/>
      <x:c r="C210" s="111"/>
      <x:c r="D210" s="111"/>
      <x:c r="E210" s="129"/>
      <x:c r="F210" s="138"/>
      <x:c r="G210" s="133" t="str">
        <x:f>IF(OR(A210="",E210="",F210=""),"",E210+F210-IF('ตั้งค่า'!$B$12="นับรวมวันเซ็น",1,0))</x:f>
      </x:c>
      <x:c r="H210" s="134"/>
      <x:c r="I210" s="117" t="str">
        <x:v>ยังไม่ส่ง</x:v>
      </x:c>
      <x:c r="J210" s="141" t="str">
        <x:f>IF(A210="","",IF(G210="","",IF(I210="ส่งแล้ว",0,G210-TODAY())))</x:f>
      </x:c>
      <x:c r="K210" s="114" t="str">
        <x:f>IF(A210="","",IF(G210="","ยังไม่ระบุวัน",IF(I210="ส่งแล้ว",IF(H210="","ส่งแล้ว",IF(INT(H210)&lt;INT(G210),"ส่งก่อนกำหนด "&amp;(INT(G210)-INT(H210))&amp;" วัน",IF(INT(H210)=INT(G210),"ส่งตรงกำหนด","ส่งล่าช้า "&amp;(INT(H210)-INT(G210))&amp;" วัน"))),IFS(G210&lt;TODAY(),"เกินกำหนด "&amp;(TODAY()-G210)&amp;" วัน",G210=TODAY(),"ครบกำหนดวันนี้",G210-TODAY()&lt;=3,"เร่งดำเนินการ",G210-TODAY()&lt;=5,"ต้องติดตาม",G210-TODAY()&lt;=10,"ใกล้ครบกำหนด",TRUE,"อยู่ระหว่างดำเนินการ"))))</x:f>
      </x:c>
      <x:c r="L210" s="114" t="str">
        <x:f>IF(OR(A210="",P210=""),"",HYPERLINK(P210,"เปิดใน Google Calendar"))</x:f>
      </x:c>
      <x:c r="M210" s="111"/>
      <x:c r="N210" s="123"/>
      <x:c r="O210" s="123"/>
      <x:c r="P210" s="123"/>
      <x:c r="Q210" s="126" t="b">
        <x:v>0</x:v>
      </x:c>
      <x:c r="R210" s="126" t="b">
        <x:v>0</x:v>
      </x:c>
      <x:c r="S210" s="126" t="b">
        <x:v>0</x:v>
      </x:c>
      <x:c r="T210" s="126" t="b">
        <x:v>0</x:v>
      </x:c>
      <x:c r="U210" s="144"/>
      <x:c r="V210" s="123"/>
      <x:c r="W210" s="123"/>
      <x:c r="X210" s="126" t="b">
        <x:v>0</x:v>
      </x:c>
    </x:row>
    <x:row r="211" ht="18" customHeight="1">
      <x:c r="A211" s="111"/>
      <x:c r="B211" s="111"/>
      <x:c r="C211" s="111"/>
      <x:c r="D211" s="111"/>
      <x:c r="E211" s="129"/>
      <x:c r="F211" s="138"/>
      <x:c r="G211" s="133" t="str">
        <x:f>IF(OR(A211="",E211="",F211=""),"",E211+F211-IF('ตั้งค่า'!$B$12="นับรวมวันเซ็น",1,0))</x:f>
      </x:c>
      <x:c r="H211" s="134"/>
      <x:c r="I211" s="117" t="str">
        <x:v>ยังไม่ส่ง</x:v>
      </x:c>
      <x:c r="J211" s="141" t="str">
        <x:f>IF(A211="","",IF(G211="","",IF(I211="ส่งแล้ว",0,G211-TODAY())))</x:f>
      </x:c>
      <x:c r="K211" s="114" t="str">
        <x:f>IF(A211="","",IF(G211="","ยังไม่ระบุวัน",IF(I211="ส่งแล้ว",IF(H211="","ส่งแล้ว",IF(INT(H211)&lt;INT(G211),"ส่งก่อนกำหนด "&amp;(INT(G211)-INT(H211))&amp;" วัน",IF(INT(H211)=INT(G211),"ส่งตรงกำหนด","ส่งล่าช้า "&amp;(INT(H211)-INT(G211))&amp;" วัน"))),IFS(G211&lt;TODAY(),"เกินกำหนด "&amp;(TODAY()-G211)&amp;" วัน",G211=TODAY(),"ครบกำหนดวันนี้",G211-TODAY()&lt;=3,"เร่งดำเนินการ",G211-TODAY()&lt;=5,"ต้องติดตาม",G211-TODAY()&lt;=10,"ใกล้ครบกำหนด",TRUE,"อยู่ระหว่างดำเนินการ"))))</x:f>
      </x:c>
      <x:c r="L211" s="114" t="str">
        <x:f>IF(OR(A211="",P211=""),"",HYPERLINK(P211,"เปิดใน Google Calendar"))</x:f>
      </x:c>
      <x:c r="M211" s="111"/>
      <x:c r="N211" s="123"/>
      <x:c r="O211" s="123"/>
      <x:c r="P211" s="123"/>
      <x:c r="Q211" s="126" t="b">
        <x:v>0</x:v>
      </x:c>
      <x:c r="R211" s="126" t="b">
        <x:v>0</x:v>
      </x:c>
      <x:c r="S211" s="126" t="b">
        <x:v>0</x:v>
      </x:c>
      <x:c r="T211" s="126" t="b">
        <x:v>0</x:v>
      </x:c>
      <x:c r="U211" s="144"/>
      <x:c r="V211" s="123"/>
      <x:c r="W211" s="123"/>
      <x:c r="X211" s="126" t="b">
        <x:v>0</x:v>
      </x:c>
    </x:row>
    <x:row r="212" ht="18" customHeight="1">
      <x:c r="A212" s="111"/>
      <x:c r="B212" s="111"/>
      <x:c r="C212" s="111"/>
      <x:c r="D212" s="111"/>
      <x:c r="E212" s="129"/>
      <x:c r="F212" s="138"/>
      <x:c r="G212" s="133" t="str">
        <x:f>IF(OR(A212="",E212="",F212=""),"",E212+F212-IF('ตั้งค่า'!$B$12="นับรวมวันเซ็น",1,0))</x:f>
      </x:c>
      <x:c r="H212" s="134"/>
      <x:c r="I212" s="117" t="str">
        <x:v>ยังไม่ส่ง</x:v>
      </x:c>
      <x:c r="J212" s="141" t="str">
        <x:f>IF(A212="","",IF(G212="","",IF(I212="ส่งแล้ว",0,G212-TODAY())))</x:f>
      </x:c>
      <x:c r="K212" s="114" t="str">
        <x:f>IF(A212="","",IF(G212="","ยังไม่ระบุวัน",IF(I212="ส่งแล้ว",IF(H212="","ส่งแล้ว",IF(INT(H212)&lt;INT(G212),"ส่งก่อนกำหนด "&amp;(INT(G212)-INT(H212))&amp;" วัน",IF(INT(H212)=INT(G212),"ส่งตรงกำหนด","ส่งล่าช้า "&amp;(INT(H212)-INT(G212))&amp;" วัน"))),IFS(G212&lt;TODAY(),"เกินกำหนด "&amp;(TODAY()-G212)&amp;" วัน",G212=TODAY(),"ครบกำหนดวันนี้",G212-TODAY()&lt;=3,"เร่งดำเนินการ",G212-TODAY()&lt;=5,"ต้องติดตาม",G212-TODAY()&lt;=10,"ใกล้ครบกำหนด",TRUE,"อยู่ระหว่างดำเนินการ"))))</x:f>
      </x:c>
      <x:c r="L212" s="114" t="str">
        <x:f>IF(OR(A212="",P212=""),"",HYPERLINK(P212,"เปิดใน Google Calendar"))</x:f>
      </x:c>
      <x:c r="M212" s="111"/>
      <x:c r="N212" s="123"/>
      <x:c r="O212" s="123"/>
      <x:c r="P212" s="123"/>
      <x:c r="Q212" s="126" t="b">
        <x:v>0</x:v>
      </x:c>
      <x:c r="R212" s="126" t="b">
        <x:v>0</x:v>
      </x:c>
      <x:c r="S212" s="126" t="b">
        <x:v>0</x:v>
      </x:c>
      <x:c r="T212" s="126" t="b">
        <x:v>0</x:v>
      </x:c>
      <x:c r="U212" s="144"/>
      <x:c r="V212" s="123"/>
      <x:c r="W212" s="123"/>
      <x:c r="X212" s="126" t="b">
        <x:v>0</x:v>
      </x:c>
    </x:row>
    <x:row r="213" ht="18" customHeight="1">
      <x:c r="A213" s="111"/>
      <x:c r="B213" s="111"/>
      <x:c r="C213" s="111"/>
      <x:c r="D213" s="111"/>
      <x:c r="E213" s="129"/>
      <x:c r="F213" s="138"/>
      <x:c r="G213" s="133" t="str">
        <x:f>IF(OR(A213="",E213="",F213=""),"",E213+F213-IF('ตั้งค่า'!$B$12="นับรวมวันเซ็น",1,0))</x:f>
      </x:c>
      <x:c r="H213" s="134"/>
      <x:c r="I213" s="117" t="str">
        <x:v>ยังไม่ส่ง</x:v>
      </x:c>
      <x:c r="J213" s="141" t="str">
        <x:f>IF(A213="","",IF(G213="","",IF(I213="ส่งแล้ว",0,G213-TODAY())))</x:f>
      </x:c>
      <x:c r="K213" s="114" t="str">
        <x:f>IF(A213="","",IF(G213="","ยังไม่ระบุวัน",IF(I213="ส่งแล้ว",IF(H213="","ส่งแล้ว",IF(INT(H213)&lt;INT(G213),"ส่งก่อนกำหนด "&amp;(INT(G213)-INT(H213))&amp;" วัน",IF(INT(H213)=INT(G213),"ส่งตรงกำหนด","ส่งล่าช้า "&amp;(INT(H213)-INT(G213))&amp;" วัน"))),IFS(G213&lt;TODAY(),"เกินกำหนด "&amp;(TODAY()-G213)&amp;" วัน",G213=TODAY(),"ครบกำหนดวันนี้",G213-TODAY()&lt;=3,"เร่งดำเนินการ",G213-TODAY()&lt;=5,"ต้องติดตาม",G213-TODAY()&lt;=10,"ใกล้ครบกำหนด",TRUE,"อยู่ระหว่างดำเนินการ"))))</x:f>
      </x:c>
      <x:c r="L213" s="114" t="str">
        <x:f>IF(OR(A213="",P213=""),"",HYPERLINK(P213,"เปิดใน Google Calendar"))</x:f>
      </x:c>
      <x:c r="M213" s="111"/>
      <x:c r="N213" s="123"/>
      <x:c r="O213" s="123"/>
      <x:c r="P213" s="123"/>
      <x:c r="Q213" s="126" t="b">
        <x:v>0</x:v>
      </x:c>
      <x:c r="R213" s="126" t="b">
        <x:v>0</x:v>
      </x:c>
      <x:c r="S213" s="126" t="b">
        <x:v>0</x:v>
      </x:c>
      <x:c r="T213" s="126" t="b">
        <x:v>0</x:v>
      </x:c>
      <x:c r="U213" s="144"/>
      <x:c r="V213" s="123"/>
      <x:c r="W213" s="123"/>
      <x:c r="X213" s="126" t="b">
        <x:v>0</x:v>
      </x:c>
    </x:row>
    <x:row r="214" ht="18" customHeight="1">
      <x:c r="A214" s="111"/>
      <x:c r="B214" s="111"/>
      <x:c r="C214" s="111"/>
      <x:c r="D214" s="111"/>
      <x:c r="E214" s="129"/>
      <x:c r="F214" s="138"/>
      <x:c r="G214" s="133" t="str">
        <x:f>IF(OR(A214="",E214="",F214=""),"",E214+F214-IF('ตั้งค่า'!$B$12="นับรวมวันเซ็น",1,0))</x:f>
      </x:c>
      <x:c r="H214" s="134"/>
      <x:c r="I214" s="117" t="str">
        <x:v>ยังไม่ส่ง</x:v>
      </x:c>
      <x:c r="J214" s="141" t="str">
        <x:f>IF(A214="","",IF(G214="","",IF(I214="ส่งแล้ว",0,G214-TODAY())))</x:f>
      </x:c>
      <x:c r="K214" s="114" t="str">
        <x:f>IF(A214="","",IF(G214="","ยังไม่ระบุวัน",IF(I214="ส่งแล้ว",IF(H214="","ส่งแล้ว",IF(INT(H214)&lt;INT(G214),"ส่งก่อนกำหนด "&amp;(INT(G214)-INT(H214))&amp;" วัน",IF(INT(H214)=INT(G214),"ส่งตรงกำหนด","ส่งล่าช้า "&amp;(INT(H214)-INT(G214))&amp;" วัน"))),IFS(G214&lt;TODAY(),"เกินกำหนด "&amp;(TODAY()-G214)&amp;" วัน",G214=TODAY(),"ครบกำหนดวันนี้",G214-TODAY()&lt;=3,"เร่งดำเนินการ",G214-TODAY()&lt;=5,"ต้องติดตาม",G214-TODAY()&lt;=10,"ใกล้ครบกำหนด",TRUE,"อยู่ระหว่างดำเนินการ"))))</x:f>
      </x:c>
      <x:c r="L214" s="114" t="str">
        <x:f>IF(OR(A214="",P214=""),"",HYPERLINK(P214,"เปิดใน Google Calendar"))</x:f>
      </x:c>
      <x:c r="M214" s="111"/>
      <x:c r="N214" s="123"/>
      <x:c r="O214" s="123"/>
      <x:c r="P214" s="123"/>
      <x:c r="Q214" s="126" t="b">
        <x:v>0</x:v>
      </x:c>
      <x:c r="R214" s="126" t="b">
        <x:v>0</x:v>
      </x:c>
      <x:c r="S214" s="126" t="b">
        <x:v>0</x:v>
      </x:c>
      <x:c r="T214" s="126" t="b">
        <x:v>0</x:v>
      </x:c>
      <x:c r="U214" s="144"/>
      <x:c r="V214" s="123"/>
      <x:c r="W214" s="123"/>
      <x:c r="X214" s="126" t="b">
        <x:v>0</x:v>
      </x:c>
    </x:row>
    <x:row r="215" ht="18" customHeight="1">
      <x:c r="A215" s="111"/>
      <x:c r="B215" s="111"/>
      <x:c r="C215" s="111"/>
      <x:c r="D215" s="111"/>
      <x:c r="E215" s="129"/>
      <x:c r="F215" s="138"/>
      <x:c r="G215" s="133" t="str">
        <x:f>IF(OR(A215="",E215="",F215=""),"",E215+F215-IF('ตั้งค่า'!$B$12="นับรวมวันเซ็น",1,0))</x:f>
      </x:c>
      <x:c r="H215" s="134"/>
      <x:c r="I215" s="117" t="str">
        <x:v>ยังไม่ส่ง</x:v>
      </x:c>
      <x:c r="J215" s="141" t="str">
        <x:f>IF(A215="","",IF(G215="","",IF(I215="ส่งแล้ว",0,G215-TODAY())))</x:f>
      </x:c>
      <x:c r="K215" s="114" t="str">
        <x:f>IF(A215="","",IF(G215="","ยังไม่ระบุวัน",IF(I215="ส่งแล้ว",IF(H215="","ส่งแล้ว",IF(INT(H215)&lt;INT(G215),"ส่งก่อนกำหนด "&amp;(INT(G215)-INT(H215))&amp;" วัน",IF(INT(H215)=INT(G215),"ส่งตรงกำหนด","ส่งล่าช้า "&amp;(INT(H215)-INT(G215))&amp;" วัน"))),IFS(G215&lt;TODAY(),"เกินกำหนด "&amp;(TODAY()-G215)&amp;" วัน",G215=TODAY(),"ครบกำหนดวันนี้",G215-TODAY()&lt;=3,"เร่งดำเนินการ",G215-TODAY()&lt;=5,"ต้องติดตาม",G215-TODAY()&lt;=10,"ใกล้ครบกำหนด",TRUE,"อยู่ระหว่างดำเนินการ"))))</x:f>
      </x:c>
      <x:c r="L215" s="114" t="str">
        <x:f>IF(OR(A215="",P215=""),"",HYPERLINK(P215,"เปิดใน Google Calendar"))</x:f>
      </x:c>
      <x:c r="M215" s="111"/>
      <x:c r="N215" s="123"/>
      <x:c r="O215" s="123"/>
      <x:c r="P215" s="123"/>
      <x:c r="Q215" s="126" t="b">
        <x:v>0</x:v>
      </x:c>
      <x:c r="R215" s="126" t="b">
        <x:v>0</x:v>
      </x:c>
      <x:c r="S215" s="126" t="b">
        <x:v>0</x:v>
      </x:c>
      <x:c r="T215" s="126" t="b">
        <x:v>0</x:v>
      </x:c>
      <x:c r="U215" s="144"/>
      <x:c r="V215" s="123"/>
      <x:c r="W215" s="123"/>
      <x:c r="X215" s="126" t="b">
        <x:v>0</x:v>
      </x:c>
    </x:row>
    <x:row r="216" ht="18" customHeight="1">
      <x:c r="A216" s="111"/>
      <x:c r="B216" s="111"/>
      <x:c r="C216" s="111"/>
      <x:c r="D216" s="111"/>
      <x:c r="E216" s="129"/>
      <x:c r="F216" s="138"/>
      <x:c r="G216" s="133" t="str">
        <x:f>IF(OR(A216="",E216="",F216=""),"",E216+F216-IF('ตั้งค่า'!$B$12="นับรวมวันเซ็น",1,0))</x:f>
      </x:c>
      <x:c r="H216" s="134"/>
      <x:c r="I216" s="117" t="str">
        <x:v>ยังไม่ส่ง</x:v>
      </x:c>
      <x:c r="J216" s="141" t="str">
        <x:f>IF(A216="","",IF(G216="","",IF(I216="ส่งแล้ว",0,G216-TODAY())))</x:f>
      </x:c>
      <x:c r="K216" s="114" t="str">
        <x:f>IF(A216="","",IF(G216="","ยังไม่ระบุวัน",IF(I216="ส่งแล้ว",IF(H216="","ส่งแล้ว",IF(INT(H216)&lt;INT(G216),"ส่งก่อนกำหนด "&amp;(INT(G216)-INT(H216))&amp;" วัน",IF(INT(H216)=INT(G216),"ส่งตรงกำหนด","ส่งล่าช้า "&amp;(INT(H216)-INT(G216))&amp;" วัน"))),IFS(G216&lt;TODAY(),"เกินกำหนด "&amp;(TODAY()-G216)&amp;" วัน",G216=TODAY(),"ครบกำหนดวันนี้",G216-TODAY()&lt;=3,"เร่งดำเนินการ",G216-TODAY()&lt;=5,"ต้องติดตาม",G216-TODAY()&lt;=10,"ใกล้ครบกำหนด",TRUE,"อยู่ระหว่างดำเนินการ"))))</x:f>
      </x:c>
      <x:c r="L216" s="114" t="str">
        <x:f>IF(OR(A216="",P216=""),"",HYPERLINK(P216,"เปิดใน Google Calendar"))</x:f>
      </x:c>
      <x:c r="M216" s="111"/>
      <x:c r="N216" s="123"/>
      <x:c r="O216" s="123"/>
      <x:c r="P216" s="123"/>
      <x:c r="Q216" s="126" t="b">
        <x:v>0</x:v>
      </x:c>
      <x:c r="R216" s="126" t="b">
        <x:v>0</x:v>
      </x:c>
      <x:c r="S216" s="126" t="b">
        <x:v>0</x:v>
      </x:c>
      <x:c r="T216" s="126" t="b">
        <x:v>0</x:v>
      </x:c>
      <x:c r="U216" s="144"/>
      <x:c r="V216" s="123"/>
      <x:c r="W216" s="123"/>
      <x:c r="X216" s="126" t="b">
        <x:v>0</x:v>
      </x:c>
    </x:row>
    <x:row r="217" ht="18" customHeight="1">
      <x:c r="A217" s="111"/>
      <x:c r="B217" s="111"/>
      <x:c r="C217" s="111"/>
      <x:c r="D217" s="111"/>
      <x:c r="E217" s="129"/>
      <x:c r="F217" s="138"/>
      <x:c r="G217" s="133" t="str">
        <x:f>IF(OR(A217="",E217="",F217=""),"",E217+F217-IF('ตั้งค่า'!$B$12="นับรวมวันเซ็น",1,0))</x:f>
      </x:c>
      <x:c r="H217" s="134"/>
      <x:c r="I217" s="117" t="str">
        <x:v>ยังไม่ส่ง</x:v>
      </x:c>
      <x:c r="J217" s="141" t="str">
        <x:f>IF(A217="","",IF(G217="","",IF(I217="ส่งแล้ว",0,G217-TODAY())))</x:f>
      </x:c>
      <x:c r="K217" s="114" t="str">
        <x:f>IF(A217="","",IF(G217="","ยังไม่ระบุวัน",IF(I217="ส่งแล้ว",IF(H217="","ส่งแล้ว",IF(INT(H217)&lt;INT(G217),"ส่งก่อนกำหนด "&amp;(INT(G217)-INT(H217))&amp;" วัน",IF(INT(H217)=INT(G217),"ส่งตรงกำหนด","ส่งล่าช้า "&amp;(INT(H217)-INT(G217))&amp;" วัน"))),IFS(G217&lt;TODAY(),"เกินกำหนด "&amp;(TODAY()-G217)&amp;" วัน",G217=TODAY(),"ครบกำหนดวันนี้",G217-TODAY()&lt;=3,"เร่งดำเนินการ",G217-TODAY()&lt;=5,"ต้องติดตาม",G217-TODAY()&lt;=10,"ใกล้ครบกำหนด",TRUE,"อยู่ระหว่างดำเนินการ"))))</x:f>
      </x:c>
      <x:c r="L217" s="114" t="str">
        <x:f>IF(OR(A217="",P217=""),"",HYPERLINK(P217,"เปิดใน Google Calendar"))</x:f>
      </x:c>
      <x:c r="M217" s="111"/>
      <x:c r="N217" s="123"/>
      <x:c r="O217" s="123"/>
      <x:c r="P217" s="123"/>
      <x:c r="Q217" s="126" t="b">
        <x:v>0</x:v>
      </x:c>
      <x:c r="R217" s="126" t="b">
        <x:v>0</x:v>
      </x:c>
      <x:c r="S217" s="126" t="b">
        <x:v>0</x:v>
      </x:c>
      <x:c r="T217" s="126" t="b">
        <x:v>0</x:v>
      </x:c>
      <x:c r="U217" s="144"/>
      <x:c r="V217" s="123"/>
      <x:c r="W217" s="123"/>
      <x:c r="X217" s="126" t="b">
        <x:v>0</x:v>
      </x:c>
    </x:row>
    <x:row r="218" ht="18" customHeight="1">
      <x:c r="A218" s="111"/>
      <x:c r="B218" s="111"/>
      <x:c r="C218" s="111"/>
      <x:c r="D218" s="111"/>
      <x:c r="E218" s="129"/>
      <x:c r="F218" s="138"/>
      <x:c r="G218" s="133" t="str">
        <x:f>IF(OR(A218="",E218="",F218=""),"",E218+F218-IF('ตั้งค่า'!$B$12="นับรวมวันเซ็น",1,0))</x:f>
      </x:c>
      <x:c r="H218" s="134"/>
      <x:c r="I218" s="117" t="str">
        <x:v>ยังไม่ส่ง</x:v>
      </x:c>
      <x:c r="J218" s="141" t="str">
        <x:f>IF(A218="","",IF(G218="","",IF(I218="ส่งแล้ว",0,G218-TODAY())))</x:f>
      </x:c>
      <x:c r="K218" s="114" t="str">
        <x:f>IF(A218="","",IF(G218="","ยังไม่ระบุวัน",IF(I218="ส่งแล้ว",IF(H218="","ส่งแล้ว",IF(INT(H218)&lt;INT(G218),"ส่งก่อนกำหนด "&amp;(INT(G218)-INT(H218))&amp;" วัน",IF(INT(H218)=INT(G218),"ส่งตรงกำหนด","ส่งล่าช้า "&amp;(INT(H218)-INT(G218))&amp;" วัน"))),IFS(G218&lt;TODAY(),"เกินกำหนด "&amp;(TODAY()-G218)&amp;" วัน",G218=TODAY(),"ครบกำหนดวันนี้",G218-TODAY()&lt;=3,"เร่งดำเนินการ",G218-TODAY()&lt;=5,"ต้องติดตาม",G218-TODAY()&lt;=10,"ใกล้ครบกำหนด",TRUE,"อยู่ระหว่างดำเนินการ"))))</x:f>
      </x:c>
      <x:c r="L218" s="114" t="str">
        <x:f>IF(OR(A218="",P218=""),"",HYPERLINK(P218,"เปิดใน Google Calendar"))</x:f>
      </x:c>
      <x:c r="M218" s="111"/>
      <x:c r="N218" s="123"/>
      <x:c r="O218" s="123"/>
      <x:c r="P218" s="123"/>
      <x:c r="Q218" s="126" t="b">
        <x:v>0</x:v>
      </x:c>
      <x:c r="R218" s="126" t="b">
        <x:v>0</x:v>
      </x:c>
      <x:c r="S218" s="126" t="b">
        <x:v>0</x:v>
      </x:c>
      <x:c r="T218" s="126" t="b">
        <x:v>0</x:v>
      </x:c>
      <x:c r="U218" s="144"/>
      <x:c r="V218" s="123"/>
      <x:c r="W218" s="123"/>
      <x:c r="X218" s="126" t="b">
        <x:v>0</x:v>
      </x:c>
    </x:row>
    <x:row r="219" ht="18" customHeight="1">
      <x:c r="A219" s="111"/>
      <x:c r="B219" s="111"/>
      <x:c r="C219" s="111"/>
      <x:c r="D219" s="111"/>
      <x:c r="E219" s="129"/>
      <x:c r="F219" s="138"/>
      <x:c r="G219" s="133" t="str">
        <x:f>IF(OR(A219="",E219="",F219=""),"",E219+F219-IF('ตั้งค่า'!$B$12="นับรวมวันเซ็น",1,0))</x:f>
      </x:c>
      <x:c r="H219" s="134"/>
      <x:c r="I219" s="117" t="str">
        <x:v>ยังไม่ส่ง</x:v>
      </x:c>
      <x:c r="J219" s="141" t="str">
        <x:f>IF(A219="","",IF(G219="","",IF(I219="ส่งแล้ว",0,G219-TODAY())))</x:f>
      </x:c>
      <x:c r="K219" s="114" t="str">
        <x:f>IF(A219="","",IF(G219="","ยังไม่ระบุวัน",IF(I219="ส่งแล้ว",IF(H219="","ส่งแล้ว",IF(INT(H219)&lt;INT(G219),"ส่งก่อนกำหนด "&amp;(INT(G219)-INT(H219))&amp;" วัน",IF(INT(H219)=INT(G219),"ส่งตรงกำหนด","ส่งล่าช้า "&amp;(INT(H219)-INT(G219))&amp;" วัน"))),IFS(G219&lt;TODAY(),"เกินกำหนด "&amp;(TODAY()-G219)&amp;" วัน",G219=TODAY(),"ครบกำหนดวันนี้",G219-TODAY()&lt;=3,"เร่งดำเนินการ",G219-TODAY()&lt;=5,"ต้องติดตาม",G219-TODAY()&lt;=10,"ใกล้ครบกำหนด",TRUE,"อยู่ระหว่างดำเนินการ"))))</x:f>
      </x:c>
      <x:c r="L219" s="114" t="str">
        <x:f>IF(OR(A219="",P219=""),"",HYPERLINK(P219,"เปิดใน Google Calendar"))</x:f>
      </x:c>
      <x:c r="M219" s="111"/>
      <x:c r="N219" s="123"/>
      <x:c r="O219" s="123"/>
      <x:c r="P219" s="123"/>
      <x:c r="Q219" s="126" t="b">
        <x:v>0</x:v>
      </x:c>
      <x:c r="R219" s="126" t="b">
        <x:v>0</x:v>
      </x:c>
      <x:c r="S219" s="126" t="b">
        <x:v>0</x:v>
      </x:c>
      <x:c r="T219" s="126" t="b">
        <x:v>0</x:v>
      </x:c>
      <x:c r="U219" s="144"/>
      <x:c r="V219" s="123"/>
      <x:c r="W219" s="123"/>
      <x:c r="X219" s="126" t="b">
        <x:v>0</x:v>
      </x:c>
    </x:row>
    <x:row r="220" ht="18" customHeight="1">
      <x:c r="A220" s="111"/>
      <x:c r="B220" s="111"/>
      <x:c r="C220" s="111"/>
      <x:c r="D220" s="111"/>
      <x:c r="E220" s="129"/>
      <x:c r="F220" s="138"/>
      <x:c r="G220" s="133" t="str">
        <x:f>IF(OR(A220="",E220="",F220=""),"",E220+F220-IF('ตั้งค่า'!$B$12="นับรวมวันเซ็น",1,0))</x:f>
      </x:c>
      <x:c r="H220" s="134"/>
      <x:c r="I220" s="117" t="str">
        <x:v>ยังไม่ส่ง</x:v>
      </x:c>
      <x:c r="J220" s="141" t="str">
        <x:f>IF(A220="","",IF(G220="","",IF(I220="ส่งแล้ว",0,G220-TODAY())))</x:f>
      </x:c>
      <x:c r="K220" s="114" t="str">
        <x:f>IF(A220="","",IF(G220="","ยังไม่ระบุวัน",IF(I220="ส่งแล้ว",IF(H220="","ส่งแล้ว",IF(INT(H220)&lt;INT(G220),"ส่งก่อนกำหนด "&amp;(INT(G220)-INT(H220))&amp;" วัน",IF(INT(H220)=INT(G220),"ส่งตรงกำหนด","ส่งล่าช้า "&amp;(INT(H220)-INT(G220))&amp;" วัน"))),IFS(G220&lt;TODAY(),"เกินกำหนด "&amp;(TODAY()-G220)&amp;" วัน",G220=TODAY(),"ครบกำหนดวันนี้",G220-TODAY()&lt;=3,"เร่งดำเนินการ",G220-TODAY()&lt;=5,"ต้องติดตาม",G220-TODAY()&lt;=10,"ใกล้ครบกำหนด",TRUE,"อยู่ระหว่างดำเนินการ"))))</x:f>
      </x:c>
      <x:c r="L220" s="114" t="str">
        <x:f>IF(OR(A220="",P220=""),"",HYPERLINK(P220,"เปิดใน Google Calendar"))</x:f>
      </x:c>
      <x:c r="M220" s="111"/>
      <x:c r="N220" s="123"/>
      <x:c r="O220" s="123"/>
      <x:c r="P220" s="123"/>
      <x:c r="Q220" s="126" t="b">
        <x:v>0</x:v>
      </x:c>
      <x:c r="R220" s="126" t="b">
        <x:v>0</x:v>
      </x:c>
      <x:c r="S220" s="126" t="b">
        <x:v>0</x:v>
      </x:c>
      <x:c r="T220" s="126" t="b">
        <x:v>0</x:v>
      </x:c>
      <x:c r="U220" s="144"/>
      <x:c r="V220" s="123"/>
      <x:c r="W220" s="123"/>
      <x:c r="X220" s="126" t="b">
        <x:v>0</x:v>
      </x:c>
    </x:row>
    <x:row r="221" ht="18" customHeight="1">
      <x:c r="A221" s="111"/>
      <x:c r="B221" s="111"/>
      <x:c r="C221" s="111"/>
      <x:c r="D221" s="111"/>
      <x:c r="E221" s="129"/>
      <x:c r="F221" s="138"/>
      <x:c r="G221" s="133" t="str">
        <x:f>IF(OR(A221="",E221="",F221=""),"",E221+F221-IF('ตั้งค่า'!$B$12="นับรวมวันเซ็น",1,0))</x:f>
      </x:c>
      <x:c r="H221" s="134"/>
      <x:c r="I221" s="117" t="str">
        <x:v>ยังไม่ส่ง</x:v>
      </x:c>
      <x:c r="J221" s="141" t="str">
        <x:f>IF(A221="","",IF(G221="","",IF(I221="ส่งแล้ว",0,G221-TODAY())))</x:f>
      </x:c>
      <x:c r="K221" s="114" t="str">
        <x:f>IF(A221="","",IF(G221="","ยังไม่ระบุวัน",IF(I221="ส่งแล้ว",IF(H221="","ส่งแล้ว",IF(INT(H221)&lt;INT(G221),"ส่งก่อนกำหนด "&amp;(INT(G221)-INT(H221))&amp;" วัน",IF(INT(H221)=INT(G221),"ส่งตรงกำหนด","ส่งล่าช้า "&amp;(INT(H221)-INT(G221))&amp;" วัน"))),IFS(G221&lt;TODAY(),"เกินกำหนด "&amp;(TODAY()-G221)&amp;" วัน",G221=TODAY(),"ครบกำหนดวันนี้",G221-TODAY()&lt;=3,"เร่งดำเนินการ",G221-TODAY()&lt;=5,"ต้องติดตาม",G221-TODAY()&lt;=10,"ใกล้ครบกำหนด",TRUE,"อยู่ระหว่างดำเนินการ"))))</x:f>
      </x:c>
      <x:c r="L221" s="114" t="str">
        <x:f>IF(OR(A221="",P221=""),"",HYPERLINK(P221,"เปิดใน Google Calendar"))</x:f>
      </x:c>
      <x:c r="M221" s="111"/>
      <x:c r="N221" s="123"/>
      <x:c r="O221" s="123"/>
      <x:c r="P221" s="123"/>
      <x:c r="Q221" s="126" t="b">
        <x:v>0</x:v>
      </x:c>
      <x:c r="R221" s="126" t="b">
        <x:v>0</x:v>
      </x:c>
      <x:c r="S221" s="126" t="b">
        <x:v>0</x:v>
      </x:c>
      <x:c r="T221" s="126" t="b">
        <x:v>0</x:v>
      </x:c>
      <x:c r="U221" s="144"/>
      <x:c r="V221" s="123"/>
      <x:c r="W221" s="123"/>
      <x:c r="X221" s="126" t="b">
        <x:v>0</x:v>
      </x:c>
    </x:row>
    <x:row r="222" ht="18" customHeight="1">
      <x:c r="A222" s="111"/>
      <x:c r="B222" s="111"/>
      <x:c r="C222" s="111"/>
      <x:c r="D222" s="111"/>
      <x:c r="E222" s="129"/>
      <x:c r="F222" s="138"/>
      <x:c r="G222" s="133" t="str">
        <x:f>IF(OR(A222="",E222="",F222=""),"",E222+F222-IF('ตั้งค่า'!$B$12="นับรวมวันเซ็น",1,0))</x:f>
      </x:c>
      <x:c r="H222" s="134"/>
      <x:c r="I222" s="117" t="str">
        <x:v>ยังไม่ส่ง</x:v>
      </x:c>
      <x:c r="J222" s="141" t="str">
        <x:f>IF(A222="","",IF(G222="","",IF(I222="ส่งแล้ว",0,G222-TODAY())))</x:f>
      </x:c>
      <x:c r="K222" s="114" t="str">
        <x:f>IF(A222="","",IF(G222="","ยังไม่ระบุวัน",IF(I222="ส่งแล้ว",IF(H222="","ส่งแล้ว",IF(INT(H222)&lt;INT(G222),"ส่งก่อนกำหนด "&amp;(INT(G222)-INT(H222))&amp;" วัน",IF(INT(H222)=INT(G222),"ส่งตรงกำหนด","ส่งล่าช้า "&amp;(INT(H222)-INT(G222))&amp;" วัน"))),IFS(G222&lt;TODAY(),"เกินกำหนด "&amp;(TODAY()-G222)&amp;" วัน",G222=TODAY(),"ครบกำหนดวันนี้",G222-TODAY()&lt;=3,"เร่งดำเนินการ",G222-TODAY()&lt;=5,"ต้องติดตาม",G222-TODAY()&lt;=10,"ใกล้ครบกำหนด",TRUE,"อยู่ระหว่างดำเนินการ"))))</x:f>
      </x:c>
      <x:c r="L222" s="114" t="str">
        <x:f>IF(OR(A222="",P222=""),"",HYPERLINK(P222,"เปิดใน Google Calendar"))</x:f>
      </x:c>
      <x:c r="M222" s="111"/>
      <x:c r="N222" s="123"/>
      <x:c r="O222" s="123"/>
      <x:c r="P222" s="123"/>
      <x:c r="Q222" s="126" t="b">
        <x:v>0</x:v>
      </x:c>
      <x:c r="R222" s="126" t="b">
        <x:v>0</x:v>
      </x:c>
      <x:c r="S222" s="126" t="b">
        <x:v>0</x:v>
      </x:c>
      <x:c r="T222" s="126" t="b">
        <x:v>0</x:v>
      </x:c>
      <x:c r="U222" s="144"/>
      <x:c r="V222" s="123"/>
      <x:c r="W222" s="123"/>
      <x:c r="X222" s="126" t="b">
        <x:v>0</x:v>
      </x:c>
    </x:row>
    <x:row r="223" ht="18" customHeight="1">
      <x:c r="A223" s="111"/>
      <x:c r="B223" s="111"/>
      <x:c r="C223" s="111"/>
      <x:c r="D223" s="111"/>
      <x:c r="E223" s="129"/>
      <x:c r="F223" s="138"/>
      <x:c r="G223" s="133" t="str">
        <x:f>IF(OR(A223="",E223="",F223=""),"",E223+F223-IF('ตั้งค่า'!$B$12="นับรวมวันเซ็น",1,0))</x:f>
      </x:c>
      <x:c r="H223" s="134"/>
      <x:c r="I223" s="117" t="str">
        <x:v>ยังไม่ส่ง</x:v>
      </x:c>
      <x:c r="J223" s="141" t="str">
        <x:f>IF(A223="","",IF(G223="","",IF(I223="ส่งแล้ว",0,G223-TODAY())))</x:f>
      </x:c>
      <x:c r="K223" s="114" t="str">
        <x:f>IF(A223="","",IF(G223="","ยังไม่ระบุวัน",IF(I223="ส่งแล้ว",IF(H223="","ส่งแล้ว",IF(INT(H223)&lt;INT(G223),"ส่งก่อนกำหนด "&amp;(INT(G223)-INT(H223))&amp;" วัน",IF(INT(H223)=INT(G223),"ส่งตรงกำหนด","ส่งล่าช้า "&amp;(INT(H223)-INT(G223))&amp;" วัน"))),IFS(G223&lt;TODAY(),"เกินกำหนด "&amp;(TODAY()-G223)&amp;" วัน",G223=TODAY(),"ครบกำหนดวันนี้",G223-TODAY()&lt;=3,"เร่งดำเนินการ",G223-TODAY()&lt;=5,"ต้องติดตาม",G223-TODAY()&lt;=10,"ใกล้ครบกำหนด",TRUE,"อยู่ระหว่างดำเนินการ"))))</x:f>
      </x:c>
      <x:c r="L223" s="114" t="str">
        <x:f>IF(OR(A223="",P223=""),"",HYPERLINK(P223,"เปิดใน Google Calendar"))</x:f>
      </x:c>
      <x:c r="M223" s="111"/>
      <x:c r="N223" s="123"/>
      <x:c r="O223" s="123"/>
      <x:c r="P223" s="123"/>
      <x:c r="Q223" s="126" t="b">
        <x:v>0</x:v>
      </x:c>
      <x:c r="R223" s="126" t="b">
        <x:v>0</x:v>
      </x:c>
      <x:c r="S223" s="126" t="b">
        <x:v>0</x:v>
      </x:c>
      <x:c r="T223" s="126" t="b">
        <x:v>0</x:v>
      </x:c>
      <x:c r="U223" s="144"/>
      <x:c r="V223" s="123"/>
      <x:c r="W223" s="123"/>
      <x:c r="X223" s="126" t="b">
        <x:v>0</x:v>
      </x:c>
    </x:row>
    <x:row r="224" ht="18" customHeight="1">
      <x:c r="A224" s="111"/>
      <x:c r="B224" s="111"/>
      <x:c r="C224" s="111"/>
      <x:c r="D224" s="111"/>
      <x:c r="E224" s="129"/>
      <x:c r="F224" s="138"/>
      <x:c r="G224" s="133" t="str">
        <x:f>IF(OR(A224="",E224="",F224=""),"",E224+F224-IF('ตั้งค่า'!$B$12="นับรวมวันเซ็น",1,0))</x:f>
      </x:c>
      <x:c r="H224" s="134"/>
      <x:c r="I224" s="117" t="str">
        <x:v>ยังไม่ส่ง</x:v>
      </x:c>
      <x:c r="J224" s="141" t="str">
        <x:f>IF(A224="","",IF(G224="","",IF(I224="ส่งแล้ว",0,G224-TODAY())))</x:f>
      </x:c>
      <x:c r="K224" s="114" t="str">
        <x:f>IF(A224="","",IF(G224="","ยังไม่ระบุวัน",IF(I224="ส่งแล้ว",IF(H224="","ส่งแล้ว",IF(INT(H224)&lt;INT(G224),"ส่งก่อนกำหนด "&amp;(INT(G224)-INT(H224))&amp;" วัน",IF(INT(H224)=INT(G224),"ส่งตรงกำหนด","ส่งล่าช้า "&amp;(INT(H224)-INT(G224))&amp;" วัน"))),IFS(G224&lt;TODAY(),"เกินกำหนด "&amp;(TODAY()-G224)&amp;" วัน",G224=TODAY(),"ครบกำหนดวันนี้",G224-TODAY()&lt;=3,"เร่งดำเนินการ",G224-TODAY()&lt;=5,"ต้องติดตาม",G224-TODAY()&lt;=10,"ใกล้ครบกำหนด",TRUE,"อยู่ระหว่างดำเนินการ"))))</x:f>
      </x:c>
      <x:c r="L224" s="114" t="str">
        <x:f>IF(OR(A224="",P224=""),"",HYPERLINK(P224,"เปิดใน Google Calendar"))</x:f>
      </x:c>
      <x:c r="M224" s="111"/>
      <x:c r="N224" s="123"/>
      <x:c r="O224" s="123"/>
      <x:c r="P224" s="123"/>
      <x:c r="Q224" s="126" t="b">
        <x:v>0</x:v>
      </x:c>
      <x:c r="R224" s="126" t="b">
        <x:v>0</x:v>
      </x:c>
      <x:c r="S224" s="126" t="b">
        <x:v>0</x:v>
      </x:c>
      <x:c r="T224" s="126" t="b">
        <x:v>0</x:v>
      </x:c>
      <x:c r="U224" s="144"/>
      <x:c r="V224" s="123"/>
      <x:c r="W224" s="123"/>
      <x:c r="X224" s="126" t="b">
        <x:v>0</x:v>
      </x:c>
    </x:row>
    <x:row r="225" ht="18" customHeight="1">
      <x:c r="A225" s="111"/>
      <x:c r="B225" s="111"/>
      <x:c r="C225" s="111"/>
      <x:c r="D225" s="111"/>
      <x:c r="E225" s="129"/>
      <x:c r="F225" s="138"/>
      <x:c r="G225" s="133" t="str">
        <x:f>IF(OR(A225="",E225="",F225=""),"",E225+F225-IF('ตั้งค่า'!$B$12="นับรวมวันเซ็น",1,0))</x:f>
      </x:c>
      <x:c r="H225" s="134"/>
      <x:c r="I225" s="117" t="str">
        <x:v>ยังไม่ส่ง</x:v>
      </x:c>
      <x:c r="J225" s="141" t="str">
        <x:f>IF(A225="","",IF(G225="","",IF(I225="ส่งแล้ว",0,G225-TODAY())))</x:f>
      </x:c>
      <x:c r="K225" s="114" t="str">
        <x:f>IF(A225="","",IF(G225="","ยังไม่ระบุวัน",IF(I225="ส่งแล้ว",IF(H225="","ส่งแล้ว",IF(INT(H225)&lt;INT(G225),"ส่งก่อนกำหนด "&amp;(INT(G225)-INT(H225))&amp;" วัน",IF(INT(H225)=INT(G225),"ส่งตรงกำหนด","ส่งล่าช้า "&amp;(INT(H225)-INT(G225))&amp;" วัน"))),IFS(G225&lt;TODAY(),"เกินกำหนด "&amp;(TODAY()-G225)&amp;" วัน",G225=TODAY(),"ครบกำหนดวันนี้",G225-TODAY()&lt;=3,"เร่งดำเนินการ",G225-TODAY()&lt;=5,"ต้องติดตาม",G225-TODAY()&lt;=10,"ใกล้ครบกำหนด",TRUE,"อยู่ระหว่างดำเนินการ"))))</x:f>
      </x:c>
      <x:c r="L225" s="114" t="str">
        <x:f>IF(OR(A225="",P225=""),"",HYPERLINK(P225,"เปิดใน Google Calendar"))</x:f>
      </x:c>
      <x:c r="M225" s="111"/>
      <x:c r="N225" s="123"/>
      <x:c r="O225" s="123"/>
      <x:c r="P225" s="123"/>
      <x:c r="Q225" s="126" t="b">
        <x:v>0</x:v>
      </x:c>
      <x:c r="R225" s="126" t="b">
        <x:v>0</x:v>
      </x:c>
      <x:c r="S225" s="126" t="b">
        <x:v>0</x:v>
      </x:c>
      <x:c r="T225" s="126" t="b">
        <x:v>0</x:v>
      </x:c>
      <x:c r="U225" s="144"/>
      <x:c r="V225" s="123"/>
      <x:c r="W225" s="123"/>
      <x:c r="X225" s="126" t="b">
        <x:v>0</x:v>
      </x:c>
    </x:row>
    <x:row r="226" ht="18" customHeight="1">
      <x:c r="A226" s="111"/>
      <x:c r="B226" s="111"/>
      <x:c r="C226" s="111"/>
      <x:c r="D226" s="111"/>
      <x:c r="E226" s="129"/>
      <x:c r="F226" s="138"/>
      <x:c r="G226" s="133" t="str">
        <x:f>IF(OR(A226="",E226="",F226=""),"",E226+F226-IF('ตั้งค่า'!$B$12="นับรวมวันเซ็น",1,0))</x:f>
      </x:c>
      <x:c r="H226" s="134"/>
      <x:c r="I226" s="117" t="str">
        <x:v>ยังไม่ส่ง</x:v>
      </x:c>
      <x:c r="J226" s="141" t="str">
        <x:f>IF(A226="","",IF(G226="","",IF(I226="ส่งแล้ว",0,G226-TODAY())))</x:f>
      </x:c>
      <x:c r="K226" s="114" t="str">
        <x:f>IF(A226="","",IF(G226="","ยังไม่ระบุวัน",IF(I226="ส่งแล้ว",IF(H226="","ส่งแล้ว",IF(INT(H226)&lt;INT(G226),"ส่งก่อนกำหนด "&amp;(INT(G226)-INT(H226))&amp;" วัน",IF(INT(H226)=INT(G226),"ส่งตรงกำหนด","ส่งล่าช้า "&amp;(INT(H226)-INT(G226))&amp;" วัน"))),IFS(G226&lt;TODAY(),"เกินกำหนด "&amp;(TODAY()-G226)&amp;" วัน",G226=TODAY(),"ครบกำหนดวันนี้",G226-TODAY()&lt;=3,"เร่งดำเนินการ",G226-TODAY()&lt;=5,"ต้องติดตาม",G226-TODAY()&lt;=10,"ใกล้ครบกำหนด",TRUE,"อยู่ระหว่างดำเนินการ"))))</x:f>
      </x:c>
      <x:c r="L226" s="114" t="str">
        <x:f>IF(OR(A226="",P226=""),"",HYPERLINK(P226,"เปิดใน Google Calendar"))</x:f>
      </x:c>
      <x:c r="M226" s="111"/>
      <x:c r="N226" s="123"/>
      <x:c r="O226" s="123"/>
      <x:c r="P226" s="123"/>
      <x:c r="Q226" s="126" t="b">
        <x:v>0</x:v>
      </x:c>
      <x:c r="R226" s="126" t="b">
        <x:v>0</x:v>
      </x:c>
      <x:c r="S226" s="126" t="b">
        <x:v>0</x:v>
      </x:c>
      <x:c r="T226" s="126" t="b">
        <x:v>0</x:v>
      </x:c>
      <x:c r="U226" s="144"/>
      <x:c r="V226" s="123"/>
      <x:c r="W226" s="123"/>
      <x:c r="X226" s="126" t="b">
        <x:v>0</x:v>
      </x:c>
    </x:row>
    <x:row r="227" ht="18" customHeight="1">
      <x:c r="A227" s="111"/>
      <x:c r="B227" s="111"/>
      <x:c r="C227" s="111"/>
      <x:c r="D227" s="111"/>
      <x:c r="E227" s="129"/>
      <x:c r="F227" s="138"/>
      <x:c r="G227" s="133" t="str">
        <x:f>IF(OR(A227="",E227="",F227=""),"",E227+F227-IF('ตั้งค่า'!$B$12="นับรวมวันเซ็น",1,0))</x:f>
      </x:c>
      <x:c r="H227" s="134"/>
      <x:c r="I227" s="117" t="str">
        <x:v>ยังไม่ส่ง</x:v>
      </x:c>
      <x:c r="J227" s="141" t="str">
        <x:f>IF(A227="","",IF(G227="","",IF(I227="ส่งแล้ว",0,G227-TODAY())))</x:f>
      </x:c>
      <x:c r="K227" s="114" t="str">
        <x:f>IF(A227="","",IF(G227="","ยังไม่ระบุวัน",IF(I227="ส่งแล้ว",IF(H227="","ส่งแล้ว",IF(INT(H227)&lt;INT(G227),"ส่งก่อนกำหนด "&amp;(INT(G227)-INT(H227))&amp;" วัน",IF(INT(H227)=INT(G227),"ส่งตรงกำหนด","ส่งล่าช้า "&amp;(INT(H227)-INT(G227))&amp;" วัน"))),IFS(G227&lt;TODAY(),"เกินกำหนด "&amp;(TODAY()-G227)&amp;" วัน",G227=TODAY(),"ครบกำหนดวันนี้",G227-TODAY()&lt;=3,"เร่งดำเนินการ",G227-TODAY()&lt;=5,"ต้องติดตาม",G227-TODAY()&lt;=10,"ใกล้ครบกำหนด",TRUE,"อยู่ระหว่างดำเนินการ"))))</x:f>
      </x:c>
      <x:c r="L227" s="114" t="str">
        <x:f>IF(OR(A227="",P227=""),"",HYPERLINK(P227,"เปิดใน Google Calendar"))</x:f>
      </x:c>
      <x:c r="M227" s="111"/>
      <x:c r="N227" s="123"/>
      <x:c r="O227" s="123"/>
      <x:c r="P227" s="123"/>
      <x:c r="Q227" s="126" t="b">
        <x:v>0</x:v>
      </x:c>
      <x:c r="R227" s="126" t="b">
        <x:v>0</x:v>
      </x:c>
      <x:c r="S227" s="126" t="b">
        <x:v>0</x:v>
      </x:c>
      <x:c r="T227" s="126" t="b">
        <x:v>0</x:v>
      </x:c>
      <x:c r="U227" s="144"/>
      <x:c r="V227" s="123"/>
      <x:c r="W227" s="123"/>
      <x:c r="X227" s="126" t="b">
        <x:v>0</x:v>
      </x:c>
    </x:row>
    <x:row r="228" ht="18" customHeight="1">
      <x:c r="A228" s="111"/>
      <x:c r="B228" s="111"/>
      <x:c r="C228" s="111"/>
      <x:c r="D228" s="111"/>
      <x:c r="E228" s="129"/>
      <x:c r="F228" s="138"/>
      <x:c r="G228" s="133" t="str">
        <x:f>IF(OR(A228="",E228="",F228=""),"",E228+F228-IF('ตั้งค่า'!$B$12="นับรวมวันเซ็น",1,0))</x:f>
      </x:c>
      <x:c r="H228" s="134"/>
      <x:c r="I228" s="117" t="str">
        <x:v>ยังไม่ส่ง</x:v>
      </x:c>
      <x:c r="J228" s="141" t="str">
        <x:f>IF(A228="","",IF(G228="","",IF(I228="ส่งแล้ว",0,G228-TODAY())))</x:f>
      </x:c>
      <x:c r="K228" s="114" t="str">
        <x:f>IF(A228="","",IF(G228="","ยังไม่ระบุวัน",IF(I228="ส่งแล้ว",IF(H228="","ส่งแล้ว",IF(INT(H228)&lt;INT(G228),"ส่งก่อนกำหนด "&amp;(INT(G228)-INT(H228))&amp;" วัน",IF(INT(H228)=INT(G228),"ส่งตรงกำหนด","ส่งล่าช้า "&amp;(INT(H228)-INT(G228))&amp;" วัน"))),IFS(G228&lt;TODAY(),"เกินกำหนด "&amp;(TODAY()-G228)&amp;" วัน",G228=TODAY(),"ครบกำหนดวันนี้",G228-TODAY()&lt;=3,"เร่งดำเนินการ",G228-TODAY()&lt;=5,"ต้องติดตาม",G228-TODAY()&lt;=10,"ใกล้ครบกำหนด",TRUE,"อยู่ระหว่างดำเนินการ"))))</x:f>
      </x:c>
      <x:c r="L228" s="114" t="str">
        <x:f>IF(OR(A228="",P228=""),"",HYPERLINK(P228,"เปิดใน Google Calendar"))</x:f>
      </x:c>
      <x:c r="M228" s="111"/>
      <x:c r="N228" s="123"/>
      <x:c r="O228" s="123"/>
      <x:c r="P228" s="123"/>
      <x:c r="Q228" s="126" t="b">
        <x:v>0</x:v>
      </x:c>
      <x:c r="R228" s="126" t="b">
        <x:v>0</x:v>
      </x:c>
      <x:c r="S228" s="126" t="b">
        <x:v>0</x:v>
      </x:c>
      <x:c r="T228" s="126" t="b">
        <x:v>0</x:v>
      </x:c>
      <x:c r="U228" s="144"/>
      <x:c r="V228" s="123"/>
      <x:c r="W228" s="123"/>
      <x:c r="X228" s="126" t="b">
        <x:v>0</x:v>
      </x:c>
    </x:row>
    <x:row r="229" ht="18" customHeight="1">
      <x:c r="A229" s="111"/>
      <x:c r="B229" s="111"/>
      <x:c r="C229" s="111"/>
      <x:c r="D229" s="111"/>
      <x:c r="E229" s="129"/>
      <x:c r="F229" s="138"/>
      <x:c r="G229" s="133" t="str">
        <x:f>IF(OR(A229="",E229="",F229=""),"",E229+F229-IF('ตั้งค่า'!$B$12="นับรวมวันเซ็น",1,0))</x:f>
      </x:c>
      <x:c r="H229" s="134"/>
      <x:c r="I229" s="117" t="str">
        <x:v>ยังไม่ส่ง</x:v>
      </x:c>
      <x:c r="J229" s="141" t="str">
        <x:f>IF(A229="","",IF(G229="","",IF(I229="ส่งแล้ว",0,G229-TODAY())))</x:f>
      </x:c>
      <x:c r="K229" s="114" t="str">
        <x:f>IF(A229="","",IF(G229="","ยังไม่ระบุวัน",IF(I229="ส่งแล้ว",IF(H229="","ส่งแล้ว",IF(INT(H229)&lt;INT(G229),"ส่งก่อนกำหนด "&amp;(INT(G229)-INT(H229))&amp;" วัน",IF(INT(H229)=INT(G229),"ส่งตรงกำหนด","ส่งล่าช้า "&amp;(INT(H229)-INT(G229))&amp;" วัน"))),IFS(G229&lt;TODAY(),"เกินกำหนด "&amp;(TODAY()-G229)&amp;" วัน",G229=TODAY(),"ครบกำหนดวันนี้",G229-TODAY()&lt;=3,"เร่งดำเนินการ",G229-TODAY()&lt;=5,"ต้องติดตาม",G229-TODAY()&lt;=10,"ใกล้ครบกำหนด",TRUE,"อยู่ระหว่างดำเนินการ"))))</x:f>
      </x:c>
      <x:c r="L229" s="114" t="str">
        <x:f>IF(OR(A229="",P229=""),"",HYPERLINK(P229,"เปิดใน Google Calendar"))</x:f>
      </x:c>
      <x:c r="M229" s="111"/>
      <x:c r="N229" s="123"/>
      <x:c r="O229" s="123"/>
      <x:c r="P229" s="123"/>
      <x:c r="Q229" s="126" t="b">
        <x:v>0</x:v>
      </x:c>
      <x:c r="R229" s="126" t="b">
        <x:v>0</x:v>
      </x:c>
      <x:c r="S229" s="126" t="b">
        <x:v>0</x:v>
      </x:c>
      <x:c r="T229" s="126" t="b">
        <x:v>0</x:v>
      </x:c>
      <x:c r="U229" s="144"/>
      <x:c r="V229" s="123"/>
      <x:c r="W229" s="123"/>
      <x:c r="X229" s="126" t="b">
        <x:v>0</x:v>
      </x:c>
    </x:row>
    <x:row r="230" ht="18" customHeight="1">
      <x:c r="A230" s="111"/>
      <x:c r="B230" s="111"/>
      <x:c r="C230" s="111"/>
      <x:c r="D230" s="111"/>
      <x:c r="E230" s="129"/>
      <x:c r="F230" s="138"/>
      <x:c r="G230" s="133" t="str">
        <x:f>IF(OR(A230="",E230="",F230=""),"",E230+F230-IF('ตั้งค่า'!$B$12="นับรวมวันเซ็น",1,0))</x:f>
      </x:c>
      <x:c r="H230" s="134"/>
      <x:c r="I230" s="117" t="str">
        <x:v>ยังไม่ส่ง</x:v>
      </x:c>
      <x:c r="J230" s="141" t="str">
        <x:f>IF(A230="","",IF(G230="","",IF(I230="ส่งแล้ว",0,G230-TODAY())))</x:f>
      </x:c>
      <x:c r="K230" s="114" t="str">
        <x:f>IF(A230="","",IF(G230="","ยังไม่ระบุวัน",IF(I230="ส่งแล้ว",IF(H230="","ส่งแล้ว",IF(INT(H230)&lt;INT(G230),"ส่งก่อนกำหนด "&amp;(INT(G230)-INT(H230))&amp;" วัน",IF(INT(H230)=INT(G230),"ส่งตรงกำหนด","ส่งล่าช้า "&amp;(INT(H230)-INT(G230))&amp;" วัน"))),IFS(G230&lt;TODAY(),"เกินกำหนด "&amp;(TODAY()-G230)&amp;" วัน",G230=TODAY(),"ครบกำหนดวันนี้",G230-TODAY()&lt;=3,"เร่งดำเนินการ",G230-TODAY()&lt;=5,"ต้องติดตาม",G230-TODAY()&lt;=10,"ใกล้ครบกำหนด",TRUE,"อยู่ระหว่างดำเนินการ"))))</x:f>
      </x:c>
      <x:c r="L230" s="114" t="str">
        <x:f>IF(OR(A230="",P230=""),"",HYPERLINK(P230,"เปิดใน Google Calendar"))</x:f>
      </x:c>
      <x:c r="M230" s="111"/>
      <x:c r="N230" s="123"/>
      <x:c r="O230" s="123"/>
      <x:c r="P230" s="123"/>
      <x:c r="Q230" s="126" t="b">
        <x:v>0</x:v>
      </x:c>
      <x:c r="R230" s="126" t="b">
        <x:v>0</x:v>
      </x:c>
      <x:c r="S230" s="126" t="b">
        <x:v>0</x:v>
      </x:c>
      <x:c r="T230" s="126" t="b">
        <x:v>0</x:v>
      </x:c>
      <x:c r="U230" s="144"/>
      <x:c r="V230" s="123"/>
      <x:c r="W230" s="123"/>
      <x:c r="X230" s="126" t="b">
        <x:v>0</x:v>
      </x:c>
    </x:row>
    <x:row r="231" ht="18" customHeight="1">
      <x:c r="A231" s="111"/>
      <x:c r="B231" s="111"/>
      <x:c r="C231" s="111"/>
      <x:c r="D231" s="111"/>
      <x:c r="E231" s="129"/>
      <x:c r="F231" s="138"/>
      <x:c r="G231" s="133" t="str">
        <x:f>IF(OR(A231="",E231="",F231=""),"",E231+F231-IF('ตั้งค่า'!$B$12="นับรวมวันเซ็น",1,0))</x:f>
      </x:c>
      <x:c r="H231" s="134"/>
      <x:c r="I231" s="117" t="str">
        <x:v>ยังไม่ส่ง</x:v>
      </x:c>
      <x:c r="J231" s="141" t="str">
        <x:f>IF(A231="","",IF(G231="","",IF(I231="ส่งแล้ว",0,G231-TODAY())))</x:f>
      </x:c>
      <x:c r="K231" s="114" t="str">
        <x:f>IF(A231="","",IF(G231="","ยังไม่ระบุวัน",IF(I231="ส่งแล้ว",IF(H231="","ส่งแล้ว",IF(INT(H231)&lt;INT(G231),"ส่งก่อนกำหนด "&amp;(INT(G231)-INT(H231))&amp;" วัน",IF(INT(H231)=INT(G231),"ส่งตรงกำหนด","ส่งล่าช้า "&amp;(INT(H231)-INT(G231))&amp;" วัน"))),IFS(G231&lt;TODAY(),"เกินกำหนด "&amp;(TODAY()-G231)&amp;" วัน",G231=TODAY(),"ครบกำหนดวันนี้",G231-TODAY()&lt;=3,"เร่งดำเนินการ",G231-TODAY()&lt;=5,"ต้องติดตาม",G231-TODAY()&lt;=10,"ใกล้ครบกำหนด",TRUE,"อยู่ระหว่างดำเนินการ"))))</x:f>
      </x:c>
      <x:c r="L231" s="114" t="str">
        <x:f>IF(OR(A231="",P231=""),"",HYPERLINK(P231,"เปิดใน Google Calendar"))</x:f>
      </x:c>
      <x:c r="M231" s="111"/>
      <x:c r="N231" s="123"/>
      <x:c r="O231" s="123"/>
      <x:c r="P231" s="123"/>
      <x:c r="Q231" s="126" t="b">
        <x:v>0</x:v>
      </x:c>
      <x:c r="R231" s="126" t="b">
        <x:v>0</x:v>
      </x:c>
      <x:c r="S231" s="126" t="b">
        <x:v>0</x:v>
      </x:c>
      <x:c r="T231" s="126" t="b">
        <x:v>0</x:v>
      </x:c>
      <x:c r="U231" s="144"/>
      <x:c r="V231" s="123"/>
      <x:c r="W231" s="123"/>
      <x:c r="X231" s="126" t="b">
        <x:v>0</x:v>
      </x:c>
    </x:row>
    <x:row r="232" ht="18" customHeight="1">
      <x:c r="A232" s="111"/>
      <x:c r="B232" s="111"/>
      <x:c r="C232" s="111"/>
      <x:c r="D232" s="111"/>
      <x:c r="E232" s="129"/>
      <x:c r="F232" s="138"/>
      <x:c r="G232" s="133" t="str">
        <x:f>IF(OR(A232="",E232="",F232=""),"",E232+F232-IF('ตั้งค่า'!$B$12="นับรวมวันเซ็น",1,0))</x:f>
      </x:c>
      <x:c r="H232" s="134"/>
      <x:c r="I232" s="117" t="str">
        <x:v>ยังไม่ส่ง</x:v>
      </x:c>
      <x:c r="J232" s="141" t="str">
        <x:f>IF(A232="","",IF(G232="","",IF(I232="ส่งแล้ว",0,G232-TODAY())))</x:f>
      </x:c>
      <x:c r="K232" s="114" t="str">
        <x:f>IF(A232="","",IF(G232="","ยังไม่ระบุวัน",IF(I232="ส่งแล้ว",IF(H232="","ส่งแล้ว",IF(INT(H232)&lt;INT(G232),"ส่งก่อนกำหนด "&amp;(INT(G232)-INT(H232))&amp;" วัน",IF(INT(H232)=INT(G232),"ส่งตรงกำหนด","ส่งล่าช้า "&amp;(INT(H232)-INT(G232))&amp;" วัน"))),IFS(G232&lt;TODAY(),"เกินกำหนด "&amp;(TODAY()-G232)&amp;" วัน",G232=TODAY(),"ครบกำหนดวันนี้",G232-TODAY()&lt;=3,"เร่งดำเนินการ",G232-TODAY()&lt;=5,"ต้องติดตาม",G232-TODAY()&lt;=10,"ใกล้ครบกำหนด",TRUE,"อยู่ระหว่างดำเนินการ"))))</x:f>
      </x:c>
      <x:c r="L232" s="114" t="str">
        <x:f>IF(OR(A232="",P232=""),"",HYPERLINK(P232,"เปิดใน Google Calendar"))</x:f>
      </x:c>
      <x:c r="M232" s="111"/>
      <x:c r="N232" s="123"/>
      <x:c r="O232" s="123"/>
      <x:c r="P232" s="123"/>
      <x:c r="Q232" s="126" t="b">
        <x:v>0</x:v>
      </x:c>
      <x:c r="R232" s="126" t="b">
        <x:v>0</x:v>
      </x:c>
      <x:c r="S232" s="126" t="b">
        <x:v>0</x:v>
      </x:c>
      <x:c r="T232" s="126" t="b">
        <x:v>0</x:v>
      </x:c>
      <x:c r="U232" s="144"/>
      <x:c r="V232" s="123"/>
      <x:c r="W232" s="123"/>
      <x:c r="X232" s="126" t="b">
        <x:v>0</x:v>
      </x:c>
    </x:row>
    <x:row r="233" ht="18" customHeight="1">
      <x:c r="A233" s="111"/>
      <x:c r="B233" s="111"/>
      <x:c r="C233" s="111"/>
      <x:c r="D233" s="111"/>
      <x:c r="E233" s="129"/>
      <x:c r="F233" s="138"/>
      <x:c r="G233" s="133" t="str">
        <x:f>IF(OR(A233="",E233="",F233=""),"",E233+F233-IF('ตั้งค่า'!$B$12="นับรวมวันเซ็น",1,0))</x:f>
      </x:c>
      <x:c r="H233" s="134"/>
      <x:c r="I233" s="117" t="str">
        <x:v>ยังไม่ส่ง</x:v>
      </x:c>
      <x:c r="J233" s="141" t="str">
        <x:f>IF(A233="","",IF(G233="","",IF(I233="ส่งแล้ว",0,G233-TODAY())))</x:f>
      </x:c>
      <x:c r="K233" s="114" t="str">
        <x:f>IF(A233="","",IF(G233="","ยังไม่ระบุวัน",IF(I233="ส่งแล้ว",IF(H233="","ส่งแล้ว",IF(INT(H233)&lt;INT(G233),"ส่งก่อนกำหนด "&amp;(INT(G233)-INT(H233))&amp;" วัน",IF(INT(H233)=INT(G233),"ส่งตรงกำหนด","ส่งล่าช้า "&amp;(INT(H233)-INT(G233))&amp;" วัน"))),IFS(G233&lt;TODAY(),"เกินกำหนด "&amp;(TODAY()-G233)&amp;" วัน",G233=TODAY(),"ครบกำหนดวันนี้",G233-TODAY()&lt;=3,"เร่งดำเนินการ",G233-TODAY()&lt;=5,"ต้องติดตาม",G233-TODAY()&lt;=10,"ใกล้ครบกำหนด",TRUE,"อยู่ระหว่างดำเนินการ"))))</x:f>
      </x:c>
      <x:c r="L233" s="114" t="str">
        <x:f>IF(OR(A233="",P233=""),"",HYPERLINK(P233,"เปิดใน Google Calendar"))</x:f>
      </x:c>
      <x:c r="M233" s="111"/>
      <x:c r="N233" s="123"/>
      <x:c r="O233" s="123"/>
      <x:c r="P233" s="123"/>
      <x:c r="Q233" s="126" t="b">
        <x:v>0</x:v>
      </x:c>
      <x:c r="R233" s="126" t="b">
        <x:v>0</x:v>
      </x:c>
      <x:c r="S233" s="126" t="b">
        <x:v>0</x:v>
      </x:c>
      <x:c r="T233" s="126" t="b">
        <x:v>0</x:v>
      </x:c>
      <x:c r="U233" s="144"/>
      <x:c r="V233" s="123"/>
      <x:c r="W233" s="123"/>
      <x:c r="X233" s="126" t="b">
        <x:v>0</x:v>
      </x:c>
    </x:row>
    <x:row r="234" ht="18" customHeight="1">
      <x:c r="A234" s="111"/>
      <x:c r="B234" s="111"/>
      <x:c r="C234" s="111"/>
      <x:c r="D234" s="111"/>
      <x:c r="E234" s="129"/>
      <x:c r="F234" s="138"/>
      <x:c r="G234" s="133" t="str">
        <x:f>IF(OR(A234="",E234="",F234=""),"",E234+F234-IF('ตั้งค่า'!$B$12="นับรวมวันเซ็น",1,0))</x:f>
      </x:c>
      <x:c r="H234" s="134"/>
      <x:c r="I234" s="117" t="str">
        <x:v>ยังไม่ส่ง</x:v>
      </x:c>
      <x:c r="J234" s="141" t="str">
        <x:f>IF(A234="","",IF(G234="","",IF(I234="ส่งแล้ว",0,G234-TODAY())))</x:f>
      </x:c>
      <x:c r="K234" s="114" t="str">
        <x:f>IF(A234="","",IF(G234="","ยังไม่ระบุวัน",IF(I234="ส่งแล้ว",IF(H234="","ส่งแล้ว",IF(INT(H234)&lt;INT(G234),"ส่งก่อนกำหนด "&amp;(INT(G234)-INT(H234))&amp;" วัน",IF(INT(H234)=INT(G234),"ส่งตรงกำหนด","ส่งล่าช้า "&amp;(INT(H234)-INT(G234))&amp;" วัน"))),IFS(G234&lt;TODAY(),"เกินกำหนด "&amp;(TODAY()-G234)&amp;" วัน",G234=TODAY(),"ครบกำหนดวันนี้",G234-TODAY()&lt;=3,"เร่งดำเนินการ",G234-TODAY()&lt;=5,"ต้องติดตาม",G234-TODAY()&lt;=10,"ใกล้ครบกำหนด",TRUE,"อยู่ระหว่างดำเนินการ"))))</x:f>
      </x:c>
      <x:c r="L234" s="114" t="str">
        <x:f>IF(OR(A234="",P234=""),"",HYPERLINK(P234,"เปิดใน Google Calendar"))</x:f>
      </x:c>
      <x:c r="M234" s="111"/>
      <x:c r="N234" s="123"/>
      <x:c r="O234" s="123"/>
      <x:c r="P234" s="123"/>
      <x:c r="Q234" s="126" t="b">
        <x:v>0</x:v>
      </x:c>
      <x:c r="R234" s="126" t="b">
        <x:v>0</x:v>
      </x:c>
      <x:c r="S234" s="126" t="b">
        <x:v>0</x:v>
      </x:c>
      <x:c r="T234" s="126" t="b">
        <x:v>0</x:v>
      </x:c>
      <x:c r="U234" s="144"/>
      <x:c r="V234" s="123"/>
      <x:c r="W234" s="123"/>
      <x:c r="X234" s="126" t="b">
        <x:v>0</x:v>
      </x:c>
    </x:row>
    <x:row r="235" ht="18" customHeight="1">
      <x:c r="A235" s="111"/>
      <x:c r="B235" s="111"/>
      <x:c r="C235" s="111"/>
      <x:c r="D235" s="111"/>
      <x:c r="E235" s="129"/>
      <x:c r="F235" s="138"/>
      <x:c r="G235" s="133" t="str">
        <x:f>IF(OR(A235="",E235="",F235=""),"",E235+F235-IF('ตั้งค่า'!$B$12="นับรวมวันเซ็น",1,0))</x:f>
      </x:c>
      <x:c r="H235" s="134"/>
      <x:c r="I235" s="117" t="str">
        <x:v>ยังไม่ส่ง</x:v>
      </x:c>
      <x:c r="J235" s="141" t="str">
        <x:f>IF(A235="","",IF(G235="","",IF(I235="ส่งแล้ว",0,G235-TODAY())))</x:f>
      </x:c>
      <x:c r="K235" s="114" t="str">
        <x:f>IF(A235="","",IF(G235="","ยังไม่ระบุวัน",IF(I235="ส่งแล้ว",IF(H235="","ส่งแล้ว",IF(INT(H235)&lt;INT(G235),"ส่งก่อนกำหนด "&amp;(INT(G235)-INT(H235))&amp;" วัน",IF(INT(H235)=INT(G235),"ส่งตรงกำหนด","ส่งล่าช้า "&amp;(INT(H235)-INT(G235))&amp;" วัน"))),IFS(G235&lt;TODAY(),"เกินกำหนด "&amp;(TODAY()-G235)&amp;" วัน",G235=TODAY(),"ครบกำหนดวันนี้",G235-TODAY()&lt;=3,"เร่งดำเนินการ",G235-TODAY()&lt;=5,"ต้องติดตาม",G235-TODAY()&lt;=10,"ใกล้ครบกำหนด",TRUE,"อยู่ระหว่างดำเนินการ"))))</x:f>
      </x:c>
      <x:c r="L235" s="114" t="str">
        <x:f>IF(OR(A235="",P235=""),"",HYPERLINK(P235,"เปิดใน Google Calendar"))</x:f>
      </x:c>
      <x:c r="M235" s="111"/>
      <x:c r="N235" s="123"/>
      <x:c r="O235" s="123"/>
      <x:c r="P235" s="123"/>
      <x:c r="Q235" s="126" t="b">
        <x:v>0</x:v>
      </x:c>
      <x:c r="R235" s="126" t="b">
        <x:v>0</x:v>
      </x:c>
      <x:c r="S235" s="126" t="b">
        <x:v>0</x:v>
      </x:c>
      <x:c r="T235" s="126" t="b">
        <x:v>0</x:v>
      </x:c>
      <x:c r="U235" s="144"/>
      <x:c r="V235" s="123"/>
      <x:c r="W235" s="123"/>
      <x:c r="X235" s="126" t="b">
        <x:v>0</x:v>
      </x:c>
    </x:row>
    <x:row r="236" ht="18" customHeight="1">
      <x:c r="A236" s="111"/>
      <x:c r="B236" s="111"/>
      <x:c r="C236" s="111"/>
      <x:c r="D236" s="111"/>
      <x:c r="E236" s="129"/>
      <x:c r="F236" s="138"/>
      <x:c r="G236" s="133" t="str">
        <x:f>IF(OR(A236="",E236="",F236=""),"",E236+F236-IF('ตั้งค่า'!$B$12="นับรวมวันเซ็น",1,0))</x:f>
      </x:c>
      <x:c r="H236" s="134"/>
      <x:c r="I236" s="117" t="str">
        <x:v>ยังไม่ส่ง</x:v>
      </x:c>
      <x:c r="J236" s="141" t="str">
        <x:f>IF(A236="","",IF(G236="","",IF(I236="ส่งแล้ว",0,G236-TODAY())))</x:f>
      </x:c>
      <x:c r="K236" s="114" t="str">
        <x:f>IF(A236="","",IF(G236="","ยังไม่ระบุวัน",IF(I236="ส่งแล้ว",IF(H236="","ส่งแล้ว",IF(INT(H236)&lt;INT(G236),"ส่งก่อนกำหนด "&amp;(INT(G236)-INT(H236))&amp;" วัน",IF(INT(H236)=INT(G236),"ส่งตรงกำหนด","ส่งล่าช้า "&amp;(INT(H236)-INT(G236))&amp;" วัน"))),IFS(G236&lt;TODAY(),"เกินกำหนด "&amp;(TODAY()-G236)&amp;" วัน",G236=TODAY(),"ครบกำหนดวันนี้",G236-TODAY()&lt;=3,"เร่งดำเนินการ",G236-TODAY()&lt;=5,"ต้องติดตาม",G236-TODAY()&lt;=10,"ใกล้ครบกำหนด",TRUE,"อยู่ระหว่างดำเนินการ"))))</x:f>
      </x:c>
      <x:c r="L236" s="114" t="str">
        <x:f>IF(OR(A236="",P236=""),"",HYPERLINK(P236,"เปิดใน Google Calendar"))</x:f>
      </x:c>
      <x:c r="M236" s="111"/>
      <x:c r="N236" s="123"/>
      <x:c r="O236" s="123"/>
      <x:c r="P236" s="123"/>
      <x:c r="Q236" s="126" t="b">
        <x:v>0</x:v>
      </x:c>
      <x:c r="R236" s="126" t="b">
        <x:v>0</x:v>
      </x:c>
      <x:c r="S236" s="126" t="b">
        <x:v>0</x:v>
      </x:c>
      <x:c r="T236" s="126" t="b">
        <x:v>0</x:v>
      </x:c>
      <x:c r="U236" s="144"/>
      <x:c r="V236" s="123"/>
      <x:c r="W236" s="123"/>
      <x:c r="X236" s="126" t="b">
        <x:v>0</x:v>
      </x:c>
    </x:row>
    <x:row r="237" ht="18" customHeight="1">
      <x:c r="A237" s="111"/>
      <x:c r="B237" s="111"/>
      <x:c r="C237" s="111"/>
      <x:c r="D237" s="111"/>
      <x:c r="E237" s="129"/>
      <x:c r="F237" s="138"/>
      <x:c r="G237" s="133" t="str">
        <x:f>IF(OR(A237="",E237="",F237=""),"",E237+F237-IF('ตั้งค่า'!$B$12="นับรวมวันเซ็น",1,0))</x:f>
      </x:c>
      <x:c r="H237" s="134"/>
      <x:c r="I237" s="117" t="str">
        <x:v>ยังไม่ส่ง</x:v>
      </x:c>
      <x:c r="J237" s="141" t="str">
        <x:f>IF(A237="","",IF(G237="","",IF(I237="ส่งแล้ว",0,G237-TODAY())))</x:f>
      </x:c>
      <x:c r="K237" s="114" t="str">
        <x:f>IF(A237="","",IF(G237="","ยังไม่ระบุวัน",IF(I237="ส่งแล้ว",IF(H237="","ส่งแล้ว",IF(INT(H237)&lt;INT(G237),"ส่งก่อนกำหนด "&amp;(INT(G237)-INT(H237))&amp;" วัน",IF(INT(H237)=INT(G237),"ส่งตรงกำหนด","ส่งล่าช้า "&amp;(INT(H237)-INT(G237))&amp;" วัน"))),IFS(G237&lt;TODAY(),"เกินกำหนด "&amp;(TODAY()-G237)&amp;" วัน",G237=TODAY(),"ครบกำหนดวันนี้",G237-TODAY()&lt;=3,"เร่งดำเนินการ",G237-TODAY()&lt;=5,"ต้องติดตาม",G237-TODAY()&lt;=10,"ใกล้ครบกำหนด",TRUE,"อยู่ระหว่างดำเนินการ"))))</x:f>
      </x:c>
      <x:c r="L237" s="114" t="str">
        <x:f>IF(OR(A237="",P237=""),"",HYPERLINK(P237,"เปิดใน Google Calendar"))</x:f>
      </x:c>
      <x:c r="M237" s="111"/>
      <x:c r="N237" s="123"/>
      <x:c r="O237" s="123"/>
      <x:c r="P237" s="123"/>
      <x:c r="Q237" s="126" t="b">
        <x:v>0</x:v>
      </x:c>
      <x:c r="R237" s="126" t="b">
        <x:v>0</x:v>
      </x:c>
      <x:c r="S237" s="126" t="b">
        <x:v>0</x:v>
      </x:c>
      <x:c r="T237" s="126" t="b">
        <x:v>0</x:v>
      </x:c>
      <x:c r="U237" s="144"/>
      <x:c r="V237" s="123"/>
      <x:c r="W237" s="123"/>
      <x:c r="X237" s="126" t="b">
        <x:v>0</x:v>
      </x:c>
    </x:row>
    <x:row r="238" ht="18" customHeight="1">
      <x:c r="A238" s="111"/>
      <x:c r="B238" s="111"/>
      <x:c r="C238" s="111"/>
      <x:c r="D238" s="111"/>
      <x:c r="E238" s="129"/>
      <x:c r="F238" s="138"/>
      <x:c r="G238" s="133" t="str">
        <x:f>IF(OR(A238="",E238="",F238=""),"",E238+F238-IF('ตั้งค่า'!$B$12="นับรวมวันเซ็น",1,0))</x:f>
      </x:c>
      <x:c r="H238" s="134"/>
      <x:c r="I238" s="117" t="str">
        <x:v>ยังไม่ส่ง</x:v>
      </x:c>
      <x:c r="J238" s="141" t="str">
        <x:f>IF(A238="","",IF(G238="","",IF(I238="ส่งแล้ว",0,G238-TODAY())))</x:f>
      </x:c>
      <x:c r="K238" s="114" t="str">
        <x:f>IF(A238="","",IF(G238="","ยังไม่ระบุวัน",IF(I238="ส่งแล้ว",IF(H238="","ส่งแล้ว",IF(INT(H238)&lt;INT(G238),"ส่งก่อนกำหนด "&amp;(INT(G238)-INT(H238))&amp;" วัน",IF(INT(H238)=INT(G238),"ส่งตรงกำหนด","ส่งล่าช้า "&amp;(INT(H238)-INT(G238))&amp;" วัน"))),IFS(G238&lt;TODAY(),"เกินกำหนด "&amp;(TODAY()-G238)&amp;" วัน",G238=TODAY(),"ครบกำหนดวันนี้",G238-TODAY()&lt;=3,"เร่งดำเนินการ",G238-TODAY()&lt;=5,"ต้องติดตาม",G238-TODAY()&lt;=10,"ใกล้ครบกำหนด",TRUE,"อยู่ระหว่างดำเนินการ"))))</x:f>
      </x:c>
      <x:c r="L238" s="114" t="str">
        <x:f>IF(OR(A238="",P238=""),"",HYPERLINK(P238,"เปิดใน Google Calendar"))</x:f>
      </x:c>
      <x:c r="M238" s="111"/>
      <x:c r="N238" s="123"/>
      <x:c r="O238" s="123"/>
      <x:c r="P238" s="123"/>
      <x:c r="Q238" s="126" t="b">
        <x:v>0</x:v>
      </x:c>
      <x:c r="R238" s="126" t="b">
        <x:v>0</x:v>
      </x:c>
      <x:c r="S238" s="126" t="b">
        <x:v>0</x:v>
      </x:c>
      <x:c r="T238" s="126" t="b">
        <x:v>0</x:v>
      </x:c>
      <x:c r="U238" s="144"/>
      <x:c r="V238" s="123"/>
      <x:c r="W238" s="123"/>
      <x:c r="X238" s="126" t="b">
        <x:v>0</x:v>
      </x:c>
    </x:row>
    <x:row r="239" ht="18" customHeight="1">
      <x:c r="A239" s="111"/>
      <x:c r="B239" s="111"/>
      <x:c r="C239" s="111"/>
      <x:c r="D239" s="111"/>
      <x:c r="E239" s="129"/>
      <x:c r="F239" s="138"/>
      <x:c r="G239" s="133" t="str">
        <x:f>IF(OR(A239="",E239="",F239=""),"",E239+F239-IF('ตั้งค่า'!$B$12="นับรวมวันเซ็น",1,0))</x:f>
      </x:c>
      <x:c r="H239" s="134"/>
      <x:c r="I239" s="117" t="str">
        <x:v>ยังไม่ส่ง</x:v>
      </x:c>
      <x:c r="J239" s="141" t="str">
        <x:f>IF(A239="","",IF(G239="","",IF(I239="ส่งแล้ว",0,G239-TODAY())))</x:f>
      </x:c>
      <x:c r="K239" s="114" t="str">
        <x:f>IF(A239="","",IF(G239="","ยังไม่ระบุวัน",IF(I239="ส่งแล้ว",IF(H239="","ส่งแล้ว",IF(INT(H239)&lt;INT(G239),"ส่งก่อนกำหนด "&amp;(INT(G239)-INT(H239))&amp;" วัน",IF(INT(H239)=INT(G239),"ส่งตรงกำหนด","ส่งล่าช้า "&amp;(INT(H239)-INT(G239))&amp;" วัน"))),IFS(G239&lt;TODAY(),"เกินกำหนด "&amp;(TODAY()-G239)&amp;" วัน",G239=TODAY(),"ครบกำหนดวันนี้",G239-TODAY()&lt;=3,"เร่งดำเนินการ",G239-TODAY()&lt;=5,"ต้องติดตาม",G239-TODAY()&lt;=10,"ใกล้ครบกำหนด",TRUE,"อยู่ระหว่างดำเนินการ"))))</x:f>
      </x:c>
      <x:c r="L239" s="114" t="str">
        <x:f>IF(OR(A239="",P239=""),"",HYPERLINK(P239,"เปิดใน Google Calendar"))</x:f>
      </x:c>
      <x:c r="M239" s="111"/>
      <x:c r="N239" s="123"/>
      <x:c r="O239" s="123"/>
      <x:c r="P239" s="123"/>
      <x:c r="Q239" s="126" t="b">
        <x:v>0</x:v>
      </x:c>
      <x:c r="R239" s="126" t="b">
        <x:v>0</x:v>
      </x:c>
      <x:c r="S239" s="126" t="b">
        <x:v>0</x:v>
      </x:c>
      <x:c r="T239" s="126" t="b">
        <x:v>0</x:v>
      </x:c>
      <x:c r="U239" s="144"/>
      <x:c r="V239" s="123"/>
      <x:c r="W239" s="123"/>
      <x:c r="X239" s="126" t="b">
        <x:v>0</x:v>
      </x:c>
    </x:row>
    <x:row r="240" ht="18" customHeight="1">
      <x:c r="A240" s="111"/>
      <x:c r="B240" s="111"/>
      <x:c r="C240" s="111"/>
      <x:c r="D240" s="111"/>
      <x:c r="E240" s="129"/>
      <x:c r="F240" s="138"/>
      <x:c r="G240" s="133" t="str">
        <x:f>IF(OR(A240="",E240="",F240=""),"",E240+F240-IF('ตั้งค่า'!$B$12="นับรวมวันเซ็น",1,0))</x:f>
      </x:c>
      <x:c r="H240" s="134"/>
      <x:c r="I240" s="117" t="str">
        <x:v>ยังไม่ส่ง</x:v>
      </x:c>
      <x:c r="J240" s="141" t="str">
        <x:f>IF(A240="","",IF(G240="","",IF(I240="ส่งแล้ว",0,G240-TODAY())))</x:f>
      </x:c>
      <x:c r="K240" s="114" t="str">
        <x:f>IF(A240="","",IF(G240="","ยังไม่ระบุวัน",IF(I240="ส่งแล้ว",IF(H240="","ส่งแล้ว",IF(INT(H240)&lt;INT(G240),"ส่งก่อนกำหนด "&amp;(INT(G240)-INT(H240))&amp;" วัน",IF(INT(H240)=INT(G240),"ส่งตรงกำหนด","ส่งล่าช้า "&amp;(INT(H240)-INT(G240))&amp;" วัน"))),IFS(G240&lt;TODAY(),"เกินกำหนด "&amp;(TODAY()-G240)&amp;" วัน",G240=TODAY(),"ครบกำหนดวันนี้",G240-TODAY()&lt;=3,"เร่งดำเนินการ",G240-TODAY()&lt;=5,"ต้องติดตาม",G240-TODAY()&lt;=10,"ใกล้ครบกำหนด",TRUE,"อยู่ระหว่างดำเนินการ"))))</x:f>
      </x:c>
      <x:c r="L240" s="114" t="str">
        <x:f>IF(OR(A240="",P240=""),"",HYPERLINK(P240,"เปิดใน Google Calendar"))</x:f>
      </x:c>
      <x:c r="M240" s="111"/>
      <x:c r="N240" s="123"/>
      <x:c r="O240" s="123"/>
      <x:c r="P240" s="123"/>
      <x:c r="Q240" s="126" t="b">
        <x:v>0</x:v>
      </x:c>
      <x:c r="R240" s="126" t="b">
        <x:v>0</x:v>
      </x:c>
      <x:c r="S240" s="126" t="b">
        <x:v>0</x:v>
      </x:c>
      <x:c r="T240" s="126" t="b">
        <x:v>0</x:v>
      </x:c>
      <x:c r="U240" s="144"/>
      <x:c r="V240" s="123"/>
      <x:c r="W240" s="123"/>
      <x:c r="X240" s="126" t="b">
        <x:v>0</x:v>
      </x:c>
    </x:row>
    <x:row r="241" ht="18" customHeight="1">
      <x:c r="A241" s="111"/>
      <x:c r="B241" s="111"/>
      <x:c r="C241" s="111"/>
      <x:c r="D241" s="111"/>
      <x:c r="E241" s="129"/>
      <x:c r="F241" s="138"/>
      <x:c r="G241" s="133" t="str">
        <x:f>IF(OR(A241="",E241="",F241=""),"",E241+F241-IF('ตั้งค่า'!$B$12="นับรวมวันเซ็น",1,0))</x:f>
      </x:c>
      <x:c r="H241" s="134"/>
      <x:c r="I241" s="117" t="str">
        <x:v>ยังไม่ส่ง</x:v>
      </x:c>
      <x:c r="J241" s="141" t="str">
        <x:f>IF(A241="","",IF(G241="","",IF(I241="ส่งแล้ว",0,G241-TODAY())))</x:f>
      </x:c>
      <x:c r="K241" s="114" t="str">
        <x:f>IF(A241="","",IF(G241="","ยังไม่ระบุวัน",IF(I241="ส่งแล้ว",IF(H241="","ส่งแล้ว",IF(INT(H241)&lt;INT(G241),"ส่งก่อนกำหนด "&amp;(INT(G241)-INT(H241))&amp;" วัน",IF(INT(H241)=INT(G241),"ส่งตรงกำหนด","ส่งล่าช้า "&amp;(INT(H241)-INT(G241))&amp;" วัน"))),IFS(G241&lt;TODAY(),"เกินกำหนด "&amp;(TODAY()-G241)&amp;" วัน",G241=TODAY(),"ครบกำหนดวันนี้",G241-TODAY()&lt;=3,"เร่งดำเนินการ",G241-TODAY()&lt;=5,"ต้องติดตาม",G241-TODAY()&lt;=10,"ใกล้ครบกำหนด",TRUE,"อยู่ระหว่างดำเนินการ"))))</x:f>
      </x:c>
      <x:c r="L241" s="114" t="str">
        <x:f>IF(OR(A241="",P241=""),"",HYPERLINK(P241,"เปิดใน Google Calendar"))</x:f>
      </x:c>
      <x:c r="M241" s="111"/>
      <x:c r="N241" s="123"/>
      <x:c r="O241" s="123"/>
      <x:c r="P241" s="123"/>
      <x:c r="Q241" s="126" t="b">
        <x:v>0</x:v>
      </x:c>
      <x:c r="R241" s="126" t="b">
        <x:v>0</x:v>
      </x:c>
      <x:c r="S241" s="126" t="b">
        <x:v>0</x:v>
      </x:c>
      <x:c r="T241" s="126" t="b">
        <x:v>0</x:v>
      </x:c>
      <x:c r="U241" s="144"/>
      <x:c r="V241" s="123"/>
      <x:c r="W241" s="123"/>
      <x:c r="X241" s="126" t="b">
        <x:v>0</x:v>
      </x:c>
    </x:row>
    <x:row r="242" ht="18" customHeight="1">
      <x:c r="A242" s="111"/>
      <x:c r="B242" s="111"/>
      <x:c r="C242" s="111"/>
      <x:c r="D242" s="111"/>
      <x:c r="E242" s="129"/>
      <x:c r="F242" s="138"/>
      <x:c r="G242" s="133" t="str">
        <x:f>IF(OR(A242="",E242="",F242=""),"",E242+F242-IF('ตั้งค่า'!$B$12="นับรวมวันเซ็น",1,0))</x:f>
      </x:c>
      <x:c r="H242" s="134"/>
      <x:c r="I242" s="117" t="str">
        <x:v>ยังไม่ส่ง</x:v>
      </x:c>
      <x:c r="J242" s="141" t="str">
        <x:f>IF(A242="","",IF(G242="","",IF(I242="ส่งแล้ว",0,G242-TODAY())))</x:f>
      </x:c>
      <x:c r="K242" s="114" t="str">
        <x:f>IF(A242="","",IF(G242="","ยังไม่ระบุวัน",IF(I242="ส่งแล้ว",IF(H242="","ส่งแล้ว",IF(INT(H242)&lt;INT(G242),"ส่งก่อนกำหนด "&amp;(INT(G242)-INT(H242))&amp;" วัน",IF(INT(H242)=INT(G242),"ส่งตรงกำหนด","ส่งล่าช้า "&amp;(INT(H242)-INT(G242))&amp;" วัน"))),IFS(G242&lt;TODAY(),"เกินกำหนด "&amp;(TODAY()-G242)&amp;" วัน",G242=TODAY(),"ครบกำหนดวันนี้",G242-TODAY()&lt;=3,"เร่งดำเนินการ",G242-TODAY()&lt;=5,"ต้องติดตาม",G242-TODAY()&lt;=10,"ใกล้ครบกำหนด",TRUE,"อยู่ระหว่างดำเนินการ"))))</x:f>
      </x:c>
      <x:c r="L242" s="114" t="str">
        <x:f>IF(OR(A242="",P242=""),"",HYPERLINK(P242,"เปิดใน Google Calendar"))</x:f>
      </x:c>
      <x:c r="M242" s="111"/>
      <x:c r="N242" s="123"/>
      <x:c r="O242" s="123"/>
      <x:c r="P242" s="123"/>
      <x:c r="Q242" s="126" t="b">
        <x:v>0</x:v>
      </x:c>
      <x:c r="R242" s="126" t="b">
        <x:v>0</x:v>
      </x:c>
      <x:c r="S242" s="126" t="b">
        <x:v>0</x:v>
      </x:c>
      <x:c r="T242" s="126" t="b">
        <x:v>0</x:v>
      </x:c>
      <x:c r="U242" s="144"/>
      <x:c r="V242" s="123"/>
      <x:c r="W242" s="123"/>
      <x:c r="X242" s="126" t="b">
        <x:v>0</x:v>
      </x:c>
    </x:row>
    <x:row r="243" ht="18" customHeight="1">
      <x:c r="A243" s="111"/>
      <x:c r="B243" s="111"/>
      <x:c r="C243" s="111"/>
      <x:c r="D243" s="111"/>
      <x:c r="E243" s="129"/>
      <x:c r="F243" s="138"/>
      <x:c r="G243" s="133" t="str">
        <x:f>IF(OR(A243="",E243="",F243=""),"",E243+F243-IF('ตั้งค่า'!$B$12="นับรวมวันเซ็น",1,0))</x:f>
      </x:c>
      <x:c r="H243" s="134"/>
      <x:c r="I243" s="117" t="str">
        <x:v>ยังไม่ส่ง</x:v>
      </x:c>
      <x:c r="J243" s="141" t="str">
        <x:f>IF(A243="","",IF(G243="","",IF(I243="ส่งแล้ว",0,G243-TODAY())))</x:f>
      </x:c>
      <x:c r="K243" s="114" t="str">
        <x:f>IF(A243="","",IF(G243="","ยังไม่ระบุวัน",IF(I243="ส่งแล้ว",IF(H243="","ส่งแล้ว",IF(INT(H243)&lt;INT(G243),"ส่งก่อนกำหนด "&amp;(INT(G243)-INT(H243))&amp;" วัน",IF(INT(H243)=INT(G243),"ส่งตรงกำหนด","ส่งล่าช้า "&amp;(INT(H243)-INT(G243))&amp;" วัน"))),IFS(G243&lt;TODAY(),"เกินกำหนด "&amp;(TODAY()-G243)&amp;" วัน",G243=TODAY(),"ครบกำหนดวันนี้",G243-TODAY()&lt;=3,"เร่งดำเนินการ",G243-TODAY()&lt;=5,"ต้องติดตาม",G243-TODAY()&lt;=10,"ใกล้ครบกำหนด",TRUE,"อยู่ระหว่างดำเนินการ"))))</x:f>
      </x:c>
      <x:c r="L243" s="114" t="str">
        <x:f>IF(OR(A243="",P243=""),"",HYPERLINK(P243,"เปิดใน Google Calendar"))</x:f>
      </x:c>
      <x:c r="M243" s="111"/>
      <x:c r="N243" s="123"/>
      <x:c r="O243" s="123"/>
      <x:c r="P243" s="123"/>
      <x:c r="Q243" s="126" t="b">
        <x:v>0</x:v>
      </x:c>
      <x:c r="R243" s="126" t="b">
        <x:v>0</x:v>
      </x:c>
      <x:c r="S243" s="126" t="b">
        <x:v>0</x:v>
      </x:c>
      <x:c r="T243" s="126" t="b">
        <x:v>0</x:v>
      </x:c>
      <x:c r="U243" s="144"/>
      <x:c r="V243" s="123"/>
      <x:c r="W243" s="123"/>
      <x:c r="X243" s="126" t="b">
        <x:v>0</x:v>
      </x:c>
    </x:row>
    <x:row r="244" ht="18" customHeight="1">
      <x:c r="A244" s="111"/>
      <x:c r="B244" s="111"/>
      <x:c r="C244" s="111"/>
      <x:c r="D244" s="111"/>
      <x:c r="E244" s="129"/>
      <x:c r="F244" s="138"/>
      <x:c r="G244" s="133" t="str">
        <x:f>IF(OR(A244="",E244="",F244=""),"",E244+F244-IF('ตั้งค่า'!$B$12="นับรวมวันเซ็น",1,0))</x:f>
      </x:c>
      <x:c r="H244" s="134"/>
      <x:c r="I244" s="117" t="str">
        <x:v>ยังไม่ส่ง</x:v>
      </x:c>
      <x:c r="J244" s="141" t="str">
        <x:f>IF(A244="","",IF(G244="","",IF(I244="ส่งแล้ว",0,G244-TODAY())))</x:f>
      </x:c>
      <x:c r="K244" s="114" t="str">
        <x:f>IF(A244="","",IF(G244="","ยังไม่ระบุวัน",IF(I244="ส่งแล้ว",IF(H244="","ส่งแล้ว",IF(INT(H244)&lt;INT(G244),"ส่งก่อนกำหนด "&amp;(INT(G244)-INT(H244))&amp;" วัน",IF(INT(H244)=INT(G244),"ส่งตรงกำหนด","ส่งล่าช้า "&amp;(INT(H244)-INT(G244))&amp;" วัน"))),IFS(G244&lt;TODAY(),"เกินกำหนด "&amp;(TODAY()-G244)&amp;" วัน",G244=TODAY(),"ครบกำหนดวันนี้",G244-TODAY()&lt;=3,"เร่งดำเนินการ",G244-TODAY()&lt;=5,"ต้องติดตาม",G244-TODAY()&lt;=10,"ใกล้ครบกำหนด",TRUE,"อยู่ระหว่างดำเนินการ"))))</x:f>
      </x:c>
      <x:c r="L244" s="114" t="str">
        <x:f>IF(OR(A244="",P244=""),"",HYPERLINK(P244,"เปิดใน Google Calendar"))</x:f>
      </x:c>
      <x:c r="M244" s="111"/>
      <x:c r="N244" s="123"/>
      <x:c r="O244" s="123"/>
      <x:c r="P244" s="123"/>
      <x:c r="Q244" s="126" t="b">
        <x:v>0</x:v>
      </x:c>
      <x:c r="R244" s="126" t="b">
        <x:v>0</x:v>
      </x:c>
      <x:c r="S244" s="126" t="b">
        <x:v>0</x:v>
      </x:c>
      <x:c r="T244" s="126" t="b">
        <x:v>0</x:v>
      </x:c>
      <x:c r="U244" s="144"/>
      <x:c r="V244" s="123"/>
      <x:c r="W244" s="123"/>
      <x:c r="X244" s="126" t="b">
        <x:v>0</x:v>
      </x:c>
    </x:row>
    <x:row r="245" ht="18" customHeight="1">
      <x:c r="A245" s="111"/>
      <x:c r="B245" s="111"/>
      <x:c r="C245" s="111"/>
      <x:c r="D245" s="111"/>
      <x:c r="E245" s="129"/>
      <x:c r="F245" s="138"/>
      <x:c r="G245" s="133" t="str">
        <x:f>IF(OR(A245="",E245="",F245=""),"",E245+F245-IF('ตั้งค่า'!$B$12="นับรวมวันเซ็น",1,0))</x:f>
      </x:c>
      <x:c r="H245" s="134"/>
      <x:c r="I245" s="117" t="str">
        <x:v>ยังไม่ส่ง</x:v>
      </x:c>
      <x:c r="J245" s="141" t="str">
        <x:f>IF(A245="","",IF(G245="","",IF(I245="ส่งแล้ว",0,G245-TODAY())))</x:f>
      </x:c>
      <x:c r="K245" s="114" t="str">
        <x:f>IF(A245="","",IF(G245="","ยังไม่ระบุวัน",IF(I245="ส่งแล้ว",IF(H245="","ส่งแล้ว",IF(INT(H245)&lt;INT(G245),"ส่งก่อนกำหนด "&amp;(INT(G245)-INT(H245))&amp;" วัน",IF(INT(H245)=INT(G245),"ส่งตรงกำหนด","ส่งล่าช้า "&amp;(INT(H245)-INT(G245))&amp;" วัน"))),IFS(G245&lt;TODAY(),"เกินกำหนด "&amp;(TODAY()-G245)&amp;" วัน",G245=TODAY(),"ครบกำหนดวันนี้",G245-TODAY()&lt;=3,"เร่งดำเนินการ",G245-TODAY()&lt;=5,"ต้องติดตาม",G245-TODAY()&lt;=10,"ใกล้ครบกำหนด",TRUE,"อยู่ระหว่างดำเนินการ"))))</x:f>
      </x:c>
      <x:c r="L245" s="114" t="str">
        <x:f>IF(OR(A245="",P245=""),"",HYPERLINK(P245,"เปิดใน Google Calendar"))</x:f>
      </x:c>
      <x:c r="M245" s="111"/>
      <x:c r="N245" s="123"/>
      <x:c r="O245" s="123"/>
      <x:c r="P245" s="123"/>
      <x:c r="Q245" s="126" t="b">
        <x:v>0</x:v>
      </x:c>
      <x:c r="R245" s="126" t="b">
        <x:v>0</x:v>
      </x:c>
      <x:c r="S245" s="126" t="b">
        <x:v>0</x:v>
      </x:c>
      <x:c r="T245" s="126" t="b">
        <x:v>0</x:v>
      </x:c>
      <x:c r="U245" s="144"/>
      <x:c r="V245" s="123"/>
      <x:c r="W245" s="123"/>
      <x:c r="X245" s="126" t="b">
        <x:v>0</x:v>
      </x:c>
    </x:row>
    <x:row r="246" ht="18" customHeight="1">
      <x:c r="A246" s="111"/>
      <x:c r="B246" s="111"/>
      <x:c r="C246" s="111"/>
      <x:c r="D246" s="111"/>
      <x:c r="E246" s="129"/>
      <x:c r="F246" s="138"/>
      <x:c r="G246" s="133" t="str">
        <x:f>IF(OR(A246="",E246="",F246=""),"",E246+F246-IF('ตั้งค่า'!$B$12="นับรวมวันเซ็น",1,0))</x:f>
      </x:c>
      <x:c r="H246" s="134"/>
      <x:c r="I246" s="117" t="str">
        <x:v>ยังไม่ส่ง</x:v>
      </x:c>
      <x:c r="J246" s="141" t="str">
        <x:f>IF(A246="","",IF(G246="","",IF(I246="ส่งแล้ว",0,G246-TODAY())))</x:f>
      </x:c>
      <x:c r="K246" s="114" t="str">
        <x:f>IF(A246="","",IF(G246="","ยังไม่ระบุวัน",IF(I246="ส่งแล้ว",IF(H246="","ส่งแล้ว",IF(INT(H246)&lt;INT(G246),"ส่งก่อนกำหนด "&amp;(INT(G246)-INT(H246))&amp;" วัน",IF(INT(H246)=INT(G246),"ส่งตรงกำหนด","ส่งล่าช้า "&amp;(INT(H246)-INT(G246))&amp;" วัน"))),IFS(G246&lt;TODAY(),"เกินกำหนด "&amp;(TODAY()-G246)&amp;" วัน",G246=TODAY(),"ครบกำหนดวันนี้",G246-TODAY()&lt;=3,"เร่งดำเนินการ",G246-TODAY()&lt;=5,"ต้องติดตาม",G246-TODAY()&lt;=10,"ใกล้ครบกำหนด",TRUE,"อยู่ระหว่างดำเนินการ"))))</x:f>
      </x:c>
      <x:c r="L246" s="114" t="str">
        <x:f>IF(OR(A246="",P246=""),"",HYPERLINK(P246,"เปิดใน Google Calendar"))</x:f>
      </x:c>
      <x:c r="M246" s="111"/>
      <x:c r="N246" s="123"/>
      <x:c r="O246" s="123"/>
      <x:c r="P246" s="123"/>
      <x:c r="Q246" s="126" t="b">
        <x:v>0</x:v>
      </x:c>
      <x:c r="R246" s="126" t="b">
        <x:v>0</x:v>
      </x:c>
      <x:c r="S246" s="126" t="b">
        <x:v>0</x:v>
      </x:c>
      <x:c r="T246" s="126" t="b">
        <x:v>0</x:v>
      </x:c>
      <x:c r="U246" s="144"/>
      <x:c r="V246" s="123"/>
      <x:c r="W246" s="123"/>
      <x:c r="X246" s="126" t="b">
        <x:v>0</x:v>
      </x:c>
    </x:row>
    <x:row r="247" ht="18" customHeight="1">
      <x:c r="A247" s="111"/>
      <x:c r="B247" s="111"/>
      <x:c r="C247" s="111"/>
      <x:c r="D247" s="111"/>
      <x:c r="E247" s="129"/>
      <x:c r="F247" s="138"/>
      <x:c r="G247" s="133" t="str">
        <x:f>IF(OR(A247="",E247="",F247=""),"",E247+F247-IF('ตั้งค่า'!$B$12="นับรวมวันเซ็น",1,0))</x:f>
      </x:c>
      <x:c r="H247" s="134"/>
      <x:c r="I247" s="117" t="str">
        <x:v>ยังไม่ส่ง</x:v>
      </x:c>
      <x:c r="J247" s="141" t="str">
        <x:f>IF(A247="","",IF(G247="","",IF(I247="ส่งแล้ว",0,G247-TODAY())))</x:f>
      </x:c>
      <x:c r="K247" s="114" t="str">
        <x:f>IF(A247="","",IF(G247="","ยังไม่ระบุวัน",IF(I247="ส่งแล้ว",IF(H247="","ส่งแล้ว",IF(INT(H247)&lt;INT(G247),"ส่งก่อนกำหนด "&amp;(INT(G247)-INT(H247))&amp;" วัน",IF(INT(H247)=INT(G247),"ส่งตรงกำหนด","ส่งล่าช้า "&amp;(INT(H247)-INT(G247))&amp;" วัน"))),IFS(G247&lt;TODAY(),"เกินกำหนด "&amp;(TODAY()-G247)&amp;" วัน",G247=TODAY(),"ครบกำหนดวันนี้",G247-TODAY()&lt;=3,"เร่งดำเนินการ",G247-TODAY()&lt;=5,"ต้องติดตาม",G247-TODAY()&lt;=10,"ใกล้ครบกำหนด",TRUE,"อยู่ระหว่างดำเนินการ"))))</x:f>
      </x:c>
      <x:c r="L247" s="114" t="str">
        <x:f>IF(OR(A247="",P247=""),"",HYPERLINK(P247,"เปิดใน Google Calendar"))</x:f>
      </x:c>
      <x:c r="M247" s="111"/>
      <x:c r="N247" s="123"/>
      <x:c r="O247" s="123"/>
      <x:c r="P247" s="123"/>
      <x:c r="Q247" s="126" t="b">
        <x:v>0</x:v>
      </x:c>
      <x:c r="R247" s="126" t="b">
        <x:v>0</x:v>
      </x:c>
      <x:c r="S247" s="126" t="b">
        <x:v>0</x:v>
      </x:c>
      <x:c r="T247" s="126" t="b">
        <x:v>0</x:v>
      </x:c>
      <x:c r="U247" s="144"/>
      <x:c r="V247" s="123"/>
      <x:c r="W247" s="123"/>
      <x:c r="X247" s="126" t="b">
        <x:v>0</x:v>
      </x:c>
    </x:row>
    <x:row r="248" ht="18" customHeight="1">
      <x:c r="A248" s="111"/>
      <x:c r="B248" s="111"/>
      <x:c r="C248" s="111"/>
      <x:c r="D248" s="111"/>
      <x:c r="E248" s="129"/>
      <x:c r="F248" s="138"/>
      <x:c r="G248" s="133" t="str">
        <x:f>IF(OR(A248="",E248="",F248=""),"",E248+F248-IF('ตั้งค่า'!$B$12="นับรวมวันเซ็น",1,0))</x:f>
      </x:c>
      <x:c r="H248" s="134"/>
      <x:c r="I248" s="117" t="str">
        <x:v>ยังไม่ส่ง</x:v>
      </x:c>
      <x:c r="J248" s="141" t="str">
        <x:f>IF(A248="","",IF(G248="","",IF(I248="ส่งแล้ว",0,G248-TODAY())))</x:f>
      </x:c>
      <x:c r="K248" s="114" t="str">
        <x:f>IF(A248="","",IF(G248="","ยังไม่ระบุวัน",IF(I248="ส่งแล้ว",IF(H248="","ส่งแล้ว",IF(INT(H248)&lt;INT(G248),"ส่งก่อนกำหนด "&amp;(INT(G248)-INT(H248))&amp;" วัน",IF(INT(H248)=INT(G248),"ส่งตรงกำหนด","ส่งล่าช้า "&amp;(INT(H248)-INT(G248))&amp;" วัน"))),IFS(G248&lt;TODAY(),"เกินกำหนด "&amp;(TODAY()-G248)&amp;" วัน",G248=TODAY(),"ครบกำหนดวันนี้",G248-TODAY()&lt;=3,"เร่งดำเนินการ",G248-TODAY()&lt;=5,"ต้องติดตาม",G248-TODAY()&lt;=10,"ใกล้ครบกำหนด",TRUE,"อยู่ระหว่างดำเนินการ"))))</x:f>
      </x:c>
      <x:c r="L248" s="114" t="str">
        <x:f>IF(OR(A248="",P248=""),"",HYPERLINK(P248,"เปิดใน Google Calendar"))</x:f>
      </x:c>
      <x:c r="M248" s="111"/>
      <x:c r="N248" s="123"/>
      <x:c r="O248" s="123"/>
      <x:c r="P248" s="123"/>
      <x:c r="Q248" s="126" t="b">
        <x:v>0</x:v>
      </x:c>
      <x:c r="R248" s="126" t="b">
        <x:v>0</x:v>
      </x:c>
      <x:c r="S248" s="126" t="b">
        <x:v>0</x:v>
      </x:c>
      <x:c r="T248" s="126" t="b">
        <x:v>0</x:v>
      </x:c>
      <x:c r="U248" s="144"/>
      <x:c r="V248" s="123"/>
      <x:c r="W248" s="123"/>
      <x:c r="X248" s="126" t="b">
        <x:v>0</x:v>
      </x:c>
    </x:row>
    <x:row r="249" ht="18" customHeight="1">
      <x:c r="A249" s="111"/>
      <x:c r="B249" s="111"/>
      <x:c r="C249" s="111"/>
      <x:c r="D249" s="111"/>
      <x:c r="E249" s="129"/>
      <x:c r="F249" s="138"/>
      <x:c r="G249" s="133" t="str">
        <x:f>IF(OR(A249="",E249="",F249=""),"",E249+F249-IF('ตั้งค่า'!$B$12="นับรวมวันเซ็น",1,0))</x:f>
      </x:c>
      <x:c r="H249" s="134"/>
      <x:c r="I249" s="117" t="str">
        <x:v>ยังไม่ส่ง</x:v>
      </x:c>
      <x:c r="J249" s="141" t="str">
        <x:f>IF(A249="","",IF(G249="","",IF(I249="ส่งแล้ว",0,G249-TODAY())))</x:f>
      </x:c>
      <x:c r="K249" s="114" t="str">
        <x:f>IF(A249="","",IF(G249="","ยังไม่ระบุวัน",IF(I249="ส่งแล้ว",IF(H249="","ส่งแล้ว",IF(INT(H249)&lt;INT(G249),"ส่งก่อนกำหนด "&amp;(INT(G249)-INT(H249))&amp;" วัน",IF(INT(H249)=INT(G249),"ส่งตรงกำหนด","ส่งล่าช้า "&amp;(INT(H249)-INT(G249))&amp;" วัน"))),IFS(G249&lt;TODAY(),"เกินกำหนด "&amp;(TODAY()-G249)&amp;" วัน",G249=TODAY(),"ครบกำหนดวันนี้",G249-TODAY()&lt;=3,"เร่งดำเนินการ",G249-TODAY()&lt;=5,"ต้องติดตาม",G249-TODAY()&lt;=10,"ใกล้ครบกำหนด",TRUE,"อยู่ระหว่างดำเนินการ"))))</x:f>
      </x:c>
      <x:c r="L249" s="114" t="str">
        <x:f>IF(OR(A249="",P249=""),"",HYPERLINK(P249,"เปิดใน Google Calendar"))</x:f>
      </x:c>
      <x:c r="M249" s="111"/>
      <x:c r="N249" s="123"/>
      <x:c r="O249" s="123"/>
      <x:c r="P249" s="123"/>
      <x:c r="Q249" s="126" t="b">
        <x:v>0</x:v>
      </x:c>
      <x:c r="R249" s="126" t="b">
        <x:v>0</x:v>
      </x:c>
      <x:c r="S249" s="126" t="b">
        <x:v>0</x:v>
      </x:c>
      <x:c r="T249" s="126" t="b">
        <x:v>0</x:v>
      </x:c>
      <x:c r="U249" s="144"/>
      <x:c r="V249" s="123"/>
      <x:c r="W249" s="123"/>
      <x:c r="X249" s="126" t="b">
        <x:v>0</x:v>
      </x:c>
    </x:row>
    <x:row r="250" ht="18" customHeight="1">
      <x:c r="A250" s="111"/>
      <x:c r="B250" s="111"/>
      <x:c r="C250" s="111"/>
      <x:c r="D250" s="111"/>
      <x:c r="E250" s="129"/>
      <x:c r="F250" s="138"/>
      <x:c r="G250" s="133" t="str">
        <x:f>IF(OR(A250="",E250="",F250=""),"",E250+F250-IF('ตั้งค่า'!$B$12="นับรวมวันเซ็น",1,0))</x:f>
      </x:c>
      <x:c r="H250" s="134"/>
      <x:c r="I250" s="117" t="str">
        <x:v>ยังไม่ส่ง</x:v>
      </x:c>
      <x:c r="J250" s="141" t="str">
        <x:f>IF(A250="","",IF(G250="","",IF(I250="ส่งแล้ว",0,G250-TODAY())))</x:f>
      </x:c>
      <x:c r="K250" s="114" t="str">
        <x:f>IF(A250="","",IF(G250="","ยังไม่ระบุวัน",IF(I250="ส่งแล้ว",IF(H250="","ส่งแล้ว",IF(INT(H250)&lt;INT(G250),"ส่งก่อนกำหนด "&amp;(INT(G250)-INT(H250))&amp;" วัน",IF(INT(H250)=INT(G250),"ส่งตรงกำหนด","ส่งล่าช้า "&amp;(INT(H250)-INT(G250))&amp;" วัน"))),IFS(G250&lt;TODAY(),"เกินกำหนด "&amp;(TODAY()-G250)&amp;" วัน",G250=TODAY(),"ครบกำหนดวันนี้",G250-TODAY()&lt;=3,"เร่งดำเนินการ",G250-TODAY()&lt;=5,"ต้องติดตาม",G250-TODAY()&lt;=10,"ใกล้ครบกำหนด",TRUE,"อยู่ระหว่างดำเนินการ"))))</x:f>
      </x:c>
      <x:c r="L250" s="114" t="str">
        <x:f>IF(OR(A250="",P250=""),"",HYPERLINK(P250,"เปิดใน Google Calendar"))</x:f>
      </x:c>
      <x:c r="M250" s="111"/>
      <x:c r="N250" s="123"/>
      <x:c r="O250" s="123"/>
      <x:c r="P250" s="123"/>
      <x:c r="Q250" s="126" t="b">
        <x:v>0</x:v>
      </x:c>
      <x:c r="R250" s="126" t="b">
        <x:v>0</x:v>
      </x:c>
      <x:c r="S250" s="126" t="b">
        <x:v>0</x:v>
      </x:c>
      <x:c r="T250" s="126" t="b">
        <x:v>0</x:v>
      </x:c>
      <x:c r="U250" s="144"/>
      <x:c r="V250" s="123"/>
      <x:c r="W250" s="123"/>
      <x:c r="X250" s="126" t="b">
        <x:v>0</x:v>
      </x:c>
    </x:row>
    <x:row r="251" ht="18" customHeight="1">
      <x:c r="A251" s="111"/>
      <x:c r="B251" s="111"/>
      <x:c r="C251" s="111"/>
      <x:c r="D251" s="111"/>
      <x:c r="E251" s="129"/>
      <x:c r="F251" s="138"/>
      <x:c r="G251" s="133" t="str">
        <x:f>IF(OR(A251="",E251="",F251=""),"",E251+F251-IF('ตั้งค่า'!$B$12="นับรวมวันเซ็น",1,0))</x:f>
      </x:c>
      <x:c r="H251" s="134"/>
      <x:c r="I251" s="117" t="str">
        <x:v>ยังไม่ส่ง</x:v>
      </x:c>
      <x:c r="J251" s="141" t="str">
        <x:f>IF(A251="","",IF(G251="","",IF(I251="ส่งแล้ว",0,G251-TODAY())))</x:f>
      </x:c>
      <x:c r="K251" s="114" t="str">
        <x:f>IF(A251="","",IF(G251="","ยังไม่ระบุวัน",IF(I251="ส่งแล้ว",IF(H251="","ส่งแล้ว",IF(INT(H251)&lt;INT(G251),"ส่งก่อนกำหนด "&amp;(INT(G251)-INT(H251))&amp;" วัน",IF(INT(H251)=INT(G251),"ส่งตรงกำหนด","ส่งล่าช้า "&amp;(INT(H251)-INT(G251))&amp;" วัน"))),IFS(G251&lt;TODAY(),"เกินกำหนด "&amp;(TODAY()-G251)&amp;" วัน",G251=TODAY(),"ครบกำหนดวันนี้",G251-TODAY()&lt;=3,"เร่งดำเนินการ",G251-TODAY()&lt;=5,"ต้องติดตาม",G251-TODAY()&lt;=10,"ใกล้ครบกำหนด",TRUE,"อยู่ระหว่างดำเนินการ"))))</x:f>
      </x:c>
      <x:c r="L251" s="114" t="str">
        <x:f>IF(OR(A251="",P251=""),"",HYPERLINK(P251,"เปิดใน Google Calendar"))</x:f>
      </x:c>
      <x:c r="M251" s="111"/>
      <x:c r="N251" s="123"/>
      <x:c r="O251" s="123"/>
      <x:c r="P251" s="123"/>
      <x:c r="Q251" s="126" t="b">
        <x:v>0</x:v>
      </x:c>
      <x:c r="R251" s="126" t="b">
        <x:v>0</x:v>
      </x:c>
      <x:c r="S251" s="126" t="b">
        <x:v>0</x:v>
      </x:c>
      <x:c r="T251" s="126" t="b">
        <x:v>0</x:v>
      </x:c>
      <x:c r="U251" s="144"/>
      <x:c r="V251" s="123"/>
      <x:c r="W251" s="123"/>
      <x:c r="X251" s="126" t="b">
        <x:v>0</x:v>
      </x:c>
    </x:row>
    <x:row r="252" ht="18" customHeight="1">
      <x:c r="A252" s="111"/>
      <x:c r="B252" s="111"/>
      <x:c r="C252" s="111"/>
      <x:c r="D252" s="111"/>
      <x:c r="E252" s="129"/>
      <x:c r="F252" s="138"/>
      <x:c r="G252" s="133" t="str">
        <x:f>IF(OR(A252="",E252="",F252=""),"",E252+F252-IF('ตั้งค่า'!$B$12="นับรวมวันเซ็น",1,0))</x:f>
      </x:c>
      <x:c r="H252" s="134"/>
      <x:c r="I252" s="117" t="str">
        <x:v>ยังไม่ส่ง</x:v>
      </x:c>
      <x:c r="J252" s="141" t="str">
        <x:f>IF(A252="","",IF(G252="","",IF(I252="ส่งแล้ว",0,G252-TODAY())))</x:f>
      </x:c>
      <x:c r="K252" s="114" t="str">
        <x:f>IF(A252="","",IF(G252="","ยังไม่ระบุวัน",IF(I252="ส่งแล้ว",IF(H252="","ส่งแล้ว",IF(INT(H252)&lt;INT(G252),"ส่งก่อนกำหนด "&amp;(INT(G252)-INT(H252))&amp;" วัน",IF(INT(H252)=INT(G252),"ส่งตรงกำหนด","ส่งล่าช้า "&amp;(INT(H252)-INT(G252))&amp;" วัน"))),IFS(G252&lt;TODAY(),"เกินกำหนด "&amp;(TODAY()-G252)&amp;" วัน",G252=TODAY(),"ครบกำหนดวันนี้",G252-TODAY()&lt;=3,"เร่งดำเนินการ",G252-TODAY()&lt;=5,"ต้องติดตาม",G252-TODAY()&lt;=10,"ใกล้ครบกำหนด",TRUE,"อยู่ระหว่างดำเนินการ"))))</x:f>
      </x:c>
      <x:c r="L252" s="114" t="str">
        <x:f>IF(OR(A252="",P252=""),"",HYPERLINK(P252,"เปิดใน Google Calendar"))</x:f>
      </x:c>
      <x:c r="M252" s="111"/>
      <x:c r="N252" s="123"/>
      <x:c r="O252" s="123"/>
      <x:c r="P252" s="123"/>
      <x:c r="Q252" s="126" t="b">
        <x:v>0</x:v>
      </x:c>
      <x:c r="R252" s="126" t="b">
        <x:v>0</x:v>
      </x:c>
      <x:c r="S252" s="126" t="b">
        <x:v>0</x:v>
      </x:c>
      <x:c r="T252" s="126" t="b">
        <x:v>0</x:v>
      </x:c>
      <x:c r="U252" s="144"/>
      <x:c r="V252" s="123"/>
      <x:c r="W252" s="123"/>
      <x:c r="X252" s="126" t="b">
        <x:v>0</x:v>
      </x:c>
    </x:row>
    <x:row r="253" ht="18" customHeight="1">
      <x:c r="A253" s="111"/>
      <x:c r="B253" s="111"/>
      <x:c r="C253" s="111"/>
      <x:c r="D253" s="111"/>
      <x:c r="E253" s="129"/>
      <x:c r="F253" s="138"/>
      <x:c r="G253" s="133" t="str">
        <x:f>IF(OR(A253="",E253="",F253=""),"",E253+F253-IF('ตั้งค่า'!$B$12="นับรวมวันเซ็น",1,0))</x:f>
      </x:c>
      <x:c r="H253" s="134"/>
      <x:c r="I253" s="117" t="str">
        <x:v>ยังไม่ส่ง</x:v>
      </x:c>
      <x:c r="J253" s="141" t="str">
        <x:f>IF(A253="","",IF(G253="","",IF(I253="ส่งแล้ว",0,G253-TODAY())))</x:f>
      </x:c>
      <x:c r="K253" s="114" t="str">
        <x:f>IF(A253="","",IF(G253="","ยังไม่ระบุวัน",IF(I253="ส่งแล้ว",IF(H253="","ส่งแล้ว",IF(INT(H253)&lt;INT(G253),"ส่งก่อนกำหนด "&amp;(INT(G253)-INT(H253))&amp;" วัน",IF(INT(H253)=INT(G253),"ส่งตรงกำหนด","ส่งล่าช้า "&amp;(INT(H253)-INT(G253))&amp;" วัน"))),IFS(G253&lt;TODAY(),"เกินกำหนด "&amp;(TODAY()-G253)&amp;" วัน",G253=TODAY(),"ครบกำหนดวันนี้",G253-TODAY()&lt;=3,"เร่งดำเนินการ",G253-TODAY()&lt;=5,"ต้องติดตาม",G253-TODAY()&lt;=10,"ใกล้ครบกำหนด",TRUE,"อยู่ระหว่างดำเนินการ"))))</x:f>
      </x:c>
      <x:c r="L253" s="114" t="str">
        <x:f>IF(OR(A253="",P253=""),"",HYPERLINK(P253,"เปิดใน Google Calendar"))</x:f>
      </x:c>
      <x:c r="M253" s="111"/>
      <x:c r="N253" s="123"/>
      <x:c r="O253" s="123"/>
      <x:c r="P253" s="123"/>
      <x:c r="Q253" s="126" t="b">
        <x:v>0</x:v>
      </x:c>
      <x:c r="R253" s="126" t="b">
        <x:v>0</x:v>
      </x:c>
      <x:c r="S253" s="126" t="b">
        <x:v>0</x:v>
      </x:c>
      <x:c r="T253" s="126" t="b">
        <x:v>0</x:v>
      </x:c>
      <x:c r="U253" s="144"/>
      <x:c r="V253" s="123"/>
      <x:c r="W253" s="123"/>
      <x:c r="X253" s="126" t="b">
        <x:v>0</x:v>
      </x:c>
    </x:row>
    <x:row r="254" ht="18" customHeight="1">
      <x:c r="A254" s="111"/>
      <x:c r="B254" s="111"/>
      <x:c r="C254" s="111"/>
      <x:c r="D254" s="111"/>
      <x:c r="E254" s="129"/>
      <x:c r="F254" s="138"/>
      <x:c r="G254" s="133" t="str">
        <x:f>IF(OR(A254="",E254="",F254=""),"",E254+F254-IF('ตั้งค่า'!$B$12="นับรวมวันเซ็น",1,0))</x:f>
      </x:c>
      <x:c r="H254" s="134"/>
      <x:c r="I254" s="117" t="str">
        <x:v>ยังไม่ส่ง</x:v>
      </x:c>
      <x:c r="J254" s="141" t="str">
        <x:f>IF(A254="","",IF(G254="","",IF(I254="ส่งแล้ว",0,G254-TODAY())))</x:f>
      </x:c>
      <x:c r="K254" s="114" t="str">
        <x:f>IF(A254="","",IF(G254="","ยังไม่ระบุวัน",IF(I254="ส่งแล้ว",IF(H254="","ส่งแล้ว",IF(INT(H254)&lt;INT(G254),"ส่งก่อนกำหนด "&amp;(INT(G254)-INT(H254))&amp;" วัน",IF(INT(H254)=INT(G254),"ส่งตรงกำหนด","ส่งล่าช้า "&amp;(INT(H254)-INT(G254))&amp;" วัน"))),IFS(G254&lt;TODAY(),"เกินกำหนด "&amp;(TODAY()-G254)&amp;" วัน",G254=TODAY(),"ครบกำหนดวันนี้",G254-TODAY()&lt;=3,"เร่งดำเนินการ",G254-TODAY()&lt;=5,"ต้องติดตาม",G254-TODAY()&lt;=10,"ใกล้ครบกำหนด",TRUE,"อยู่ระหว่างดำเนินการ"))))</x:f>
      </x:c>
      <x:c r="L254" s="114" t="str">
        <x:f>IF(OR(A254="",P254=""),"",HYPERLINK(P254,"เปิดใน Google Calendar"))</x:f>
      </x:c>
      <x:c r="M254" s="111"/>
      <x:c r="N254" s="123"/>
      <x:c r="O254" s="123"/>
      <x:c r="P254" s="123"/>
      <x:c r="Q254" s="126" t="b">
        <x:v>0</x:v>
      </x:c>
      <x:c r="R254" s="126" t="b">
        <x:v>0</x:v>
      </x:c>
      <x:c r="S254" s="126" t="b">
        <x:v>0</x:v>
      </x:c>
      <x:c r="T254" s="126" t="b">
        <x:v>0</x:v>
      </x:c>
      <x:c r="U254" s="144"/>
      <x:c r="V254" s="123"/>
      <x:c r="W254" s="123"/>
      <x:c r="X254" s="126" t="b">
        <x:v>0</x:v>
      </x:c>
    </x:row>
    <x:row r="255" ht="18" customHeight="1">
      <x:c r="A255" s="111"/>
      <x:c r="B255" s="111"/>
      <x:c r="C255" s="111"/>
      <x:c r="D255" s="111"/>
      <x:c r="E255" s="129"/>
      <x:c r="F255" s="138"/>
      <x:c r="G255" s="133" t="str">
        <x:f>IF(OR(A255="",E255="",F255=""),"",E255+F255-IF('ตั้งค่า'!$B$12="นับรวมวันเซ็น",1,0))</x:f>
      </x:c>
      <x:c r="H255" s="134"/>
      <x:c r="I255" s="117" t="str">
        <x:v>ยังไม่ส่ง</x:v>
      </x:c>
      <x:c r="J255" s="141" t="str">
        <x:f>IF(A255="","",IF(G255="","",IF(I255="ส่งแล้ว",0,G255-TODAY())))</x:f>
      </x:c>
      <x:c r="K255" s="114" t="str">
        <x:f>IF(A255="","",IF(G255="","ยังไม่ระบุวัน",IF(I255="ส่งแล้ว",IF(H255="","ส่งแล้ว",IF(INT(H255)&lt;INT(G255),"ส่งก่อนกำหนด "&amp;(INT(G255)-INT(H255))&amp;" วัน",IF(INT(H255)=INT(G255),"ส่งตรงกำหนด","ส่งล่าช้า "&amp;(INT(H255)-INT(G255))&amp;" วัน"))),IFS(G255&lt;TODAY(),"เกินกำหนด "&amp;(TODAY()-G255)&amp;" วัน",G255=TODAY(),"ครบกำหนดวันนี้",G255-TODAY()&lt;=3,"เร่งดำเนินการ",G255-TODAY()&lt;=5,"ต้องติดตาม",G255-TODAY()&lt;=10,"ใกล้ครบกำหนด",TRUE,"อยู่ระหว่างดำเนินการ"))))</x:f>
      </x:c>
      <x:c r="L255" s="114" t="str">
        <x:f>IF(OR(A255="",P255=""),"",HYPERLINK(P255,"เปิดใน Google Calendar"))</x:f>
      </x:c>
      <x:c r="M255" s="111"/>
      <x:c r="N255" s="123"/>
      <x:c r="O255" s="123"/>
      <x:c r="P255" s="123"/>
      <x:c r="Q255" s="126" t="b">
        <x:v>0</x:v>
      </x:c>
      <x:c r="R255" s="126" t="b">
        <x:v>0</x:v>
      </x:c>
      <x:c r="S255" s="126" t="b">
        <x:v>0</x:v>
      </x:c>
      <x:c r="T255" s="126" t="b">
        <x:v>0</x:v>
      </x:c>
      <x:c r="U255" s="144"/>
      <x:c r="V255" s="123"/>
      <x:c r="W255" s="123"/>
      <x:c r="X255" s="126" t="b">
        <x:v>0</x:v>
      </x:c>
    </x:row>
    <x:row r="256" ht="18" customHeight="1">
      <x:c r="A256" s="111"/>
      <x:c r="B256" s="111"/>
      <x:c r="C256" s="111"/>
      <x:c r="D256" s="111"/>
      <x:c r="E256" s="129"/>
      <x:c r="F256" s="138"/>
      <x:c r="G256" s="133" t="str">
        <x:f>IF(OR(A256="",E256="",F256=""),"",E256+F256-IF('ตั้งค่า'!$B$12="นับรวมวันเซ็น",1,0))</x:f>
      </x:c>
      <x:c r="H256" s="134"/>
      <x:c r="I256" s="117" t="str">
        <x:v>ยังไม่ส่ง</x:v>
      </x:c>
      <x:c r="J256" s="141" t="str">
        <x:f>IF(A256="","",IF(G256="","",IF(I256="ส่งแล้ว",0,G256-TODAY())))</x:f>
      </x:c>
      <x:c r="K256" s="114" t="str">
        <x:f>IF(A256="","",IF(G256="","ยังไม่ระบุวัน",IF(I256="ส่งแล้ว",IF(H256="","ส่งแล้ว",IF(INT(H256)&lt;INT(G256),"ส่งก่อนกำหนด "&amp;(INT(G256)-INT(H256))&amp;" วัน",IF(INT(H256)=INT(G256),"ส่งตรงกำหนด","ส่งล่าช้า "&amp;(INT(H256)-INT(G256))&amp;" วัน"))),IFS(G256&lt;TODAY(),"เกินกำหนด "&amp;(TODAY()-G256)&amp;" วัน",G256=TODAY(),"ครบกำหนดวันนี้",G256-TODAY()&lt;=3,"เร่งดำเนินการ",G256-TODAY()&lt;=5,"ต้องติดตาม",G256-TODAY()&lt;=10,"ใกล้ครบกำหนด",TRUE,"อยู่ระหว่างดำเนินการ"))))</x:f>
      </x:c>
      <x:c r="L256" s="114" t="str">
        <x:f>IF(OR(A256="",P256=""),"",HYPERLINK(P256,"เปิดใน Google Calendar"))</x:f>
      </x:c>
      <x:c r="M256" s="111"/>
      <x:c r="N256" s="123"/>
      <x:c r="O256" s="123"/>
      <x:c r="P256" s="123"/>
      <x:c r="Q256" s="126" t="b">
        <x:v>0</x:v>
      </x:c>
      <x:c r="R256" s="126" t="b">
        <x:v>0</x:v>
      </x:c>
      <x:c r="S256" s="126" t="b">
        <x:v>0</x:v>
      </x:c>
      <x:c r="T256" s="126" t="b">
        <x:v>0</x:v>
      </x:c>
      <x:c r="U256" s="144"/>
      <x:c r="V256" s="123"/>
      <x:c r="W256" s="123"/>
      <x:c r="X256" s="126" t="b">
        <x:v>0</x:v>
      </x:c>
    </x:row>
    <x:row r="257" ht="18" customHeight="1">
      <x:c r="A257" s="111"/>
      <x:c r="B257" s="111"/>
      <x:c r="C257" s="111"/>
      <x:c r="D257" s="111"/>
      <x:c r="E257" s="129"/>
      <x:c r="F257" s="138"/>
      <x:c r="G257" s="133" t="str">
        <x:f>IF(OR(A257="",E257="",F257=""),"",E257+F257-IF('ตั้งค่า'!$B$12="นับรวมวันเซ็น",1,0))</x:f>
      </x:c>
      <x:c r="H257" s="134"/>
      <x:c r="I257" s="117" t="str">
        <x:v>ยังไม่ส่ง</x:v>
      </x:c>
      <x:c r="J257" s="141" t="str">
        <x:f>IF(A257="","",IF(G257="","",IF(I257="ส่งแล้ว",0,G257-TODAY())))</x:f>
      </x:c>
      <x:c r="K257" s="114" t="str">
        <x:f>IF(A257="","",IF(G257="","ยังไม่ระบุวัน",IF(I257="ส่งแล้ว",IF(H257="","ส่งแล้ว",IF(INT(H257)&lt;INT(G257),"ส่งก่อนกำหนด "&amp;(INT(G257)-INT(H257))&amp;" วัน",IF(INT(H257)=INT(G257),"ส่งตรงกำหนด","ส่งล่าช้า "&amp;(INT(H257)-INT(G257))&amp;" วัน"))),IFS(G257&lt;TODAY(),"เกินกำหนด "&amp;(TODAY()-G257)&amp;" วัน",G257=TODAY(),"ครบกำหนดวันนี้",G257-TODAY()&lt;=3,"เร่งดำเนินการ",G257-TODAY()&lt;=5,"ต้องติดตาม",G257-TODAY()&lt;=10,"ใกล้ครบกำหนด",TRUE,"อยู่ระหว่างดำเนินการ"))))</x:f>
      </x:c>
      <x:c r="L257" s="114" t="str">
        <x:f>IF(OR(A257="",P257=""),"",HYPERLINK(P257,"เปิดใน Google Calendar"))</x:f>
      </x:c>
      <x:c r="M257" s="111"/>
      <x:c r="N257" s="123"/>
      <x:c r="O257" s="123"/>
      <x:c r="P257" s="123"/>
      <x:c r="Q257" s="126" t="b">
        <x:v>0</x:v>
      </x:c>
      <x:c r="R257" s="126" t="b">
        <x:v>0</x:v>
      </x:c>
      <x:c r="S257" s="126" t="b">
        <x:v>0</x:v>
      </x:c>
      <x:c r="T257" s="126" t="b">
        <x:v>0</x:v>
      </x:c>
      <x:c r="U257" s="144"/>
      <x:c r="V257" s="123"/>
      <x:c r="W257" s="123"/>
      <x:c r="X257" s="126" t="b">
        <x:v>0</x:v>
      </x:c>
    </x:row>
    <x:row r="258" ht="18" customHeight="1">
      <x:c r="A258" s="111"/>
      <x:c r="B258" s="111"/>
      <x:c r="C258" s="111"/>
      <x:c r="D258" s="111"/>
      <x:c r="E258" s="129"/>
      <x:c r="F258" s="138"/>
      <x:c r="G258" s="133" t="str">
        <x:f>IF(OR(A258="",E258="",F258=""),"",E258+F258-IF('ตั้งค่า'!$B$12="นับรวมวันเซ็น",1,0))</x:f>
      </x:c>
      <x:c r="H258" s="134"/>
      <x:c r="I258" s="117" t="str">
        <x:v>ยังไม่ส่ง</x:v>
      </x:c>
      <x:c r="J258" s="141" t="str">
        <x:f>IF(A258="","",IF(G258="","",IF(I258="ส่งแล้ว",0,G258-TODAY())))</x:f>
      </x:c>
      <x:c r="K258" s="114" t="str">
        <x:f>IF(A258="","",IF(G258="","ยังไม่ระบุวัน",IF(I258="ส่งแล้ว",IF(H258="","ส่งแล้ว",IF(INT(H258)&lt;INT(G258),"ส่งก่อนกำหนด "&amp;(INT(G258)-INT(H258))&amp;" วัน",IF(INT(H258)=INT(G258),"ส่งตรงกำหนด","ส่งล่าช้า "&amp;(INT(H258)-INT(G258))&amp;" วัน"))),IFS(G258&lt;TODAY(),"เกินกำหนด "&amp;(TODAY()-G258)&amp;" วัน",G258=TODAY(),"ครบกำหนดวันนี้",G258-TODAY()&lt;=3,"เร่งดำเนินการ",G258-TODAY()&lt;=5,"ต้องติดตาม",G258-TODAY()&lt;=10,"ใกล้ครบกำหนด",TRUE,"อยู่ระหว่างดำเนินการ"))))</x:f>
      </x:c>
      <x:c r="L258" s="114" t="str">
        <x:f>IF(OR(A258="",P258=""),"",HYPERLINK(P258,"เปิดใน Google Calendar"))</x:f>
      </x:c>
      <x:c r="M258" s="111"/>
      <x:c r="N258" s="123"/>
      <x:c r="O258" s="123"/>
      <x:c r="P258" s="123"/>
      <x:c r="Q258" s="126" t="b">
        <x:v>0</x:v>
      </x:c>
      <x:c r="R258" s="126" t="b">
        <x:v>0</x:v>
      </x:c>
      <x:c r="S258" s="126" t="b">
        <x:v>0</x:v>
      </x:c>
      <x:c r="T258" s="126" t="b">
        <x:v>0</x:v>
      </x:c>
      <x:c r="U258" s="144"/>
      <x:c r="V258" s="123"/>
      <x:c r="W258" s="123"/>
      <x:c r="X258" s="126" t="b">
        <x:v>0</x:v>
      </x:c>
    </x:row>
    <x:row r="259" ht="18" customHeight="1">
      <x:c r="A259" s="111"/>
      <x:c r="B259" s="111"/>
      <x:c r="C259" s="111"/>
      <x:c r="D259" s="111"/>
      <x:c r="E259" s="129"/>
      <x:c r="F259" s="138"/>
      <x:c r="G259" s="133" t="str">
        <x:f>IF(OR(A259="",E259="",F259=""),"",E259+F259-IF('ตั้งค่า'!$B$12="นับรวมวันเซ็น",1,0))</x:f>
      </x:c>
      <x:c r="H259" s="134"/>
      <x:c r="I259" s="117" t="str">
        <x:v>ยังไม่ส่ง</x:v>
      </x:c>
      <x:c r="J259" s="141" t="str">
        <x:f>IF(A259="","",IF(G259="","",IF(I259="ส่งแล้ว",0,G259-TODAY())))</x:f>
      </x:c>
      <x:c r="K259" s="114" t="str">
        <x:f>IF(A259="","",IF(G259="","ยังไม่ระบุวัน",IF(I259="ส่งแล้ว",IF(H259="","ส่งแล้ว",IF(INT(H259)&lt;INT(G259),"ส่งก่อนกำหนด "&amp;(INT(G259)-INT(H259))&amp;" วัน",IF(INT(H259)=INT(G259),"ส่งตรงกำหนด","ส่งล่าช้า "&amp;(INT(H259)-INT(G259))&amp;" วัน"))),IFS(G259&lt;TODAY(),"เกินกำหนด "&amp;(TODAY()-G259)&amp;" วัน",G259=TODAY(),"ครบกำหนดวันนี้",G259-TODAY()&lt;=3,"เร่งดำเนินการ",G259-TODAY()&lt;=5,"ต้องติดตาม",G259-TODAY()&lt;=10,"ใกล้ครบกำหนด",TRUE,"อยู่ระหว่างดำเนินการ"))))</x:f>
      </x:c>
      <x:c r="L259" s="114" t="str">
        <x:f>IF(OR(A259="",P259=""),"",HYPERLINK(P259,"เปิดใน Google Calendar"))</x:f>
      </x:c>
      <x:c r="M259" s="111"/>
      <x:c r="N259" s="123"/>
      <x:c r="O259" s="123"/>
      <x:c r="P259" s="123"/>
      <x:c r="Q259" s="126" t="b">
        <x:v>0</x:v>
      </x:c>
      <x:c r="R259" s="126" t="b">
        <x:v>0</x:v>
      </x:c>
      <x:c r="S259" s="126" t="b">
        <x:v>0</x:v>
      </x:c>
      <x:c r="T259" s="126" t="b">
        <x:v>0</x:v>
      </x:c>
      <x:c r="U259" s="144"/>
      <x:c r="V259" s="123"/>
      <x:c r="W259" s="123"/>
      <x:c r="X259" s="126" t="b">
        <x:v>0</x:v>
      </x:c>
    </x:row>
    <x:row r="260" ht="18" customHeight="1">
      <x:c r="A260" s="111"/>
      <x:c r="B260" s="111"/>
      <x:c r="C260" s="111"/>
      <x:c r="D260" s="111"/>
      <x:c r="E260" s="129"/>
      <x:c r="F260" s="138"/>
      <x:c r="G260" s="133" t="str">
        <x:f>IF(OR(A260="",E260="",F260=""),"",E260+F260-IF('ตั้งค่า'!$B$12="นับรวมวันเซ็น",1,0))</x:f>
      </x:c>
      <x:c r="H260" s="134"/>
      <x:c r="I260" s="117" t="str">
        <x:v>ยังไม่ส่ง</x:v>
      </x:c>
      <x:c r="J260" s="141" t="str">
        <x:f>IF(A260="","",IF(G260="","",IF(I260="ส่งแล้ว",0,G260-TODAY())))</x:f>
      </x:c>
      <x:c r="K260" s="114" t="str">
        <x:f>IF(A260="","",IF(G260="","ยังไม่ระบุวัน",IF(I260="ส่งแล้ว",IF(H260="","ส่งแล้ว",IF(INT(H260)&lt;INT(G260),"ส่งก่อนกำหนด "&amp;(INT(G260)-INT(H260))&amp;" วัน",IF(INT(H260)=INT(G260),"ส่งตรงกำหนด","ส่งล่าช้า "&amp;(INT(H260)-INT(G260))&amp;" วัน"))),IFS(G260&lt;TODAY(),"เกินกำหนด "&amp;(TODAY()-G260)&amp;" วัน",G260=TODAY(),"ครบกำหนดวันนี้",G260-TODAY()&lt;=3,"เร่งดำเนินการ",G260-TODAY()&lt;=5,"ต้องติดตาม",G260-TODAY()&lt;=10,"ใกล้ครบกำหนด",TRUE,"อยู่ระหว่างดำเนินการ"))))</x:f>
      </x:c>
      <x:c r="L260" s="114" t="str">
        <x:f>IF(OR(A260="",P260=""),"",HYPERLINK(P260,"เปิดใน Google Calendar"))</x:f>
      </x:c>
      <x:c r="M260" s="111"/>
      <x:c r="N260" s="123"/>
      <x:c r="O260" s="123"/>
      <x:c r="P260" s="123"/>
      <x:c r="Q260" s="126" t="b">
        <x:v>0</x:v>
      </x:c>
      <x:c r="R260" s="126" t="b">
        <x:v>0</x:v>
      </x:c>
      <x:c r="S260" s="126" t="b">
        <x:v>0</x:v>
      </x:c>
      <x:c r="T260" s="126" t="b">
        <x:v>0</x:v>
      </x:c>
      <x:c r="U260" s="144"/>
      <x:c r="V260" s="123"/>
      <x:c r="W260" s="123"/>
      <x:c r="X260" s="126" t="b">
        <x:v>0</x:v>
      </x:c>
    </x:row>
    <x:row r="261" ht="18" customHeight="1">
      <x:c r="A261" s="111"/>
      <x:c r="B261" s="111"/>
      <x:c r="C261" s="111"/>
      <x:c r="D261" s="111"/>
      <x:c r="E261" s="129"/>
      <x:c r="F261" s="138"/>
      <x:c r="G261" s="133" t="str">
        <x:f>IF(OR(A261="",E261="",F261=""),"",E261+F261-IF('ตั้งค่า'!$B$12="นับรวมวันเซ็น",1,0))</x:f>
      </x:c>
      <x:c r="H261" s="134"/>
      <x:c r="I261" s="117" t="str">
        <x:v>ยังไม่ส่ง</x:v>
      </x:c>
      <x:c r="J261" s="141" t="str">
        <x:f>IF(A261="","",IF(G261="","",IF(I261="ส่งแล้ว",0,G261-TODAY())))</x:f>
      </x:c>
      <x:c r="K261" s="114" t="str">
        <x:f>IF(A261="","",IF(G261="","ยังไม่ระบุวัน",IF(I261="ส่งแล้ว",IF(H261="","ส่งแล้ว",IF(INT(H261)&lt;INT(G261),"ส่งก่อนกำหนด "&amp;(INT(G261)-INT(H261))&amp;" วัน",IF(INT(H261)=INT(G261),"ส่งตรงกำหนด","ส่งล่าช้า "&amp;(INT(H261)-INT(G261))&amp;" วัน"))),IFS(G261&lt;TODAY(),"เกินกำหนด "&amp;(TODAY()-G261)&amp;" วัน",G261=TODAY(),"ครบกำหนดวันนี้",G261-TODAY()&lt;=3,"เร่งดำเนินการ",G261-TODAY()&lt;=5,"ต้องติดตาม",G261-TODAY()&lt;=10,"ใกล้ครบกำหนด",TRUE,"อยู่ระหว่างดำเนินการ"))))</x:f>
      </x:c>
      <x:c r="L261" s="114" t="str">
        <x:f>IF(OR(A261="",P261=""),"",HYPERLINK(P261,"เปิดใน Google Calendar"))</x:f>
      </x:c>
      <x:c r="M261" s="111"/>
      <x:c r="N261" s="123"/>
      <x:c r="O261" s="123"/>
      <x:c r="P261" s="123"/>
      <x:c r="Q261" s="126" t="b">
        <x:v>0</x:v>
      </x:c>
      <x:c r="R261" s="126" t="b">
        <x:v>0</x:v>
      </x:c>
      <x:c r="S261" s="126" t="b">
        <x:v>0</x:v>
      </x:c>
      <x:c r="T261" s="126" t="b">
        <x:v>0</x:v>
      </x:c>
      <x:c r="U261" s="144"/>
      <x:c r="V261" s="123"/>
      <x:c r="W261" s="123"/>
      <x:c r="X261" s="126" t="b">
        <x:v>0</x:v>
      </x:c>
    </x:row>
    <x:row r="262" ht="18" customHeight="1">
      <x:c r="A262" s="111"/>
      <x:c r="B262" s="111"/>
      <x:c r="C262" s="111"/>
      <x:c r="D262" s="111"/>
      <x:c r="E262" s="129"/>
      <x:c r="F262" s="138"/>
      <x:c r="G262" s="133" t="str">
        <x:f>IF(OR(A262="",E262="",F262=""),"",E262+F262-IF('ตั้งค่า'!$B$12="นับรวมวันเซ็น",1,0))</x:f>
      </x:c>
      <x:c r="H262" s="134"/>
      <x:c r="I262" s="117" t="str">
        <x:v>ยังไม่ส่ง</x:v>
      </x:c>
      <x:c r="J262" s="141" t="str">
        <x:f>IF(A262="","",IF(G262="","",IF(I262="ส่งแล้ว",0,G262-TODAY())))</x:f>
      </x:c>
      <x:c r="K262" s="114" t="str">
        <x:f>IF(A262="","",IF(G262="","ยังไม่ระบุวัน",IF(I262="ส่งแล้ว",IF(H262="","ส่งแล้ว",IF(INT(H262)&lt;INT(G262),"ส่งก่อนกำหนด "&amp;(INT(G262)-INT(H262))&amp;" วัน",IF(INT(H262)=INT(G262),"ส่งตรงกำหนด","ส่งล่าช้า "&amp;(INT(H262)-INT(G262))&amp;" วัน"))),IFS(G262&lt;TODAY(),"เกินกำหนด "&amp;(TODAY()-G262)&amp;" วัน",G262=TODAY(),"ครบกำหนดวันนี้",G262-TODAY()&lt;=3,"เร่งดำเนินการ",G262-TODAY()&lt;=5,"ต้องติดตาม",G262-TODAY()&lt;=10,"ใกล้ครบกำหนด",TRUE,"อยู่ระหว่างดำเนินการ"))))</x:f>
      </x:c>
      <x:c r="L262" s="114" t="str">
        <x:f>IF(OR(A262="",P262=""),"",HYPERLINK(P262,"เปิดใน Google Calendar"))</x:f>
      </x:c>
      <x:c r="M262" s="111"/>
      <x:c r="N262" s="123"/>
      <x:c r="O262" s="123"/>
      <x:c r="P262" s="123"/>
      <x:c r="Q262" s="126" t="b">
        <x:v>0</x:v>
      </x:c>
      <x:c r="R262" s="126" t="b">
        <x:v>0</x:v>
      </x:c>
      <x:c r="S262" s="126" t="b">
        <x:v>0</x:v>
      </x:c>
      <x:c r="T262" s="126" t="b">
        <x:v>0</x:v>
      </x:c>
      <x:c r="U262" s="144"/>
      <x:c r="V262" s="123"/>
      <x:c r="W262" s="123"/>
      <x:c r="X262" s="126" t="b">
        <x:v>0</x:v>
      </x:c>
    </x:row>
    <x:row r="263" ht="18" customHeight="1">
      <x:c r="A263" s="111"/>
      <x:c r="B263" s="111"/>
      <x:c r="C263" s="111"/>
      <x:c r="D263" s="111"/>
      <x:c r="E263" s="129"/>
      <x:c r="F263" s="138"/>
      <x:c r="G263" s="133" t="str">
        <x:f>IF(OR(A263="",E263="",F263=""),"",E263+F263-IF('ตั้งค่า'!$B$12="นับรวมวันเซ็น",1,0))</x:f>
      </x:c>
      <x:c r="H263" s="134"/>
      <x:c r="I263" s="117" t="str">
        <x:v>ยังไม่ส่ง</x:v>
      </x:c>
      <x:c r="J263" s="141" t="str">
        <x:f>IF(A263="","",IF(G263="","",IF(I263="ส่งแล้ว",0,G263-TODAY())))</x:f>
      </x:c>
      <x:c r="K263" s="114" t="str">
        <x:f>IF(A263="","",IF(G263="","ยังไม่ระบุวัน",IF(I263="ส่งแล้ว",IF(H263="","ส่งแล้ว",IF(INT(H263)&lt;INT(G263),"ส่งก่อนกำหนด "&amp;(INT(G263)-INT(H263))&amp;" วัน",IF(INT(H263)=INT(G263),"ส่งตรงกำหนด","ส่งล่าช้า "&amp;(INT(H263)-INT(G263))&amp;" วัน"))),IFS(G263&lt;TODAY(),"เกินกำหนด "&amp;(TODAY()-G263)&amp;" วัน",G263=TODAY(),"ครบกำหนดวันนี้",G263-TODAY()&lt;=3,"เร่งดำเนินการ",G263-TODAY()&lt;=5,"ต้องติดตาม",G263-TODAY()&lt;=10,"ใกล้ครบกำหนด",TRUE,"อยู่ระหว่างดำเนินการ"))))</x:f>
      </x:c>
      <x:c r="L263" s="114" t="str">
        <x:f>IF(OR(A263="",P263=""),"",HYPERLINK(P263,"เปิดใน Google Calendar"))</x:f>
      </x:c>
      <x:c r="M263" s="111"/>
      <x:c r="N263" s="123"/>
      <x:c r="O263" s="123"/>
      <x:c r="P263" s="123"/>
      <x:c r="Q263" s="126" t="b">
        <x:v>0</x:v>
      </x:c>
      <x:c r="R263" s="126" t="b">
        <x:v>0</x:v>
      </x:c>
      <x:c r="S263" s="126" t="b">
        <x:v>0</x:v>
      </x:c>
      <x:c r="T263" s="126" t="b">
        <x:v>0</x:v>
      </x:c>
      <x:c r="U263" s="144"/>
      <x:c r="V263" s="123"/>
      <x:c r="W263" s="123"/>
      <x:c r="X263" s="126" t="b">
        <x:v>0</x:v>
      </x:c>
    </x:row>
    <x:row r="264" ht="18" customHeight="1">
      <x:c r="A264" s="111"/>
      <x:c r="B264" s="111"/>
      <x:c r="C264" s="111"/>
      <x:c r="D264" s="111"/>
      <x:c r="E264" s="129"/>
      <x:c r="F264" s="138"/>
      <x:c r="G264" s="133" t="str">
        <x:f>IF(OR(A264="",E264="",F264=""),"",E264+F264-IF('ตั้งค่า'!$B$12="นับรวมวันเซ็น",1,0))</x:f>
      </x:c>
      <x:c r="H264" s="134"/>
      <x:c r="I264" s="117" t="str">
        <x:v>ยังไม่ส่ง</x:v>
      </x:c>
      <x:c r="J264" s="141" t="str">
        <x:f>IF(A264="","",IF(G264="","",IF(I264="ส่งแล้ว",0,G264-TODAY())))</x:f>
      </x:c>
      <x:c r="K264" s="114" t="str">
        <x:f>IF(A264="","",IF(G264="","ยังไม่ระบุวัน",IF(I264="ส่งแล้ว",IF(H264="","ส่งแล้ว",IF(INT(H264)&lt;INT(G264),"ส่งก่อนกำหนด "&amp;(INT(G264)-INT(H264))&amp;" วัน",IF(INT(H264)=INT(G264),"ส่งตรงกำหนด","ส่งล่าช้า "&amp;(INT(H264)-INT(G264))&amp;" วัน"))),IFS(G264&lt;TODAY(),"เกินกำหนด "&amp;(TODAY()-G264)&amp;" วัน",G264=TODAY(),"ครบกำหนดวันนี้",G264-TODAY()&lt;=3,"เร่งดำเนินการ",G264-TODAY()&lt;=5,"ต้องติดตาม",G264-TODAY()&lt;=10,"ใกล้ครบกำหนด",TRUE,"อยู่ระหว่างดำเนินการ"))))</x:f>
      </x:c>
      <x:c r="L264" s="114" t="str">
        <x:f>IF(OR(A264="",P264=""),"",HYPERLINK(P264,"เปิดใน Google Calendar"))</x:f>
      </x:c>
      <x:c r="M264" s="111"/>
      <x:c r="N264" s="123"/>
      <x:c r="O264" s="123"/>
      <x:c r="P264" s="123"/>
      <x:c r="Q264" s="126" t="b">
        <x:v>0</x:v>
      </x:c>
      <x:c r="R264" s="126" t="b">
        <x:v>0</x:v>
      </x:c>
      <x:c r="S264" s="126" t="b">
        <x:v>0</x:v>
      </x:c>
      <x:c r="T264" s="126" t="b">
        <x:v>0</x:v>
      </x:c>
      <x:c r="U264" s="144"/>
      <x:c r="V264" s="123"/>
      <x:c r="W264" s="123"/>
      <x:c r="X264" s="126" t="b">
        <x:v>0</x:v>
      </x:c>
    </x:row>
    <x:row r="265" ht="18" customHeight="1">
      <x:c r="A265" s="111"/>
      <x:c r="B265" s="111"/>
      <x:c r="C265" s="111"/>
      <x:c r="D265" s="111"/>
      <x:c r="E265" s="129"/>
      <x:c r="F265" s="138"/>
      <x:c r="G265" s="133" t="str">
        <x:f>IF(OR(A265="",E265="",F265=""),"",E265+F265-IF('ตั้งค่า'!$B$12="นับรวมวันเซ็น",1,0))</x:f>
      </x:c>
      <x:c r="H265" s="134"/>
      <x:c r="I265" s="117" t="str">
        <x:v>ยังไม่ส่ง</x:v>
      </x:c>
      <x:c r="J265" s="141" t="str">
        <x:f>IF(A265="","",IF(G265="","",IF(I265="ส่งแล้ว",0,G265-TODAY())))</x:f>
      </x:c>
      <x:c r="K265" s="114" t="str">
        <x:f>IF(A265="","",IF(G265="","ยังไม่ระบุวัน",IF(I265="ส่งแล้ว",IF(H265="","ส่งแล้ว",IF(INT(H265)&lt;INT(G265),"ส่งก่อนกำหนด "&amp;(INT(G265)-INT(H265))&amp;" วัน",IF(INT(H265)=INT(G265),"ส่งตรงกำหนด","ส่งล่าช้า "&amp;(INT(H265)-INT(G265))&amp;" วัน"))),IFS(G265&lt;TODAY(),"เกินกำหนด "&amp;(TODAY()-G265)&amp;" วัน",G265=TODAY(),"ครบกำหนดวันนี้",G265-TODAY()&lt;=3,"เร่งดำเนินการ",G265-TODAY()&lt;=5,"ต้องติดตาม",G265-TODAY()&lt;=10,"ใกล้ครบกำหนด",TRUE,"อยู่ระหว่างดำเนินการ"))))</x:f>
      </x:c>
      <x:c r="L265" s="114" t="str">
        <x:f>IF(OR(A265="",P265=""),"",HYPERLINK(P265,"เปิดใน Google Calendar"))</x:f>
      </x:c>
      <x:c r="M265" s="111"/>
      <x:c r="N265" s="123"/>
      <x:c r="O265" s="123"/>
      <x:c r="P265" s="123"/>
      <x:c r="Q265" s="126" t="b">
        <x:v>0</x:v>
      </x:c>
      <x:c r="R265" s="126" t="b">
        <x:v>0</x:v>
      </x:c>
      <x:c r="S265" s="126" t="b">
        <x:v>0</x:v>
      </x:c>
      <x:c r="T265" s="126" t="b">
        <x:v>0</x:v>
      </x:c>
      <x:c r="U265" s="144"/>
      <x:c r="V265" s="123"/>
      <x:c r="W265" s="123"/>
      <x:c r="X265" s="126" t="b">
        <x:v>0</x:v>
      </x:c>
    </x:row>
    <x:row r="266" ht="18" customHeight="1">
      <x:c r="A266" s="111"/>
      <x:c r="B266" s="111"/>
      <x:c r="C266" s="111"/>
      <x:c r="D266" s="111"/>
      <x:c r="E266" s="129"/>
      <x:c r="F266" s="138"/>
      <x:c r="G266" s="133" t="str">
        <x:f>IF(OR(A266="",E266="",F266=""),"",E266+F266-IF('ตั้งค่า'!$B$12="นับรวมวันเซ็น",1,0))</x:f>
      </x:c>
      <x:c r="H266" s="134"/>
      <x:c r="I266" s="117" t="str">
        <x:v>ยังไม่ส่ง</x:v>
      </x:c>
      <x:c r="J266" s="141" t="str">
        <x:f>IF(A266="","",IF(G266="","",IF(I266="ส่งแล้ว",0,G266-TODAY())))</x:f>
      </x:c>
      <x:c r="K266" s="114" t="str">
        <x:f>IF(A266="","",IF(G266="","ยังไม่ระบุวัน",IF(I266="ส่งแล้ว",IF(H266="","ส่งแล้ว",IF(INT(H266)&lt;INT(G266),"ส่งก่อนกำหนด "&amp;(INT(G266)-INT(H266))&amp;" วัน",IF(INT(H266)=INT(G266),"ส่งตรงกำหนด","ส่งล่าช้า "&amp;(INT(H266)-INT(G266))&amp;" วัน"))),IFS(G266&lt;TODAY(),"เกินกำหนด "&amp;(TODAY()-G266)&amp;" วัน",G266=TODAY(),"ครบกำหนดวันนี้",G266-TODAY()&lt;=3,"เร่งดำเนินการ",G266-TODAY()&lt;=5,"ต้องติดตาม",G266-TODAY()&lt;=10,"ใกล้ครบกำหนด",TRUE,"อยู่ระหว่างดำเนินการ"))))</x:f>
      </x:c>
      <x:c r="L266" s="114" t="str">
        <x:f>IF(OR(A266="",P266=""),"",HYPERLINK(P266,"เปิดใน Google Calendar"))</x:f>
      </x:c>
      <x:c r="M266" s="111"/>
      <x:c r="N266" s="123"/>
      <x:c r="O266" s="123"/>
      <x:c r="P266" s="123"/>
      <x:c r="Q266" s="126" t="b">
        <x:v>0</x:v>
      </x:c>
      <x:c r="R266" s="126" t="b">
        <x:v>0</x:v>
      </x:c>
      <x:c r="S266" s="126" t="b">
        <x:v>0</x:v>
      </x:c>
      <x:c r="T266" s="126" t="b">
        <x:v>0</x:v>
      </x:c>
      <x:c r="U266" s="144"/>
      <x:c r="V266" s="123"/>
      <x:c r="W266" s="123"/>
      <x:c r="X266" s="126" t="b">
        <x:v>0</x:v>
      </x:c>
    </x:row>
    <x:row r="267" ht="18" customHeight="1">
      <x:c r="A267" s="111"/>
      <x:c r="B267" s="111"/>
      <x:c r="C267" s="111"/>
      <x:c r="D267" s="111"/>
      <x:c r="E267" s="129"/>
      <x:c r="F267" s="138"/>
      <x:c r="G267" s="133" t="str">
        <x:f>IF(OR(A267="",E267="",F267=""),"",E267+F267-IF('ตั้งค่า'!$B$12="นับรวมวันเซ็น",1,0))</x:f>
      </x:c>
      <x:c r="H267" s="134"/>
      <x:c r="I267" s="117" t="str">
        <x:v>ยังไม่ส่ง</x:v>
      </x:c>
      <x:c r="J267" s="141" t="str">
        <x:f>IF(A267="","",IF(G267="","",IF(I267="ส่งแล้ว",0,G267-TODAY())))</x:f>
      </x:c>
      <x:c r="K267" s="114" t="str">
        <x:f>IF(A267="","",IF(G267="","ยังไม่ระบุวัน",IF(I267="ส่งแล้ว",IF(H267="","ส่งแล้ว",IF(INT(H267)&lt;INT(G267),"ส่งก่อนกำหนด "&amp;(INT(G267)-INT(H267))&amp;" วัน",IF(INT(H267)=INT(G267),"ส่งตรงกำหนด","ส่งล่าช้า "&amp;(INT(H267)-INT(G267))&amp;" วัน"))),IFS(G267&lt;TODAY(),"เกินกำหนด "&amp;(TODAY()-G267)&amp;" วัน",G267=TODAY(),"ครบกำหนดวันนี้",G267-TODAY()&lt;=3,"เร่งดำเนินการ",G267-TODAY()&lt;=5,"ต้องติดตาม",G267-TODAY()&lt;=10,"ใกล้ครบกำหนด",TRUE,"อยู่ระหว่างดำเนินการ"))))</x:f>
      </x:c>
      <x:c r="L267" s="114" t="str">
        <x:f>IF(OR(A267="",P267=""),"",HYPERLINK(P267,"เปิดใน Google Calendar"))</x:f>
      </x:c>
      <x:c r="M267" s="111"/>
      <x:c r="N267" s="123"/>
      <x:c r="O267" s="123"/>
      <x:c r="P267" s="123"/>
      <x:c r="Q267" s="126" t="b">
        <x:v>0</x:v>
      </x:c>
      <x:c r="R267" s="126" t="b">
        <x:v>0</x:v>
      </x:c>
      <x:c r="S267" s="126" t="b">
        <x:v>0</x:v>
      </x:c>
      <x:c r="T267" s="126" t="b">
        <x:v>0</x:v>
      </x:c>
      <x:c r="U267" s="144"/>
      <x:c r="V267" s="123"/>
      <x:c r="W267" s="123"/>
      <x:c r="X267" s="126" t="b">
        <x:v>0</x:v>
      </x:c>
    </x:row>
    <x:row r="268" ht="18" customHeight="1">
      <x:c r="A268" s="111"/>
      <x:c r="B268" s="111"/>
      <x:c r="C268" s="111"/>
      <x:c r="D268" s="111"/>
      <x:c r="E268" s="129"/>
      <x:c r="F268" s="138"/>
      <x:c r="G268" s="133" t="str">
        <x:f>IF(OR(A268="",E268="",F268=""),"",E268+F268-IF('ตั้งค่า'!$B$12="นับรวมวันเซ็น",1,0))</x:f>
      </x:c>
      <x:c r="H268" s="134"/>
      <x:c r="I268" s="117" t="str">
        <x:v>ยังไม่ส่ง</x:v>
      </x:c>
      <x:c r="J268" s="141" t="str">
        <x:f>IF(A268="","",IF(G268="","",IF(I268="ส่งแล้ว",0,G268-TODAY())))</x:f>
      </x:c>
      <x:c r="K268" s="114" t="str">
        <x:f>IF(A268="","",IF(G268="","ยังไม่ระบุวัน",IF(I268="ส่งแล้ว",IF(H268="","ส่งแล้ว",IF(INT(H268)&lt;INT(G268),"ส่งก่อนกำหนด "&amp;(INT(G268)-INT(H268))&amp;" วัน",IF(INT(H268)=INT(G268),"ส่งตรงกำหนด","ส่งล่าช้า "&amp;(INT(H268)-INT(G268))&amp;" วัน"))),IFS(G268&lt;TODAY(),"เกินกำหนด "&amp;(TODAY()-G268)&amp;" วัน",G268=TODAY(),"ครบกำหนดวันนี้",G268-TODAY()&lt;=3,"เร่งดำเนินการ",G268-TODAY()&lt;=5,"ต้องติดตาม",G268-TODAY()&lt;=10,"ใกล้ครบกำหนด",TRUE,"อยู่ระหว่างดำเนินการ"))))</x:f>
      </x:c>
      <x:c r="L268" s="114" t="str">
        <x:f>IF(OR(A268="",P268=""),"",HYPERLINK(P268,"เปิดใน Google Calendar"))</x:f>
      </x:c>
      <x:c r="M268" s="111"/>
      <x:c r="N268" s="123"/>
      <x:c r="O268" s="123"/>
      <x:c r="P268" s="123"/>
      <x:c r="Q268" s="126" t="b">
        <x:v>0</x:v>
      </x:c>
      <x:c r="R268" s="126" t="b">
        <x:v>0</x:v>
      </x:c>
      <x:c r="S268" s="126" t="b">
        <x:v>0</x:v>
      </x:c>
      <x:c r="T268" s="126" t="b">
        <x:v>0</x:v>
      </x:c>
      <x:c r="U268" s="144"/>
      <x:c r="V268" s="123"/>
      <x:c r="W268" s="123"/>
      <x:c r="X268" s="126" t="b">
        <x:v>0</x:v>
      </x:c>
    </x:row>
    <x:row r="269" ht="18" customHeight="1">
      <x:c r="A269" s="111"/>
      <x:c r="B269" s="111"/>
      <x:c r="C269" s="111"/>
      <x:c r="D269" s="111"/>
      <x:c r="E269" s="129"/>
      <x:c r="F269" s="138"/>
      <x:c r="G269" s="133" t="str">
        <x:f>IF(OR(A269="",E269="",F269=""),"",E269+F269-IF('ตั้งค่า'!$B$12="นับรวมวันเซ็น",1,0))</x:f>
      </x:c>
      <x:c r="H269" s="134"/>
      <x:c r="I269" s="117" t="str">
        <x:v>ยังไม่ส่ง</x:v>
      </x:c>
      <x:c r="J269" s="141" t="str">
        <x:f>IF(A269="","",IF(G269="","",IF(I269="ส่งแล้ว",0,G269-TODAY())))</x:f>
      </x:c>
      <x:c r="K269" s="114" t="str">
        <x:f>IF(A269="","",IF(G269="","ยังไม่ระบุวัน",IF(I269="ส่งแล้ว",IF(H269="","ส่งแล้ว",IF(INT(H269)&lt;INT(G269),"ส่งก่อนกำหนด "&amp;(INT(G269)-INT(H269))&amp;" วัน",IF(INT(H269)=INT(G269),"ส่งตรงกำหนด","ส่งล่าช้า "&amp;(INT(H269)-INT(G269))&amp;" วัน"))),IFS(G269&lt;TODAY(),"เกินกำหนด "&amp;(TODAY()-G269)&amp;" วัน",G269=TODAY(),"ครบกำหนดวันนี้",G269-TODAY()&lt;=3,"เร่งดำเนินการ",G269-TODAY()&lt;=5,"ต้องติดตาม",G269-TODAY()&lt;=10,"ใกล้ครบกำหนด",TRUE,"อยู่ระหว่างดำเนินการ"))))</x:f>
      </x:c>
      <x:c r="L269" s="114" t="str">
        <x:f>IF(OR(A269="",P269=""),"",HYPERLINK(P269,"เปิดใน Google Calendar"))</x:f>
      </x:c>
      <x:c r="M269" s="111"/>
      <x:c r="N269" s="123"/>
      <x:c r="O269" s="123"/>
      <x:c r="P269" s="123"/>
      <x:c r="Q269" s="126" t="b">
        <x:v>0</x:v>
      </x:c>
      <x:c r="R269" s="126" t="b">
        <x:v>0</x:v>
      </x:c>
      <x:c r="S269" s="126" t="b">
        <x:v>0</x:v>
      </x:c>
      <x:c r="T269" s="126" t="b">
        <x:v>0</x:v>
      </x:c>
      <x:c r="U269" s="144"/>
      <x:c r="V269" s="123"/>
      <x:c r="W269" s="123"/>
      <x:c r="X269" s="126" t="b">
        <x:v>0</x:v>
      </x:c>
    </x:row>
    <x:row r="270" ht="18" customHeight="1">
      <x:c r="A270" s="111"/>
      <x:c r="B270" s="111"/>
      <x:c r="C270" s="111"/>
      <x:c r="D270" s="111"/>
      <x:c r="E270" s="129"/>
      <x:c r="F270" s="138"/>
      <x:c r="G270" s="133" t="str">
        <x:f>IF(OR(A270="",E270="",F270=""),"",E270+F270-IF('ตั้งค่า'!$B$12="นับรวมวันเซ็น",1,0))</x:f>
      </x:c>
      <x:c r="H270" s="134"/>
      <x:c r="I270" s="117" t="str">
        <x:v>ยังไม่ส่ง</x:v>
      </x:c>
      <x:c r="J270" s="141" t="str">
        <x:f>IF(A270="","",IF(G270="","",IF(I270="ส่งแล้ว",0,G270-TODAY())))</x:f>
      </x:c>
      <x:c r="K270" s="114" t="str">
        <x:f>IF(A270="","",IF(G270="","ยังไม่ระบุวัน",IF(I270="ส่งแล้ว",IF(H270="","ส่งแล้ว",IF(INT(H270)&lt;INT(G270),"ส่งก่อนกำหนด "&amp;(INT(G270)-INT(H270))&amp;" วัน",IF(INT(H270)=INT(G270),"ส่งตรงกำหนด","ส่งล่าช้า "&amp;(INT(H270)-INT(G270))&amp;" วัน"))),IFS(G270&lt;TODAY(),"เกินกำหนด "&amp;(TODAY()-G270)&amp;" วัน",G270=TODAY(),"ครบกำหนดวันนี้",G270-TODAY()&lt;=3,"เร่งดำเนินการ",G270-TODAY()&lt;=5,"ต้องติดตาม",G270-TODAY()&lt;=10,"ใกล้ครบกำหนด",TRUE,"อยู่ระหว่างดำเนินการ"))))</x:f>
      </x:c>
      <x:c r="L270" s="114" t="str">
        <x:f>IF(OR(A270="",P270=""),"",HYPERLINK(P270,"เปิดใน Google Calendar"))</x:f>
      </x:c>
      <x:c r="M270" s="111"/>
      <x:c r="N270" s="123"/>
      <x:c r="O270" s="123"/>
      <x:c r="P270" s="123"/>
      <x:c r="Q270" s="126" t="b">
        <x:v>0</x:v>
      </x:c>
      <x:c r="R270" s="126" t="b">
        <x:v>0</x:v>
      </x:c>
      <x:c r="S270" s="126" t="b">
        <x:v>0</x:v>
      </x:c>
      <x:c r="T270" s="126" t="b">
        <x:v>0</x:v>
      </x:c>
      <x:c r="U270" s="144"/>
      <x:c r="V270" s="123"/>
      <x:c r="W270" s="123"/>
      <x:c r="X270" s="126" t="b">
        <x:v>0</x:v>
      </x:c>
    </x:row>
    <x:row r="271" ht="18" customHeight="1">
      <x:c r="A271" s="111"/>
      <x:c r="B271" s="111"/>
      <x:c r="C271" s="111"/>
      <x:c r="D271" s="111"/>
      <x:c r="E271" s="129"/>
      <x:c r="F271" s="138"/>
      <x:c r="G271" s="133" t="str">
        <x:f>IF(OR(A271="",E271="",F271=""),"",E271+F271-IF('ตั้งค่า'!$B$12="นับรวมวันเซ็น",1,0))</x:f>
      </x:c>
      <x:c r="H271" s="134"/>
      <x:c r="I271" s="117" t="str">
        <x:v>ยังไม่ส่ง</x:v>
      </x:c>
      <x:c r="J271" s="141" t="str">
        <x:f>IF(A271="","",IF(G271="","",IF(I271="ส่งแล้ว",0,G271-TODAY())))</x:f>
      </x:c>
      <x:c r="K271" s="114" t="str">
        <x:f>IF(A271="","",IF(G271="","ยังไม่ระบุวัน",IF(I271="ส่งแล้ว",IF(H271="","ส่งแล้ว",IF(INT(H271)&lt;INT(G271),"ส่งก่อนกำหนด "&amp;(INT(G271)-INT(H271))&amp;" วัน",IF(INT(H271)=INT(G271),"ส่งตรงกำหนด","ส่งล่าช้า "&amp;(INT(H271)-INT(G271))&amp;" วัน"))),IFS(G271&lt;TODAY(),"เกินกำหนด "&amp;(TODAY()-G271)&amp;" วัน",G271=TODAY(),"ครบกำหนดวันนี้",G271-TODAY()&lt;=3,"เร่งดำเนินการ",G271-TODAY()&lt;=5,"ต้องติดตาม",G271-TODAY()&lt;=10,"ใกล้ครบกำหนด",TRUE,"อยู่ระหว่างดำเนินการ"))))</x:f>
      </x:c>
      <x:c r="L271" s="114" t="str">
        <x:f>IF(OR(A271="",P271=""),"",HYPERLINK(P271,"เปิดใน Google Calendar"))</x:f>
      </x:c>
      <x:c r="M271" s="111"/>
      <x:c r="N271" s="123"/>
      <x:c r="O271" s="123"/>
      <x:c r="P271" s="123"/>
      <x:c r="Q271" s="126" t="b">
        <x:v>0</x:v>
      </x:c>
      <x:c r="R271" s="126" t="b">
        <x:v>0</x:v>
      </x:c>
      <x:c r="S271" s="126" t="b">
        <x:v>0</x:v>
      </x:c>
      <x:c r="T271" s="126" t="b">
        <x:v>0</x:v>
      </x:c>
      <x:c r="U271" s="144"/>
      <x:c r="V271" s="123"/>
      <x:c r="W271" s="123"/>
      <x:c r="X271" s="126" t="b">
        <x:v>0</x:v>
      </x:c>
    </x:row>
    <x:row r="272" ht="18" customHeight="1">
      <x:c r="A272" s="111"/>
      <x:c r="B272" s="111"/>
      <x:c r="C272" s="111"/>
      <x:c r="D272" s="111"/>
      <x:c r="E272" s="129"/>
      <x:c r="F272" s="138"/>
      <x:c r="G272" s="133" t="str">
        <x:f>IF(OR(A272="",E272="",F272=""),"",E272+F272-IF('ตั้งค่า'!$B$12="นับรวมวันเซ็น",1,0))</x:f>
      </x:c>
      <x:c r="H272" s="134"/>
      <x:c r="I272" s="117" t="str">
        <x:v>ยังไม่ส่ง</x:v>
      </x:c>
      <x:c r="J272" s="141" t="str">
        <x:f>IF(A272="","",IF(G272="","",IF(I272="ส่งแล้ว",0,G272-TODAY())))</x:f>
      </x:c>
      <x:c r="K272" s="114" t="str">
        <x:f>IF(A272="","",IF(G272="","ยังไม่ระบุวัน",IF(I272="ส่งแล้ว",IF(H272="","ส่งแล้ว",IF(INT(H272)&lt;INT(G272),"ส่งก่อนกำหนด "&amp;(INT(G272)-INT(H272))&amp;" วัน",IF(INT(H272)=INT(G272),"ส่งตรงกำหนด","ส่งล่าช้า "&amp;(INT(H272)-INT(G272))&amp;" วัน"))),IFS(G272&lt;TODAY(),"เกินกำหนด "&amp;(TODAY()-G272)&amp;" วัน",G272=TODAY(),"ครบกำหนดวันนี้",G272-TODAY()&lt;=3,"เร่งดำเนินการ",G272-TODAY()&lt;=5,"ต้องติดตาม",G272-TODAY()&lt;=10,"ใกล้ครบกำหนด",TRUE,"อยู่ระหว่างดำเนินการ"))))</x:f>
      </x:c>
      <x:c r="L272" s="114" t="str">
        <x:f>IF(OR(A272="",P272=""),"",HYPERLINK(P272,"เปิดใน Google Calendar"))</x:f>
      </x:c>
      <x:c r="M272" s="111"/>
      <x:c r="N272" s="123"/>
      <x:c r="O272" s="123"/>
      <x:c r="P272" s="123"/>
      <x:c r="Q272" s="126" t="b">
        <x:v>0</x:v>
      </x:c>
      <x:c r="R272" s="126" t="b">
        <x:v>0</x:v>
      </x:c>
      <x:c r="S272" s="126" t="b">
        <x:v>0</x:v>
      </x:c>
      <x:c r="T272" s="126" t="b">
        <x:v>0</x:v>
      </x:c>
      <x:c r="U272" s="144"/>
      <x:c r="V272" s="123"/>
      <x:c r="W272" s="123"/>
      <x:c r="X272" s="126" t="b">
        <x:v>0</x:v>
      </x:c>
    </x:row>
    <x:row r="273" ht="18" customHeight="1">
      <x:c r="A273" s="111"/>
      <x:c r="B273" s="111"/>
      <x:c r="C273" s="111"/>
      <x:c r="D273" s="111"/>
      <x:c r="E273" s="129"/>
      <x:c r="F273" s="138"/>
      <x:c r="G273" s="133" t="str">
        <x:f>IF(OR(A273="",E273="",F273=""),"",E273+F273-IF('ตั้งค่า'!$B$12="นับรวมวันเซ็น",1,0))</x:f>
      </x:c>
      <x:c r="H273" s="134"/>
      <x:c r="I273" s="117" t="str">
        <x:v>ยังไม่ส่ง</x:v>
      </x:c>
      <x:c r="J273" s="141" t="str">
        <x:f>IF(A273="","",IF(G273="","",IF(I273="ส่งแล้ว",0,G273-TODAY())))</x:f>
      </x:c>
      <x:c r="K273" s="114" t="str">
        <x:f>IF(A273="","",IF(G273="","ยังไม่ระบุวัน",IF(I273="ส่งแล้ว",IF(H273="","ส่งแล้ว",IF(INT(H273)&lt;INT(G273),"ส่งก่อนกำหนด "&amp;(INT(G273)-INT(H273))&amp;" วัน",IF(INT(H273)=INT(G273),"ส่งตรงกำหนด","ส่งล่าช้า "&amp;(INT(H273)-INT(G273))&amp;" วัน"))),IFS(G273&lt;TODAY(),"เกินกำหนด "&amp;(TODAY()-G273)&amp;" วัน",G273=TODAY(),"ครบกำหนดวันนี้",G273-TODAY()&lt;=3,"เร่งดำเนินการ",G273-TODAY()&lt;=5,"ต้องติดตาม",G273-TODAY()&lt;=10,"ใกล้ครบกำหนด",TRUE,"อยู่ระหว่างดำเนินการ"))))</x:f>
      </x:c>
      <x:c r="L273" s="114" t="str">
        <x:f>IF(OR(A273="",P273=""),"",HYPERLINK(P273,"เปิดใน Google Calendar"))</x:f>
      </x:c>
      <x:c r="M273" s="111"/>
      <x:c r="N273" s="123"/>
      <x:c r="O273" s="123"/>
      <x:c r="P273" s="123"/>
      <x:c r="Q273" s="126" t="b">
        <x:v>0</x:v>
      </x:c>
      <x:c r="R273" s="126" t="b">
        <x:v>0</x:v>
      </x:c>
      <x:c r="S273" s="126" t="b">
        <x:v>0</x:v>
      </x:c>
      <x:c r="T273" s="126" t="b">
        <x:v>0</x:v>
      </x:c>
      <x:c r="U273" s="144"/>
      <x:c r="V273" s="123"/>
      <x:c r="W273" s="123"/>
      <x:c r="X273" s="126" t="b">
        <x:v>0</x:v>
      </x:c>
    </x:row>
    <x:row r="274" ht="18" customHeight="1">
      <x:c r="A274" s="111"/>
      <x:c r="B274" s="111"/>
      <x:c r="C274" s="111"/>
      <x:c r="D274" s="111"/>
      <x:c r="E274" s="129"/>
      <x:c r="F274" s="138"/>
      <x:c r="G274" s="133" t="str">
        <x:f>IF(OR(A274="",E274="",F274=""),"",E274+F274-IF('ตั้งค่า'!$B$12="นับรวมวันเซ็น",1,0))</x:f>
      </x:c>
      <x:c r="H274" s="134"/>
      <x:c r="I274" s="117" t="str">
        <x:v>ยังไม่ส่ง</x:v>
      </x:c>
      <x:c r="J274" s="141" t="str">
        <x:f>IF(A274="","",IF(G274="","",IF(I274="ส่งแล้ว",0,G274-TODAY())))</x:f>
      </x:c>
      <x:c r="K274" s="114" t="str">
        <x:f>IF(A274="","",IF(G274="","ยังไม่ระบุวัน",IF(I274="ส่งแล้ว",IF(H274="","ส่งแล้ว",IF(INT(H274)&lt;INT(G274),"ส่งก่อนกำหนด "&amp;(INT(G274)-INT(H274))&amp;" วัน",IF(INT(H274)=INT(G274),"ส่งตรงกำหนด","ส่งล่าช้า "&amp;(INT(H274)-INT(G274))&amp;" วัน"))),IFS(G274&lt;TODAY(),"เกินกำหนด "&amp;(TODAY()-G274)&amp;" วัน",G274=TODAY(),"ครบกำหนดวันนี้",G274-TODAY()&lt;=3,"เร่งดำเนินการ",G274-TODAY()&lt;=5,"ต้องติดตาม",G274-TODAY()&lt;=10,"ใกล้ครบกำหนด",TRUE,"อยู่ระหว่างดำเนินการ"))))</x:f>
      </x:c>
      <x:c r="L274" s="114" t="str">
        <x:f>IF(OR(A274="",P274=""),"",HYPERLINK(P274,"เปิดใน Google Calendar"))</x:f>
      </x:c>
      <x:c r="M274" s="111"/>
      <x:c r="N274" s="123"/>
      <x:c r="O274" s="123"/>
      <x:c r="P274" s="123"/>
      <x:c r="Q274" s="126" t="b">
        <x:v>0</x:v>
      </x:c>
      <x:c r="R274" s="126" t="b">
        <x:v>0</x:v>
      </x:c>
      <x:c r="S274" s="126" t="b">
        <x:v>0</x:v>
      </x:c>
      <x:c r="T274" s="126" t="b">
        <x:v>0</x:v>
      </x:c>
      <x:c r="U274" s="144"/>
      <x:c r="V274" s="123"/>
      <x:c r="W274" s="123"/>
      <x:c r="X274" s="126" t="b">
        <x:v>0</x:v>
      </x:c>
    </x:row>
    <x:row r="275" ht="18" customHeight="1">
      <x:c r="A275" s="111"/>
      <x:c r="B275" s="111"/>
      <x:c r="C275" s="111"/>
      <x:c r="D275" s="111"/>
      <x:c r="E275" s="129"/>
      <x:c r="F275" s="138"/>
      <x:c r="G275" s="133" t="str">
        <x:f>IF(OR(A275="",E275="",F275=""),"",E275+F275-IF('ตั้งค่า'!$B$12="นับรวมวันเซ็น",1,0))</x:f>
      </x:c>
      <x:c r="H275" s="134"/>
      <x:c r="I275" s="117" t="str">
        <x:v>ยังไม่ส่ง</x:v>
      </x:c>
      <x:c r="J275" s="141" t="str">
        <x:f>IF(A275="","",IF(G275="","",IF(I275="ส่งแล้ว",0,G275-TODAY())))</x:f>
      </x:c>
      <x:c r="K275" s="114" t="str">
        <x:f>IF(A275="","",IF(G275="","ยังไม่ระบุวัน",IF(I275="ส่งแล้ว",IF(H275="","ส่งแล้ว",IF(INT(H275)&lt;INT(G275),"ส่งก่อนกำหนด "&amp;(INT(G275)-INT(H275))&amp;" วัน",IF(INT(H275)=INT(G275),"ส่งตรงกำหนด","ส่งล่าช้า "&amp;(INT(H275)-INT(G275))&amp;" วัน"))),IFS(G275&lt;TODAY(),"เกินกำหนด "&amp;(TODAY()-G275)&amp;" วัน",G275=TODAY(),"ครบกำหนดวันนี้",G275-TODAY()&lt;=3,"เร่งดำเนินการ",G275-TODAY()&lt;=5,"ต้องติดตาม",G275-TODAY()&lt;=10,"ใกล้ครบกำหนด",TRUE,"อยู่ระหว่างดำเนินการ"))))</x:f>
      </x:c>
      <x:c r="L275" s="114" t="str">
        <x:f>IF(OR(A275="",P275=""),"",HYPERLINK(P275,"เปิดใน Google Calendar"))</x:f>
      </x:c>
      <x:c r="M275" s="111"/>
      <x:c r="N275" s="123"/>
      <x:c r="O275" s="123"/>
      <x:c r="P275" s="123"/>
      <x:c r="Q275" s="126" t="b">
        <x:v>0</x:v>
      </x:c>
      <x:c r="R275" s="126" t="b">
        <x:v>0</x:v>
      </x:c>
      <x:c r="S275" s="126" t="b">
        <x:v>0</x:v>
      </x:c>
      <x:c r="T275" s="126" t="b">
        <x:v>0</x:v>
      </x:c>
      <x:c r="U275" s="144"/>
      <x:c r="V275" s="123"/>
      <x:c r="W275" s="123"/>
      <x:c r="X275" s="126" t="b">
        <x:v>0</x:v>
      </x:c>
    </x:row>
    <x:row r="276" ht="18" customHeight="1">
      <x:c r="A276" s="111"/>
      <x:c r="B276" s="111"/>
      <x:c r="C276" s="111"/>
      <x:c r="D276" s="111"/>
      <x:c r="E276" s="129"/>
      <x:c r="F276" s="138"/>
      <x:c r="G276" s="133" t="str">
        <x:f>IF(OR(A276="",E276="",F276=""),"",E276+F276-IF('ตั้งค่า'!$B$12="นับรวมวันเซ็น",1,0))</x:f>
      </x:c>
      <x:c r="H276" s="134"/>
      <x:c r="I276" s="117" t="str">
        <x:v>ยังไม่ส่ง</x:v>
      </x:c>
      <x:c r="J276" s="141" t="str">
        <x:f>IF(A276="","",IF(G276="","",IF(I276="ส่งแล้ว",0,G276-TODAY())))</x:f>
      </x:c>
      <x:c r="K276" s="114" t="str">
        <x:f>IF(A276="","",IF(G276="","ยังไม่ระบุวัน",IF(I276="ส่งแล้ว",IF(H276="","ส่งแล้ว",IF(INT(H276)&lt;INT(G276),"ส่งก่อนกำหนด "&amp;(INT(G276)-INT(H276))&amp;" วัน",IF(INT(H276)=INT(G276),"ส่งตรงกำหนด","ส่งล่าช้า "&amp;(INT(H276)-INT(G276))&amp;" วัน"))),IFS(G276&lt;TODAY(),"เกินกำหนด "&amp;(TODAY()-G276)&amp;" วัน",G276=TODAY(),"ครบกำหนดวันนี้",G276-TODAY()&lt;=3,"เร่งดำเนินการ",G276-TODAY()&lt;=5,"ต้องติดตาม",G276-TODAY()&lt;=10,"ใกล้ครบกำหนด",TRUE,"อยู่ระหว่างดำเนินการ"))))</x:f>
      </x:c>
      <x:c r="L276" s="114" t="str">
        <x:f>IF(OR(A276="",P276=""),"",HYPERLINK(P276,"เปิดใน Google Calendar"))</x:f>
      </x:c>
      <x:c r="M276" s="111"/>
      <x:c r="N276" s="123"/>
      <x:c r="O276" s="123"/>
      <x:c r="P276" s="123"/>
      <x:c r="Q276" s="126" t="b">
        <x:v>0</x:v>
      </x:c>
      <x:c r="R276" s="126" t="b">
        <x:v>0</x:v>
      </x:c>
      <x:c r="S276" s="126" t="b">
        <x:v>0</x:v>
      </x:c>
      <x:c r="T276" s="126" t="b">
        <x:v>0</x:v>
      </x:c>
      <x:c r="U276" s="144"/>
      <x:c r="V276" s="123"/>
      <x:c r="W276" s="123"/>
      <x:c r="X276" s="126" t="b">
        <x:v>0</x:v>
      </x:c>
    </x:row>
    <x:row r="277" ht="18" customHeight="1">
      <x:c r="A277" s="111"/>
      <x:c r="B277" s="111"/>
      <x:c r="C277" s="111"/>
      <x:c r="D277" s="111"/>
      <x:c r="E277" s="129"/>
      <x:c r="F277" s="138"/>
      <x:c r="G277" s="133" t="str">
        <x:f>IF(OR(A277="",E277="",F277=""),"",E277+F277-IF('ตั้งค่า'!$B$12="นับรวมวันเซ็น",1,0))</x:f>
      </x:c>
      <x:c r="H277" s="134"/>
      <x:c r="I277" s="117" t="str">
        <x:v>ยังไม่ส่ง</x:v>
      </x:c>
      <x:c r="J277" s="141" t="str">
        <x:f>IF(A277="","",IF(G277="","",IF(I277="ส่งแล้ว",0,G277-TODAY())))</x:f>
      </x:c>
      <x:c r="K277" s="114" t="str">
        <x:f>IF(A277="","",IF(G277="","ยังไม่ระบุวัน",IF(I277="ส่งแล้ว",IF(H277="","ส่งแล้ว",IF(INT(H277)&lt;INT(G277),"ส่งก่อนกำหนด "&amp;(INT(G277)-INT(H277))&amp;" วัน",IF(INT(H277)=INT(G277),"ส่งตรงกำหนด","ส่งล่าช้า "&amp;(INT(H277)-INT(G277))&amp;" วัน"))),IFS(G277&lt;TODAY(),"เกินกำหนด "&amp;(TODAY()-G277)&amp;" วัน",G277=TODAY(),"ครบกำหนดวันนี้",G277-TODAY()&lt;=3,"เร่งดำเนินการ",G277-TODAY()&lt;=5,"ต้องติดตาม",G277-TODAY()&lt;=10,"ใกล้ครบกำหนด",TRUE,"อยู่ระหว่างดำเนินการ"))))</x:f>
      </x:c>
      <x:c r="L277" s="114" t="str">
        <x:f>IF(OR(A277="",P277=""),"",HYPERLINK(P277,"เปิดใน Google Calendar"))</x:f>
      </x:c>
      <x:c r="M277" s="111"/>
      <x:c r="N277" s="123"/>
      <x:c r="O277" s="123"/>
      <x:c r="P277" s="123"/>
      <x:c r="Q277" s="126" t="b">
        <x:v>0</x:v>
      </x:c>
      <x:c r="R277" s="126" t="b">
        <x:v>0</x:v>
      </x:c>
      <x:c r="S277" s="126" t="b">
        <x:v>0</x:v>
      </x:c>
      <x:c r="T277" s="126" t="b">
        <x:v>0</x:v>
      </x:c>
      <x:c r="U277" s="144"/>
      <x:c r="V277" s="123"/>
      <x:c r="W277" s="123"/>
      <x:c r="X277" s="126" t="b">
        <x:v>0</x:v>
      </x:c>
    </x:row>
    <x:row r="278" ht="18" customHeight="1">
      <x:c r="A278" s="111"/>
      <x:c r="B278" s="111"/>
      <x:c r="C278" s="111"/>
      <x:c r="D278" s="111"/>
      <x:c r="E278" s="129"/>
      <x:c r="F278" s="138"/>
      <x:c r="G278" s="133" t="str">
        <x:f>IF(OR(A278="",E278="",F278=""),"",E278+F278-IF('ตั้งค่า'!$B$12="นับรวมวันเซ็น",1,0))</x:f>
      </x:c>
      <x:c r="H278" s="134"/>
      <x:c r="I278" s="117" t="str">
        <x:v>ยังไม่ส่ง</x:v>
      </x:c>
      <x:c r="J278" s="141" t="str">
        <x:f>IF(A278="","",IF(G278="","",IF(I278="ส่งแล้ว",0,G278-TODAY())))</x:f>
      </x:c>
      <x:c r="K278" s="114" t="str">
        <x:f>IF(A278="","",IF(G278="","ยังไม่ระบุวัน",IF(I278="ส่งแล้ว",IF(H278="","ส่งแล้ว",IF(INT(H278)&lt;INT(G278),"ส่งก่อนกำหนด "&amp;(INT(G278)-INT(H278))&amp;" วัน",IF(INT(H278)=INT(G278),"ส่งตรงกำหนด","ส่งล่าช้า "&amp;(INT(H278)-INT(G278))&amp;" วัน"))),IFS(G278&lt;TODAY(),"เกินกำหนด "&amp;(TODAY()-G278)&amp;" วัน",G278=TODAY(),"ครบกำหนดวันนี้",G278-TODAY()&lt;=3,"เร่งดำเนินการ",G278-TODAY()&lt;=5,"ต้องติดตาม",G278-TODAY()&lt;=10,"ใกล้ครบกำหนด",TRUE,"อยู่ระหว่างดำเนินการ"))))</x:f>
      </x:c>
      <x:c r="L278" s="114" t="str">
        <x:f>IF(OR(A278="",P278=""),"",HYPERLINK(P278,"เปิดใน Google Calendar"))</x:f>
      </x:c>
      <x:c r="M278" s="111"/>
      <x:c r="N278" s="123"/>
      <x:c r="O278" s="123"/>
      <x:c r="P278" s="123"/>
      <x:c r="Q278" s="126" t="b">
        <x:v>0</x:v>
      </x:c>
      <x:c r="R278" s="126" t="b">
        <x:v>0</x:v>
      </x:c>
      <x:c r="S278" s="126" t="b">
        <x:v>0</x:v>
      </x:c>
      <x:c r="T278" s="126" t="b">
        <x:v>0</x:v>
      </x:c>
      <x:c r="U278" s="144"/>
      <x:c r="V278" s="123"/>
      <x:c r="W278" s="123"/>
      <x:c r="X278" s="126" t="b">
        <x:v>0</x:v>
      </x:c>
    </x:row>
    <x:row r="279" ht="18" customHeight="1">
      <x:c r="A279" s="111"/>
      <x:c r="B279" s="111"/>
      <x:c r="C279" s="111"/>
      <x:c r="D279" s="111"/>
      <x:c r="E279" s="129"/>
      <x:c r="F279" s="138"/>
      <x:c r="G279" s="133" t="str">
        <x:f>IF(OR(A279="",E279="",F279=""),"",E279+F279-IF('ตั้งค่า'!$B$12="นับรวมวันเซ็น",1,0))</x:f>
      </x:c>
      <x:c r="H279" s="134"/>
      <x:c r="I279" s="117" t="str">
        <x:v>ยังไม่ส่ง</x:v>
      </x:c>
      <x:c r="J279" s="141" t="str">
        <x:f>IF(A279="","",IF(G279="","",IF(I279="ส่งแล้ว",0,G279-TODAY())))</x:f>
      </x:c>
      <x:c r="K279" s="114" t="str">
        <x:f>IF(A279="","",IF(G279="","ยังไม่ระบุวัน",IF(I279="ส่งแล้ว",IF(H279="","ส่งแล้ว",IF(INT(H279)&lt;INT(G279),"ส่งก่อนกำหนด "&amp;(INT(G279)-INT(H279))&amp;" วัน",IF(INT(H279)=INT(G279),"ส่งตรงกำหนด","ส่งล่าช้า "&amp;(INT(H279)-INT(G279))&amp;" วัน"))),IFS(G279&lt;TODAY(),"เกินกำหนด "&amp;(TODAY()-G279)&amp;" วัน",G279=TODAY(),"ครบกำหนดวันนี้",G279-TODAY()&lt;=3,"เร่งดำเนินการ",G279-TODAY()&lt;=5,"ต้องติดตาม",G279-TODAY()&lt;=10,"ใกล้ครบกำหนด",TRUE,"อยู่ระหว่างดำเนินการ"))))</x:f>
      </x:c>
      <x:c r="L279" s="114" t="str">
        <x:f>IF(OR(A279="",P279=""),"",HYPERLINK(P279,"เปิดใน Google Calendar"))</x:f>
      </x:c>
      <x:c r="M279" s="111"/>
      <x:c r="N279" s="123"/>
      <x:c r="O279" s="123"/>
      <x:c r="P279" s="123"/>
      <x:c r="Q279" s="126" t="b">
        <x:v>0</x:v>
      </x:c>
      <x:c r="R279" s="126" t="b">
        <x:v>0</x:v>
      </x:c>
      <x:c r="S279" s="126" t="b">
        <x:v>0</x:v>
      </x:c>
      <x:c r="T279" s="126" t="b">
        <x:v>0</x:v>
      </x:c>
      <x:c r="U279" s="144"/>
      <x:c r="V279" s="123"/>
      <x:c r="W279" s="123"/>
      <x:c r="X279" s="126" t="b">
        <x:v>0</x:v>
      </x:c>
    </x:row>
    <x:row r="280" ht="18" customHeight="1">
      <x:c r="A280" s="111"/>
      <x:c r="B280" s="111"/>
      <x:c r="C280" s="111"/>
      <x:c r="D280" s="111"/>
      <x:c r="E280" s="129"/>
      <x:c r="F280" s="138"/>
      <x:c r="G280" s="133" t="str">
        <x:f>IF(OR(A280="",E280="",F280=""),"",E280+F280-IF('ตั้งค่า'!$B$12="นับรวมวันเซ็น",1,0))</x:f>
      </x:c>
      <x:c r="H280" s="134"/>
      <x:c r="I280" s="117" t="str">
        <x:v>ยังไม่ส่ง</x:v>
      </x:c>
      <x:c r="J280" s="141" t="str">
        <x:f>IF(A280="","",IF(G280="","",IF(I280="ส่งแล้ว",0,G280-TODAY())))</x:f>
      </x:c>
      <x:c r="K280" s="114" t="str">
        <x:f>IF(A280="","",IF(G280="","ยังไม่ระบุวัน",IF(I280="ส่งแล้ว",IF(H280="","ส่งแล้ว",IF(INT(H280)&lt;INT(G280),"ส่งก่อนกำหนด "&amp;(INT(G280)-INT(H280))&amp;" วัน",IF(INT(H280)=INT(G280),"ส่งตรงกำหนด","ส่งล่าช้า "&amp;(INT(H280)-INT(G280))&amp;" วัน"))),IFS(G280&lt;TODAY(),"เกินกำหนด "&amp;(TODAY()-G280)&amp;" วัน",G280=TODAY(),"ครบกำหนดวันนี้",G280-TODAY()&lt;=3,"เร่งดำเนินการ",G280-TODAY()&lt;=5,"ต้องติดตาม",G280-TODAY()&lt;=10,"ใกล้ครบกำหนด",TRUE,"อยู่ระหว่างดำเนินการ"))))</x:f>
      </x:c>
      <x:c r="L280" s="114" t="str">
        <x:f>IF(OR(A280="",P280=""),"",HYPERLINK(P280,"เปิดใน Google Calendar"))</x:f>
      </x:c>
      <x:c r="M280" s="111"/>
      <x:c r="N280" s="123"/>
      <x:c r="O280" s="123"/>
      <x:c r="P280" s="123"/>
      <x:c r="Q280" s="126" t="b">
        <x:v>0</x:v>
      </x:c>
      <x:c r="R280" s="126" t="b">
        <x:v>0</x:v>
      </x:c>
      <x:c r="S280" s="126" t="b">
        <x:v>0</x:v>
      </x:c>
      <x:c r="T280" s="126" t="b">
        <x:v>0</x:v>
      </x:c>
      <x:c r="U280" s="144"/>
      <x:c r="V280" s="123"/>
      <x:c r="W280" s="123"/>
      <x:c r="X280" s="126" t="b">
        <x:v>0</x:v>
      </x:c>
    </x:row>
    <x:row r="281" ht="18" customHeight="1">
      <x:c r="A281" s="111"/>
      <x:c r="B281" s="111"/>
      <x:c r="C281" s="111"/>
      <x:c r="D281" s="111"/>
      <x:c r="E281" s="129"/>
      <x:c r="F281" s="138"/>
      <x:c r="G281" s="133" t="str">
        <x:f>IF(OR(A281="",E281="",F281=""),"",E281+F281-IF('ตั้งค่า'!$B$12="นับรวมวันเซ็น",1,0))</x:f>
      </x:c>
      <x:c r="H281" s="134"/>
      <x:c r="I281" s="117" t="str">
        <x:v>ยังไม่ส่ง</x:v>
      </x:c>
      <x:c r="J281" s="141" t="str">
        <x:f>IF(A281="","",IF(G281="","",IF(I281="ส่งแล้ว",0,G281-TODAY())))</x:f>
      </x:c>
      <x:c r="K281" s="114" t="str">
        <x:f>IF(A281="","",IF(G281="","ยังไม่ระบุวัน",IF(I281="ส่งแล้ว",IF(H281="","ส่งแล้ว",IF(INT(H281)&lt;INT(G281),"ส่งก่อนกำหนด "&amp;(INT(G281)-INT(H281))&amp;" วัน",IF(INT(H281)=INT(G281),"ส่งตรงกำหนด","ส่งล่าช้า "&amp;(INT(H281)-INT(G281))&amp;" วัน"))),IFS(G281&lt;TODAY(),"เกินกำหนด "&amp;(TODAY()-G281)&amp;" วัน",G281=TODAY(),"ครบกำหนดวันนี้",G281-TODAY()&lt;=3,"เร่งดำเนินการ",G281-TODAY()&lt;=5,"ต้องติดตาม",G281-TODAY()&lt;=10,"ใกล้ครบกำหนด",TRUE,"อยู่ระหว่างดำเนินการ"))))</x:f>
      </x:c>
      <x:c r="L281" s="114" t="str">
        <x:f>IF(OR(A281="",P281=""),"",HYPERLINK(P281,"เปิดใน Google Calendar"))</x:f>
      </x:c>
      <x:c r="M281" s="111"/>
      <x:c r="N281" s="123"/>
      <x:c r="O281" s="123"/>
      <x:c r="P281" s="123"/>
      <x:c r="Q281" s="126" t="b">
        <x:v>0</x:v>
      </x:c>
      <x:c r="R281" s="126" t="b">
        <x:v>0</x:v>
      </x:c>
      <x:c r="S281" s="126" t="b">
        <x:v>0</x:v>
      </x:c>
      <x:c r="T281" s="126" t="b">
        <x:v>0</x:v>
      </x:c>
      <x:c r="U281" s="144"/>
      <x:c r="V281" s="123"/>
      <x:c r="W281" s="123"/>
      <x:c r="X281" s="126" t="b">
        <x:v>0</x:v>
      </x:c>
    </x:row>
    <x:row r="282" ht="18" customHeight="1">
      <x:c r="A282" s="111"/>
      <x:c r="B282" s="111"/>
      <x:c r="C282" s="111"/>
      <x:c r="D282" s="111"/>
      <x:c r="E282" s="129"/>
      <x:c r="F282" s="138"/>
      <x:c r="G282" s="133" t="str">
        <x:f>IF(OR(A282="",E282="",F282=""),"",E282+F282-IF('ตั้งค่า'!$B$12="นับรวมวันเซ็น",1,0))</x:f>
      </x:c>
      <x:c r="H282" s="134"/>
      <x:c r="I282" s="117" t="str">
        <x:v>ยังไม่ส่ง</x:v>
      </x:c>
      <x:c r="J282" s="141" t="str">
        <x:f>IF(A282="","",IF(G282="","",IF(I282="ส่งแล้ว",0,G282-TODAY())))</x:f>
      </x:c>
      <x:c r="K282" s="114" t="str">
        <x:f>IF(A282="","",IF(G282="","ยังไม่ระบุวัน",IF(I282="ส่งแล้ว",IF(H282="","ส่งแล้ว",IF(INT(H282)&lt;INT(G282),"ส่งก่อนกำหนด "&amp;(INT(G282)-INT(H282))&amp;" วัน",IF(INT(H282)=INT(G282),"ส่งตรงกำหนด","ส่งล่าช้า "&amp;(INT(H282)-INT(G282))&amp;" วัน"))),IFS(G282&lt;TODAY(),"เกินกำหนด "&amp;(TODAY()-G282)&amp;" วัน",G282=TODAY(),"ครบกำหนดวันนี้",G282-TODAY()&lt;=3,"เร่งดำเนินการ",G282-TODAY()&lt;=5,"ต้องติดตาม",G282-TODAY()&lt;=10,"ใกล้ครบกำหนด",TRUE,"อยู่ระหว่างดำเนินการ"))))</x:f>
      </x:c>
      <x:c r="L282" s="114" t="str">
        <x:f>IF(OR(A282="",P282=""),"",HYPERLINK(P282,"เปิดใน Google Calendar"))</x:f>
      </x:c>
      <x:c r="M282" s="111"/>
      <x:c r="N282" s="123"/>
      <x:c r="O282" s="123"/>
      <x:c r="P282" s="123"/>
      <x:c r="Q282" s="126" t="b">
        <x:v>0</x:v>
      </x:c>
      <x:c r="R282" s="126" t="b">
        <x:v>0</x:v>
      </x:c>
      <x:c r="S282" s="126" t="b">
        <x:v>0</x:v>
      </x:c>
      <x:c r="T282" s="126" t="b">
        <x:v>0</x:v>
      </x:c>
      <x:c r="U282" s="144"/>
      <x:c r="V282" s="123"/>
      <x:c r="W282" s="123"/>
      <x:c r="X282" s="126" t="b">
        <x:v>0</x:v>
      </x:c>
    </x:row>
    <x:row r="283" ht="18" customHeight="1">
      <x:c r="A283" s="111"/>
      <x:c r="B283" s="111"/>
      <x:c r="C283" s="111"/>
      <x:c r="D283" s="111"/>
      <x:c r="E283" s="129"/>
      <x:c r="F283" s="138"/>
      <x:c r="G283" s="133" t="str">
        <x:f>IF(OR(A283="",E283="",F283=""),"",E283+F283-IF('ตั้งค่า'!$B$12="นับรวมวันเซ็น",1,0))</x:f>
      </x:c>
      <x:c r="H283" s="134"/>
      <x:c r="I283" s="117" t="str">
        <x:v>ยังไม่ส่ง</x:v>
      </x:c>
      <x:c r="J283" s="141" t="str">
        <x:f>IF(A283="","",IF(G283="","",IF(I283="ส่งแล้ว",0,G283-TODAY())))</x:f>
      </x:c>
      <x:c r="K283" s="114" t="str">
        <x:f>IF(A283="","",IF(G283="","ยังไม่ระบุวัน",IF(I283="ส่งแล้ว",IF(H283="","ส่งแล้ว",IF(INT(H283)&lt;INT(G283),"ส่งก่อนกำหนด "&amp;(INT(G283)-INT(H283))&amp;" วัน",IF(INT(H283)=INT(G283),"ส่งตรงกำหนด","ส่งล่าช้า "&amp;(INT(H283)-INT(G283))&amp;" วัน"))),IFS(G283&lt;TODAY(),"เกินกำหนด "&amp;(TODAY()-G283)&amp;" วัน",G283=TODAY(),"ครบกำหนดวันนี้",G283-TODAY()&lt;=3,"เร่งดำเนินการ",G283-TODAY()&lt;=5,"ต้องติดตาม",G283-TODAY()&lt;=10,"ใกล้ครบกำหนด",TRUE,"อยู่ระหว่างดำเนินการ"))))</x:f>
      </x:c>
      <x:c r="L283" s="114" t="str">
        <x:f>IF(OR(A283="",P283=""),"",HYPERLINK(P283,"เปิดใน Google Calendar"))</x:f>
      </x:c>
      <x:c r="M283" s="111"/>
      <x:c r="N283" s="123"/>
      <x:c r="O283" s="123"/>
      <x:c r="P283" s="123"/>
      <x:c r="Q283" s="126" t="b">
        <x:v>0</x:v>
      </x:c>
      <x:c r="R283" s="126" t="b">
        <x:v>0</x:v>
      </x:c>
      <x:c r="S283" s="126" t="b">
        <x:v>0</x:v>
      </x:c>
      <x:c r="T283" s="126" t="b">
        <x:v>0</x:v>
      </x:c>
      <x:c r="U283" s="144"/>
      <x:c r="V283" s="123"/>
      <x:c r="W283" s="123"/>
      <x:c r="X283" s="126" t="b">
        <x:v>0</x:v>
      </x:c>
    </x:row>
    <x:row r="284" ht="18" customHeight="1">
      <x:c r="A284" s="111"/>
      <x:c r="B284" s="111"/>
      <x:c r="C284" s="111"/>
      <x:c r="D284" s="111"/>
      <x:c r="E284" s="129"/>
      <x:c r="F284" s="138"/>
      <x:c r="G284" s="133" t="str">
        <x:f>IF(OR(A284="",E284="",F284=""),"",E284+F284-IF('ตั้งค่า'!$B$12="นับรวมวันเซ็น",1,0))</x:f>
      </x:c>
      <x:c r="H284" s="134"/>
      <x:c r="I284" s="117" t="str">
        <x:v>ยังไม่ส่ง</x:v>
      </x:c>
      <x:c r="J284" s="141" t="str">
        <x:f>IF(A284="","",IF(G284="","",IF(I284="ส่งแล้ว",0,G284-TODAY())))</x:f>
      </x:c>
      <x:c r="K284" s="114" t="str">
        <x:f>IF(A284="","",IF(G284="","ยังไม่ระบุวัน",IF(I284="ส่งแล้ว",IF(H284="","ส่งแล้ว",IF(INT(H284)&lt;INT(G284),"ส่งก่อนกำหนด "&amp;(INT(G284)-INT(H284))&amp;" วัน",IF(INT(H284)=INT(G284),"ส่งตรงกำหนด","ส่งล่าช้า "&amp;(INT(H284)-INT(G284))&amp;" วัน"))),IFS(G284&lt;TODAY(),"เกินกำหนด "&amp;(TODAY()-G284)&amp;" วัน",G284=TODAY(),"ครบกำหนดวันนี้",G284-TODAY()&lt;=3,"เร่งดำเนินการ",G284-TODAY()&lt;=5,"ต้องติดตาม",G284-TODAY()&lt;=10,"ใกล้ครบกำหนด",TRUE,"อยู่ระหว่างดำเนินการ"))))</x:f>
      </x:c>
      <x:c r="L284" s="114" t="str">
        <x:f>IF(OR(A284="",P284=""),"",HYPERLINK(P284,"เปิดใน Google Calendar"))</x:f>
      </x:c>
      <x:c r="M284" s="111"/>
      <x:c r="N284" s="123"/>
      <x:c r="O284" s="123"/>
      <x:c r="P284" s="123"/>
      <x:c r="Q284" s="126" t="b">
        <x:v>0</x:v>
      </x:c>
      <x:c r="R284" s="126" t="b">
        <x:v>0</x:v>
      </x:c>
      <x:c r="S284" s="126" t="b">
        <x:v>0</x:v>
      </x:c>
      <x:c r="T284" s="126" t="b">
        <x:v>0</x:v>
      </x:c>
      <x:c r="U284" s="144"/>
      <x:c r="V284" s="123"/>
      <x:c r="W284" s="123"/>
      <x:c r="X284" s="126" t="b">
        <x:v>0</x:v>
      </x:c>
    </x:row>
    <x:row r="285" ht="18" customHeight="1">
      <x:c r="A285" s="111"/>
      <x:c r="B285" s="111"/>
      <x:c r="C285" s="111"/>
      <x:c r="D285" s="111"/>
      <x:c r="E285" s="129"/>
      <x:c r="F285" s="138"/>
      <x:c r="G285" s="133" t="str">
        <x:f>IF(OR(A285="",E285="",F285=""),"",E285+F285-IF('ตั้งค่า'!$B$12="นับรวมวันเซ็น",1,0))</x:f>
      </x:c>
      <x:c r="H285" s="134"/>
      <x:c r="I285" s="117" t="str">
        <x:v>ยังไม่ส่ง</x:v>
      </x:c>
      <x:c r="J285" s="141" t="str">
        <x:f>IF(A285="","",IF(G285="","",IF(I285="ส่งแล้ว",0,G285-TODAY())))</x:f>
      </x:c>
      <x:c r="K285" s="114" t="str">
        <x:f>IF(A285="","",IF(G285="","ยังไม่ระบุวัน",IF(I285="ส่งแล้ว",IF(H285="","ส่งแล้ว",IF(INT(H285)&lt;INT(G285),"ส่งก่อนกำหนด "&amp;(INT(G285)-INT(H285))&amp;" วัน",IF(INT(H285)=INT(G285),"ส่งตรงกำหนด","ส่งล่าช้า "&amp;(INT(H285)-INT(G285))&amp;" วัน"))),IFS(G285&lt;TODAY(),"เกินกำหนด "&amp;(TODAY()-G285)&amp;" วัน",G285=TODAY(),"ครบกำหนดวันนี้",G285-TODAY()&lt;=3,"เร่งดำเนินการ",G285-TODAY()&lt;=5,"ต้องติดตาม",G285-TODAY()&lt;=10,"ใกล้ครบกำหนด",TRUE,"อยู่ระหว่างดำเนินการ"))))</x:f>
      </x:c>
      <x:c r="L285" s="114" t="str">
        <x:f>IF(OR(A285="",P285=""),"",HYPERLINK(P285,"เปิดใน Google Calendar"))</x:f>
      </x:c>
      <x:c r="M285" s="111"/>
      <x:c r="N285" s="123"/>
      <x:c r="O285" s="123"/>
      <x:c r="P285" s="123"/>
      <x:c r="Q285" s="126" t="b">
        <x:v>0</x:v>
      </x:c>
      <x:c r="R285" s="126" t="b">
        <x:v>0</x:v>
      </x:c>
      <x:c r="S285" s="126" t="b">
        <x:v>0</x:v>
      </x:c>
      <x:c r="T285" s="126" t="b">
        <x:v>0</x:v>
      </x:c>
      <x:c r="U285" s="144"/>
      <x:c r="V285" s="123"/>
      <x:c r="W285" s="123"/>
      <x:c r="X285" s="126" t="b">
        <x:v>0</x:v>
      </x:c>
    </x:row>
    <x:row r="286" ht="18" customHeight="1">
      <x:c r="A286" s="111"/>
      <x:c r="B286" s="111"/>
      <x:c r="C286" s="111"/>
      <x:c r="D286" s="111"/>
      <x:c r="E286" s="129"/>
      <x:c r="F286" s="138"/>
      <x:c r="G286" s="133" t="str">
        <x:f>IF(OR(A286="",E286="",F286=""),"",E286+F286-IF('ตั้งค่า'!$B$12="นับรวมวันเซ็น",1,0))</x:f>
      </x:c>
      <x:c r="H286" s="134"/>
      <x:c r="I286" s="117" t="str">
        <x:v>ยังไม่ส่ง</x:v>
      </x:c>
      <x:c r="J286" s="141" t="str">
        <x:f>IF(A286="","",IF(G286="","",IF(I286="ส่งแล้ว",0,G286-TODAY())))</x:f>
      </x:c>
      <x:c r="K286" s="114" t="str">
        <x:f>IF(A286="","",IF(G286="","ยังไม่ระบุวัน",IF(I286="ส่งแล้ว",IF(H286="","ส่งแล้ว",IF(INT(H286)&lt;INT(G286),"ส่งก่อนกำหนด "&amp;(INT(G286)-INT(H286))&amp;" วัน",IF(INT(H286)=INT(G286),"ส่งตรงกำหนด","ส่งล่าช้า "&amp;(INT(H286)-INT(G286))&amp;" วัน"))),IFS(G286&lt;TODAY(),"เกินกำหนด "&amp;(TODAY()-G286)&amp;" วัน",G286=TODAY(),"ครบกำหนดวันนี้",G286-TODAY()&lt;=3,"เร่งดำเนินการ",G286-TODAY()&lt;=5,"ต้องติดตาม",G286-TODAY()&lt;=10,"ใกล้ครบกำหนด",TRUE,"อยู่ระหว่างดำเนินการ"))))</x:f>
      </x:c>
      <x:c r="L286" s="114" t="str">
        <x:f>IF(OR(A286="",P286=""),"",HYPERLINK(P286,"เปิดใน Google Calendar"))</x:f>
      </x:c>
      <x:c r="M286" s="111"/>
      <x:c r="N286" s="123"/>
      <x:c r="O286" s="123"/>
      <x:c r="P286" s="123"/>
      <x:c r="Q286" s="126" t="b">
        <x:v>0</x:v>
      </x:c>
      <x:c r="R286" s="126" t="b">
        <x:v>0</x:v>
      </x:c>
      <x:c r="S286" s="126" t="b">
        <x:v>0</x:v>
      </x:c>
      <x:c r="T286" s="126" t="b">
        <x:v>0</x:v>
      </x:c>
      <x:c r="U286" s="144"/>
      <x:c r="V286" s="123"/>
      <x:c r="W286" s="123"/>
      <x:c r="X286" s="126" t="b">
        <x:v>0</x:v>
      </x:c>
    </x:row>
    <x:row r="287" ht="18" customHeight="1">
      <x:c r="A287" s="111"/>
      <x:c r="B287" s="111"/>
      <x:c r="C287" s="111"/>
      <x:c r="D287" s="111"/>
      <x:c r="E287" s="129"/>
      <x:c r="F287" s="138"/>
      <x:c r="G287" s="133" t="str">
        <x:f>IF(OR(A287="",E287="",F287=""),"",E287+F287-IF('ตั้งค่า'!$B$12="นับรวมวันเซ็น",1,0))</x:f>
      </x:c>
      <x:c r="H287" s="134"/>
      <x:c r="I287" s="117" t="str">
        <x:v>ยังไม่ส่ง</x:v>
      </x:c>
      <x:c r="J287" s="141" t="str">
        <x:f>IF(A287="","",IF(G287="","",IF(I287="ส่งแล้ว",0,G287-TODAY())))</x:f>
      </x:c>
      <x:c r="K287" s="114" t="str">
        <x:f>IF(A287="","",IF(G287="","ยังไม่ระบุวัน",IF(I287="ส่งแล้ว",IF(H287="","ส่งแล้ว",IF(INT(H287)&lt;INT(G287),"ส่งก่อนกำหนด "&amp;(INT(G287)-INT(H287))&amp;" วัน",IF(INT(H287)=INT(G287),"ส่งตรงกำหนด","ส่งล่าช้า "&amp;(INT(H287)-INT(G287))&amp;" วัน"))),IFS(G287&lt;TODAY(),"เกินกำหนด "&amp;(TODAY()-G287)&amp;" วัน",G287=TODAY(),"ครบกำหนดวันนี้",G287-TODAY()&lt;=3,"เร่งดำเนินการ",G287-TODAY()&lt;=5,"ต้องติดตาม",G287-TODAY()&lt;=10,"ใกล้ครบกำหนด",TRUE,"อยู่ระหว่างดำเนินการ"))))</x:f>
      </x:c>
      <x:c r="L287" s="114" t="str">
        <x:f>IF(OR(A287="",P287=""),"",HYPERLINK(P287,"เปิดใน Google Calendar"))</x:f>
      </x:c>
      <x:c r="M287" s="111"/>
      <x:c r="N287" s="123"/>
      <x:c r="O287" s="123"/>
      <x:c r="P287" s="123"/>
      <x:c r="Q287" s="126" t="b">
        <x:v>0</x:v>
      </x:c>
      <x:c r="R287" s="126" t="b">
        <x:v>0</x:v>
      </x:c>
      <x:c r="S287" s="126" t="b">
        <x:v>0</x:v>
      </x:c>
      <x:c r="T287" s="126" t="b">
        <x:v>0</x:v>
      </x:c>
      <x:c r="U287" s="144"/>
      <x:c r="V287" s="123"/>
      <x:c r="W287" s="123"/>
      <x:c r="X287" s="126" t="b">
        <x:v>0</x:v>
      </x:c>
    </x:row>
    <x:row r="288" ht="18" customHeight="1">
      <x:c r="A288" s="111"/>
      <x:c r="B288" s="111"/>
      <x:c r="C288" s="111"/>
      <x:c r="D288" s="111"/>
      <x:c r="E288" s="129"/>
      <x:c r="F288" s="138"/>
      <x:c r="G288" s="133" t="str">
        <x:f>IF(OR(A288="",E288="",F288=""),"",E288+F288-IF('ตั้งค่า'!$B$12="นับรวมวันเซ็น",1,0))</x:f>
      </x:c>
      <x:c r="H288" s="134"/>
      <x:c r="I288" s="117" t="str">
        <x:v>ยังไม่ส่ง</x:v>
      </x:c>
      <x:c r="J288" s="141" t="str">
        <x:f>IF(A288="","",IF(G288="","",IF(I288="ส่งแล้ว",0,G288-TODAY())))</x:f>
      </x:c>
      <x:c r="K288" s="114" t="str">
        <x:f>IF(A288="","",IF(G288="","ยังไม่ระบุวัน",IF(I288="ส่งแล้ว",IF(H288="","ส่งแล้ว",IF(INT(H288)&lt;INT(G288),"ส่งก่อนกำหนด "&amp;(INT(G288)-INT(H288))&amp;" วัน",IF(INT(H288)=INT(G288),"ส่งตรงกำหนด","ส่งล่าช้า "&amp;(INT(H288)-INT(G288))&amp;" วัน"))),IFS(G288&lt;TODAY(),"เกินกำหนด "&amp;(TODAY()-G288)&amp;" วัน",G288=TODAY(),"ครบกำหนดวันนี้",G288-TODAY()&lt;=3,"เร่งดำเนินการ",G288-TODAY()&lt;=5,"ต้องติดตาม",G288-TODAY()&lt;=10,"ใกล้ครบกำหนด",TRUE,"อยู่ระหว่างดำเนินการ"))))</x:f>
      </x:c>
      <x:c r="L288" s="114" t="str">
        <x:f>IF(OR(A288="",P288=""),"",HYPERLINK(P288,"เปิดใน Google Calendar"))</x:f>
      </x:c>
      <x:c r="M288" s="111"/>
      <x:c r="N288" s="123"/>
      <x:c r="O288" s="123"/>
      <x:c r="P288" s="123"/>
      <x:c r="Q288" s="126" t="b">
        <x:v>0</x:v>
      </x:c>
      <x:c r="R288" s="126" t="b">
        <x:v>0</x:v>
      </x:c>
      <x:c r="S288" s="126" t="b">
        <x:v>0</x:v>
      </x:c>
      <x:c r="T288" s="126" t="b">
        <x:v>0</x:v>
      </x:c>
      <x:c r="U288" s="144"/>
      <x:c r="V288" s="123"/>
      <x:c r="W288" s="123"/>
      <x:c r="X288" s="126" t="b">
        <x:v>0</x:v>
      </x:c>
    </x:row>
    <x:row r="289" ht="18" customHeight="1">
      <x:c r="A289" s="111"/>
      <x:c r="B289" s="111"/>
      <x:c r="C289" s="111"/>
      <x:c r="D289" s="111"/>
      <x:c r="E289" s="129"/>
      <x:c r="F289" s="138"/>
      <x:c r="G289" s="133" t="str">
        <x:f>IF(OR(A289="",E289="",F289=""),"",E289+F289-IF('ตั้งค่า'!$B$12="นับรวมวันเซ็น",1,0))</x:f>
      </x:c>
      <x:c r="H289" s="134"/>
      <x:c r="I289" s="117" t="str">
        <x:v>ยังไม่ส่ง</x:v>
      </x:c>
      <x:c r="J289" s="141" t="str">
        <x:f>IF(A289="","",IF(G289="","",IF(I289="ส่งแล้ว",0,G289-TODAY())))</x:f>
      </x:c>
      <x:c r="K289" s="114" t="str">
        <x:f>IF(A289="","",IF(G289="","ยังไม่ระบุวัน",IF(I289="ส่งแล้ว",IF(H289="","ส่งแล้ว",IF(INT(H289)&lt;INT(G289),"ส่งก่อนกำหนด "&amp;(INT(G289)-INT(H289))&amp;" วัน",IF(INT(H289)=INT(G289),"ส่งตรงกำหนด","ส่งล่าช้า "&amp;(INT(H289)-INT(G289))&amp;" วัน"))),IFS(G289&lt;TODAY(),"เกินกำหนด "&amp;(TODAY()-G289)&amp;" วัน",G289=TODAY(),"ครบกำหนดวันนี้",G289-TODAY()&lt;=3,"เร่งดำเนินการ",G289-TODAY()&lt;=5,"ต้องติดตาม",G289-TODAY()&lt;=10,"ใกล้ครบกำหนด",TRUE,"อยู่ระหว่างดำเนินการ"))))</x:f>
      </x:c>
      <x:c r="L289" s="114" t="str">
        <x:f>IF(OR(A289="",P289=""),"",HYPERLINK(P289,"เปิดใน Google Calendar"))</x:f>
      </x:c>
      <x:c r="M289" s="111"/>
      <x:c r="N289" s="123"/>
      <x:c r="O289" s="123"/>
      <x:c r="P289" s="123"/>
      <x:c r="Q289" s="126" t="b">
        <x:v>0</x:v>
      </x:c>
      <x:c r="R289" s="126" t="b">
        <x:v>0</x:v>
      </x:c>
      <x:c r="S289" s="126" t="b">
        <x:v>0</x:v>
      </x:c>
      <x:c r="T289" s="126" t="b">
        <x:v>0</x:v>
      </x:c>
      <x:c r="U289" s="144"/>
      <x:c r="V289" s="123"/>
      <x:c r="W289" s="123"/>
      <x:c r="X289" s="126" t="b">
        <x:v>0</x:v>
      </x:c>
    </x:row>
    <x:row r="290" ht="18" customHeight="1">
      <x:c r="A290" s="111"/>
      <x:c r="B290" s="111"/>
      <x:c r="C290" s="111"/>
      <x:c r="D290" s="111"/>
      <x:c r="E290" s="129"/>
      <x:c r="F290" s="138"/>
      <x:c r="G290" s="133" t="str">
        <x:f>IF(OR(A290="",E290="",F290=""),"",E290+F290-IF('ตั้งค่า'!$B$12="นับรวมวันเซ็น",1,0))</x:f>
      </x:c>
      <x:c r="H290" s="134"/>
      <x:c r="I290" s="117" t="str">
        <x:v>ยังไม่ส่ง</x:v>
      </x:c>
      <x:c r="J290" s="141" t="str">
        <x:f>IF(A290="","",IF(G290="","",IF(I290="ส่งแล้ว",0,G290-TODAY())))</x:f>
      </x:c>
      <x:c r="K290" s="114" t="str">
        <x:f>IF(A290="","",IF(G290="","ยังไม่ระบุวัน",IF(I290="ส่งแล้ว",IF(H290="","ส่งแล้ว",IF(INT(H290)&lt;INT(G290),"ส่งก่อนกำหนด "&amp;(INT(G290)-INT(H290))&amp;" วัน",IF(INT(H290)=INT(G290),"ส่งตรงกำหนด","ส่งล่าช้า "&amp;(INT(H290)-INT(G290))&amp;" วัน"))),IFS(G290&lt;TODAY(),"เกินกำหนด "&amp;(TODAY()-G290)&amp;" วัน",G290=TODAY(),"ครบกำหนดวันนี้",G290-TODAY()&lt;=3,"เร่งดำเนินการ",G290-TODAY()&lt;=5,"ต้องติดตาม",G290-TODAY()&lt;=10,"ใกล้ครบกำหนด",TRUE,"อยู่ระหว่างดำเนินการ"))))</x:f>
      </x:c>
      <x:c r="L290" s="114" t="str">
        <x:f>IF(OR(A290="",P290=""),"",HYPERLINK(P290,"เปิดใน Google Calendar"))</x:f>
      </x:c>
      <x:c r="M290" s="111"/>
      <x:c r="N290" s="123"/>
      <x:c r="O290" s="123"/>
      <x:c r="P290" s="123"/>
      <x:c r="Q290" s="126" t="b">
        <x:v>0</x:v>
      </x:c>
      <x:c r="R290" s="126" t="b">
        <x:v>0</x:v>
      </x:c>
      <x:c r="S290" s="126" t="b">
        <x:v>0</x:v>
      </x:c>
      <x:c r="T290" s="126" t="b">
        <x:v>0</x:v>
      </x:c>
      <x:c r="U290" s="144"/>
      <x:c r="V290" s="123"/>
      <x:c r="W290" s="123"/>
      <x:c r="X290" s="126" t="b">
        <x:v>0</x:v>
      </x:c>
    </x:row>
    <x:row r="291" ht="18" customHeight="1">
      <x:c r="A291" s="111"/>
      <x:c r="B291" s="111"/>
      <x:c r="C291" s="111"/>
      <x:c r="D291" s="111"/>
      <x:c r="E291" s="129"/>
      <x:c r="F291" s="138"/>
      <x:c r="G291" s="133" t="str">
        <x:f>IF(OR(A291="",E291="",F291=""),"",E291+F291-IF('ตั้งค่า'!$B$12="นับรวมวันเซ็น",1,0))</x:f>
      </x:c>
      <x:c r="H291" s="134"/>
      <x:c r="I291" s="117" t="str">
        <x:v>ยังไม่ส่ง</x:v>
      </x:c>
      <x:c r="J291" s="141" t="str">
        <x:f>IF(A291="","",IF(G291="","",IF(I291="ส่งแล้ว",0,G291-TODAY())))</x:f>
      </x:c>
      <x:c r="K291" s="114" t="str">
        <x:f>IF(A291="","",IF(G291="","ยังไม่ระบุวัน",IF(I291="ส่งแล้ว",IF(H291="","ส่งแล้ว",IF(INT(H291)&lt;INT(G291),"ส่งก่อนกำหนด "&amp;(INT(G291)-INT(H291))&amp;" วัน",IF(INT(H291)=INT(G291),"ส่งตรงกำหนด","ส่งล่าช้า "&amp;(INT(H291)-INT(G291))&amp;" วัน"))),IFS(G291&lt;TODAY(),"เกินกำหนด "&amp;(TODAY()-G291)&amp;" วัน",G291=TODAY(),"ครบกำหนดวันนี้",G291-TODAY()&lt;=3,"เร่งดำเนินการ",G291-TODAY()&lt;=5,"ต้องติดตาม",G291-TODAY()&lt;=10,"ใกล้ครบกำหนด",TRUE,"อยู่ระหว่างดำเนินการ"))))</x:f>
      </x:c>
      <x:c r="L291" s="114" t="str">
        <x:f>IF(OR(A291="",P291=""),"",HYPERLINK(P291,"เปิดใน Google Calendar"))</x:f>
      </x:c>
      <x:c r="M291" s="111"/>
      <x:c r="N291" s="123"/>
      <x:c r="O291" s="123"/>
      <x:c r="P291" s="123"/>
      <x:c r="Q291" s="126" t="b">
        <x:v>0</x:v>
      </x:c>
      <x:c r="R291" s="126" t="b">
        <x:v>0</x:v>
      </x:c>
      <x:c r="S291" s="126" t="b">
        <x:v>0</x:v>
      </x:c>
      <x:c r="T291" s="126" t="b">
        <x:v>0</x:v>
      </x:c>
      <x:c r="U291" s="144"/>
      <x:c r="V291" s="123"/>
      <x:c r="W291" s="123"/>
      <x:c r="X291" s="126" t="b">
        <x:v>0</x:v>
      </x:c>
    </x:row>
    <x:row r="292" ht="18" customHeight="1">
      <x:c r="A292" s="111"/>
      <x:c r="B292" s="111"/>
      <x:c r="C292" s="111"/>
      <x:c r="D292" s="111"/>
      <x:c r="E292" s="129"/>
      <x:c r="F292" s="138"/>
      <x:c r="G292" s="133" t="str">
        <x:f>IF(OR(A292="",E292="",F292=""),"",E292+F292-IF('ตั้งค่า'!$B$12="นับรวมวันเซ็น",1,0))</x:f>
      </x:c>
      <x:c r="H292" s="134"/>
      <x:c r="I292" s="117" t="str">
        <x:v>ยังไม่ส่ง</x:v>
      </x:c>
      <x:c r="J292" s="141" t="str">
        <x:f>IF(A292="","",IF(G292="","",IF(I292="ส่งแล้ว",0,G292-TODAY())))</x:f>
      </x:c>
      <x:c r="K292" s="114" t="str">
        <x:f>IF(A292="","",IF(G292="","ยังไม่ระบุวัน",IF(I292="ส่งแล้ว",IF(H292="","ส่งแล้ว",IF(INT(H292)&lt;INT(G292),"ส่งก่อนกำหนด "&amp;(INT(G292)-INT(H292))&amp;" วัน",IF(INT(H292)=INT(G292),"ส่งตรงกำหนด","ส่งล่าช้า "&amp;(INT(H292)-INT(G292))&amp;" วัน"))),IFS(G292&lt;TODAY(),"เกินกำหนด "&amp;(TODAY()-G292)&amp;" วัน",G292=TODAY(),"ครบกำหนดวันนี้",G292-TODAY()&lt;=3,"เร่งดำเนินการ",G292-TODAY()&lt;=5,"ต้องติดตาม",G292-TODAY()&lt;=10,"ใกล้ครบกำหนด",TRUE,"อยู่ระหว่างดำเนินการ"))))</x:f>
      </x:c>
      <x:c r="L292" s="114" t="str">
        <x:f>IF(OR(A292="",P292=""),"",HYPERLINK(P292,"เปิดใน Google Calendar"))</x:f>
      </x:c>
      <x:c r="M292" s="111"/>
      <x:c r="N292" s="123"/>
      <x:c r="O292" s="123"/>
      <x:c r="P292" s="123"/>
      <x:c r="Q292" s="126" t="b">
        <x:v>0</x:v>
      </x:c>
      <x:c r="R292" s="126" t="b">
        <x:v>0</x:v>
      </x:c>
      <x:c r="S292" s="126" t="b">
        <x:v>0</x:v>
      </x:c>
      <x:c r="T292" s="126" t="b">
        <x:v>0</x:v>
      </x:c>
      <x:c r="U292" s="144"/>
      <x:c r="V292" s="123"/>
      <x:c r="W292" s="123"/>
      <x:c r="X292" s="126" t="b">
        <x:v>0</x:v>
      </x:c>
    </x:row>
    <x:row r="293" ht="18" customHeight="1">
      <x:c r="A293" s="111"/>
      <x:c r="B293" s="111"/>
      <x:c r="C293" s="111"/>
      <x:c r="D293" s="111"/>
      <x:c r="E293" s="129"/>
      <x:c r="F293" s="138"/>
      <x:c r="G293" s="133" t="str">
        <x:f>IF(OR(A293="",E293="",F293=""),"",E293+F293-IF('ตั้งค่า'!$B$12="นับรวมวันเซ็น",1,0))</x:f>
      </x:c>
      <x:c r="H293" s="134"/>
      <x:c r="I293" s="117" t="str">
        <x:v>ยังไม่ส่ง</x:v>
      </x:c>
      <x:c r="J293" s="141" t="str">
        <x:f>IF(A293="","",IF(G293="","",IF(I293="ส่งแล้ว",0,G293-TODAY())))</x:f>
      </x:c>
      <x:c r="K293" s="114" t="str">
        <x:f>IF(A293="","",IF(G293="","ยังไม่ระบุวัน",IF(I293="ส่งแล้ว",IF(H293="","ส่งแล้ว",IF(INT(H293)&lt;INT(G293),"ส่งก่อนกำหนด "&amp;(INT(G293)-INT(H293))&amp;" วัน",IF(INT(H293)=INT(G293),"ส่งตรงกำหนด","ส่งล่าช้า "&amp;(INT(H293)-INT(G293))&amp;" วัน"))),IFS(G293&lt;TODAY(),"เกินกำหนด "&amp;(TODAY()-G293)&amp;" วัน",G293=TODAY(),"ครบกำหนดวันนี้",G293-TODAY()&lt;=3,"เร่งดำเนินการ",G293-TODAY()&lt;=5,"ต้องติดตาม",G293-TODAY()&lt;=10,"ใกล้ครบกำหนด",TRUE,"อยู่ระหว่างดำเนินการ"))))</x:f>
      </x:c>
      <x:c r="L293" s="114" t="str">
        <x:f>IF(OR(A293="",P293=""),"",HYPERLINK(P293,"เปิดใน Google Calendar"))</x:f>
      </x:c>
      <x:c r="M293" s="111"/>
      <x:c r="N293" s="123"/>
      <x:c r="O293" s="123"/>
      <x:c r="P293" s="123"/>
      <x:c r="Q293" s="126" t="b">
        <x:v>0</x:v>
      </x:c>
      <x:c r="R293" s="126" t="b">
        <x:v>0</x:v>
      </x:c>
      <x:c r="S293" s="126" t="b">
        <x:v>0</x:v>
      </x:c>
      <x:c r="T293" s="126" t="b">
        <x:v>0</x:v>
      </x:c>
      <x:c r="U293" s="144"/>
      <x:c r="V293" s="123"/>
      <x:c r="W293" s="123"/>
      <x:c r="X293" s="126" t="b">
        <x:v>0</x:v>
      </x:c>
    </x:row>
    <x:row r="294" ht="18" customHeight="1">
      <x:c r="A294" s="111"/>
      <x:c r="B294" s="111"/>
      <x:c r="C294" s="111"/>
      <x:c r="D294" s="111"/>
      <x:c r="E294" s="129"/>
      <x:c r="F294" s="138"/>
      <x:c r="G294" s="133" t="str">
        <x:f>IF(OR(A294="",E294="",F294=""),"",E294+F294-IF('ตั้งค่า'!$B$12="นับรวมวันเซ็น",1,0))</x:f>
      </x:c>
      <x:c r="H294" s="134"/>
      <x:c r="I294" s="117" t="str">
        <x:v>ยังไม่ส่ง</x:v>
      </x:c>
      <x:c r="J294" s="141" t="str">
        <x:f>IF(A294="","",IF(G294="","",IF(I294="ส่งแล้ว",0,G294-TODAY())))</x:f>
      </x:c>
      <x:c r="K294" s="114" t="str">
        <x:f>IF(A294="","",IF(G294="","ยังไม่ระบุวัน",IF(I294="ส่งแล้ว",IF(H294="","ส่งแล้ว",IF(INT(H294)&lt;INT(G294),"ส่งก่อนกำหนด "&amp;(INT(G294)-INT(H294))&amp;" วัน",IF(INT(H294)=INT(G294),"ส่งตรงกำหนด","ส่งล่าช้า "&amp;(INT(H294)-INT(G294))&amp;" วัน"))),IFS(G294&lt;TODAY(),"เกินกำหนด "&amp;(TODAY()-G294)&amp;" วัน",G294=TODAY(),"ครบกำหนดวันนี้",G294-TODAY()&lt;=3,"เร่งดำเนินการ",G294-TODAY()&lt;=5,"ต้องติดตาม",G294-TODAY()&lt;=10,"ใกล้ครบกำหนด",TRUE,"อยู่ระหว่างดำเนินการ"))))</x:f>
      </x:c>
      <x:c r="L294" s="114" t="str">
        <x:f>IF(OR(A294="",P294=""),"",HYPERLINK(P294,"เปิดใน Google Calendar"))</x:f>
      </x:c>
      <x:c r="M294" s="111"/>
      <x:c r="N294" s="123"/>
      <x:c r="O294" s="123"/>
      <x:c r="P294" s="123"/>
      <x:c r="Q294" s="126" t="b">
        <x:v>0</x:v>
      </x:c>
      <x:c r="R294" s="126" t="b">
        <x:v>0</x:v>
      </x:c>
      <x:c r="S294" s="126" t="b">
        <x:v>0</x:v>
      </x:c>
      <x:c r="T294" s="126" t="b">
        <x:v>0</x:v>
      </x:c>
      <x:c r="U294" s="144"/>
      <x:c r="V294" s="123"/>
      <x:c r="W294" s="123"/>
      <x:c r="X294" s="126" t="b">
        <x:v>0</x:v>
      </x:c>
    </x:row>
    <x:row r="295" ht="18" customHeight="1">
      <x:c r="A295" s="111"/>
      <x:c r="B295" s="111"/>
      <x:c r="C295" s="111"/>
      <x:c r="D295" s="111"/>
      <x:c r="E295" s="129"/>
      <x:c r="F295" s="138"/>
      <x:c r="G295" s="133" t="str">
        <x:f>IF(OR(A295="",E295="",F295=""),"",E295+F295-IF('ตั้งค่า'!$B$12="นับรวมวันเซ็น",1,0))</x:f>
      </x:c>
      <x:c r="H295" s="134"/>
      <x:c r="I295" s="117" t="str">
        <x:v>ยังไม่ส่ง</x:v>
      </x:c>
      <x:c r="J295" s="141" t="str">
        <x:f>IF(A295="","",IF(G295="","",IF(I295="ส่งแล้ว",0,G295-TODAY())))</x:f>
      </x:c>
      <x:c r="K295" s="114" t="str">
        <x:f>IF(A295="","",IF(G295="","ยังไม่ระบุวัน",IF(I295="ส่งแล้ว",IF(H295="","ส่งแล้ว",IF(INT(H295)&lt;INT(G295),"ส่งก่อนกำหนด "&amp;(INT(G295)-INT(H295))&amp;" วัน",IF(INT(H295)=INT(G295),"ส่งตรงกำหนด","ส่งล่าช้า "&amp;(INT(H295)-INT(G295))&amp;" วัน"))),IFS(G295&lt;TODAY(),"เกินกำหนด "&amp;(TODAY()-G295)&amp;" วัน",G295=TODAY(),"ครบกำหนดวันนี้",G295-TODAY()&lt;=3,"เร่งดำเนินการ",G295-TODAY()&lt;=5,"ต้องติดตาม",G295-TODAY()&lt;=10,"ใกล้ครบกำหนด",TRUE,"อยู่ระหว่างดำเนินการ"))))</x:f>
      </x:c>
      <x:c r="L295" s="114" t="str">
        <x:f>IF(OR(A295="",P295=""),"",HYPERLINK(P295,"เปิดใน Google Calendar"))</x:f>
      </x:c>
      <x:c r="M295" s="111"/>
      <x:c r="N295" s="123"/>
      <x:c r="O295" s="123"/>
      <x:c r="P295" s="123"/>
      <x:c r="Q295" s="126" t="b">
        <x:v>0</x:v>
      </x:c>
      <x:c r="R295" s="126" t="b">
        <x:v>0</x:v>
      </x:c>
      <x:c r="S295" s="126" t="b">
        <x:v>0</x:v>
      </x:c>
      <x:c r="T295" s="126" t="b">
        <x:v>0</x:v>
      </x:c>
      <x:c r="U295" s="144"/>
      <x:c r="V295" s="123"/>
      <x:c r="W295" s="123"/>
      <x:c r="X295" s="126" t="b">
        <x:v>0</x:v>
      </x:c>
    </x:row>
    <x:row r="296" ht="18" customHeight="1">
      <x:c r="A296" s="111"/>
      <x:c r="B296" s="111"/>
      <x:c r="C296" s="111"/>
      <x:c r="D296" s="111"/>
      <x:c r="E296" s="129"/>
      <x:c r="F296" s="138"/>
      <x:c r="G296" s="133" t="str">
        <x:f>IF(OR(A296="",E296="",F296=""),"",E296+F296-IF('ตั้งค่า'!$B$12="นับรวมวันเซ็น",1,0))</x:f>
      </x:c>
      <x:c r="H296" s="134"/>
      <x:c r="I296" s="117" t="str">
        <x:v>ยังไม่ส่ง</x:v>
      </x:c>
      <x:c r="J296" s="141" t="str">
        <x:f>IF(A296="","",IF(G296="","",IF(I296="ส่งแล้ว",0,G296-TODAY())))</x:f>
      </x:c>
      <x:c r="K296" s="114" t="str">
        <x:f>IF(A296="","",IF(G296="","ยังไม่ระบุวัน",IF(I296="ส่งแล้ว",IF(H296="","ส่งแล้ว",IF(INT(H296)&lt;INT(G296),"ส่งก่อนกำหนด "&amp;(INT(G296)-INT(H296))&amp;" วัน",IF(INT(H296)=INT(G296),"ส่งตรงกำหนด","ส่งล่าช้า "&amp;(INT(H296)-INT(G296))&amp;" วัน"))),IFS(G296&lt;TODAY(),"เกินกำหนด "&amp;(TODAY()-G296)&amp;" วัน",G296=TODAY(),"ครบกำหนดวันนี้",G296-TODAY()&lt;=3,"เร่งดำเนินการ",G296-TODAY()&lt;=5,"ต้องติดตาม",G296-TODAY()&lt;=10,"ใกล้ครบกำหนด",TRUE,"อยู่ระหว่างดำเนินการ"))))</x:f>
      </x:c>
      <x:c r="L296" s="114" t="str">
        <x:f>IF(OR(A296="",P296=""),"",HYPERLINK(P296,"เปิดใน Google Calendar"))</x:f>
      </x:c>
      <x:c r="M296" s="111"/>
      <x:c r="N296" s="123"/>
      <x:c r="O296" s="123"/>
      <x:c r="P296" s="123"/>
      <x:c r="Q296" s="126" t="b">
        <x:v>0</x:v>
      </x:c>
      <x:c r="R296" s="126" t="b">
        <x:v>0</x:v>
      </x:c>
      <x:c r="S296" s="126" t="b">
        <x:v>0</x:v>
      </x:c>
      <x:c r="T296" s="126" t="b">
        <x:v>0</x:v>
      </x:c>
      <x:c r="U296" s="144"/>
      <x:c r="V296" s="123"/>
      <x:c r="W296" s="123"/>
      <x:c r="X296" s="126" t="b">
        <x:v>0</x:v>
      </x:c>
    </x:row>
    <x:row r="297" ht="18" customHeight="1">
      <x:c r="A297" s="111"/>
      <x:c r="B297" s="111"/>
      <x:c r="C297" s="111"/>
      <x:c r="D297" s="111"/>
      <x:c r="E297" s="129"/>
      <x:c r="F297" s="138"/>
      <x:c r="G297" s="133" t="str">
        <x:f>IF(OR(A297="",E297="",F297=""),"",E297+F297-IF('ตั้งค่า'!$B$12="นับรวมวันเซ็น",1,0))</x:f>
      </x:c>
      <x:c r="H297" s="134"/>
      <x:c r="I297" s="117" t="str">
        <x:v>ยังไม่ส่ง</x:v>
      </x:c>
      <x:c r="J297" s="141" t="str">
        <x:f>IF(A297="","",IF(G297="","",IF(I297="ส่งแล้ว",0,G297-TODAY())))</x:f>
      </x:c>
      <x:c r="K297" s="114" t="str">
        <x:f>IF(A297="","",IF(G297="","ยังไม่ระบุวัน",IF(I297="ส่งแล้ว",IF(H297="","ส่งแล้ว",IF(INT(H297)&lt;INT(G297),"ส่งก่อนกำหนด "&amp;(INT(G297)-INT(H297))&amp;" วัน",IF(INT(H297)=INT(G297),"ส่งตรงกำหนด","ส่งล่าช้า "&amp;(INT(H297)-INT(G297))&amp;" วัน"))),IFS(G297&lt;TODAY(),"เกินกำหนด "&amp;(TODAY()-G297)&amp;" วัน",G297=TODAY(),"ครบกำหนดวันนี้",G297-TODAY()&lt;=3,"เร่งดำเนินการ",G297-TODAY()&lt;=5,"ต้องติดตาม",G297-TODAY()&lt;=10,"ใกล้ครบกำหนด",TRUE,"อยู่ระหว่างดำเนินการ"))))</x:f>
      </x:c>
      <x:c r="L297" s="114" t="str">
        <x:f>IF(OR(A297="",P297=""),"",HYPERLINK(P297,"เปิดใน Google Calendar"))</x:f>
      </x:c>
      <x:c r="M297" s="111"/>
      <x:c r="N297" s="123"/>
      <x:c r="O297" s="123"/>
      <x:c r="P297" s="123"/>
      <x:c r="Q297" s="126" t="b">
        <x:v>0</x:v>
      </x:c>
      <x:c r="R297" s="126" t="b">
        <x:v>0</x:v>
      </x:c>
      <x:c r="S297" s="126" t="b">
        <x:v>0</x:v>
      </x:c>
      <x:c r="T297" s="126" t="b">
        <x:v>0</x:v>
      </x:c>
      <x:c r="U297" s="144"/>
      <x:c r="V297" s="123"/>
      <x:c r="W297" s="123"/>
      <x:c r="X297" s="126" t="b">
        <x:v>0</x:v>
      </x:c>
    </x:row>
    <x:row r="298" ht="18" customHeight="1">
      <x:c r="A298" s="111"/>
      <x:c r="B298" s="111"/>
      <x:c r="C298" s="111"/>
      <x:c r="D298" s="111"/>
      <x:c r="E298" s="129"/>
      <x:c r="F298" s="138"/>
      <x:c r="G298" s="133" t="str">
        <x:f>IF(OR(A298="",E298="",F298=""),"",E298+F298-IF('ตั้งค่า'!$B$12="นับรวมวันเซ็น",1,0))</x:f>
      </x:c>
      <x:c r="H298" s="134"/>
      <x:c r="I298" s="117" t="str">
        <x:v>ยังไม่ส่ง</x:v>
      </x:c>
      <x:c r="J298" s="141" t="str">
        <x:f>IF(A298="","",IF(G298="","",IF(I298="ส่งแล้ว",0,G298-TODAY())))</x:f>
      </x:c>
      <x:c r="K298" s="114" t="str">
        <x:f>IF(A298="","",IF(G298="","ยังไม่ระบุวัน",IF(I298="ส่งแล้ว",IF(H298="","ส่งแล้ว",IF(INT(H298)&lt;INT(G298),"ส่งก่อนกำหนด "&amp;(INT(G298)-INT(H298))&amp;" วัน",IF(INT(H298)=INT(G298),"ส่งตรงกำหนด","ส่งล่าช้า "&amp;(INT(H298)-INT(G298))&amp;" วัน"))),IFS(G298&lt;TODAY(),"เกินกำหนด "&amp;(TODAY()-G298)&amp;" วัน",G298=TODAY(),"ครบกำหนดวันนี้",G298-TODAY()&lt;=3,"เร่งดำเนินการ",G298-TODAY()&lt;=5,"ต้องติดตาม",G298-TODAY()&lt;=10,"ใกล้ครบกำหนด",TRUE,"อยู่ระหว่างดำเนินการ"))))</x:f>
      </x:c>
      <x:c r="L298" s="114" t="str">
        <x:f>IF(OR(A298="",P298=""),"",HYPERLINK(P298,"เปิดใน Google Calendar"))</x:f>
      </x:c>
      <x:c r="M298" s="111"/>
      <x:c r="N298" s="123"/>
      <x:c r="O298" s="123"/>
      <x:c r="P298" s="123"/>
      <x:c r="Q298" s="126" t="b">
        <x:v>0</x:v>
      </x:c>
      <x:c r="R298" s="126" t="b">
        <x:v>0</x:v>
      </x:c>
      <x:c r="S298" s="126" t="b">
        <x:v>0</x:v>
      </x:c>
      <x:c r="T298" s="126" t="b">
        <x:v>0</x:v>
      </x:c>
      <x:c r="U298" s="144"/>
      <x:c r="V298" s="123"/>
      <x:c r="W298" s="123"/>
      <x:c r="X298" s="126" t="b">
        <x:v>0</x:v>
      </x:c>
    </x:row>
    <x:row r="299" ht="18" customHeight="1">
      <x:c r="A299" s="111"/>
      <x:c r="B299" s="111"/>
      <x:c r="C299" s="111"/>
      <x:c r="D299" s="111"/>
      <x:c r="E299" s="129"/>
      <x:c r="F299" s="138"/>
      <x:c r="G299" s="133" t="str">
        <x:f>IF(OR(A299="",E299="",F299=""),"",E299+F299-IF('ตั้งค่า'!$B$12="นับรวมวันเซ็น",1,0))</x:f>
      </x:c>
      <x:c r="H299" s="134"/>
      <x:c r="I299" s="117" t="str">
        <x:v>ยังไม่ส่ง</x:v>
      </x:c>
      <x:c r="J299" s="141" t="str">
        <x:f>IF(A299="","",IF(G299="","",IF(I299="ส่งแล้ว",0,G299-TODAY())))</x:f>
      </x:c>
      <x:c r="K299" s="114" t="str">
        <x:f>IF(A299="","",IF(G299="","ยังไม่ระบุวัน",IF(I299="ส่งแล้ว",IF(H299="","ส่งแล้ว",IF(INT(H299)&lt;INT(G299),"ส่งก่อนกำหนด "&amp;(INT(G299)-INT(H299))&amp;" วัน",IF(INT(H299)=INT(G299),"ส่งตรงกำหนด","ส่งล่าช้า "&amp;(INT(H299)-INT(G299))&amp;" วัน"))),IFS(G299&lt;TODAY(),"เกินกำหนด "&amp;(TODAY()-G299)&amp;" วัน",G299=TODAY(),"ครบกำหนดวันนี้",G299-TODAY()&lt;=3,"เร่งดำเนินการ",G299-TODAY()&lt;=5,"ต้องติดตาม",G299-TODAY()&lt;=10,"ใกล้ครบกำหนด",TRUE,"อยู่ระหว่างดำเนินการ"))))</x:f>
      </x:c>
      <x:c r="L299" s="114" t="str">
        <x:f>IF(OR(A299="",P299=""),"",HYPERLINK(P299,"เปิดใน Google Calendar"))</x:f>
      </x:c>
      <x:c r="M299" s="111"/>
      <x:c r="N299" s="123"/>
      <x:c r="O299" s="123"/>
      <x:c r="P299" s="123"/>
      <x:c r="Q299" s="126" t="b">
        <x:v>0</x:v>
      </x:c>
      <x:c r="R299" s="126" t="b">
        <x:v>0</x:v>
      </x:c>
      <x:c r="S299" s="126" t="b">
        <x:v>0</x:v>
      </x:c>
      <x:c r="T299" s="126" t="b">
        <x:v>0</x:v>
      </x:c>
      <x:c r="U299" s="144"/>
      <x:c r="V299" s="123"/>
      <x:c r="W299" s="123"/>
      <x:c r="X299" s="126" t="b">
        <x:v>0</x:v>
      </x:c>
    </x:row>
    <x:row r="300" ht="18" customHeight="1">
      <x:c r="A300" s="111"/>
      <x:c r="B300" s="111"/>
      <x:c r="C300" s="111"/>
      <x:c r="D300" s="111"/>
      <x:c r="E300" s="129"/>
      <x:c r="F300" s="138"/>
      <x:c r="G300" s="133" t="str">
        <x:f>IF(OR(A300="",E300="",F300=""),"",E300+F300-IF('ตั้งค่า'!$B$12="นับรวมวันเซ็น",1,0))</x:f>
      </x:c>
      <x:c r="H300" s="134"/>
      <x:c r="I300" s="117" t="str">
        <x:v>ยังไม่ส่ง</x:v>
      </x:c>
      <x:c r="J300" s="141" t="str">
        <x:f>IF(A300="","",IF(G300="","",IF(I300="ส่งแล้ว",0,G300-TODAY())))</x:f>
      </x:c>
      <x:c r="K300" s="114" t="str">
        <x:f>IF(A300="","",IF(G300="","ยังไม่ระบุวัน",IF(I300="ส่งแล้ว",IF(H300="","ส่งแล้ว",IF(INT(H300)&lt;INT(G300),"ส่งก่อนกำหนด "&amp;(INT(G300)-INT(H300))&amp;" วัน",IF(INT(H300)=INT(G300),"ส่งตรงกำหนด","ส่งล่าช้า "&amp;(INT(H300)-INT(G300))&amp;" วัน"))),IFS(G300&lt;TODAY(),"เกินกำหนด "&amp;(TODAY()-G300)&amp;" วัน",G300=TODAY(),"ครบกำหนดวันนี้",G300-TODAY()&lt;=3,"เร่งดำเนินการ",G300-TODAY()&lt;=5,"ต้องติดตาม",G300-TODAY()&lt;=10,"ใกล้ครบกำหนด",TRUE,"อยู่ระหว่างดำเนินการ"))))</x:f>
      </x:c>
      <x:c r="L300" s="114" t="str">
        <x:f>IF(OR(A300="",P300=""),"",HYPERLINK(P300,"เปิดใน Google Calendar"))</x:f>
      </x:c>
      <x:c r="M300" s="111"/>
      <x:c r="N300" s="123"/>
      <x:c r="O300" s="123"/>
      <x:c r="P300" s="123"/>
      <x:c r="Q300" s="126" t="b">
        <x:v>0</x:v>
      </x:c>
      <x:c r="R300" s="126" t="b">
        <x:v>0</x:v>
      </x:c>
      <x:c r="S300" s="126" t="b">
        <x:v>0</x:v>
      </x:c>
      <x:c r="T300" s="126" t="b">
        <x:v>0</x:v>
      </x:c>
      <x:c r="U300" s="144"/>
      <x:c r="V300" s="123"/>
      <x:c r="W300" s="123"/>
      <x:c r="X300" s="126" t="b">
        <x:v>0</x:v>
      </x:c>
    </x:row>
    <x:row r="301" ht="18" customHeight="1">
      <x:c r="A301" s="111"/>
      <x:c r="B301" s="111"/>
      <x:c r="C301" s="111"/>
      <x:c r="D301" s="111"/>
      <x:c r="E301" s="129"/>
      <x:c r="F301" s="138"/>
      <x:c r="G301" s="133" t="str">
        <x:f>IF(OR(A301="",E301="",F301=""),"",E301+F301-IF('ตั้งค่า'!$B$12="นับรวมวันเซ็น",1,0))</x:f>
      </x:c>
      <x:c r="H301" s="134"/>
      <x:c r="I301" s="117" t="str">
        <x:v>ยังไม่ส่ง</x:v>
      </x:c>
      <x:c r="J301" s="141" t="str">
        <x:f>IF(A301="","",IF(G301="","",IF(I301="ส่งแล้ว",0,G301-TODAY())))</x:f>
      </x:c>
      <x:c r="K301" s="114" t="str">
        <x:f>IF(A301="","",IF(G301="","ยังไม่ระบุวัน",IF(I301="ส่งแล้ว",IF(H301="","ส่งแล้ว",IF(INT(H301)&lt;INT(G301),"ส่งก่อนกำหนด "&amp;(INT(G301)-INT(H301))&amp;" วัน",IF(INT(H301)=INT(G301),"ส่งตรงกำหนด","ส่งล่าช้า "&amp;(INT(H301)-INT(G301))&amp;" วัน"))),IFS(G301&lt;TODAY(),"เกินกำหนด "&amp;(TODAY()-G301)&amp;" วัน",G301=TODAY(),"ครบกำหนดวันนี้",G301-TODAY()&lt;=3,"เร่งดำเนินการ",G301-TODAY()&lt;=5,"ต้องติดตาม",G301-TODAY()&lt;=10,"ใกล้ครบกำหนด",TRUE,"อยู่ระหว่างดำเนินการ"))))</x:f>
      </x:c>
      <x:c r="L301" s="114" t="str">
        <x:f>IF(OR(A301="",P301=""),"",HYPERLINK(P301,"เปิดใน Google Calendar"))</x:f>
      </x:c>
      <x:c r="M301" s="111"/>
      <x:c r="N301" s="123"/>
      <x:c r="O301" s="123"/>
      <x:c r="P301" s="123"/>
      <x:c r="Q301" s="126" t="b">
        <x:v>0</x:v>
      </x:c>
      <x:c r="R301" s="126" t="b">
        <x:v>0</x:v>
      </x:c>
      <x:c r="S301" s="126" t="b">
        <x:v>0</x:v>
      </x:c>
      <x:c r="T301" s="126" t="b">
        <x:v>0</x:v>
      </x:c>
      <x:c r="U301" s="144"/>
      <x:c r="V301" s="123"/>
      <x:c r="W301" s="123"/>
      <x:c r="X301" s="126" t="b">
        <x:v>0</x:v>
      </x:c>
    </x:row>
    <x:row r="302" ht="18" customHeight="1">
      <x:c r="A302" s="111"/>
      <x:c r="B302" s="111"/>
      <x:c r="C302" s="111"/>
      <x:c r="D302" s="111"/>
      <x:c r="E302" s="129"/>
      <x:c r="F302" s="138"/>
      <x:c r="G302" s="133" t="str">
        <x:f>IF(OR(A302="",E302="",F302=""),"",E302+F302-IF('ตั้งค่า'!$B$12="นับรวมวันเซ็น",1,0))</x:f>
      </x:c>
      <x:c r="H302" s="134"/>
      <x:c r="I302" s="117" t="str">
        <x:v>ยังไม่ส่ง</x:v>
      </x:c>
      <x:c r="J302" s="141" t="str">
        <x:f>IF(A302="","",IF(G302="","",IF(I302="ส่งแล้ว",0,G302-TODAY())))</x:f>
      </x:c>
      <x:c r="K302" s="114" t="str">
        <x:f>IF(A302="","",IF(G302="","ยังไม่ระบุวัน",IF(I302="ส่งแล้ว",IF(H302="","ส่งแล้ว",IF(INT(H302)&lt;INT(G302),"ส่งก่อนกำหนด "&amp;(INT(G302)-INT(H302))&amp;" วัน",IF(INT(H302)=INT(G302),"ส่งตรงกำหนด","ส่งล่าช้า "&amp;(INT(H302)-INT(G302))&amp;" วัน"))),IFS(G302&lt;TODAY(),"เกินกำหนด "&amp;(TODAY()-G302)&amp;" วัน",G302=TODAY(),"ครบกำหนดวันนี้",G302-TODAY()&lt;=3,"เร่งดำเนินการ",G302-TODAY()&lt;=5,"ต้องติดตาม",G302-TODAY()&lt;=10,"ใกล้ครบกำหนด",TRUE,"อยู่ระหว่างดำเนินการ"))))</x:f>
      </x:c>
      <x:c r="L302" s="114" t="str">
        <x:f>IF(OR(A302="",P302=""),"",HYPERLINK(P302,"เปิดใน Google Calendar"))</x:f>
      </x:c>
      <x:c r="M302" s="111"/>
      <x:c r="N302" s="123"/>
      <x:c r="O302" s="123"/>
      <x:c r="P302" s="123"/>
      <x:c r="Q302" s="126" t="b">
        <x:v>0</x:v>
      </x:c>
      <x:c r="R302" s="126" t="b">
        <x:v>0</x:v>
      </x:c>
      <x:c r="S302" s="126" t="b">
        <x:v>0</x:v>
      </x:c>
      <x:c r="T302" s="126" t="b">
        <x:v>0</x:v>
      </x:c>
      <x:c r="U302" s="144"/>
      <x:c r="V302" s="123"/>
      <x:c r="W302" s="123"/>
      <x:c r="X302" s="126" t="b">
        <x:v>0</x:v>
      </x:c>
    </x:row>
    <x:row r="303" ht="18" customHeight="1">
      <x:c r="A303" s="111"/>
      <x:c r="B303" s="111"/>
      <x:c r="C303" s="111"/>
      <x:c r="D303" s="111"/>
      <x:c r="E303" s="129"/>
      <x:c r="F303" s="138"/>
      <x:c r="G303" s="133" t="str">
        <x:f>IF(OR(A303="",E303="",F303=""),"",E303+F303-IF('ตั้งค่า'!$B$12="นับรวมวันเซ็น",1,0))</x:f>
      </x:c>
      <x:c r="H303" s="134"/>
      <x:c r="I303" s="117" t="str">
        <x:v>ยังไม่ส่ง</x:v>
      </x:c>
      <x:c r="J303" s="141" t="str">
        <x:f>IF(A303="","",IF(G303="","",IF(I303="ส่งแล้ว",0,G303-TODAY())))</x:f>
      </x:c>
      <x:c r="K303" s="114" t="str">
        <x:f>IF(A303="","",IF(G303="","ยังไม่ระบุวัน",IF(I303="ส่งแล้ว",IF(H303="","ส่งแล้ว",IF(INT(H303)&lt;INT(G303),"ส่งก่อนกำหนด "&amp;(INT(G303)-INT(H303))&amp;" วัน",IF(INT(H303)=INT(G303),"ส่งตรงกำหนด","ส่งล่าช้า "&amp;(INT(H303)-INT(G303))&amp;" วัน"))),IFS(G303&lt;TODAY(),"เกินกำหนด "&amp;(TODAY()-G303)&amp;" วัน",G303=TODAY(),"ครบกำหนดวันนี้",G303-TODAY()&lt;=3,"เร่งดำเนินการ",G303-TODAY()&lt;=5,"ต้องติดตาม",G303-TODAY()&lt;=10,"ใกล้ครบกำหนด",TRUE,"อยู่ระหว่างดำเนินการ"))))</x:f>
      </x:c>
      <x:c r="L303" s="114" t="str">
        <x:f>IF(OR(A303="",P303=""),"",HYPERLINK(P303,"เปิดใน Google Calendar"))</x:f>
      </x:c>
      <x:c r="M303" s="111"/>
      <x:c r="N303" s="123"/>
      <x:c r="O303" s="123"/>
      <x:c r="P303" s="123"/>
      <x:c r="Q303" s="126" t="b">
        <x:v>0</x:v>
      </x:c>
      <x:c r="R303" s="126" t="b">
        <x:v>0</x:v>
      </x:c>
      <x:c r="S303" s="126" t="b">
        <x:v>0</x:v>
      </x:c>
      <x:c r="T303" s="126" t="b">
        <x:v>0</x:v>
      </x:c>
      <x:c r="U303" s="144"/>
      <x:c r="V303" s="123"/>
      <x:c r="W303" s="123"/>
      <x:c r="X303" s="126" t="b">
        <x:v>0</x:v>
      </x:c>
    </x:row>
    <x:row r="304" ht="18" customHeight="1">
      <x:c r="A304" s="111"/>
      <x:c r="B304" s="111"/>
      <x:c r="C304" s="111"/>
      <x:c r="D304" s="111"/>
      <x:c r="E304" s="129"/>
      <x:c r="F304" s="138"/>
      <x:c r="G304" s="133" t="str">
        <x:f>IF(OR(A304="",E304="",F304=""),"",E304+F304-IF('ตั้งค่า'!$B$12="นับรวมวันเซ็น",1,0))</x:f>
      </x:c>
      <x:c r="H304" s="134"/>
      <x:c r="I304" s="117" t="str">
        <x:v>ยังไม่ส่ง</x:v>
      </x:c>
      <x:c r="J304" s="141" t="str">
        <x:f>IF(A304="","",IF(G304="","",IF(I304="ส่งแล้ว",0,G304-TODAY())))</x:f>
      </x:c>
      <x:c r="K304" s="114" t="str">
        <x:f>IF(A304="","",IF(G304="","ยังไม่ระบุวัน",IF(I304="ส่งแล้ว",IF(H304="","ส่งแล้ว",IF(INT(H304)&lt;INT(G304),"ส่งก่อนกำหนด "&amp;(INT(G304)-INT(H304))&amp;" วัน",IF(INT(H304)=INT(G304),"ส่งตรงกำหนด","ส่งล่าช้า "&amp;(INT(H304)-INT(G304))&amp;" วัน"))),IFS(G304&lt;TODAY(),"เกินกำหนด "&amp;(TODAY()-G304)&amp;" วัน",G304=TODAY(),"ครบกำหนดวันนี้",G304-TODAY()&lt;=3,"เร่งดำเนินการ",G304-TODAY()&lt;=5,"ต้องติดตาม",G304-TODAY()&lt;=10,"ใกล้ครบกำหนด",TRUE,"อยู่ระหว่างดำเนินการ"))))</x:f>
      </x:c>
      <x:c r="L304" s="114" t="str">
        <x:f>IF(OR(A304="",P304=""),"",HYPERLINK(P304,"เปิดใน Google Calendar"))</x:f>
      </x:c>
      <x:c r="M304" s="111"/>
      <x:c r="N304" s="123"/>
      <x:c r="O304" s="123"/>
      <x:c r="P304" s="123"/>
      <x:c r="Q304" s="126" t="b">
        <x:v>0</x:v>
      </x:c>
      <x:c r="R304" s="126" t="b">
        <x:v>0</x:v>
      </x:c>
      <x:c r="S304" s="126" t="b">
        <x:v>0</x:v>
      </x:c>
      <x:c r="T304" s="126" t="b">
        <x:v>0</x:v>
      </x:c>
      <x:c r="U304" s="144"/>
      <x:c r="V304" s="123"/>
      <x:c r="W304" s="123"/>
      <x:c r="X304" s="126" t="b">
        <x:v>0</x:v>
      </x:c>
    </x:row>
    <x:row r="305" ht="18" customHeight="1">
      <x:c r="A305" s="111"/>
      <x:c r="B305" s="111"/>
      <x:c r="C305" s="111"/>
      <x:c r="D305" s="111"/>
      <x:c r="E305" s="129"/>
      <x:c r="F305" s="138"/>
      <x:c r="G305" s="133" t="str">
        <x:f>IF(OR(A305="",E305="",F305=""),"",E305+F305-IF('ตั้งค่า'!$B$12="นับรวมวันเซ็น",1,0))</x:f>
      </x:c>
      <x:c r="H305" s="134"/>
      <x:c r="I305" s="117" t="str">
        <x:v>ยังไม่ส่ง</x:v>
      </x:c>
      <x:c r="J305" s="141" t="str">
        <x:f>IF(A305="","",IF(G305="","",IF(I305="ส่งแล้ว",0,G305-TODAY())))</x:f>
      </x:c>
      <x:c r="K305" s="114" t="str">
        <x:f>IF(A305="","",IF(G305="","ยังไม่ระบุวัน",IF(I305="ส่งแล้ว",IF(H305="","ส่งแล้ว",IF(INT(H305)&lt;INT(G305),"ส่งก่อนกำหนด "&amp;(INT(G305)-INT(H305))&amp;" วัน",IF(INT(H305)=INT(G305),"ส่งตรงกำหนด","ส่งล่าช้า "&amp;(INT(H305)-INT(G305))&amp;" วัน"))),IFS(G305&lt;TODAY(),"เกินกำหนด "&amp;(TODAY()-G305)&amp;" วัน",G305=TODAY(),"ครบกำหนดวันนี้",G305-TODAY()&lt;=3,"เร่งดำเนินการ",G305-TODAY()&lt;=5,"ต้องติดตาม",G305-TODAY()&lt;=10,"ใกล้ครบกำหนด",TRUE,"อยู่ระหว่างดำเนินการ"))))</x:f>
      </x:c>
      <x:c r="L305" s="114" t="str">
        <x:f>IF(OR(A305="",P305=""),"",HYPERLINK(P305,"เปิดใน Google Calendar"))</x:f>
      </x:c>
      <x:c r="M305" s="111"/>
      <x:c r="N305" s="123"/>
      <x:c r="O305" s="123"/>
      <x:c r="P305" s="123"/>
      <x:c r="Q305" s="126" t="b">
        <x:v>0</x:v>
      </x:c>
      <x:c r="R305" s="126" t="b">
        <x:v>0</x:v>
      </x:c>
      <x:c r="S305" s="126" t="b">
        <x:v>0</x:v>
      </x:c>
      <x:c r="T305" s="126" t="b">
        <x:v>0</x:v>
      </x:c>
      <x:c r="U305" s="144"/>
      <x:c r="V305" s="123"/>
      <x:c r="W305" s="123"/>
      <x:c r="X305" s="126" t="b">
        <x:v>0</x:v>
      </x:c>
    </x:row>
    <x:row r="306" ht="18" customHeight="1">
      <x:c r="A306" s="111"/>
      <x:c r="B306" s="111"/>
      <x:c r="C306" s="111"/>
      <x:c r="D306" s="111"/>
      <x:c r="E306" s="129"/>
      <x:c r="F306" s="138"/>
      <x:c r="G306" s="133" t="str">
        <x:f>IF(OR(A306="",E306="",F306=""),"",E306+F306-IF('ตั้งค่า'!$B$12="นับรวมวันเซ็น",1,0))</x:f>
      </x:c>
      <x:c r="H306" s="134"/>
      <x:c r="I306" s="117" t="str">
        <x:v>ยังไม่ส่ง</x:v>
      </x:c>
      <x:c r="J306" s="141" t="str">
        <x:f>IF(A306="","",IF(G306="","",IF(I306="ส่งแล้ว",0,G306-TODAY())))</x:f>
      </x:c>
      <x:c r="K306" s="114" t="str">
        <x:f>IF(A306="","",IF(G306="","ยังไม่ระบุวัน",IF(I306="ส่งแล้ว",IF(H306="","ส่งแล้ว",IF(INT(H306)&lt;INT(G306),"ส่งก่อนกำหนด "&amp;(INT(G306)-INT(H306))&amp;" วัน",IF(INT(H306)=INT(G306),"ส่งตรงกำหนด","ส่งล่าช้า "&amp;(INT(H306)-INT(G306))&amp;" วัน"))),IFS(G306&lt;TODAY(),"เกินกำหนด "&amp;(TODAY()-G306)&amp;" วัน",G306=TODAY(),"ครบกำหนดวันนี้",G306-TODAY()&lt;=3,"เร่งดำเนินการ",G306-TODAY()&lt;=5,"ต้องติดตาม",G306-TODAY()&lt;=10,"ใกล้ครบกำหนด",TRUE,"อยู่ระหว่างดำเนินการ"))))</x:f>
      </x:c>
      <x:c r="L306" s="114" t="str">
        <x:f>IF(OR(A306="",P306=""),"",HYPERLINK(P306,"เปิดใน Google Calendar"))</x:f>
      </x:c>
      <x:c r="M306" s="111"/>
      <x:c r="N306" s="123"/>
      <x:c r="O306" s="123"/>
      <x:c r="P306" s="123"/>
      <x:c r="Q306" s="126" t="b">
        <x:v>0</x:v>
      </x:c>
      <x:c r="R306" s="126" t="b">
        <x:v>0</x:v>
      </x:c>
      <x:c r="S306" s="126" t="b">
        <x:v>0</x:v>
      </x:c>
      <x:c r="T306" s="126" t="b">
        <x:v>0</x:v>
      </x:c>
      <x:c r="U306" s="144"/>
      <x:c r="V306" s="123"/>
      <x:c r="W306" s="123"/>
      <x:c r="X306" s="126" t="b">
        <x:v>0</x:v>
      </x:c>
    </x:row>
    <x:row r="307" ht="18" customHeight="1">
      <x:c r="A307" s="111"/>
      <x:c r="B307" s="111"/>
      <x:c r="C307" s="111"/>
      <x:c r="D307" s="111"/>
      <x:c r="E307" s="129"/>
      <x:c r="F307" s="138"/>
      <x:c r="G307" s="133" t="str">
        <x:f>IF(OR(A307="",E307="",F307=""),"",E307+F307-IF('ตั้งค่า'!$B$12="นับรวมวันเซ็น",1,0))</x:f>
      </x:c>
      <x:c r="H307" s="134"/>
      <x:c r="I307" s="117" t="str">
        <x:v>ยังไม่ส่ง</x:v>
      </x:c>
      <x:c r="J307" s="141" t="str">
        <x:f>IF(A307="","",IF(G307="","",IF(I307="ส่งแล้ว",0,G307-TODAY())))</x:f>
      </x:c>
      <x:c r="K307" s="114" t="str">
        <x:f>IF(A307="","",IF(G307="","ยังไม่ระบุวัน",IF(I307="ส่งแล้ว",IF(H307="","ส่งแล้ว",IF(INT(H307)&lt;INT(G307),"ส่งก่อนกำหนด "&amp;(INT(G307)-INT(H307))&amp;" วัน",IF(INT(H307)=INT(G307),"ส่งตรงกำหนด","ส่งล่าช้า "&amp;(INT(H307)-INT(G307))&amp;" วัน"))),IFS(G307&lt;TODAY(),"เกินกำหนด "&amp;(TODAY()-G307)&amp;" วัน",G307=TODAY(),"ครบกำหนดวันนี้",G307-TODAY()&lt;=3,"เร่งดำเนินการ",G307-TODAY()&lt;=5,"ต้องติดตาม",G307-TODAY()&lt;=10,"ใกล้ครบกำหนด",TRUE,"อยู่ระหว่างดำเนินการ"))))</x:f>
      </x:c>
      <x:c r="L307" s="114" t="str">
        <x:f>IF(OR(A307="",P307=""),"",HYPERLINK(P307,"เปิดใน Google Calendar"))</x:f>
      </x:c>
      <x:c r="M307" s="111"/>
      <x:c r="N307" s="123"/>
      <x:c r="O307" s="123"/>
      <x:c r="P307" s="123"/>
      <x:c r="Q307" s="126" t="b">
        <x:v>0</x:v>
      </x:c>
      <x:c r="R307" s="126" t="b">
        <x:v>0</x:v>
      </x:c>
      <x:c r="S307" s="126" t="b">
        <x:v>0</x:v>
      </x:c>
      <x:c r="T307" s="126" t="b">
        <x:v>0</x:v>
      </x:c>
      <x:c r="U307" s="144"/>
      <x:c r="V307" s="123"/>
      <x:c r="W307" s="123"/>
      <x:c r="X307" s="126" t="b">
        <x:v>0</x:v>
      </x:c>
    </x:row>
    <x:row r="308" ht="18" customHeight="1">
      <x:c r="A308" s="111"/>
      <x:c r="B308" s="111"/>
      <x:c r="C308" s="111"/>
      <x:c r="D308" s="111"/>
      <x:c r="E308" s="129"/>
      <x:c r="F308" s="138"/>
      <x:c r="G308" s="133" t="str">
        <x:f>IF(OR(A308="",E308="",F308=""),"",E308+F308-IF('ตั้งค่า'!$B$12="นับรวมวันเซ็น",1,0))</x:f>
      </x:c>
      <x:c r="H308" s="134"/>
      <x:c r="I308" s="117" t="str">
        <x:v>ยังไม่ส่ง</x:v>
      </x:c>
      <x:c r="J308" s="141" t="str">
        <x:f>IF(A308="","",IF(G308="","",IF(I308="ส่งแล้ว",0,G308-TODAY())))</x:f>
      </x:c>
      <x:c r="K308" s="114" t="str">
        <x:f>IF(A308="","",IF(G308="","ยังไม่ระบุวัน",IF(I308="ส่งแล้ว",IF(H308="","ส่งแล้ว",IF(INT(H308)&lt;INT(G308),"ส่งก่อนกำหนด "&amp;(INT(G308)-INT(H308))&amp;" วัน",IF(INT(H308)=INT(G308),"ส่งตรงกำหนด","ส่งล่าช้า "&amp;(INT(H308)-INT(G308))&amp;" วัน"))),IFS(G308&lt;TODAY(),"เกินกำหนด "&amp;(TODAY()-G308)&amp;" วัน",G308=TODAY(),"ครบกำหนดวันนี้",G308-TODAY()&lt;=3,"เร่งดำเนินการ",G308-TODAY()&lt;=5,"ต้องติดตาม",G308-TODAY()&lt;=10,"ใกล้ครบกำหนด",TRUE,"อยู่ระหว่างดำเนินการ"))))</x:f>
      </x:c>
      <x:c r="L308" s="114" t="str">
        <x:f>IF(OR(A308="",P308=""),"",HYPERLINK(P308,"เปิดใน Google Calendar"))</x:f>
      </x:c>
      <x:c r="M308" s="111"/>
      <x:c r="N308" s="123"/>
      <x:c r="O308" s="123"/>
      <x:c r="P308" s="123"/>
      <x:c r="Q308" s="126" t="b">
        <x:v>0</x:v>
      </x:c>
      <x:c r="R308" s="126" t="b">
        <x:v>0</x:v>
      </x:c>
      <x:c r="S308" s="126" t="b">
        <x:v>0</x:v>
      </x:c>
      <x:c r="T308" s="126" t="b">
        <x:v>0</x:v>
      </x:c>
      <x:c r="U308" s="144"/>
      <x:c r="V308" s="123"/>
      <x:c r="W308" s="123"/>
      <x:c r="X308" s="126" t="b">
        <x:v>0</x:v>
      </x:c>
    </x:row>
    <x:row r="309" ht="18" customHeight="1">
      <x:c r="A309" s="111"/>
      <x:c r="B309" s="111"/>
      <x:c r="C309" s="111"/>
      <x:c r="D309" s="111"/>
      <x:c r="E309" s="129"/>
      <x:c r="F309" s="138"/>
      <x:c r="G309" s="133" t="str">
        <x:f>IF(OR(A309="",E309="",F309=""),"",E309+F309-IF('ตั้งค่า'!$B$12="นับรวมวันเซ็น",1,0))</x:f>
      </x:c>
      <x:c r="H309" s="134"/>
      <x:c r="I309" s="117" t="str">
        <x:v>ยังไม่ส่ง</x:v>
      </x:c>
      <x:c r="J309" s="141" t="str">
        <x:f>IF(A309="","",IF(G309="","",IF(I309="ส่งแล้ว",0,G309-TODAY())))</x:f>
      </x:c>
      <x:c r="K309" s="114" t="str">
        <x:f>IF(A309="","",IF(G309="","ยังไม่ระบุวัน",IF(I309="ส่งแล้ว",IF(H309="","ส่งแล้ว",IF(INT(H309)&lt;INT(G309),"ส่งก่อนกำหนด "&amp;(INT(G309)-INT(H309))&amp;" วัน",IF(INT(H309)=INT(G309),"ส่งตรงกำหนด","ส่งล่าช้า "&amp;(INT(H309)-INT(G309))&amp;" วัน"))),IFS(G309&lt;TODAY(),"เกินกำหนด "&amp;(TODAY()-G309)&amp;" วัน",G309=TODAY(),"ครบกำหนดวันนี้",G309-TODAY()&lt;=3,"เร่งดำเนินการ",G309-TODAY()&lt;=5,"ต้องติดตาม",G309-TODAY()&lt;=10,"ใกล้ครบกำหนด",TRUE,"อยู่ระหว่างดำเนินการ"))))</x:f>
      </x:c>
      <x:c r="L309" s="114" t="str">
        <x:f>IF(OR(A309="",P309=""),"",HYPERLINK(P309,"เปิดใน Google Calendar"))</x:f>
      </x:c>
      <x:c r="M309" s="111"/>
      <x:c r="N309" s="123"/>
      <x:c r="O309" s="123"/>
      <x:c r="P309" s="123"/>
      <x:c r="Q309" s="126" t="b">
        <x:v>0</x:v>
      </x:c>
      <x:c r="R309" s="126" t="b">
        <x:v>0</x:v>
      </x:c>
      <x:c r="S309" s="126" t="b">
        <x:v>0</x:v>
      </x:c>
      <x:c r="T309" s="126" t="b">
        <x:v>0</x:v>
      </x:c>
      <x:c r="U309" s="144"/>
      <x:c r="V309" s="123"/>
      <x:c r="W309" s="123"/>
      <x:c r="X309" s="126" t="b">
        <x:v>0</x:v>
      </x:c>
    </x:row>
    <x:row r="310" ht="18" customHeight="1">
      <x:c r="A310" s="111"/>
      <x:c r="B310" s="111"/>
      <x:c r="C310" s="111"/>
      <x:c r="D310" s="111"/>
      <x:c r="E310" s="129"/>
      <x:c r="F310" s="138"/>
      <x:c r="G310" s="133" t="str">
        <x:f>IF(OR(A310="",E310="",F310=""),"",E310+F310-IF('ตั้งค่า'!$B$12="นับรวมวันเซ็น",1,0))</x:f>
      </x:c>
      <x:c r="H310" s="134"/>
      <x:c r="I310" s="117" t="str">
        <x:v>ยังไม่ส่ง</x:v>
      </x:c>
      <x:c r="J310" s="141" t="str">
        <x:f>IF(A310="","",IF(G310="","",IF(I310="ส่งแล้ว",0,G310-TODAY())))</x:f>
      </x:c>
      <x:c r="K310" s="114" t="str">
        <x:f>IF(A310="","",IF(G310="","ยังไม่ระบุวัน",IF(I310="ส่งแล้ว",IF(H310="","ส่งแล้ว",IF(INT(H310)&lt;INT(G310),"ส่งก่อนกำหนด "&amp;(INT(G310)-INT(H310))&amp;" วัน",IF(INT(H310)=INT(G310),"ส่งตรงกำหนด","ส่งล่าช้า "&amp;(INT(H310)-INT(G310))&amp;" วัน"))),IFS(G310&lt;TODAY(),"เกินกำหนด "&amp;(TODAY()-G310)&amp;" วัน",G310=TODAY(),"ครบกำหนดวันนี้",G310-TODAY()&lt;=3,"เร่งดำเนินการ",G310-TODAY()&lt;=5,"ต้องติดตาม",G310-TODAY()&lt;=10,"ใกล้ครบกำหนด",TRUE,"อยู่ระหว่างดำเนินการ"))))</x:f>
      </x:c>
      <x:c r="L310" s="114" t="str">
        <x:f>IF(OR(A310="",P310=""),"",HYPERLINK(P310,"เปิดใน Google Calendar"))</x:f>
      </x:c>
      <x:c r="M310" s="111"/>
      <x:c r="N310" s="123"/>
      <x:c r="O310" s="123"/>
      <x:c r="P310" s="123"/>
      <x:c r="Q310" s="126" t="b">
        <x:v>0</x:v>
      </x:c>
      <x:c r="R310" s="126" t="b">
        <x:v>0</x:v>
      </x:c>
      <x:c r="S310" s="126" t="b">
        <x:v>0</x:v>
      </x:c>
      <x:c r="T310" s="126" t="b">
        <x:v>0</x:v>
      </x:c>
      <x:c r="U310" s="144"/>
      <x:c r="V310" s="123"/>
      <x:c r="W310" s="123"/>
      <x:c r="X310" s="126" t="b">
        <x:v>0</x:v>
      </x:c>
    </x:row>
    <x:row r="311" ht="18" customHeight="1">
      <x:c r="A311" s="111"/>
      <x:c r="B311" s="111"/>
      <x:c r="C311" s="111"/>
      <x:c r="D311" s="111"/>
      <x:c r="E311" s="129"/>
      <x:c r="F311" s="138"/>
      <x:c r="G311" s="133" t="str">
        <x:f>IF(OR(A311="",E311="",F311=""),"",E311+F311-IF('ตั้งค่า'!$B$12="นับรวมวันเซ็น",1,0))</x:f>
      </x:c>
      <x:c r="H311" s="134"/>
      <x:c r="I311" s="117" t="str">
        <x:v>ยังไม่ส่ง</x:v>
      </x:c>
      <x:c r="J311" s="141" t="str">
        <x:f>IF(A311="","",IF(G311="","",IF(I311="ส่งแล้ว",0,G311-TODAY())))</x:f>
      </x:c>
      <x:c r="K311" s="114" t="str">
        <x:f>IF(A311="","",IF(G311="","ยังไม่ระบุวัน",IF(I311="ส่งแล้ว",IF(H311="","ส่งแล้ว",IF(INT(H311)&lt;INT(G311),"ส่งก่อนกำหนด "&amp;(INT(G311)-INT(H311))&amp;" วัน",IF(INT(H311)=INT(G311),"ส่งตรงกำหนด","ส่งล่าช้า "&amp;(INT(H311)-INT(G311))&amp;" วัน"))),IFS(G311&lt;TODAY(),"เกินกำหนด "&amp;(TODAY()-G311)&amp;" วัน",G311=TODAY(),"ครบกำหนดวันนี้",G311-TODAY()&lt;=3,"เร่งดำเนินการ",G311-TODAY()&lt;=5,"ต้องติดตาม",G311-TODAY()&lt;=10,"ใกล้ครบกำหนด",TRUE,"อยู่ระหว่างดำเนินการ"))))</x:f>
      </x:c>
      <x:c r="L311" s="114" t="str">
        <x:f>IF(OR(A311="",P311=""),"",HYPERLINK(P311,"เปิดใน Google Calendar"))</x:f>
      </x:c>
      <x:c r="M311" s="111"/>
      <x:c r="N311" s="123"/>
      <x:c r="O311" s="123"/>
      <x:c r="P311" s="123"/>
      <x:c r="Q311" s="126" t="b">
        <x:v>0</x:v>
      </x:c>
      <x:c r="R311" s="126" t="b">
        <x:v>0</x:v>
      </x:c>
      <x:c r="S311" s="126" t="b">
        <x:v>0</x:v>
      </x:c>
      <x:c r="T311" s="126" t="b">
        <x:v>0</x:v>
      </x:c>
      <x:c r="U311" s="144"/>
      <x:c r="V311" s="123"/>
      <x:c r="W311" s="123"/>
      <x:c r="X311" s="126" t="b">
        <x:v>0</x:v>
      </x:c>
    </x:row>
    <x:row r="312" ht="18" customHeight="1">
      <x:c r="A312" s="111"/>
      <x:c r="B312" s="111"/>
      <x:c r="C312" s="111"/>
      <x:c r="D312" s="111"/>
      <x:c r="E312" s="129"/>
      <x:c r="F312" s="138"/>
      <x:c r="G312" s="133" t="str">
        <x:f>IF(OR(A312="",E312="",F312=""),"",E312+F312-IF('ตั้งค่า'!$B$12="นับรวมวันเซ็น",1,0))</x:f>
      </x:c>
      <x:c r="H312" s="134"/>
      <x:c r="I312" s="117" t="str">
        <x:v>ยังไม่ส่ง</x:v>
      </x:c>
      <x:c r="J312" s="141" t="str">
        <x:f>IF(A312="","",IF(G312="","",IF(I312="ส่งแล้ว",0,G312-TODAY())))</x:f>
      </x:c>
      <x:c r="K312" s="114" t="str">
        <x:f>IF(A312="","",IF(G312="","ยังไม่ระบุวัน",IF(I312="ส่งแล้ว",IF(H312="","ส่งแล้ว",IF(INT(H312)&lt;INT(G312),"ส่งก่อนกำหนด "&amp;(INT(G312)-INT(H312))&amp;" วัน",IF(INT(H312)=INT(G312),"ส่งตรงกำหนด","ส่งล่าช้า "&amp;(INT(H312)-INT(G312))&amp;" วัน"))),IFS(G312&lt;TODAY(),"เกินกำหนด "&amp;(TODAY()-G312)&amp;" วัน",G312=TODAY(),"ครบกำหนดวันนี้",G312-TODAY()&lt;=3,"เร่งดำเนินการ",G312-TODAY()&lt;=5,"ต้องติดตาม",G312-TODAY()&lt;=10,"ใกล้ครบกำหนด",TRUE,"อยู่ระหว่างดำเนินการ"))))</x:f>
      </x:c>
      <x:c r="L312" s="114" t="str">
        <x:f>IF(OR(A312="",P312=""),"",HYPERLINK(P312,"เปิดใน Google Calendar"))</x:f>
      </x:c>
      <x:c r="M312" s="111"/>
      <x:c r="N312" s="123"/>
      <x:c r="O312" s="123"/>
      <x:c r="P312" s="123"/>
      <x:c r="Q312" s="126" t="b">
        <x:v>0</x:v>
      </x:c>
      <x:c r="R312" s="126" t="b">
        <x:v>0</x:v>
      </x:c>
      <x:c r="S312" s="126" t="b">
        <x:v>0</x:v>
      </x:c>
      <x:c r="T312" s="126" t="b">
        <x:v>0</x:v>
      </x:c>
      <x:c r="U312" s="144"/>
      <x:c r="V312" s="123"/>
      <x:c r="W312" s="123"/>
      <x:c r="X312" s="126" t="b">
        <x:v>0</x:v>
      </x:c>
    </x:row>
    <x:row r="313" ht="18" customHeight="1">
      <x:c r="A313" s="111"/>
      <x:c r="B313" s="111"/>
      <x:c r="C313" s="111"/>
      <x:c r="D313" s="111"/>
      <x:c r="E313" s="129"/>
      <x:c r="F313" s="138"/>
      <x:c r="G313" s="133" t="str">
        <x:f>IF(OR(A313="",E313="",F313=""),"",E313+F313-IF('ตั้งค่า'!$B$12="นับรวมวันเซ็น",1,0))</x:f>
      </x:c>
      <x:c r="H313" s="134"/>
      <x:c r="I313" s="117" t="str">
        <x:v>ยังไม่ส่ง</x:v>
      </x:c>
      <x:c r="J313" s="141" t="str">
        <x:f>IF(A313="","",IF(G313="","",IF(I313="ส่งแล้ว",0,G313-TODAY())))</x:f>
      </x:c>
      <x:c r="K313" s="114" t="str">
        <x:f>IF(A313="","",IF(G313="","ยังไม่ระบุวัน",IF(I313="ส่งแล้ว",IF(H313="","ส่งแล้ว",IF(INT(H313)&lt;INT(G313),"ส่งก่อนกำหนด "&amp;(INT(G313)-INT(H313))&amp;" วัน",IF(INT(H313)=INT(G313),"ส่งตรงกำหนด","ส่งล่าช้า "&amp;(INT(H313)-INT(G313))&amp;" วัน"))),IFS(G313&lt;TODAY(),"เกินกำหนด "&amp;(TODAY()-G313)&amp;" วัน",G313=TODAY(),"ครบกำหนดวันนี้",G313-TODAY()&lt;=3,"เร่งดำเนินการ",G313-TODAY()&lt;=5,"ต้องติดตาม",G313-TODAY()&lt;=10,"ใกล้ครบกำหนด",TRUE,"อยู่ระหว่างดำเนินการ"))))</x:f>
      </x:c>
      <x:c r="L313" s="114" t="str">
        <x:f>IF(OR(A313="",P313=""),"",HYPERLINK(P313,"เปิดใน Google Calendar"))</x:f>
      </x:c>
      <x:c r="M313" s="111"/>
      <x:c r="N313" s="123"/>
      <x:c r="O313" s="123"/>
      <x:c r="P313" s="123"/>
      <x:c r="Q313" s="126" t="b">
        <x:v>0</x:v>
      </x:c>
      <x:c r="R313" s="126" t="b">
        <x:v>0</x:v>
      </x:c>
      <x:c r="S313" s="126" t="b">
        <x:v>0</x:v>
      </x:c>
      <x:c r="T313" s="126" t="b">
        <x:v>0</x:v>
      </x:c>
      <x:c r="U313" s="144"/>
      <x:c r="V313" s="123"/>
      <x:c r="W313" s="123"/>
      <x:c r="X313" s="126" t="b">
        <x:v>0</x:v>
      </x:c>
    </x:row>
    <x:row r="314" ht="18" customHeight="1">
      <x:c r="A314" s="111"/>
      <x:c r="B314" s="111"/>
      <x:c r="C314" s="111"/>
      <x:c r="D314" s="111"/>
      <x:c r="E314" s="129"/>
      <x:c r="F314" s="138"/>
      <x:c r="G314" s="133" t="str">
        <x:f>IF(OR(A314="",E314="",F314=""),"",E314+F314-IF('ตั้งค่า'!$B$12="นับรวมวันเซ็น",1,0))</x:f>
      </x:c>
      <x:c r="H314" s="134"/>
      <x:c r="I314" s="117" t="str">
        <x:v>ยังไม่ส่ง</x:v>
      </x:c>
      <x:c r="J314" s="141" t="str">
        <x:f>IF(A314="","",IF(G314="","",IF(I314="ส่งแล้ว",0,G314-TODAY())))</x:f>
      </x:c>
      <x:c r="K314" s="114" t="str">
        <x:f>IF(A314="","",IF(G314="","ยังไม่ระบุวัน",IF(I314="ส่งแล้ว",IF(H314="","ส่งแล้ว",IF(INT(H314)&lt;INT(G314),"ส่งก่อนกำหนด "&amp;(INT(G314)-INT(H314))&amp;" วัน",IF(INT(H314)=INT(G314),"ส่งตรงกำหนด","ส่งล่าช้า "&amp;(INT(H314)-INT(G314))&amp;" วัน"))),IFS(G314&lt;TODAY(),"เกินกำหนด "&amp;(TODAY()-G314)&amp;" วัน",G314=TODAY(),"ครบกำหนดวันนี้",G314-TODAY()&lt;=3,"เร่งดำเนินการ",G314-TODAY()&lt;=5,"ต้องติดตาม",G314-TODAY()&lt;=10,"ใกล้ครบกำหนด",TRUE,"อยู่ระหว่างดำเนินการ"))))</x:f>
      </x:c>
      <x:c r="L314" s="114" t="str">
        <x:f>IF(OR(A314="",P314=""),"",HYPERLINK(P314,"เปิดใน Google Calendar"))</x:f>
      </x:c>
      <x:c r="M314" s="111"/>
      <x:c r="N314" s="123"/>
      <x:c r="O314" s="123"/>
      <x:c r="P314" s="123"/>
      <x:c r="Q314" s="126" t="b">
        <x:v>0</x:v>
      </x:c>
      <x:c r="R314" s="126" t="b">
        <x:v>0</x:v>
      </x:c>
      <x:c r="S314" s="126" t="b">
        <x:v>0</x:v>
      </x:c>
      <x:c r="T314" s="126" t="b">
        <x:v>0</x:v>
      </x:c>
      <x:c r="U314" s="144"/>
      <x:c r="V314" s="123"/>
      <x:c r="W314" s="123"/>
      <x:c r="X314" s="126" t="b">
        <x:v>0</x:v>
      </x:c>
    </x:row>
    <x:row r="315" ht="18" customHeight="1">
      <x:c r="A315" s="111"/>
      <x:c r="B315" s="111"/>
      <x:c r="C315" s="111"/>
      <x:c r="D315" s="111"/>
      <x:c r="E315" s="129"/>
      <x:c r="F315" s="138"/>
      <x:c r="G315" s="133" t="str">
        <x:f>IF(OR(A315="",E315="",F315=""),"",E315+F315-IF('ตั้งค่า'!$B$12="นับรวมวันเซ็น",1,0))</x:f>
      </x:c>
      <x:c r="H315" s="134"/>
      <x:c r="I315" s="117" t="str">
        <x:v>ยังไม่ส่ง</x:v>
      </x:c>
      <x:c r="J315" s="141" t="str">
        <x:f>IF(A315="","",IF(G315="","",IF(I315="ส่งแล้ว",0,G315-TODAY())))</x:f>
      </x:c>
      <x:c r="K315" s="114" t="str">
        <x:f>IF(A315="","",IF(G315="","ยังไม่ระบุวัน",IF(I315="ส่งแล้ว",IF(H315="","ส่งแล้ว",IF(INT(H315)&lt;INT(G315),"ส่งก่อนกำหนด "&amp;(INT(G315)-INT(H315))&amp;" วัน",IF(INT(H315)=INT(G315),"ส่งตรงกำหนด","ส่งล่าช้า "&amp;(INT(H315)-INT(G315))&amp;" วัน"))),IFS(G315&lt;TODAY(),"เกินกำหนด "&amp;(TODAY()-G315)&amp;" วัน",G315=TODAY(),"ครบกำหนดวันนี้",G315-TODAY()&lt;=3,"เร่งดำเนินการ",G315-TODAY()&lt;=5,"ต้องติดตาม",G315-TODAY()&lt;=10,"ใกล้ครบกำหนด",TRUE,"อยู่ระหว่างดำเนินการ"))))</x:f>
      </x:c>
      <x:c r="L315" s="114" t="str">
        <x:f>IF(OR(A315="",P315=""),"",HYPERLINK(P315,"เปิดใน Google Calendar"))</x:f>
      </x:c>
      <x:c r="M315" s="111"/>
      <x:c r="N315" s="123"/>
      <x:c r="O315" s="123"/>
      <x:c r="P315" s="123"/>
      <x:c r="Q315" s="126" t="b">
        <x:v>0</x:v>
      </x:c>
      <x:c r="R315" s="126" t="b">
        <x:v>0</x:v>
      </x:c>
      <x:c r="S315" s="126" t="b">
        <x:v>0</x:v>
      </x:c>
      <x:c r="T315" s="126" t="b">
        <x:v>0</x:v>
      </x:c>
      <x:c r="U315" s="144"/>
      <x:c r="V315" s="123"/>
      <x:c r="W315" s="123"/>
      <x:c r="X315" s="126" t="b">
        <x:v>0</x:v>
      </x:c>
    </x:row>
    <x:row r="316" ht="18" customHeight="1">
      <x:c r="A316" s="111"/>
      <x:c r="B316" s="111"/>
      <x:c r="C316" s="111"/>
      <x:c r="D316" s="111"/>
      <x:c r="E316" s="129"/>
      <x:c r="F316" s="138"/>
      <x:c r="G316" s="133" t="str">
        <x:f>IF(OR(A316="",E316="",F316=""),"",E316+F316-IF('ตั้งค่า'!$B$12="นับรวมวันเซ็น",1,0))</x:f>
      </x:c>
      <x:c r="H316" s="134"/>
      <x:c r="I316" s="117" t="str">
        <x:v>ยังไม่ส่ง</x:v>
      </x:c>
      <x:c r="J316" s="141" t="str">
        <x:f>IF(A316="","",IF(G316="","",IF(I316="ส่งแล้ว",0,G316-TODAY())))</x:f>
      </x:c>
      <x:c r="K316" s="114" t="str">
        <x:f>IF(A316="","",IF(G316="","ยังไม่ระบุวัน",IF(I316="ส่งแล้ว",IF(H316="","ส่งแล้ว",IF(INT(H316)&lt;INT(G316),"ส่งก่อนกำหนด "&amp;(INT(G316)-INT(H316))&amp;" วัน",IF(INT(H316)=INT(G316),"ส่งตรงกำหนด","ส่งล่าช้า "&amp;(INT(H316)-INT(G316))&amp;" วัน"))),IFS(G316&lt;TODAY(),"เกินกำหนด "&amp;(TODAY()-G316)&amp;" วัน",G316=TODAY(),"ครบกำหนดวันนี้",G316-TODAY()&lt;=3,"เร่งดำเนินการ",G316-TODAY()&lt;=5,"ต้องติดตาม",G316-TODAY()&lt;=10,"ใกล้ครบกำหนด",TRUE,"อยู่ระหว่างดำเนินการ"))))</x:f>
      </x:c>
      <x:c r="L316" s="114" t="str">
        <x:f>IF(OR(A316="",P316=""),"",HYPERLINK(P316,"เปิดใน Google Calendar"))</x:f>
      </x:c>
      <x:c r="M316" s="111"/>
      <x:c r="N316" s="123"/>
      <x:c r="O316" s="123"/>
      <x:c r="P316" s="123"/>
      <x:c r="Q316" s="126" t="b">
        <x:v>0</x:v>
      </x:c>
      <x:c r="R316" s="126" t="b">
        <x:v>0</x:v>
      </x:c>
      <x:c r="S316" s="126" t="b">
        <x:v>0</x:v>
      </x:c>
      <x:c r="T316" s="126" t="b">
        <x:v>0</x:v>
      </x:c>
      <x:c r="U316" s="144"/>
      <x:c r="V316" s="123"/>
      <x:c r="W316" s="123"/>
      <x:c r="X316" s="126" t="b">
        <x:v>0</x:v>
      </x:c>
    </x:row>
    <x:row r="317" ht="18" customHeight="1">
      <x:c r="A317" s="111"/>
      <x:c r="B317" s="111"/>
      <x:c r="C317" s="111"/>
      <x:c r="D317" s="111"/>
      <x:c r="E317" s="129"/>
      <x:c r="F317" s="138"/>
      <x:c r="G317" s="133" t="str">
        <x:f>IF(OR(A317="",E317="",F317=""),"",E317+F317-IF('ตั้งค่า'!$B$12="นับรวมวันเซ็น",1,0))</x:f>
      </x:c>
      <x:c r="H317" s="134"/>
      <x:c r="I317" s="117" t="str">
        <x:v>ยังไม่ส่ง</x:v>
      </x:c>
      <x:c r="J317" s="141" t="str">
        <x:f>IF(A317="","",IF(G317="","",IF(I317="ส่งแล้ว",0,G317-TODAY())))</x:f>
      </x:c>
      <x:c r="K317" s="114" t="str">
        <x:f>IF(A317="","",IF(G317="","ยังไม่ระบุวัน",IF(I317="ส่งแล้ว",IF(H317="","ส่งแล้ว",IF(INT(H317)&lt;INT(G317),"ส่งก่อนกำหนด "&amp;(INT(G317)-INT(H317))&amp;" วัน",IF(INT(H317)=INT(G317),"ส่งตรงกำหนด","ส่งล่าช้า "&amp;(INT(H317)-INT(G317))&amp;" วัน"))),IFS(G317&lt;TODAY(),"เกินกำหนด "&amp;(TODAY()-G317)&amp;" วัน",G317=TODAY(),"ครบกำหนดวันนี้",G317-TODAY()&lt;=3,"เร่งดำเนินการ",G317-TODAY()&lt;=5,"ต้องติดตาม",G317-TODAY()&lt;=10,"ใกล้ครบกำหนด",TRUE,"อยู่ระหว่างดำเนินการ"))))</x:f>
      </x:c>
      <x:c r="L317" s="114" t="str">
        <x:f>IF(OR(A317="",P317=""),"",HYPERLINK(P317,"เปิดใน Google Calendar"))</x:f>
      </x:c>
      <x:c r="M317" s="111"/>
      <x:c r="N317" s="123"/>
      <x:c r="O317" s="123"/>
      <x:c r="P317" s="123"/>
      <x:c r="Q317" s="126" t="b">
        <x:v>0</x:v>
      </x:c>
      <x:c r="R317" s="126" t="b">
        <x:v>0</x:v>
      </x:c>
      <x:c r="S317" s="126" t="b">
        <x:v>0</x:v>
      </x:c>
      <x:c r="T317" s="126" t="b">
        <x:v>0</x:v>
      </x:c>
      <x:c r="U317" s="144"/>
      <x:c r="V317" s="123"/>
      <x:c r="W317" s="123"/>
      <x:c r="X317" s="126" t="b">
        <x:v>0</x:v>
      </x:c>
    </x:row>
    <x:row r="318" ht="18" customHeight="1">
      <x:c r="A318" s="111"/>
      <x:c r="B318" s="111"/>
      <x:c r="C318" s="111"/>
      <x:c r="D318" s="111"/>
      <x:c r="E318" s="129"/>
      <x:c r="F318" s="138"/>
      <x:c r="G318" s="133" t="str">
        <x:f>IF(OR(A318="",E318="",F318=""),"",E318+F318-IF('ตั้งค่า'!$B$12="นับรวมวันเซ็น",1,0))</x:f>
      </x:c>
      <x:c r="H318" s="134"/>
      <x:c r="I318" s="117" t="str">
        <x:v>ยังไม่ส่ง</x:v>
      </x:c>
      <x:c r="J318" s="141" t="str">
        <x:f>IF(A318="","",IF(G318="","",IF(I318="ส่งแล้ว",0,G318-TODAY())))</x:f>
      </x:c>
      <x:c r="K318" s="114" t="str">
        <x:f>IF(A318="","",IF(G318="","ยังไม่ระบุวัน",IF(I318="ส่งแล้ว",IF(H318="","ส่งแล้ว",IF(INT(H318)&lt;INT(G318),"ส่งก่อนกำหนด "&amp;(INT(G318)-INT(H318))&amp;" วัน",IF(INT(H318)=INT(G318),"ส่งตรงกำหนด","ส่งล่าช้า "&amp;(INT(H318)-INT(G318))&amp;" วัน"))),IFS(G318&lt;TODAY(),"เกินกำหนด "&amp;(TODAY()-G318)&amp;" วัน",G318=TODAY(),"ครบกำหนดวันนี้",G318-TODAY()&lt;=3,"เร่งดำเนินการ",G318-TODAY()&lt;=5,"ต้องติดตาม",G318-TODAY()&lt;=10,"ใกล้ครบกำหนด",TRUE,"อยู่ระหว่างดำเนินการ"))))</x:f>
      </x:c>
      <x:c r="L318" s="114" t="str">
        <x:f>IF(OR(A318="",P318=""),"",HYPERLINK(P318,"เปิดใน Google Calendar"))</x:f>
      </x:c>
      <x:c r="M318" s="111"/>
      <x:c r="N318" s="123"/>
      <x:c r="O318" s="123"/>
      <x:c r="P318" s="123"/>
      <x:c r="Q318" s="126" t="b">
        <x:v>0</x:v>
      </x:c>
      <x:c r="R318" s="126" t="b">
        <x:v>0</x:v>
      </x:c>
      <x:c r="S318" s="126" t="b">
        <x:v>0</x:v>
      </x:c>
      <x:c r="T318" s="126" t="b">
        <x:v>0</x:v>
      </x:c>
      <x:c r="U318" s="144"/>
      <x:c r="V318" s="123"/>
      <x:c r="W318" s="123"/>
      <x:c r="X318" s="126" t="b">
        <x:v>0</x:v>
      </x:c>
    </x:row>
    <x:row r="319" ht="18" customHeight="1">
      <x:c r="A319" s="111"/>
      <x:c r="B319" s="111"/>
      <x:c r="C319" s="111"/>
      <x:c r="D319" s="111"/>
      <x:c r="E319" s="129"/>
      <x:c r="F319" s="138"/>
      <x:c r="G319" s="133" t="str">
        <x:f>IF(OR(A319="",E319="",F319=""),"",E319+F319-IF('ตั้งค่า'!$B$12="นับรวมวันเซ็น",1,0))</x:f>
      </x:c>
      <x:c r="H319" s="134"/>
      <x:c r="I319" s="117" t="str">
        <x:v>ยังไม่ส่ง</x:v>
      </x:c>
      <x:c r="J319" s="141" t="str">
        <x:f>IF(A319="","",IF(G319="","",IF(I319="ส่งแล้ว",0,G319-TODAY())))</x:f>
      </x:c>
      <x:c r="K319" s="114" t="str">
        <x:f>IF(A319="","",IF(G319="","ยังไม่ระบุวัน",IF(I319="ส่งแล้ว",IF(H319="","ส่งแล้ว",IF(INT(H319)&lt;INT(G319),"ส่งก่อนกำหนด "&amp;(INT(G319)-INT(H319))&amp;" วัน",IF(INT(H319)=INT(G319),"ส่งตรงกำหนด","ส่งล่าช้า "&amp;(INT(H319)-INT(G319))&amp;" วัน"))),IFS(G319&lt;TODAY(),"เกินกำหนด "&amp;(TODAY()-G319)&amp;" วัน",G319=TODAY(),"ครบกำหนดวันนี้",G319-TODAY()&lt;=3,"เร่งดำเนินการ",G319-TODAY()&lt;=5,"ต้องติดตาม",G319-TODAY()&lt;=10,"ใกล้ครบกำหนด",TRUE,"อยู่ระหว่างดำเนินการ"))))</x:f>
      </x:c>
      <x:c r="L319" s="114" t="str">
        <x:f>IF(OR(A319="",P319=""),"",HYPERLINK(P319,"เปิดใน Google Calendar"))</x:f>
      </x:c>
      <x:c r="M319" s="111"/>
      <x:c r="N319" s="123"/>
      <x:c r="O319" s="123"/>
      <x:c r="P319" s="123"/>
      <x:c r="Q319" s="126" t="b">
        <x:v>0</x:v>
      </x:c>
      <x:c r="R319" s="126" t="b">
        <x:v>0</x:v>
      </x:c>
      <x:c r="S319" s="126" t="b">
        <x:v>0</x:v>
      </x:c>
      <x:c r="T319" s="126" t="b">
        <x:v>0</x:v>
      </x:c>
      <x:c r="U319" s="144"/>
      <x:c r="V319" s="123"/>
      <x:c r="W319" s="123"/>
      <x:c r="X319" s="126" t="b">
        <x:v>0</x:v>
      </x:c>
    </x:row>
    <x:row r="320" ht="18" customHeight="1">
      <x:c r="A320" s="111"/>
      <x:c r="B320" s="111"/>
      <x:c r="C320" s="111"/>
      <x:c r="D320" s="111"/>
      <x:c r="E320" s="129"/>
      <x:c r="F320" s="138"/>
      <x:c r="G320" s="133" t="str">
        <x:f>IF(OR(A320="",E320="",F320=""),"",E320+F320-IF('ตั้งค่า'!$B$12="นับรวมวันเซ็น",1,0))</x:f>
      </x:c>
      <x:c r="H320" s="134"/>
      <x:c r="I320" s="117" t="str">
        <x:v>ยังไม่ส่ง</x:v>
      </x:c>
      <x:c r="J320" s="141" t="str">
        <x:f>IF(A320="","",IF(G320="","",IF(I320="ส่งแล้ว",0,G320-TODAY())))</x:f>
      </x:c>
      <x:c r="K320" s="114" t="str">
        <x:f>IF(A320="","",IF(G320="","ยังไม่ระบุวัน",IF(I320="ส่งแล้ว",IF(H320="","ส่งแล้ว",IF(INT(H320)&lt;INT(G320),"ส่งก่อนกำหนด "&amp;(INT(G320)-INT(H320))&amp;" วัน",IF(INT(H320)=INT(G320),"ส่งตรงกำหนด","ส่งล่าช้า "&amp;(INT(H320)-INT(G320))&amp;" วัน"))),IFS(G320&lt;TODAY(),"เกินกำหนด "&amp;(TODAY()-G320)&amp;" วัน",G320=TODAY(),"ครบกำหนดวันนี้",G320-TODAY()&lt;=3,"เร่งดำเนินการ",G320-TODAY()&lt;=5,"ต้องติดตาม",G320-TODAY()&lt;=10,"ใกล้ครบกำหนด",TRUE,"อยู่ระหว่างดำเนินการ"))))</x:f>
      </x:c>
      <x:c r="L320" s="114" t="str">
        <x:f>IF(OR(A320="",P320=""),"",HYPERLINK(P320,"เปิดใน Google Calendar"))</x:f>
      </x:c>
      <x:c r="M320" s="111"/>
      <x:c r="N320" s="123"/>
      <x:c r="O320" s="123"/>
      <x:c r="P320" s="123"/>
      <x:c r="Q320" s="126" t="b">
        <x:v>0</x:v>
      </x:c>
      <x:c r="R320" s="126" t="b">
        <x:v>0</x:v>
      </x:c>
      <x:c r="S320" s="126" t="b">
        <x:v>0</x:v>
      </x:c>
      <x:c r="T320" s="126" t="b">
        <x:v>0</x:v>
      </x:c>
      <x:c r="U320" s="144"/>
      <x:c r="V320" s="123"/>
      <x:c r="W320" s="123"/>
      <x:c r="X320" s="126" t="b">
        <x:v>0</x:v>
      </x:c>
    </x:row>
    <x:row r="321" ht="18" customHeight="1">
      <x:c r="A321" s="111"/>
      <x:c r="B321" s="111"/>
      <x:c r="C321" s="111"/>
      <x:c r="D321" s="111"/>
      <x:c r="E321" s="129"/>
      <x:c r="F321" s="138"/>
      <x:c r="G321" s="133" t="str">
        <x:f>IF(OR(A321="",E321="",F321=""),"",E321+F321-IF('ตั้งค่า'!$B$12="นับรวมวันเซ็น",1,0))</x:f>
      </x:c>
      <x:c r="H321" s="134"/>
      <x:c r="I321" s="117" t="str">
        <x:v>ยังไม่ส่ง</x:v>
      </x:c>
      <x:c r="J321" s="141" t="str">
        <x:f>IF(A321="","",IF(G321="","",IF(I321="ส่งแล้ว",0,G321-TODAY())))</x:f>
      </x:c>
      <x:c r="K321" s="114" t="str">
        <x:f>IF(A321="","",IF(G321="","ยังไม่ระบุวัน",IF(I321="ส่งแล้ว",IF(H321="","ส่งแล้ว",IF(INT(H321)&lt;INT(G321),"ส่งก่อนกำหนด "&amp;(INT(G321)-INT(H321))&amp;" วัน",IF(INT(H321)=INT(G321),"ส่งตรงกำหนด","ส่งล่าช้า "&amp;(INT(H321)-INT(G321))&amp;" วัน"))),IFS(G321&lt;TODAY(),"เกินกำหนด "&amp;(TODAY()-G321)&amp;" วัน",G321=TODAY(),"ครบกำหนดวันนี้",G321-TODAY()&lt;=3,"เร่งดำเนินการ",G321-TODAY()&lt;=5,"ต้องติดตาม",G321-TODAY()&lt;=10,"ใกล้ครบกำหนด",TRUE,"อยู่ระหว่างดำเนินการ"))))</x:f>
      </x:c>
      <x:c r="L321" s="114" t="str">
        <x:f>IF(OR(A321="",P321=""),"",HYPERLINK(P321,"เปิดใน Google Calendar"))</x:f>
      </x:c>
      <x:c r="M321" s="111"/>
      <x:c r="N321" s="123"/>
      <x:c r="O321" s="123"/>
      <x:c r="P321" s="123"/>
      <x:c r="Q321" s="126" t="b">
        <x:v>0</x:v>
      </x:c>
      <x:c r="R321" s="126" t="b">
        <x:v>0</x:v>
      </x:c>
      <x:c r="S321" s="126" t="b">
        <x:v>0</x:v>
      </x:c>
      <x:c r="T321" s="126" t="b">
        <x:v>0</x:v>
      </x:c>
      <x:c r="U321" s="144"/>
      <x:c r="V321" s="123"/>
      <x:c r="W321" s="123"/>
      <x:c r="X321" s="126" t="b">
        <x:v>0</x:v>
      </x:c>
    </x:row>
    <x:row r="322" ht="18" customHeight="1">
      <x:c r="A322" s="111"/>
      <x:c r="B322" s="111"/>
      <x:c r="C322" s="111"/>
      <x:c r="D322" s="111"/>
      <x:c r="E322" s="129"/>
      <x:c r="F322" s="138"/>
      <x:c r="G322" s="133" t="str">
        <x:f>IF(OR(A322="",E322="",F322=""),"",E322+F322-IF('ตั้งค่า'!$B$12="นับรวมวันเซ็น",1,0))</x:f>
      </x:c>
      <x:c r="H322" s="134"/>
      <x:c r="I322" s="117" t="str">
        <x:v>ยังไม่ส่ง</x:v>
      </x:c>
      <x:c r="J322" s="141" t="str">
        <x:f>IF(A322="","",IF(G322="","",IF(I322="ส่งแล้ว",0,G322-TODAY())))</x:f>
      </x:c>
      <x:c r="K322" s="114" t="str">
        <x:f>IF(A322="","",IF(G322="","ยังไม่ระบุวัน",IF(I322="ส่งแล้ว",IF(H322="","ส่งแล้ว",IF(INT(H322)&lt;INT(G322),"ส่งก่อนกำหนด "&amp;(INT(G322)-INT(H322))&amp;" วัน",IF(INT(H322)=INT(G322),"ส่งตรงกำหนด","ส่งล่าช้า "&amp;(INT(H322)-INT(G322))&amp;" วัน"))),IFS(G322&lt;TODAY(),"เกินกำหนด "&amp;(TODAY()-G322)&amp;" วัน",G322=TODAY(),"ครบกำหนดวันนี้",G322-TODAY()&lt;=3,"เร่งดำเนินการ",G322-TODAY()&lt;=5,"ต้องติดตาม",G322-TODAY()&lt;=10,"ใกล้ครบกำหนด",TRUE,"อยู่ระหว่างดำเนินการ"))))</x:f>
      </x:c>
      <x:c r="L322" s="114" t="str">
        <x:f>IF(OR(A322="",P322=""),"",HYPERLINK(P322,"เปิดใน Google Calendar"))</x:f>
      </x:c>
      <x:c r="M322" s="111"/>
      <x:c r="N322" s="123"/>
      <x:c r="O322" s="123"/>
      <x:c r="P322" s="123"/>
      <x:c r="Q322" s="126" t="b">
        <x:v>0</x:v>
      </x:c>
      <x:c r="R322" s="126" t="b">
        <x:v>0</x:v>
      </x:c>
      <x:c r="S322" s="126" t="b">
        <x:v>0</x:v>
      </x:c>
      <x:c r="T322" s="126" t="b">
        <x:v>0</x:v>
      </x:c>
      <x:c r="U322" s="144"/>
      <x:c r="V322" s="123"/>
      <x:c r="W322" s="123"/>
      <x:c r="X322" s="126" t="b">
        <x:v>0</x:v>
      </x:c>
    </x:row>
    <x:row r="323" ht="18" customHeight="1">
      <x:c r="A323" s="111"/>
      <x:c r="B323" s="111"/>
      <x:c r="C323" s="111"/>
      <x:c r="D323" s="111"/>
      <x:c r="E323" s="129"/>
      <x:c r="F323" s="138"/>
      <x:c r="G323" s="133" t="str">
        <x:f>IF(OR(A323="",E323="",F323=""),"",E323+F323-IF('ตั้งค่า'!$B$12="นับรวมวันเซ็น",1,0))</x:f>
      </x:c>
      <x:c r="H323" s="134"/>
      <x:c r="I323" s="117" t="str">
        <x:v>ยังไม่ส่ง</x:v>
      </x:c>
      <x:c r="J323" s="141" t="str">
        <x:f>IF(A323="","",IF(G323="","",IF(I323="ส่งแล้ว",0,G323-TODAY())))</x:f>
      </x:c>
      <x:c r="K323" s="114" t="str">
        <x:f>IF(A323="","",IF(G323="","ยังไม่ระบุวัน",IF(I323="ส่งแล้ว",IF(H323="","ส่งแล้ว",IF(INT(H323)&lt;INT(G323),"ส่งก่อนกำหนด "&amp;(INT(G323)-INT(H323))&amp;" วัน",IF(INT(H323)=INT(G323),"ส่งตรงกำหนด","ส่งล่าช้า "&amp;(INT(H323)-INT(G323))&amp;" วัน"))),IFS(G323&lt;TODAY(),"เกินกำหนด "&amp;(TODAY()-G323)&amp;" วัน",G323=TODAY(),"ครบกำหนดวันนี้",G323-TODAY()&lt;=3,"เร่งดำเนินการ",G323-TODAY()&lt;=5,"ต้องติดตาม",G323-TODAY()&lt;=10,"ใกล้ครบกำหนด",TRUE,"อยู่ระหว่างดำเนินการ"))))</x:f>
      </x:c>
      <x:c r="L323" s="114" t="str">
        <x:f>IF(OR(A323="",P323=""),"",HYPERLINK(P323,"เปิดใน Google Calendar"))</x:f>
      </x:c>
      <x:c r="M323" s="111"/>
      <x:c r="N323" s="123"/>
      <x:c r="O323" s="123"/>
      <x:c r="P323" s="123"/>
      <x:c r="Q323" s="126" t="b">
        <x:v>0</x:v>
      </x:c>
      <x:c r="R323" s="126" t="b">
        <x:v>0</x:v>
      </x:c>
      <x:c r="S323" s="126" t="b">
        <x:v>0</x:v>
      </x:c>
      <x:c r="T323" s="126" t="b">
        <x:v>0</x:v>
      </x:c>
      <x:c r="U323" s="144"/>
      <x:c r="V323" s="123"/>
      <x:c r="W323" s="123"/>
      <x:c r="X323" s="126" t="b">
        <x:v>0</x:v>
      </x:c>
    </x:row>
    <x:row r="324" ht="18" customHeight="1">
      <x:c r="A324" s="111"/>
      <x:c r="B324" s="111"/>
      <x:c r="C324" s="111"/>
      <x:c r="D324" s="111"/>
      <x:c r="E324" s="129"/>
      <x:c r="F324" s="138"/>
      <x:c r="G324" s="133" t="str">
        <x:f>IF(OR(A324="",E324="",F324=""),"",E324+F324-IF('ตั้งค่า'!$B$12="นับรวมวันเซ็น",1,0))</x:f>
      </x:c>
      <x:c r="H324" s="134"/>
      <x:c r="I324" s="117" t="str">
        <x:v>ยังไม่ส่ง</x:v>
      </x:c>
      <x:c r="J324" s="141" t="str">
        <x:f>IF(A324="","",IF(G324="","",IF(I324="ส่งแล้ว",0,G324-TODAY())))</x:f>
      </x:c>
      <x:c r="K324" s="114" t="str">
        <x:f>IF(A324="","",IF(G324="","ยังไม่ระบุวัน",IF(I324="ส่งแล้ว",IF(H324="","ส่งแล้ว",IF(INT(H324)&lt;INT(G324),"ส่งก่อนกำหนด "&amp;(INT(G324)-INT(H324))&amp;" วัน",IF(INT(H324)=INT(G324),"ส่งตรงกำหนด","ส่งล่าช้า "&amp;(INT(H324)-INT(G324))&amp;" วัน"))),IFS(G324&lt;TODAY(),"เกินกำหนด "&amp;(TODAY()-G324)&amp;" วัน",G324=TODAY(),"ครบกำหนดวันนี้",G324-TODAY()&lt;=3,"เร่งดำเนินการ",G324-TODAY()&lt;=5,"ต้องติดตาม",G324-TODAY()&lt;=10,"ใกล้ครบกำหนด",TRUE,"อยู่ระหว่างดำเนินการ"))))</x:f>
      </x:c>
      <x:c r="L324" s="114" t="str">
        <x:f>IF(OR(A324="",P324=""),"",HYPERLINK(P324,"เปิดใน Google Calendar"))</x:f>
      </x:c>
      <x:c r="M324" s="111"/>
      <x:c r="N324" s="123"/>
      <x:c r="O324" s="123"/>
      <x:c r="P324" s="123"/>
      <x:c r="Q324" s="126" t="b">
        <x:v>0</x:v>
      </x:c>
      <x:c r="R324" s="126" t="b">
        <x:v>0</x:v>
      </x:c>
      <x:c r="S324" s="126" t="b">
        <x:v>0</x:v>
      </x:c>
      <x:c r="T324" s="126" t="b">
        <x:v>0</x:v>
      </x:c>
      <x:c r="U324" s="144"/>
      <x:c r="V324" s="123"/>
      <x:c r="W324" s="123"/>
      <x:c r="X324" s="126" t="b">
        <x:v>0</x:v>
      </x:c>
    </x:row>
    <x:row r="325" ht="18" customHeight="1">
      <x:c r="A325" s="111"/>
      <x:c r="B325" s="111"/>
      <x:c r="C325" s="111"/>
      <x:c r="D325" s="111"/>
      <x:c r="E325" s="129"/>
      <x:c r="F325" s="138"/>
      <x:c r="G325" s="133" t="str">
        <x:f>IF(OR(A325="",E325="",F325=""),"",E325+F325-IF('ตั้งค่า'!$B$12="นับรวมวันเซ็น",1,0))</x:f>
      </x:c>
      <x:c r="H325" s="134"/>
      <x:c r="I325" s="117" t="str">
        <x:v>ยังไม่ส่ง</x:v>
      </x:c>
      <x:c r="J325" s="141" t="str">
        <x:f>IF(A325="","",IF(G325="","",IF(I325="ส่งแล้ว",0,G325-TODAY())))</x:f>
      </x:c>
      <x:c r="K325" s="114" t="str">
        <x:f>IF(A325="","",IF(G325="","ยังไม่ระบุวัน",IF(I325="ส่งแล้ว",IF(H325="","ส่งแล้ว",IF(INT(H325)&lt;INT(G325),"ส่งก่อนกำหนด "&amp;(INT(G325)-INT(H325))&amp;" วัน",IF(INT(H325)=INT(G325),"ส่งตรงกำหนด","ส่งล่าช้า "&amp;(INT(H325)-INT(G325))&amp;" วัน"))),IFS(G325&lt;TODAY(),"เกินกำหนด "&amp;(TODAY()-G325)&amp;" วัน",G325=TODAY(),"ครบกำหนดวันนี้",G325-TODAY()&lt;=3,"เร่งดำเนินการ",G325-TODAY()&lt;=5,"ต้องติดตาม",G325-TODAY()&lt;=10,"ใกล้ครบกำหนด",TRUE,"อยู่ระหว่างดำเนินการ"))))</x:f>
      </x:c>
      <x:c r="L325" s="114" t="str">
        <x:f>IF(OR(A325="",P325=""),"",HYPERLINK(P325,"เปิดใน Google Calendar"))</x:f>
      </x:c>
      <x:c r="M325" s="111"/>
      <x:c r="N325" s="123"/>
      <x:c r="O325" s="123"/>
      <x:c r="P325" s="123"/>
      <x:c r="Q325" s="126" t="b">
        <x:v>0</x:v>
      </x:c>
      <x:c r="R325" s="126" t="b">
        <x:v>0</x:v>
      </x:c>
      <x:c r="S325" s="126" t="b">
        <x:v>0</x:v>
      </x:c>
      <x:c r="T325" s="126" t="b">
        <x:v>0</x:v>
      </x:c>
      <x:c r="U325" s="144"/>
      <x:c r="V325" s="123"/>
      <x:c r="W325" s="123"/>
      <x:c r="X325" s="126" t="b">
        <x:v>0</x:v>
      </x:c>
    </x:row>
    <x:row r="326" ht="18" customHeight="1">
      <x:c r="A326" s="111"/>
      <x:c r="B326" s="111"/>
      <x:c r="C326" s="111"/>
      <x:c r="D326" s="111"/>
      <x:c r="E326" s="129"/>
      <x:c r="F326" s="138"/>
      <x:c r="G326" s="133" t="str">
        <x:f>IF(OR(A326="",E326="",F326=""),"",E326+F326-IF('ตั้งค่า'!$B$12="นับรวมวันเซ็น",1,0))</x:f>
      </x:c>
      <x:c r="H326" s="134"/>
      <x:c r="I326" s="117" t="str">
        <x:v>ยังไม่ส่ง</x:v>
      </x:c>
      <x:c r="J326" s="141" t="str">
        <x:f>IF(A326="","",IF(G326="","",IF(I326="ส่งแล้ว",0,G326-TODAY())))</x:f>
      </x:c>
      <x:c r="K326" s="114" t="str">
        <x:f>IF(A326="","",IF(G326="","ยังไม่ระบุวัน",IF(I326="ส่งแล้ว",IF(H326="","ส่งแล้ว",IF(INT(H326)&lt;INT(G326),"ส่งก่อนกำหนด "&amp;(INT(G326)-INT(H326))&amp;" วัน",IF(INT(H326)=INT(G326),"ส่งตรงกำหนด","ส่งล่าช้า "&amp;(INT(H326)-INT(G326))&amp;" วัน"))),IFS(G326&lt;TODAY(),"เกินกำหนด "&amp;(TODAY()-G326)&amp;" วัน",G326=TODAY(),"ครบกำหนดวันนี้",G326-TODAY()&lt;=3,"เร่งดำเนินการ",G326-TODAY()&lt;=5,"ต้องติดตาม",G326-TODAY()&lt;=10,"ใกล้ครบกำหนด",TRUE,"อยู่ระหว่างดำเนินการ"))))</x:f>
      </x:c>
      <x:c r="L326" s="114" t="str">
        <x:f>IF(OR(A326="",P326=""),"",HYPERLINK(P326,"เปิดใน Google Calendar"))</x:f>
      </x:c>
      <x:c r="M326" s="111"/>
      <x:c r="N326" s="123"/>
      <x:c r="O326" s="123"/>
      <x:c r="P326" s="123"/>
      <x:c r="Q326" s="126" t="b">
        <x:v>0</x:v>
      </x:c>
      <x:c r="R326" s="126" t="b">
        <x:v>0</x:v>
      </x:c>
      <x:c r="S326" s="126" t="b">
        <x:v>0</x:v>
      </x:c>
      <x:c r="T326" s="126" t="b">
        <x:v>0</x:v>
      </x:c>
      <x:c r="U326" s="144"/>
      <x:c r="V326" s="123"/>
      <x:c r="W326" s="123"/>
      <x:c r="X326" s="126" t="b">
        <x:v>0</x:v>
      </x:c>
    </x:row>
    <x:row r="327" ht="18" customHeight="1">
      <x:c r="A327" s="111"/>
      <x:c r="B327" s="111"/>
      <x:c r="C327" s="111"/>
      <x:c r="D327" s="111"/>
      <x:c r="E327" s="129"/>
      <x:c r="F327" s="138"/>
      <x:c r="G327" s="133" t="str">
        <x:f>IF(OR(A327="",E327="",F327=""),"",E327+F327-IF('ตั้งค่า'!$B$12="นับรวมวันเซ็น",1,0))</x:f>
      </x:c>
      <x:c r="H327" s="134"/>
      <x:c r="I327" s="117" t="str">
        <x:v>ยังไม่ส่ง</x:v>
      </x:c>
      <x:c r="J327" s="141" t="str">
        <x:f>IF(A327="","",IF(G327="","",IF(I327="ส่งแล้ว",0,G327-TODAY())))</x:f>
      </x:c>
      <x:c r="K327" s="114" t="str">
        <x:f>IF(A327="","",IF(G327="","ยังไม่ระบุวัน",IF(I327="ส่งแล้ว",IF(H327="","ส่งแล้ว",IF(INT(H327)&lt;INT(G327),"ส่งก่อนกำหนด "&amp;(INT(G327)-INT(H327))&amp;" วัน",IF(INT(H327)=INT(G327),"ส่งตรงกำหนด","ส่งล่าช้า "&amp;(INT(H327)-INT(G327))&amp;" วัน"))),IFS(G327&lt;TODAY(),"เกินกำหนด "&amp;(TODAY()-G327)&amp;" วัน",G327=TODAY(),"ครบกำหนดวันนี้",G327-TODAY()&lt;=3,"เร่งดำเนินการ",G327-TODAY()&lt;=5,"ต้องติดตาม",G327-TODAY()&lt;=10,"ใกล้ครบกำหนด",TRUE,"อยู่ระหว่างดำเนินการ"))))</x:f>
      </x:c>
      <x:c r="L327" s="114" t="str">
        <x:f>IF(OR(A327="",P327=""),"",HYPERLINK(P327,"เปิดใน Google Calendar"))</x:f>
      </x:c>
      <x:c r="M327" s="111"/>
      <x:c r="N327" s="123"/>
      <x:c r="O327" s="123"/>
      <x:c r="P327" s="123"/>
      <x:c r="Q327" s="126" t="b">
        <x:v>0</x:v>
      </x:c>
      <x:c r="R327" s="126" t="b">
        <x:v>0</x:v>
      </x:c>
      <x:c r="S327" s="126" t="b">
        <x:v>0</x:v>
      </x:c>
      <x:c r="T327" s="126" t="b">
        <x:v>0</x:v>
      </x:c>
      <x:c r="U327" s="144"/>
      <x:c r="V327" s="123"/>
      <x:c r="W327" s="123"/>
      <x:c r="X327" s="126" t="b">
        <x:v>0</x:v>
      </x:c>
    </x:row>
    <x:row r="328" ht="18" customHeight="1">
      <x:c r="A328" s="111"/>
      <x:c r="B328" s="111"/>
      <x:c r="C328" s="111"/>
      <x:c r="D328" s="111"/>
      <x:c r="E328" s="129"/>
      <x:c r="F328" s="138"/>
      <x:c r="G328" s="133" t="str">
        <x:f>IF(OR(A328="",E328="",F328=""),"",E328+F328-IF('ตั้งค่า'!$B$12="นับรวมวันเซ็น",1,0))</x:f>
      </x:c>
      <x:c r="H328" s="134"/>
      <x:c r="I328" s="117" t="str">
        <x:v>ยังไม่ส่ง</x:v>
      </x:c>
      <x:c r="J328" s="141" t="str">
        <x:f>IF(A328="","",IF(G328="","",IF(I328="ส่งแล้ว",0,G328-TODAY())))</x:f>
      </x:c>
      <x:c r="K328" s="114" t="str">
        <x:f>IF(A328="","",IF(G328="","ยังไม่ระบุวัน",IF(I328="ส่งแล้ว",IF(H328="","ส่งแล้ว",IF(INT(H328)&lt;INT(G328),"ส่งก่อนกำหนด "&amp;(INT(G328)-INT(H328))&amp;" วัน",IF(INT(H328)=INT(G328),"ส่งตรงกำหนด","ส่งล่าช้า "&amp;(INT(H328)-INT(G328))&amp;" วัน"))),IFS(G328&lt;TODAY(),"เกินกำหนด "&amp;(TODAY()-G328)&amp;" วัน",G328=TODAY(),"ครบกำหนดวันนี้",G328-TODAY()&lt;=3,"เร่งดำเนินการ",G328-TODAY()&lt;=5,"ต้องติดตาม",G328-TODAY()&lt;=10,"ใกล้ครบกำหนด",TRUE,"อยู่ระหว่างดำเนินการ"))))</x:f>
      </x:c>
      <x:c r="L328" s="114" t="str">
        <x:f>IF(OR(A328="",P328=""),"",HYPERLINK(P328,"เปิดใน Google Calendar"))</x:f>
      </x:c>
      <x:c r="M328" s="111"/>
      <x:c r="N328" s="123"/>
      <x:c r="O328" s="123"/>
      <x:c r="P328" s="123"/>
      <x:c r="Q328" s="126" t="b">
        <x:v>0</x:v>
      </x:c>
      <x:c r="R328" s="126" t="b">
        <x:v>0</x:v>
      </x:c>
      <x:c r="S328" s="126" t="b">
        <x:v>0</x:v>
      </x:c>
      <x:c r="T328" s="126" t="b">
        <x:v>0</x:v>
      </x:c>
      <x:c r="U328" s="144"/>
      <x:c r="V328" s="123"/>
      <x:c r="W328" s="123"/>
      <x:c r="X328" s="126" t="b">
        <x:v>0</x:v>
      </x:c>
    </x:row>
    <x:row r="329" ht="18" customHeight="1">
      <x:c r="A329" s="111"/>
      <x:c r="B329" s="111"/>
      <x:c r="C329" s="111"/>
      <x:c r="D329" s="111"/>
      <x:c r="E329" s="129"/>
      <x:c r="F329" s="138"/>
      <x:c r="G329" s="133" t="str">
        <x:f>IF(OR(A329="",E329="",F329=""),"",E329+F329-IF('ตั้งค่า'!$B$12="นับรวมวันเซ็น",1,0))</x:f>
      </x:c>
      <x:c r="H329" s="134"/>
      <x:c r="I329" s="117" t="str">
        <x:v>ยังไม่ส่ง</x:v>
      </x:c>
      <x:c r="J329" s="141" t="str">
        <x:f>IF(A329="","",IF(G329="","",IF(I329="ส่งแล้ว",0,G329-TODAY())))</x:f>
      </x:c>
      <x:c r="K329" s="114" t="str">
        <x:f>IF(A329="","",IF(G329="","ยังไม่ระบุวัน",IF(I329="ส่งแล้ว",IF(H329="","ส่งแล้ว",IF(INT(H329)&lt;INT(G329),"ส่งก่อนกำหนด "&amp;(INT(G329)-INT(H329))&amp;" วัน",IF(INT(H329)=INT(G329),"ส่งตรงกำหนด","ส่งล่าช้า "&amp;(INT(H329)-INT(G329))&amp;" วัน"))),IFS(G329&lt;TODAY(),"เกินกำหนด "&amp;(TODAY()-G329)&amp;" วัน",G329=TODAY(),"ครบกำหนดวันนี้",G329-TODAY()&lt;=3,"เร่งดำเนินการ",G329-TODAY()&lt;=5,"ต้องติดตาม",G329-TODAY()&lt;=10,"ใกล้ครบกำหนด",TRUE,"อยู่ระหว่างดำเนินการ"))))</x:f>
      </x:c>
      <x:c r="L329" s="114" t="str">
        <x:f>IF(OR(A329="",P329=""),"",HYPERLINK(P329,"เปิดใน Google Calendar"))</x:f>
      </x:c>
      <x:c r="M329" s="111"/>
      <x:c r="N329" s="123"/>
      <x:c r="O329" s="123"/>
      <x:c r="P329" s="123"/>
      <x:c r="Q329" s="126" t="b">
        <x:v>0</x:v>
      </x:c>
      <x:c r="R329" s="126" t="b">
        <x:v>0</x:v>
      </x:c>
      <x:c r="S329" s="126" t="b">
        <x:v>0</x:v>
      </x:c>
      <x:c r="T329" s="126" t="b">
        <x:v>0</x:v>
      </x:c>
      <x:c r="U329" s="144"/>
      <x:c r="V329" s="123"/>
      <x:c r="W329" s="123"/>
      <x:c r="X329" s="126" t="b">
        <x:v>0</x:v>
      </x:c>
    </x:row>
    <x:row r="330" ht="18" customHeight="1">
      <x:c r="A330" s="111"/>
      <x:c r="B330" s="111"/>
      <x:c r="C330" s="111"/>
      <x:c r="D330" s="111"/>
      <x:c r="E330" s="129"/>
      <x:c r="F330" s="138"/>
      <x:c r="G330" s="133" t="str">
        <x:f>IF(OR(A330="",E330="",F330=""),"",E330+F330-IF('ตั้งค่า'!$B$12="นับรวมวันเซ็น",1,0))</x:f>
      </x:c>
      <x:c r="H330" s="134"/>
      <x:c r="I330" s="117" t="str">
        <x:v>ยังไม่ส่ง</x:v>
      </x:c>
      <x:c r="J330" s="141" t="str">
        <x:f>IF(A330="","",IF(G330="","",IF(I330="ส่งแล้ว",0,G330-TODAY())))</x:f>
      </x:c>
      <x:c r="K330" s="114" t="str">
        <x:f>IF(A330="","",IF(G330="","ยังไม่ระบุวัน",IF(I330="ส่งแล้ว",IF(H330="","ส่งแล้ว",IF(INT(H330)&lt;INT(G330),"ส่งก่อนกำหนด "&amp;(INT(G330)-INT(H330))&amp;" วัน",IF(INT(H330)=INT(G330),"ส่งตรงกำหนด","ส่งล่าช้า "&amp;(INT(H330)-INT(G330))&amp;" วัน"))),IFS(G330&lt;TODAY(),"เกินกำหนด "&amp;(TODAY()-G330)&amp;" วัน",G330=TODAY(),"ครบกำหนดวันนี้",G330-TODAY()&lt;=3,"เร่งดำเนินการ",G330-TODAY()&lt;=5,"ต้องติดตาม",G330-TODAY()&lt;=10,"ใกล้ครบกำหนด",TRUE,"อยู่ระหว่างดำเนินการ"))))</x:f>
      </x:c>
      <x:c r="L330" s="114" t="str">
        <x:f>IF(OR(A330="",P330=""),"",HYPERLINK(P330,"เปิดใน Google Calendar"))</x:f>
      </x:c>
      <x:c r="M330" s="111"/>
      <x:c r="N330" s="123"/>
      <x:c r="O330" s="123"/>
      <x:c r="P330" s="123"/>
      <x:c r="Q330" s="126" t="b">
        <x:v>0</x:v>
      </x:c>
      <x:c r="R330" s="126" t="b">
        <x:v>0</x:v>
      </x:c>
      <x:c r="S330" s="126" t="b">
        <x:v>0</x:v>
      </x:c>
      <x:c r="T330" s="126" t="b">
        <x:v>0</x:v>
      </x:c>
      <x:c r="U330" s="144"/>
      <x:c r="V330" s="123"/>
      <x:c r="W330" s="123"/>
      <x:c r="X330" s="126" t="b">
        <x:v>0</x:v>
      </x:c>
    </x:row>
    <x:row r="331" ht="18" customHeight="1">
      <x:c r="A331" s="111"/>
      <x:c r="B331" s="111"/>
      <x:c r="C331" s="111"/>
      <x:c r="D331" s="111"/>
      <x:c r="E331" s="129"/>
      <x:c r="F331" s="138"/>
      <x:c r="G331" s="133" t="str">
        <x:f>IF(OR(A331="",E331="",F331=""),"",E331+F331-IF('ตั้งค่า'!$B$12="นับรวมวันเซ็น",1,0))</x:f>
      </x:c>
      <x:c r="H331" s="134"/>
      <x:c r="I331" s="117" t="str">
        <x:v>ยังไม่ส่ง</x:v>
      </x:c>
      <x:c r="J331" s="141" t="str">
        <x:f>IF(A331="","",IF(G331="","",IF(I331="ส่งแล้ว",0,G331-TODAY())))</x:f>
      </x:c>
      <x:c r="K331" s="114" t="str">
        <x:f>IF(A331="","",IF(G331="","ยังไม่ระบุวัน",IF(I331="ส่งแล้ว",IF(H331="","ส่งแล้ว",IF(INT(H331)&lt;INT(G331),"ส่งก่อนกำหนด "&amp;(INT(G331)-INT(H331))&amp;" วัน",IF(INT(H331)=INT(G331),"ส่งตรงกำหนด","ส่งล่าช้า "&amp;(INT(H331)-INT(G331))&amp;" วัน"))),IFS(G331&lt;TODAY(),"เกินกำหนด "&amp;(TODAY()-G331)&amp;" วัน",G331=TODAY(),"ครบกำหนดวันนี้",G331-TODAY()&lt;=3,"เร่งดำเนินการ",G331-TODAY()&lt;=5,"ต้องติดตาม",G331-TODAY()&lt;=10,"ใกล้ครบกำหนด",TRUE,"อยู่ระหว่างดำเนินการ"))))</x:f>
      </x:c>
      <x:c r="L331" s="114" t="str">
        <x:f>IF(OR(A331="",P331=""),"",HYPERLINK(P331,"เปิดใน Google Calendar"))</x:f>
      </x:c>
      <x:c r="M331" s="111"/>
      <x:c r="N331" s="123"/>
      <x:c r="O331" s="123"/>
      <x:c r="P331" s="123"/>
      <x:c r="Q331" s="126" t="b">
        <x:v>0</x:v>
      </x:c>
      <x:c r="R331" s="126" t="b">
        <x:v>0</x:v>
      </x:c>
      <x:c r="S331" s="126" t="b">
        <x:v>0</x:v>
      </x:c>
      <x:c r="T331" s="126" t="b">
        <x:v>0</x:v>
      </x:c>
      <x:c r="U331" s="144"/>
      <x:c r="V331" s="123"/>
      <x:c r="W331" s="123"/>
      <x:c r="X331" s="126" t="b">
        <x:v>0</x:v>
      </x:c>
    </x:row>
    <x:row r="332" ht="18" customHeight="1">
      <x:c r="A332" s="111"/>
      <x:c r="B332" s="111"/>
      <x:c r="C332" s="111"/>
      <x:c r="D332" s="111"/>
      <x:c r="E332" s="129"/>
      <x:c r="F332" s="138"/>
      <x:c r="G332" s="133" t="str">
        <x:f>IF(OR(A332="",E332="",F332=""),"",E332+F332-IF('ตั้งค่า'!$B$12="นับรวมวันเซ็น",1,0))</x:f>
      </x:c>
      <x:c r="H332" s="134"/>
      <x:c r="I332" s="117" t="str">
        <x:v>ยังไม่ส่ง</x:v>
      </x:c>
      <x:c r="J332" s="141" t="str">
        <x:f>IF(A332="","",IF(G332="","",IF(I332="ส่งแล้ว",0,G332-TODAY())))</x:f>
      </x:c>
      <x:c r="K332" s="114" t="str">
        <x:f>IF(A332="","",IF(G332="","ยังไม่ระบุวัน",IF(I332="ส่งแล้ว",IF(H332="","ส่งแล้ว",IF(INT(H332)&lt;INT(G332),"ส่งก่อนกำหนด "&amp;(INT(G332)-INT(H332))&amp;" วัน",IF(INT(H332)=INT(G332),"ส่งตรงกำหนด","ส่งล่าช้า "&amp;(INT(H332)-INT(G332))&amp;" วัน"))),IFS(G332&lt;TODAY(),"เกินกำหนด "&amp;(TODAY()-G332)&amp;" วัน",G332=TODAY(),"ครบกำหนดวันนี้",G332-TODAY()&lt;=3,"เร่งดำเนินการ",G332-TODAY()&lt;=5,"ต้องติดตาม",G332-TODAY()&lt;=10,"ใกล้ครบกำหนด",TRUE,"อยู่ระหว่างดำเนินการ"))))</x:f>
      </x:c>
      <x:c r="L332" s="114" t="str">
        <x:f>IF(OR(A332="",P332=""),"",HYPERLINK(P332,"เปิดใน Google Calendar"))</x:f>
      </x:c>
      <x:c r="M332" s="111"/>
      <x:c r="N332" s="123"/>
      <x:c r="O332" s="123"/>
      <x:c r="P332" s="123"/>
      <x:c r="Q332" s="126" t="b">
        <x:v>0</x:v>
      </x:c>
      <x:c r="R332" s="126" t="b">
        <x:v>0</x:v>
      </x:c>
      <x:c r="S332" s="126" t="b">
        <x:v>0</x:v>
      </x:c>
      <x:c r="T332" s="126" t="b">
        <x:v>0</x:v>
      </x:c>
      <x:c r="U332" s="144"/>
      <x:c r="V332" s="123"/>
      <x:c r="W332" s="123"/>
      <x:c r="X332" s="126" t="b">
        <x:v>0</x:v>
      </x:c>
    </x:row>
    <x:row r="333" ht="18" customHeight="1">
      <x:c r="A333" s="111"/>
      <x:c r="B333" s="111"/>
      <x:c r="C333" s="111"/>
      <x:c r="D333" s="111"/>
      <x:c r="E333" s="129"/>
      <x:c r="F333" s="138"/>
      <x:c r="G333" s="133" t="str">
        <x:f>IF(OR(A333="",E333="",F333=""),"",E333+F333-IF('ตั้งค่า'!$B$12="นับรวมวันเซ็น",1,0))</x:f>
      </x:c>
      <x:c r="H333" s="134"/>
      <x:c r="I333" s="117" t="str">
        <x:v>ยังไม่ส่ง</x:v>
      </x:c>
      <x:c r="J333" s="141" t="str">
        <x:f>IF(A333="","",IF(G333="","",IF(I333="ส่งแล้ว",0,G333-TODAY())))</x:f>
      </x:c>
      <x:c r="K333" s="114" t="str">
        <x:f>IF(A333="","",IF(G333="","ยังไม่ระบุวัน",IF(I333="ส่งแล้ว",IF(H333="","ส่งแล้ว",IF(INT(H333)&lt;INT(G333),"ส่งก่อนกำหนด "&amp;(INT(G333)-INT(H333))&amp;" วัน",IF(INT(H333)=INT(G333),"ส่งตรงกำหนด","ส่งล่าช้า "&amp;(INT(H333)-INT(G333))&amp;" วัน"))),IFS(G333&lt;TODAY(),"เกินกำหนด "&amp;(TODAY()-G333)&amp;" วัน",G333=TODAY(),"ครบกำหนดวันนี้",G333-TODAY()&lt;=3,"เร่งดำเนินการ",G333-TODAY()&lt;=5,"ต้องติดตาม",G333-TODAY()&lt;=10,"ใกล้ครบกำหนด",TRUE,"อยู่ระหว่างดำเนินการ"))))</x:f>
      </x:c>
      <x:c r="L333" s="114" t="str">
        <x:f>IF(OR(A333="",P333=""),"",HYPERLINK(P333,"เปิดใน Google Calendar"))</x:f>
      </x:c>
      <x:c r="M333" s="111"/>
      <x:c r="N333" s="123"/>
      <x:c r="O333" s="123"/>
      <x:c r="P333" s="123"/>
      <x:c r="Q333" s="126" t="b">
        <x:v>0</x:v>
      </x:c>
      <x:c r="R333" s="126" t="b">
        <x:v>0</x:v>
      </x:c>
      <x:c r="S333" s="126" t="b">
        <x:v>0</x:v>
      </x:c>
      <x:c r="T333" s="126" t="b">
        <x:v>0</x:v>
      </x:c>
      <x:c r="U333" s="144"/>
      <x:c r="V333" s="123"/>
      <x:c r="W333" s="123"/>
      <x:c r="X333" s="126" t="b">
        <x:v>0</x:v>
      </x:c>
    </x:row>
    <x:row r="334" ht="18" customHeight="1">
      <x:c r="A334" s="111"/>
      <x:c r="B334" s="111"/>
      <x:c r="C334" s="111"/>
      <x:c r="D334" s="111"/>
      <x:c r="E334" s="129"/>
      <x:c r="F334" s="138"/>
      <x:c r="G334" s="133" t="str">
        <x:f>IF(OR(A334="",E334="",F334=""),"",E334+F334-IF('ตั้งค่า'!$B$12="นับรวมวันเซ็น",1,0))</x:f>
      </x:c>
      <x:c r="H334" s="134"/>
      <x:c r="I334" s="117" t="str">
        <x:v>ยังไม่ส่ง</x:v>
      </x:c>
      <x:c r="J334" s="141" t="str">
        <x:f>IF(A334="","",IF(G334="","",IF(I334="ส่งแล้ว",0,G334-TODAY())))</x:f>
      </x:c>
      <x:c r="K334" s="114" t="str">
        <x:f>IF(A334="","",IF(G334="","ยังไม่ระบุวัน",IF(I334="ส่งแล้ว",IF(H334="","ส่งแล้ว",IF(INT(H334)&lt;INT(G334),"ส่งก่อนกำหนด "&amp;(INT(G334)-INT(H334))&amp;" วัน",IF(INT(H334)=INT(G334),"ส่งตรงกำหนด","ส่งล่าช้า "&amp;(INT(H334)-INT(G334))&amp;" วัน"))),IFS(G334&lt;TODAY(),"เกินกำหนด "&amp;(TODAY()-G334)&amp;" วัน",G334=TODAY(),"ครบกำหนดวันนี้",G334-TODAY()&lt;=3,"เร่งดำเนินการ",G334-TODAY()&lt;=5,"ต้องติดตาม",G334-TODAY()&lt;=10,"ใกล้ครบกำหนด",TRUE,"อยู่ระหว่างดำเนินการ"))))</x:f>
      </x:c>
      <x:c r="L334" s="114" t="str">
        <x:f>IF(OR(A334="",P334=""),"",HYPERLINK(P334,"เปิดใน Google Calendar"))</x:f>
      </x:c>
      <x:c r="M334" s="111"/>
      <x:c r="N334" s="123"/>
      <x:c r="O334" s="123"/>
      <x:c r="P334" s="123"/>
      <x:c r="Q334" s="126" t="b">
        <x:v>0</x:v>
      </x:c>
      <x:c r="R334" s="126" t="b">
        <x:v>0</x:v>
      </x:c>
      <x:c r="S334" s="126" t="b">
        <x:v>0</x:v>
      </x:c>
      <x:c r="T334" s="126" t="b">
        <x:v>0</x:v>
      </x:c>
      <x:c r="U334" s="144"/>
      <x:c r="V334" s="123"/>
      <x:c r="W334" s="123"/>
      <x:c r="X334" s="126" t="b">
        <x:v>0</x:v>
      </x:c>
    </x:row>
    <x:row r="335" ht="18" customHeight="1">
      <x:c r="A335" s="111"/>
      <x:c r="B335" s="111"/>
      <x:c r="C335" s="111"/>
      <x:c r="D335" s="111"/>
      <x:c r="E335" s="129"/>
      <x:c r="F335" s="138"/>
      <x:c r="G335" s="133" t="str">
        <x:f>IF(OR(A335="",E335="",F335=""),"",E335+F335-IF('ตั้งค่า'!$B$12="นับรวมวันเซ็น",1,0))</x:f>
      </x:c>
      <x:c r="H335" s="134"/>
      <x:c r="I335" s="117" t="str">
        <x:v>ยังไม่ส่ง</x:v>
      </x:c>
      <x:c r="J335" s="141" t="str">
        <x:f>IF(A335="","",IF(G335="","",IF(I335="ส่งแล้ว",0,G335-TODAY())))</x:f>
      </x:c>
      <x:c r="K335" s="114" t="str">
        <x:f>IF(A335="","",IF(G335="","ยังไม่ระบุวัน",IF(I335="ส่งแล้ว",IF(H335="","ส่งแล้ว",IF(INT(H335)&lt;INT(G335),"ส่งก่อนกำหนด "&amp;(INT(G335)-INT(H335))&amp;" วัน",IF(INT(H335)=INT(G335),"ส่งตรงกำหนด","ส่งล่าช้า "&amp;(INT(H335)-INT(G335))&amp;" วัน"))),IFS(G335&lt;TODAY(),"เกินกำหนด "&amp;(TODAY()-G335)&amp;" วัน",G335=TODAY(),"ครบกำหนดวันนี้",G335-TODAY()&lt;=3,"เร่งดำเนินการ",G335-TODAY()&lt;=5,"ต้องติดตาม",G335-TODAY()&lt;=10,"ใกล้ครบกำหนด",TRUE,"อยู่ระหว่างดำเนินการ"))))</x:f>
      </x:c>
      <x:c r="L335" s="114" t="str">
        <x:f>IF(OR(A335="",P335=""),"",HYPERLINK(P335,"เปิดใน Google Calendar"))</x:f>
      </x:c>
      <x:c r="M335" s="111"/>
      <x:c r="N335" s="123"/>
      <x:c r="O335" s="123"/>
      <x:c r="P335" s="123"/>
      <x:c r="Q335" s="126" t="b">
        <x:v>0</x:v>
      </x:c>
      <x:c r="R335" s="126" t="b">
        <x:v>0</x:v>
      </x:c>
      <x:c r="S335" s="126" t="b">
        <x:v>0</x:v>
      </x:c>
      <x:c r="T335" s="126" t="b">
        <x:v>0</x:v>
      </x:c>
      <x:c r="U335" s="144"/>
      <x:c r="V335" s="123"/>
      <x:c r="W335" s="123"/>
      <x:c r="X335" s="126" t="b">
        <x:v>0</x:v>
      </x:c>
    </x:row>
    <x:row r="336" ht="18" customHeight="1">
      <x:c r="A336" s="111"/>
      <x:c r="B336" s="111"/>
      <x:c r="C336" s="111"/>
      <x:c r="D336" s="111"/>
      <x:c r="E336" s="129"/>
      <x:c r="F336" s="138"/>
      <x:c r="G336" s="133" t="str">
        <x:f>IF(OR(A336="",E336="",F336=""),"",E336+F336-IF('ตั้งค่า'!$B$12="นับรวมวันเซ็น",1,0))</x:f>
      </x:c>
      <x:c r="H336" s="134"/>
      <x:c r="I336" s="117" t="str">
        <x:v>ยังไม่ส่ง</x:v>
      </x:c>
      <x:c r="J336" s="141" t="str">
        <x:f>IF(A336="","",IF(G336="","",IF(I336="ส่งแล้ว",0,G336-TODAY())))</x:f>
      </x:c>
      <x:c r="K336" s="114" t="str">
        <x:f>IF(A336="","",IF(G336="","ยังไม่ระบุวัน",IF(I336="ส่งแล้ว",IF(H336="","ส่งแล้ว",IF(INT(H336)&lt;INT(G336),"ส่งก่อนกำหนด "&amp;(INT(G336)-INT(H336))&amp;" วัน",IF(INT(H336)=INT(G336),"ส่งตรงกำหนด","ส่งล่าช้า "&amp;(INT(H336)-INT(G336))&amp;" วัน"))),IFS(G336&lt;TODAY(),"เกินกำหนด "&amp;(TODAY()-G336)&amp;" วัน",G336=TODAY(),"ครบกำหนดวันนี้",G336-TODAY()&lt;=3,"เร่งดำเนินการ",G336-TODAY()&lt;=5,"ต้องติดตาม",G336-TODAY()&lt;=10,"ใกล้ครบกำหนด",TRUE,"อยู่ระหว่างดำเนินการ"))))</x:f>
      </x:c>
      <x:c r="L336" s="114" t="str">
        <x:f>IF(OR(A336="",P336=""),"",HYPERLINK(P336,"เปิดใน Google Calendar"))</x:f>
      </x:c>
      <x:c r="M336" s="111"/>
      <x:c r="N336" s="123"/>
      <x:c r="O336" s="123"/>
      <x:c r="P336" s="123"/>
      <x:c r="Q336" s="126" t="b">
        <x:v>0</x:v>
      </x:c>
      <x:c r="R336" s="126" t="b">
        <x:v>0</x:v>
      </x:c>
      <x:c r="S336" s="126" t="b">
        <x:v>0</x:v>
      </x:c>
      <x:c r="T336" s="126" t="b">
        <x:v>0</x:v>
      </x:c>
      <x:c r="U336" s="144"/>
      <x:c r="V336" s="123"/>
      <x:c r="W336" s="123"/>
      <x:c r="X336" s="126" t="b">
        <x:v>0</x:v>
      </x:c>
    </x:row>
    <x:row r="337" ht="18" customHeight="1">
      <x:c r="A337" s="111"/>
      <x:c r="B337" s="111"/>
      <x:c r="C337" s="111"/>
      <x:c r="D337" s="111"/>
      <x:c r="E337" s="129"/>
      <x:c r="F337" s="138"/>
      <x:c r="G337" s="133" t="str">
        <x:f>IF(OR(A337="",E337="",F337=""),"",E337+F337-IF('ตั้งค่า'!$B$12="นับรวมวันเซ็น",1,0))</x:f>
      </x:c>
      <x:c r="H337" s="134"/>
      <x:c r="I337" s="117" t="str">
        <x:v>ยังไม่ส่ง</x:v>
      </x:c>
      <x:c r="J337" s="141" t="str">
        <x:f>IF(A337="","",IF(G337="","",IF(I337="ส่งแล้ว",0,G337-TODAY())))</x:f>
      </x:c>
      <x:c r="K337" s="114" t="str">
        <x:f>IF(A337="","",IF(G337="","ยังไม่ระบุวัน",IF(I337="ส่งแล้ว",IF(H337="","ส่งแล้ว",IF(INT(H337)&lt;INT(G337),"ส่งก่อนกำหนด "&amp;(INT(G337)-INT(H337))&amp;" วัน",IF(INT(H337)=INT(G337),"ส่งตรงกำหนด","ส่งล่าช้า "&amp;(INT(H337)-INT(G337))&amp;" วัน"))),IFS(G337&lt;TODAY(),"เกินกำหนด "&amp;(TODAY()-G337)&amp;" วัน",G337=TODAY(),"ครบกำหนดวันนี้",G337-TODAY()&lt;=3,"เร่งดำเนินการ",G337-TODAY()&lt;=5,"ต้องติดตาม",G337-TODAY()&lt;=10,"ใกล้ครบกำหนด",TRUE,"อยู่ระหว่างดำเนินการ"))))</x:f>
      </x:c>
      <x:c r="L337" s="114" t="str">
        <x:f>IF(OR(A337="",P337=""),"",HYPERLINK(P337,"เปิดใน Google Calendar"))</x:f>
      </x:c>
      <x:c r="M337" s="111"/>
      <x:c r="N337" s="123"/>
      <x:c r="O337" s="123"/>
      <x:c r="P337" s="123"/>
      <x:c r="Q337" s="126" t="b">
        <x:v>0</x:v>
      </x:c>
      <x:c r="R337" s="126" t="b">
        <x:v>0</x:v>
      </x:c>
      <x:c r="S337" s="126" t="b">
        <x:v>0</x:v>
      </x:c>
      <x:c r="T337" s="126" t="b">
        <x:v>0</x:v>
      </x:c>
      <x:c r="U337" s="144"/>
      <x:c r="V337" s="123"/>
      <x:c r="W337" s="123"/>
      <x:c r="X337" s="126" t="b">
        <x:v>0</x:v>
      </x:c>
    </x:row>
    <x:row r="338" ht="18" customHeight="1">
      <x:c r="A338" s="111"/>
      <x:c r="B338" s="111"/>
      <x:c r="C338" s="111"/>
      <x:c r="D338" s="111"/>
      <x:c r="E338" s="129"/>
      <x:c r="F338" s="138"/>
      <x:c r="G338" s="133" t="str">
        <x:f>IF(OR(A338="",E338="",F338=""),"",E338+F338-IF('ตั้งค่า'!$B$12="นับรวมวันเซ็น",1,0))</x:f>
      </x:c>
      <x:c r="H338" s="134"/>
      <x:c r="I338" s="117" t="str">
        <x:v>ยังไม่ส่ง</x:v>
      </x:c>
      <x:c r="J338" s="141" t="str">
        <x:f>IF(A338="","",IF(G338="","",IF(I338="ส่งแล้ว",0,G338-TODAY())))</x:f>
      </x:c>
      <x:c r="K338" s="114" t="str">
        <x:f>IF(A338="","",IF(G338="","ยังไม่ระบุวัน",IF(I338="ส่งแล้ว",IF(H338="","ส่งแล้ว",IF(INT(H338)&lt;INT(G338),"ส่งก่อนกำหนด "&amp;(INT(G338)-INT(H338))&amp;" วัน",IF(INT(H338)=INT(G338),"ส่งตรงกำหนด","ส่งล่าช้า "&amp;(INT(H338)-INT(G338))&amp;" วัน"))),IFS(G338&lt;TODAY(),"เกินกำหนด "&amp;(TODAY()-G338)&amp;" วัน",G338=TODAY(),"ครบกำหนดวันนี้",G338-TODAY()&lt;=3,"เร่งดำเนินการ",G338-TODAY()&lt;=5,"ต้องติดตาม",G338-TODAY()&lt;=10,"ใกล้ครบกำหนด",TRUE,"อยู่ระหว่างดำเนินการ"))))</x:f>
      </x:c>
      <x:c r="L338" s="114" t="str">
        <x:f>IF(OR(A338="",P338=""),"",HYPERLINK(P338,"เปิดใน Google Calendar"))</x:f>
      </x:c>
      <x:c r="M338" s="111"/>
      <x:c r="N338" s="123"/>
      <x:c r="O338" s="123"/>
      <x:c r="P338" s="123"/>
      <x:c r="Q338" s="126" t="b">
        <x:v>0</x:v>
      </x:c>
      <x:c r="R338" s="126" t="b">
        <x:v>0</x:v>
      </x:c>
      <x:c r="S338" s="126" t="b">
        <x:v>0</x:v>
      </x:c>
      <x:c r="T338" s="126" t="b">
        <x:v>0</x:v>
      </x:c>
      <x:c r="U338" s="144"/>
      <x:c r="V338" s="123"/>
      <x:c r="W338" s="123"/>
      <x:c r="X338" s="126" t="b">
        <x:v>0</x:v>
      </x:c>
    </x:row>
    <x:row r="339" ht="18" customHeight="1">
      <x:c r="A339" s="111"/>
      <x:c r="B339" s="111"/>
      <x:c r="C339" s="111"/>
      <x:c r="D339" s="111"/>
      <x:c r="E339" s="129"/>
      <x:c r="F339" s="138"/>
      <x:c r="G339" s="133" t="str">
        <x:f>IF(OR(A339="",E339="",F339=""),"",E339+F339-IF('ตั้งค่า'!$B$12="นับรวมวันเซ็น",1,0))</x:f>
      </x:c>
      <x:c r="H339" s="134"/>
      <x:c r="I339" s="117" t="str">
        <x:v>ยังไม่ส่ง</x:v>
      </x:c>
      <x:c r="J339" s="141" t="str">
        <x:f>IF(A339="","",IF(G339="","",IF(I339="ส่งแล้ว",0,G339-TODAY())))</x:f>
      </x:c>
      <x:c r="K339" s="114" t="str">
        <x:f>IF(A339="","",IF(G339="","ยังไม่ระบุวัน",IF(I339="ส่งแล้ว",IF(H339="","ส่งแล้ว",IF(INT(H339)&lt;INT(G339),"ส่งก่อนกำหนด "&amp;(INT(G339)-INT(H339))&amp;" วัน",IF(INT(H339)=INT(G339),"ส่งตรงกำหนด","ส่งล่าช้า "&amp;(INT(H339)-INT(G339))&amp;" วัน"))),IFS(G339&lt;TODAY(),"เกินกำหนด "&amp;(TODAY()-G339)&amp;" วัน",G339=TODAY(),"ครบกำหนดวันนี้",G339-TODAY()&lt;=3,"เร่งดำเนินการ",G339-TODAY()&lt;=5,"ต้องติดตาม",G339-TODAY()&lt;=10,"ใกล้ครบกำหนด",TRUE,"อยู่ระหว่างดำเนินการ"))))</x:f>
      </x:c>
      <x:c r="L339" s="114" t="str">
        <x:f>IF(OR(A339="",P339=""),"",HYPERLINK(P339,"เปิดใน Google Calendar"))</x:f>
      </x:c>
      <x:c r="M339" s="111"/>
      <x:c r="N339" s="123"/>
      <x:c r="O339" s="123"/>
      <x:c r="P339" s="123"/>
      <x:c r="Q339" s="126" t="b">
        <x:v>0</x:v>
      </x:c>
      <x:c r="R339" s="126" t="b">
        <x:v>0</x:v>
      </x:c>
      <x:c r="S339" s="126" t="b">
        <x:v>0</x:v>
      </x:c>
      <x:c r="T339" s="126" t="b">
        <x:v>0</x:v>
      </x:c>
      <x:c r="U339" s="144"/>
      <x:c r="V339" s="123"/>
      <x:c r="W339" s="123"/>
      <x:c r="X339" s="126" t="b">
        <x:v>0</x:v>
      </x:c>
    </x:row>
    <x:row r="340" ht="18" customHeight="1">
      <x:c r="A340" s="111"/>
      <x:c r="B340" s="111"/>
      <x:c r="C340" s="111"/>
      <x:c r="D340" s="111"/>
      <x:c r="E340" s="129"/>
      <x:c r="F340" s="138"/>
      <x:c r="G340" s="133" t="str">
        <x:f>IF(OR(A340="",E340="",F340=""),"",E340+F340-IF('ตั้งค่า'!$B$12="นับรวมวันเซ็น",1,0))</x:f>
      </x:c>
      <x:c r="H340" s="134"/>
      <x:c r="I340" s="117" t="str">
        <x:v>ยังไม่ส่ง</x:v>
      </x:c>
      <x:c r="J340" s="141" t="str">
        <x:f>IF(A340="","",IF(G340="","",IF(I340="ส่งแล้ว",0,G340-TODAY())))</x:f>
      </x:c>
      <x:c r="K340" s="114" t="str">
        <x:f>IF(A340="","",IF(G340="","ยังไม่ระบุวัน",IF(I340="ส่งแล้ว",IF(H340="","ส่งแล้ว",IF(INT(H340)&lt;INT(G340),"ส่งก่อนกำหนด "&amp;(INT(G340)-INT(H340))&amp;" วัน",IF(INT(H340)=INT(G340),"ส่งตรงกำหนด","ส่งล่าช้า "&amp;(INT(H340)-INT(G340))&amp;" วัน"))),IFS(G340&lt;TODAY(),"เกินกำหนด "&amp;(TODAY()-G340)&amp;" วัน",G340=TODAY(),"ครบกำหนดวันนี้",G340-TODAY()&lt;=3,"เร่งดำเนินการ",G340-TODAY()&lt;=5,"ต้องติดตาม",G340-TODAY()&lt;=10,"ใกล้ครบกำหนด",TRUE,"อยู่ระหว่างดำเนินการ"))))</x:f>
      </x:c>
      <x:c r="L340" s="114" t="str">
        <x:f>IF(OR(A340="",P340=""),"",HYPERLINK(P340,"เปิดใน Google Calendar"))</x:f>
      </x:c>
      <x:c r="M340" s="111"/>
      <x:c r="N340" s="123"/>
      <x:c r="O340" s="123"/>
      <x:c r="P340" s="123"/>
      <x:c r="Q340" s="126" t="b">
        <x:v>0</x:v>
      </x:c>
      <x:c r="R340" s="126" t="b">
        <x:v>0</x:v>
      </x:c>
      <x:c r="S340" s="126" t="b">
        <x:v>0</x:v>
      </x:c>
      <x:c r="T340" s="126" t="b">
        <x:v>0</x:v>
      </x:c>
      <x:c r="U340" s="144"/>
      <x:c r="V340" s="123"/>
      <x:c r="W340" s="123"/>
      <x:c r="X340" s="126" t="b">
        <x:v>0</x:v>
      </x:c>
    </x:row>
    <x:row r="341" ht="18" customHeight="1">
      <x:c r="A341" s="111"/>
      <x:c r="B341" s="111"/>
      <x:c r="C341" s="111"/>
      <x:c r="D341" s="111"/>
      <x:c r="E341" s="129"/>
      <x:c r="F341" s="138"/>
      <x:c r="G341" s="133" t="str">
        <x:f>IF(OR(A341="",E341="",F341=""),"",E341+F341-IF('ตั้งค่า'!$B$12="นับรวมวันเซ็น",1,0))</x:f>
      </x:c>
      <x:c r="H341" s="134"/>
      <x:c r="I341" s="117" t="str">
        <x:v>ยังไม่ส่ง</x:v>
      </x:c>
      <x:c r="J341" s="141" t="str">
        <x:f>IF(A341="","",IF(G341="","",IF(I341="ส่งแล้ว",0,G341-TODAY())))</x:f>
      </x:c>
      <x:c r="K341" s="114" t="str">
        <x:f>IF(A341="","",IF(G341="","ยังไม่ระบุวัน",IF(I341="ส่งแล้ว",IF(H341="","ส่งแล้ว",IF(INT(H341)&lt;INT(G341),"ส่งก่อนกำหนด "&amp;(INT(G341)-INT(H341))&amp;" วัน",IF(INT(H341)=INT(G341),"ส่งตรงกำหนด","ส่งล่าช้า "&amp;(INT(H341)-INT(G341))&amp;" วัน"))),IFS(G341&lt;TODAY(),"เกินกำหนด "&amp;(TODAY()-G341)&amp;" วัน",G341=TODAY(),"ครบกำหนดวันนี้",G341-TODAY()&lt;=3,"เร่งดำเนินการ",G341-TODAY()&lt;=5,"ต้องติดตาม",G341-TODAY()&lt;=10,"ใกล้ครบกำหนด",TRUE,"อยู่ระหว่างดำเนินการ"))))</x:f>
      </x:c>
      <x:c r="L341" s="114" t="str">
        <x:f>IF(OR(A341="",P341=""),"",HYPERLINK(P341,"เปิดใน Google Calendar"))</x:f>
      </x:c>
      <x:c r="M341" s="111"/>
      <x:c r="N341" s="123"/>
      <x:c r="O341" s="123"/>
      <x:c r="P341" s="123"/>
      <x:c r="Q341" s="126" t="b">
        <x:v>0</x:v>
      </x:c>
      <x:c r="R341" s="126" t="b">
        <x:v>0</x:v>
      </x:c>
      <x:c r="S341" s="126" t="b">
        <x:v>0</x:v>
      </x:c>
      <x:c r="T341" s="126" t="b">
        <x:v>0</x:v>
      </x:c>
      <x:c r="U341" s="144"/>
      <x:c r="V341" s="123"/>
      <x:c r="W341" s="123"/>
      <x:c r="X341" s="126" t="b">
        <x:v>0</x:v>
      </x:c>
    </x:row>
    <x:row r="342" ht="18" customHeight="1">
      <x:c r="A342" s="111"/>
      <x:c r="B342" s="111"/>
      <x:c r="C342" s="111"/>
      <x:c r="D342" s="111"/>
      <x:c r="E342" s="129"/>
      <x:c r="F342" s="138"/>
      <x:c r="G342" s="133" t="str">
        <x:f>IF(OR(A342="",E342="",F342=""),"",E342+F342-IF('ตั้งค่า'!$B$12="นับรวมวันเซ็น",1,0))</x:f>
      </x:c>
      <x:c r="H342" s="134"/>
      <x:c r="I342" s="117" t="str">
        <x:v>ยังไม่ส่ง</x:v>
      </x:c>
      <x:c r="J342" s="141" t="str">
        <x:f>IF(A342="","",IF(G342="","",IF(I342="ส่งแล้ว",0,G342-TODAY())))</x:f>
      </x:c>
      <x:c r="K342" s="114" t="str">
        <x:f>IF(A342="","",IF(G342="","ยังไม่ระบุวัน",IF(I342="ส่งแล้ว",IF(H342="","ส่งแล้ว",IF(INT(H342)&lt;INT(G342),"ส่งก่อนกำหนด "&amp;(INT(G342)-INT(H342))&amp;" วัน",IF(INT(H342)=INT(G342),"ส่งตรงกำหนด","ส่งล่าช้า "&amp;(INT(H342)-INT(G342))&amp;" วัน"))),IFS(G342&lt;TODAY(),"เกินกำหนด "&amp;(TODAY()-G342)&amp;" วัน",G342=TODAY(),"ครบกำหนดวันนี้",G342-TODAY()&lt;=3,"เร่งดำเนินการ",G342-TODAY()&lt;=5,"ต้องติดตาม",G342-TODAY()&lt;=10,"ใกล้ครบกำหนด",TRUE,"อยู่ระหว่างดำเนินการ"))))</x:f>
      </x:c>
      <x:c r="L342" s="114" t="str">
        <x:f>IF(OR(A342="",P342=""),"",HYPERLINK(P342,"เปิดใน Google Calendar"))</x:f>
      </x:c>
      <x:c r="M342" s="111"/>
      <x:c r="N342" s="123"/>
      <x:c r="O342" s="123"/>
      <x:c r="P342" s="123"/>
      <x:c r="Q342" s="126" t="b">
        <x:v>0</x:v>
      </x:c>
      <x:c r="R342" s="126" t="b">
        <x:v>0</x:v>
      </x:c>
      <x:c r="S342" s="126" t="b">
        <x:v>0</x:v>
      </x:c>
      <x:c r="T342" s="126" t="b">
        <x:v>0</x:v>
      </x:c>
      <x:c r="U342" s="144"/>
      <x:c r="V342" s="123"/>
      <x:c r="W342" s="123"/>
      <x:c r="X342" s="126" t="b">
        <x:v>0</x:v>
      </x:c>
    </x:row>
    <x:row r="343" ht="18" customHeight="1">
      <x:c r="A343" s="111"/>
      <x:c r="B343" s="111"/>
      <x:c r="C343" s="111"/>
      <x:c r="D343" s="111"/>
      <x:c r="E343" s="129"/>
      <x:c r="F343" s="138"/>
      <x:c r="G343" s="133" t="str">
        <x:f>IF(OR(A343="",E343="",F343=""),"",E343+F343-IF('ตั้งค่า'!$B$12="นับรวมวันเซ็น",1,0))</x:f>
      </x:c>
      <x:c r="H343" s="134"/>
      <x:c r="I343" s="117" t="str">
        <x:v>ยังไม่ส่ง</x:v>
      </x:c>
      <x:c r="J343" s="141" t="str">
        <x:f>IF(A343="","",IF(G343="","",IF(I343="ส่งแล้ว",0,G343-TODAY())))</x:f>
      </x:c>
      <x:c r="K343" s="114" t="str">
        <x:f>IF(A343="","",IF(G343="","ยังไม่ระบุวัน",IF(I343="ส่งแล้ว",IF(H343="","ส่งแล้ว",IF(INT(H343)&lt;INT(G343),"ส่งก่อนกำหนด "&amp;(INT(G343)-INT(H343))&amp;" วัน",IF(INT(H343)=INT(G343),"ส่งตรงกำหนด","ส่งล่าช้า "&amp;(INT(H343)-INT(G343))&amp;" วัน"))),IFS(G343&lt;TODAY(),"เกินกำหนด "&amp;(TODAY()-G343)&amp;" วัน",G343=TODAY(),"ครบกำหนดวันนี้",G343-TODAY()&lt;=3,"เร่งดำเนินการ",G343-TODAY()&lt;=5,"ต้องติดตาม",G343-TODAY()&lt;=10,"ใกล้ครบกำหนด",TRUE,"อยู่ระหว่างดำเนินการ"))))</x:f>
      </x:c>
      <x:c r="L343" s="114" t="str">
        <x:f>IF(OR(A343="",P343=""),"",HYPERLINK(P343,"เปิดใน Google Calendar"))</x:f>
      </x:c>
      <x:c r="M343" s="111"/>
      <x:c r="N343" s="123"/>
      <x:c r="O343" s="123"/>
      <x:c r="P343" s="123"/>
      <x:c r="Q343" s="126" t="b">
        <x:v>0</x:v>
      </x:c>
      <x:c r="R343" s="126" t="b">
        <x:v>0</x:v>
      </x:c>
      <x:c r="S343" s="126" t="b">
        <x:v>0</x:v>
      </x:c>
      <x:c r="T343" s="126" t="b">
        <x:v>0</x:v>
      </x:c>
      <x:c r="U343" s="144"/>
      <x:c r="V343" s="123"/>
      <x:c r="W343" s="123"/>
      <x:c r="X343" s="126" t="b">
        <x:v>0</x:v>
      </x:c>
    </x:row>
    <x:row r="344" ht="18" customHeight="1">
      <x:c r="A344" s="111"/>
      <x:c r="B344" s="111"/>
      <x:c r="C344" s="111"/>
      <x:c r="D344" s="111"/>
      <x:c r="E344" s="129"/>
      <x:c r="F344" s="138"/>
      <x:c r="G344" s="133" t="str">
        <x:f>IF(OR(A344="",E344="",F344=""),"",E344+F344-IF('ตั้งค่า'!$B$12="นับรวมวันเซ็น",1,0))</x:f>
      </x:c>
      <x:c r="H344" s="134"/>
      <x:c r="I344" s="117" t="str">
        <x:v>ยังไม่ส่ง</x:v>
      </x:c>
      <x:c r="J344" s="141" t="str">
        <x:f>IF(A344="","",IF(G344="","",IF(I344="ส่งแล้ว",0,G344-TODAY())))</x:f>
      </x:c>
      <x:c r="K344" s="114" t="str">
        <x:f>IF(A344="","",IF(G344="","ยังไม่ระบุวัน",IF(I344="ส่งแล้ว",IF(H344="","ส่งแล้ว",IF(INT(H344)&lt;INT(G344),"ส่งก่อนกำหนด "&amp;(INT(G344)-INT(H344))&amp;" วัน",IF(INT(H344)=INT(G344),"ส่งตรงกำหนด","ส่งล่าช้า "&amp;(INT(H344)-INT(G344))&amp;" วัน"))),IFS(G344&lt;TODAY(),"เกินกำหนด "&amp;(TODAY()-G344)&amp;" วัน",G344=TODAY(),"ครบกำหนดวันนี้",G344-TODAY()&lt;=3,"เร่งดำเนินการ",G344-TODAY()&lt;=5,"ต้องติดตาม",G344-TODAY()&lt;=10,"ใกล้ครบกำหนด",TRUE,"อยู่ระหว่างดำเนินการ"))))</x:f>
      </x:c>
      <x:c r="L344" s="114" t="str">
        <x:f>IF(OR(A344="",P344=""),"",HYPERLINK(P344,"เปิดใน Google Calendar"))</x:f>
      </x:c>
      <x:c r="M344" s="111"/>
      <x:c r="N344" s="123"/>
      <x:c r="O344" s="123"/>
      <x:c r="P344" s="123"/>
      <x:c r="Q344" s="126" t="b">
        <x:v>0</x:v>
      </x:c>
      <x:c r="R344" s="126" t="b">
        <x:v>0</x:v>
      </x:c>
      <x:c r="S344" s="126" t="b">
        <x:v>0</x:v>
      </x:c>
      <x:c r="T344" s="126" t="b">
        <x:v>0</x:v>
      </x:c>
      <x:c r="U344" s="144"/>
      <x:c r="V344" s="123"/>
      <x:c r="W344" s="123"/>
      <x:c r="X344" s="126" t="b">
        <x:v>0</x:v>
      </x:c>
    </x:row>
    <x:row r="345" ht="18" customHeight="1">
      <x:c r="A345" s="111"/>
      <x:c r="B345" s="111"/>
      <x:c r="C345" s="111"/>
      <x:c r="D345" s="111"/>
      <x:c r="E345" s="129"/>
      <x:c r="F345" s="138"/>
      <x:c r="G345" s="133" t="str">
        <x:f>IF(OR(A345="",E345="",F345=""),"",E345+F345-IF('ตั้งค่า'!$B$12="นับรวมวันเซ็น",1,0))</x:f>
      </x:c>
      <x:c r="H345" s="134"/>
      <x:c r="I345" s="117" t="str">
        <x:v>ยังไม่ส่ง</x:v>
      </x:c>
      <x:c r="J345" s="141" t="str">
        <x:f>IF(A345="","",IF(G345="","",IF(I345="ส่งแล้ว",0,G345-TODAY())))</x:f>
      </x:c>
      <x:c r="K345" s="114" t="str">
        <x:f>IF(A345="","",IF(G345="","ยังไม่ระบุวัน",IF(I345="ส่งแล้ว",IF(H345="","ส่งแล้ว",IF(INT(H345)&lt;INT(G345),"ส่งก่อนกำหนด "&amp;(INT(G345)-INT(H345))&amp;" วัน",IF(INT(H345)=INT(G345),"ส่งตรงกำหนด","ส่งล่าช้า "&amp;(INT(H345)-INT(G345))&amp;" วัน"))),IFS(G345&lt;TODAY(),"เกินกำหนด "&amp;(TODAY()-G345)&amp;" วัน",G345=TODAY(),"ครบกำหนดวันนี้",G345-TODAY()&lt;=3,"เร่งดำเนินการ",G345-TODAY()&lt;=5,"ต้องติดตาม",G345-TODAY()&lt;=10,"ใกล้ครบกำหนด",TRUE,"อยู่ระหว่างดำเนินการ"))))</x:f>
      </x:c>
      <x:c r="L345" s="114" t="str">
        <x:f>IF(OR(A345="",P345=""),"",HYPERLINK(P345,"เปิดใน Google Calendar"))</x:f>
      </x:c>
      <x:c r="M345" s="111"/>
      <x:c r="N345" s="123"/>
      <x:c r="O345" s="123"/>
      <x:c r="P345" s="123"/>
      <x:c r="Q345" s="126" t="b">
        <x:v>0</x:v>
      </x:c>
      <x:c r="R345" s="126" t="b">
        <x:v>0</x:v>
      </x:c>
      <x:c r="S345" s="126" t="b">
        <x:v>0</x:v>
      </x:c>
      <x:c r="T345" s="126" t="b">
        <x:v>0</x:v>
      </x:c>
      <x:c r="U345" s="144"/>
      <x:c r="V345" s="123"/>
      <x:c r="W345" s="123"/>
      <x:c r="X345" s="126" t="b">
        <x:v>0</x:v>
      </x:c>
    </x:row>
    <x:row r="346" ht="18" customHeight="1">
      <x:c r="A346" s="111"/>
      <x:c r="B346" s="111"/>
      <x:c r="C346" s="111"/>
      <x:c r="D346" s="111"/>
      <x:c r="E346" s="129"/>
      <x:c r="F346" s="138"/>
      <x:c r="G346" s="133" t="str">
        <x:f>IF(OR(A346="",E346="",F346=""),"",E346+F346-IF('ตั้งค่า'!$B$12="นับรวมวันเซ็น",1,0))</x:f>
      </x:c>
      <x:c r="H346" s="134"/>
      <x:c r="I346" s="117" t="str">
        <x:v>ยังไม่ส่ง</x:v>
      </x:c>
      <x:c r="J346" s="141" t="str">
        <x:f>IF(A346="","",IF(G346="","",IF(I346="ส่งแล้ว",0,G346-TODAY())))</x:f>
      </x:c>
      <x:c r="K346" s="114" t="str">
        <x:f>IF(A346="","",IF(G346="","ยังไม่ระบุวัน",IF(I346="ส่งแล้ว",IF(H346="","ส่งแล้ว",IF(INT(H346)&lt;INT(G346),"ส่งก่อนกำหนด "&amp;(INT(G346)-INT(H346))&amp;" วัน",IF(INT(H346)=INT(G346),"ส่งตรงกำหนด","ส่งล่าช้า "&amp;(INT(H346)-INT(G346))&amp;" วัน"))),IFS(G346&lt;TODAY(),"เกินกำหนด "&amp;(TODAY()-G346)&amp;" วัน",G346=TODAY(),"ครบกำหนดวันนี้",G346-TODAY()&lt;=3,"เร่งดำเนินการ",G346-TODAY()&lt;=5,"ต้องติดตาม",G346-TODAY()&lt;=10,"ใกล้ครบกำหนด",TRUE,"อยู่ระหว่างดำเนินการ"))))</x:f>
      </x:c>
      <x:c r="L346" s="114" t="str">
        <x:f>IF(OR(A346="",P346=""),"",HYPERLINK(P346,"เปิดใน Google Calendar"))</x:f>
      </x:c>
      <x:c r="M346" s="111"/>
      <x:c r="N346" s="123"/>
      <x:c r="O346" s="123"/>
      <x:c r="P346" s="123"/>
      <x:c r="Q346" s="126" t="b">
        <x:v>0</x:v>
      </x:c>
      <x:c r="R346" s="126" t="b">
        <x:v>0</x:v>
      </x:c>
      <x:c r="S346" s="126" t="b">
        <x:v>0</x:v>
      </x:c>
      <x:c r="T346" s="126" t="b">
        <x:v>0</x:v>
      </x:c>
      <x:c r="U346" s="144"/>
      <x:c r="V346" s="123"/>
      <x:c r="W346" s="123"/>
      <x:c r="X346" s="126" t="b">
        <x:v>0</x:v>
      </x:c>
    </x:row>
    <x:row r="347" ht="18" customHeight="1">
      <x:c r="A347" s="111"/>
      <x:c r="B347" s="111"/>
      <x:c r="C347" s="111"/>
      <x:c r="D347" s="111"/>
      <x:c r="E347" s="129"/>
      <x:c r="F347" s="138"/>
      <x:c r="G347" s="133" t="str">
        <x:f>IF(OR(A347="",E347="",F347=""),"",E347+F347-IF('ตั้งค่า'!$B$12="นับรวมวันเซ็น",1,0))</x:f>
      </x:c>
      <x:c r="H347" s="134"/>
      <x:c r="I347" s="117" t="str">
        <x:v>ยังไม่ส่ง</x:v>
      </x:c>
      <x:c r="J347" s="141" t="str">
        <x:f>IF(A347="","",IF(G347="","",IF(I347="ส่งแล้ว",0,G347-TODAY())))</x:f>
      </x:c>
      <x:c r="K347" s="114" t="str">
        <x:f>IF(A347="","",IF(G347="","ยังไม่ระบุวัน",IF(I347="ส่งแล้ว",IF(H347="","ส่งแล้ว",IF(INT(H347)&lt;INT(G347),"ส่งก่อนกำหนด "&amp;(INT(G347)-INT(H347))&amp;" วัน",IF(INT(H347)=INT(G347),"ส่งตรงกำหนด","ส่งล่าช้า "&amp;(INT(H347)-INT(G347))&amp;" วัน"))),IFS(G347&lt;TODAY(),"เกินกำหนด "&amp;(TODAY()-G347)&amp;" วัน",G347=TODAY(),"ครบกำหนดวันนี้",G347-TODAY()&lt;=3,"เร่งดำเนินการ",G347-TODAY()&lt;=5,"ต้องติดตาม",G347-TODAY()&lt;=10,"ใกล้ครบกำหนด",TRUE,"อยู่ระหว่างดำเนินการ"))))</x:f>
      </x:c>
      <x:c r="L347" s="114" t="str">
        <x:f>IF(OR(A347="",P347=""),"",HYPERLINK(P347,"เปิดใน Google Calendar"))</x:f>
      </x:c>
      <x:c r="M347" s="111"/>
      <x:c r="N347" s="123"/>
      <x:c r="O347" s="123"/>
      <x:c r="P347" s="123"/>
      <x:c r="Q347" s="126" t="b">
        <x:v>0</x:v>
      </x:c>
      <x:c r="R347" s="126" t="b">
        <x:v>0</x:v>
      </x:c>
      <x:c r="S347" s="126" t="b">
        <x:v>0</x:v>
      </x:c>
      <x:c r="T347" s="126" t="b">
        <x:v>0</x:v>
      </x:c>
      <x:c r="U347" s="144"/>
      <x:c r="V347" s="123"/>
      <x:c r="W347" s="123"/>
      <x:c r="X347" s="126" t="b">
        <x:v>0</x:v>
      </x:c>
    </x:row>
    <x:row r="348" ht="18" customHeight="1">
      <x:c r="A348" s="111"/>
      <x:c r="B348" s="111"/>
      <x:c r="C348" s="111"/>
      <x:c r="D348" s="111"/>
      <x:c r="E348" s="129"/>
      <x:c r="F348" s="138"/>
      <x:c r="G348" s="133" t="str">
        <x:f>IF(OR(A348="",E348="",F348=""),"",E348+F348-IF('ตั้งค่า'!$B$12="นับรวมวันเซ็น",1,0))</x:f>
      </x:c>
      <x:c r="H348" s="134"/>
      <x:c r="I348" s="117" t="str">
        <x:v>ยังไม่ส่ง</x:v>
      </x:c>
      <x:c r="J348" s="141" t="str">
        <x:f>IF(A348="","",IF(G348="","",IF(I348="ส่งแล้ว",0,G348-TODAY())))</x:f>
      </x:c>
      <x:c r="K348" s="114" t="str">
        <x:f>IF(A348="","",IF(G348="","ยังไม่ระบุวัน",IF(I348="ส่งแล้ว",IF(H348="","ส่งแล้ว",IF(INT(H348)&lt;INT(G348),"ส่งก่อนกำหนด "&amp;(INT(G348)-INT(H348))&amp;" วัน",IF(INT(H348)=INT(G348),"ส่งตรงกำหนด","ส่งล่าช้า "&amp;(INT(H348)-INT(G348))&amp;" วัน"))),IFS(G348&lt;TODAY(),"เกินกำหนด "&amp;(TODAY()-G348)&amp;" วัน",G348=TODAY(),"ครบกำหนดวันนี้",G348-TODAY()&lt;=3,"เร่งดำเนินการ",G348-TODAY()&lt;=5,"ต้องติดตาม",G348-TODAY()&lt;=10,"ใกล้ครบกำหนด",TRUE,"อยู่ระหว่างดำเนินการ"))))</x:f>
      </x:c>
      <x:c r="L348" s="114" t="str">
        <x:f>IF(OR(A348="",P348=""),"",HYPERLINK(P348,"เปิดใน Google Calendar"))</x:f>
      </x:c>
      <x:c r="M348" s="111"/>
      <x:c r="N348" s="123"/>
      <x:c r="O348" s="123"/>
      <x:c r="P348" s="123"/>
      <x:c r="Q348" s="126" t="b">
        <x:v>0</x:v>
      </x:c>
      <x:c r="R348" s="126" t="b">
        <x:v>0</x:v>
      </x:c>
      <x:c r="S348" s="126" t="b">
        <x:v>0</x:v>
      </x:c>
      <x:c r="T348" s="126" t="b">
        <x:v>0</x:v>
      </x:c>
      <x:c r="U348" s="144"/>
      <x:c r="V348" s="123"/>
      <x:c r="W348" s="123"/>
      <x:c r="X348" s="126" t="b">
        <x:v>0</x:v>
      </x:c>
    </x:row>
    <x:row r="349" ht="18" customHeight="1">
      <x:c r="A349" s="111"/>
      <x:c r="B349" s="111"/>
      <x:c r="C349" s="111"/>
      <x:c r="D349" s="111"/>
      <x:c r="E349" s="129"/>
      <x:c r="F349" s="138"/>
      <x:c r="G349" s="133" t="str">
        <x:f>IF(OR(A349="",E349="",F349=""),"",E349+F349-IF('ตั้งค่า'!$B$12="นับรวมวันเซ็น",1,0))</x:f>
      </x:c>
      <x:c r="H349" s="134"/>
      <x:c r="I349" s="117" t="str">
        <x:v>ยังไม่ส่ง</x:v>
      </x:c>
      <x:c r="J349" s="141" t="str">
        <x:f>IF(A349="","",IF(G349="","",IF(I349="ส่งแล้ว",0,G349-TODAY())))</x:f>
      </x:c>
      <x:c r="K349" s="114" t="str">
        <x:f>IF(A349="","",IF(G349="","ยังไม่ระบุวัน",IF(I349="ส่งแล้ว",IF(H349="","ส่งแล้ว",IF(INT(H349)&lt;INT(G349),"ส่งก่อนกำหนด "&amp;(INT(G349)-INT(H349))&amp;" วัน",IF(INT(H349)=INT(G349),"ส่งตรงกำหนด","ส่งล่าช้า "&amp;(INT(H349)-INT(G349))&amp;" วัน"))),IFS(G349&lt;TODAY(),"เกินกำหนด "&amp;(TODAY()-G349)&amp;" วัน",G349=TODAY(),"ครบกำหนดวันนี้",G349-TODAY()&lt;=3,"เร่งดำเนินการ",G349-TODAY()&lt;=5,"ต้องติดตาม",G349-TODAY()&lt;=10,"ใกล้ครบกำหนด",TRUE,"อยู่ระหว่างดำเนินการ"))))</x:f>
      </x:c>
      <x:c r="L349" s="114" t="str">
        <x:f>IF(OR(A349="",P349=""),"",HYPERLINK(P349,"เปิดใน Google Calendar"))</x:f>
      </x:c>
      <x:c r="M349" s="111"/>
      <x:c r="N349" s="123"/>
      <x:c r="O349" s="123"/>
      <x:c r="P349" s="123"/>
      <x:c r="Q349" s="126" t="b">
        <x:v>0</x:v>
      </x:c>
      <x:c r="R349" s="126" t="b">
        <x:v>0</x:v>
      </x:c>
      <x:c r="S349" s="126" t="b">
        <x:v>0</x:v>
      </x:c>
      <x:c r="T349" s="126" t="b">
        <x:v>0</x:v>
      </x:c>
      <x:c r="U349" s="144"/>
      <x:c r="V349" s="123"/>
      <x:c r="W349" s="123"/>
      <x:c r="X349" s="126" t="b">
        <x:v>0</x:v>
      </x:c>
    </x:row>
    <x:row r="350" ht="18" customHeight="1">
      <x:c r="A350" s="111"/>
      <x:c r="B350" s="111"/>
      <x:c r="C350" s="111"/>
      <x:c r="D350" s="111"/>
      <x:c r="E350" s="129"/>
      <x:c r="F350" s="138"/>
      <x:c r="G350" s="133" t="str">
        <x:f>IF(OR(A350="",E350="",F350=""),"",E350+F350-IF('ตั้งค่า'!$B$12="นับรวมวันเซ็น",1,0))</x:f>
      </x:c>
      <x:c r="H350" s="134"/>
      <x:c r="I350" s="117" t="str">
        <x:v>ยังไม่ส่ง</x:v>
      </x:c>
      <x:c r="J350" s="141" t="str">
        <x:f>IF(A350="","",IF(G350="","",IF(I350="ส่งแล้ว",0,G350-TODAY())))</x:f>
      </x:c>
      <x:c r="K350" s="114" t="str">
        <x:f>IF(A350="","",IF(G350="","ยังไม่ระบุวัน",IF(I350="ส่งแล้ว",IF(H350="","ส่งแล้ว",IF(INT(H350)&lt;INT(G350),"ส่งก่อนกำหนด "&amp;(INT(G350)-INT(H350))&amp;" วัน",IF(INT(H350)=INT(G350),"ส่งตรงกำหนด","ส่งล่าช้า "&amp;(INT(H350)-INT(G350))&amp;" วัน"))),IFS(G350&lt;TODAY(),"เกินกำหนด "&amp;(TODAY()-G350)&amp;" วัน",G350=TODAY(),"ครบกำหนดวันนี้",G350-TODAY()&lt;=3,"เร่งดำเนินการ",G350-TODAY()&lt;=5,"ต้องติดตาม",G350-TODAY()&lt;=10,"ใกล้ครบกำหนด",TRUE,"อยู่ระหว่างดำเนินการ"))))</x:f>
      </x:c>
      <x:c r="L350" s="114" t="str">
        <x:f>IF(OR(A350="",P350=""),"",HYPERLINK(P350,"เปิดใน Google Calendar"))</x:f>
      </x:c>
      <x:c r="M350" s="111"/>
      <x:c r="N350" s="123"/>
      <x:c r="O350" s="123"/>
      <x:c r="P350" s="123"/>
      <x:c r="Q350" s="126" t="b">
        <x:v>0</x:v>
      </x:c>
      <x:c r="R350" s="126" t="b">
        <x:v>0</x:v>
      </x:c>
      <x:c r="S350" s="126" t="b">
        <x:v>0</x:v>
      </x:c>
      <x:c r="T350" s="126" t="b">
        <x:v>0</x:v>
      </x:c>
      <x:c r="U350" s="144"/>
      <x:c r="V350" s="123"/>
      <x:c r="W350" s="123"/>
      <x:c r="X350" s="126" t="b">
        <x:v>0</x:v>
      </x:c>
    </x:row>
    <x:row r="351" ht="18" customHeight="1">
      <x:c r="A351" s="111"/>
      <x:c r="B351" s="111"/>
      <x:c r="C351" s="111"/>
      <x:c r="D351" s="111"/>
      <x:c r="E351" s="129"/>
      <x:c r="F351" s="138"/>
      <x:c r="G351" s="133" t="str">
        <x:f>IF(OR(A351="",E351="",F351=""),"",E351+F351-IF('ตั้งค่า'!$B$12="นับรวมวันเซ็น",1,0))</x:f>
      </x:c>
      <x:c r="H351" s="134"/>
      <x:c r="I351" s="117" t="str">
        <x:v>ยังไม่ส่ง</x:v>
      </x:c>
      <x:c r="J351" s="141" t="str">
        <x:f>IF(A351="","",IF(G351="","",IF(I351="ส่งแล้ว",0,G351-TODAY())))</x:f>
      </x:c>
      <x:c r="K351" s="114" t="str">
        <x:f>IF(A351="","",IF(G351="","ยังไม่ระบุวัน",IF(I351="ส่งแล้ว",IF(H351="","ส่งแล้ว",IF(INT(H351)&lt;INT(G351),"ส่งก่อนกำหนด "&amp;(INT(G351)-INT(H351))&amp;" วัน",IF(INT(H351)=INT(G351),"ส่งตรงกำหนด","ส่งล่าช้า "&amp;(INT(H351)-INT(G351))&amp;" วัน"))),IFS(G351&lt;TODAY(),"เกินกำหนด "&amp;(TODAY()-G351)&amp;" วัน",G351=TODAY(),"ครบกำหนดวันนี้",G351-TODAY()&lt;=3,"เร่งดำเนินการ",G351-TODAY()&lt;=5,"ต้องติดตาม",G351-TODAY()&lt;=10,"ใกล้ครบกำหนด",TRUE,"อยู่ระหว่างดำเนินการ"))))</x:f>
      </x:c>
      <x:c r="L351" s="114" t="str">
        <x:f>IF(OR(A351="",P351=""),"",HYPERLINK(P351,"เปิดใน Google Calendar"))</x:f>
      </x:c>
      <x:c r="M351" s="111"/>
      <x:c r="N351" s="123"/>
      <x:c r="O351" s="123"/>
      <x:c r="P351" s="123"/>
      <x:c r="Q351" s="126" t="b">
        <x:v>0</x:v>
      </x:c>
      <x:c r="R351" s="126" t="b">
        <x:v>0</x:v>
      </x:c>
      <x:c r="S351" s="126" t="b">
        <x:v>0</x:v>
      </x:c>
      <x:c r="T351" s="126" t="b">
        <x:v>0</x:v>
      </x:c>
      <x:c r="U351" s="144"/>
      <x:c r="V351" s="123"/>
      <x:c r="W351" s="123"/>
      <x:c r="X351" s="126" t="b">
        <x:v>0</x:v>
      </x:c>
    </x:row>
    <x:row r="352" ht="18" customHeight="1">
      <x:c r="A352" s="111"/>
      <x:c r="B352" s="111"/>
      <x:c r="C352" s="111"/>
      <x:c r="D352" s="111"/>
      <x:c r="E352" s="129"/>
      <x:c r="F352" s="138"/>
      <x:c r="G352" s="133" t="str">
        <x:f>IF(OR(A352="",E352="",F352=""),"",E352+F352-IF('ตั้งค่า'!$B$12="นับรวมวันเซ็น",1,0))</x:f>
      </x:c>
      <x:c r="H352" s="134"/>
      <x:c r="I352" s="117" t="str">
        <x:v>ยังไม่ส่ง</x:v>
      </x:c>
      <x:c r="J352" s="141" t="str">
        <x:f>IF(A352="","",IF(G352="","",IF(I352="ส่งแล้ว",0,G352-TODAY())))</x:f>
      </x:c>
      <x:c r="K352" s="114" t="str">
        <x:f>IF(A352="","",IF(G352="","ยังไม่ระบุวัน",IF(I352="ส่งแล้ว",IF(H352="","ส่งแล้ว",IF(INT(H352)&lt;INT(G352),"ส่งก่อนกำหนด "&amp;(INT(G352)-INT(H352))&amp;" วัน",IF(INT(H352)=INT(G352),"ส่งตรงกำหนด","ส่งล่าช้า "&amp;(INT(H352)-INT(G352))&amp;" วัน"))),IFS(G352&lt;TODAY(),"เกินกำหนด "&amp;(TODAY()-G352)&amp;" วัน",G352=TODAY(),"ครบกำหนดวันนี้",G352-TODAY()&lt;=3,"เร่งดำเนินการ",G352-TODAY()&lt;=5,"ต้องติดตาม",G352-TODAY()&lt;=10,"ใกล้ครบกำหนด",TRUE,"อยู่ระหว่างดำเนินการ"))))</x:f>
      </x:c>
      <x:c r="L352" s="114" t="str">
        <x:f>IF(OR(A352="",P352=""),"",HYPERLINK(P352,"เปิดใน Google Calendar"))</x:f>
      </x:c>
      <x:c r="M352" s="111"/>
      <x:c r="N352" s="123"/>
      <x:c r="O352" s="123"/>
      <x:c r="P352" s="123"/>
      <x:c r="Q352" s="126" t="b">
        <x:v>0</x:v>
      </x:c>
      <x:c r="R352" s="126" t="b">
        <x:v>0</x:v>
      </x:c>
      <x:c r="S352" s="126" t="b">
        <x:v>0</x:v>
      </x:c>
      <x:c r="T352" s="126" t="b">
        <x:v>0</x:v>
      </x:c>
      <x:c r="U352" s="144"/>
      <x:c r="V352" s="123"/>
      <x:c r="W352" s="123"/>
      <x:c r="X352" s="126" t="b">
        <x:v>0</x:v>
      </x:c>
    </x:row>
    <x:row r="353" ht="18" customHeight="1">
      <x:c r="A353" s="111"/>
      <x:c r="B353" s="111"/>
      <x:c r="C353" s="111"/>
      <x:c r="D353" s="111"/>
      <x:c r="E353" s="129"/>
      <x:c r="F353" s="138"/>
      <x:c r="G353" s="133" t="str">
        <x:f>IF(OR(A353="",E353="",F353=""),"",E353+F353-IF('ตั้งค่า'!$B$12="นับรวมวันเซ็น",1,0))</x:f>
      </x:c>
      <x:c r="H353" s="134"/>
      <x:c r="I353" s="117" t="str">
        <x:v>ยังไม่ส่ง</x:v>
      </x:c>
      <x:c r="J353" s="141" t="str">
        <x:f>IF(A353="","",IF(G353="","",IF(I353="ส่งแล้ว",0,G353-TODAY())))</x:f>
      </x:c>
      <x:c r="K353" s="114" t="str">
        <x:f>IF(A353="","",IF(G353="","ยังไม่ระบุวัน",IF(I353="ส่งแล้ว",IF(H353="","ส่งแล้ว",IF(INT(H353)&lt;INT(G353),"ส่งก่อนกำหนด "&amp;(INT(G353)-INT(H353))&amp;" วัน",IF(INT(H353)=INT(G353),"ส่งตรงกำหนด","ส่งล่าช้า "&amp;(INT(H353)-INT(G353))&amp;" วัน"))),IFS(G353&lt;TODAY(),"เกินกำหนด "&amp;(TODAY()-G353)&amp;" วัน",G353=TODAY(),"ครบกำหนดวันนี้",G353-TODAY()&lt;=3,"เร่งดำเนินการ",G353-TODAY()&lt;=5,"ต้องติดตาม",G353-TODAY()&lt;=10,"ใกล้ครบกำหนด",TRUE,"อยู่ระหว่างดำเนินการ"))))</x:f>
      </x:c>
      <x:c r="L353" s="114" t="str">
        <x:f>IF(OR(A353="",P353=""),"",HYPERLINK(P353,"เปิดใน Google Calendar"))</x:f>
      </x:c>
      <x:c r="M353" s="111"/>
      <x:c r="N353" s="123"/>
      <x:c r="O353" s="123"/>
      <x:c r="P353" s="123"/>
      <x:c r="Q353" s="126" t="b">
        <x:v>0</x:v>
      </x:c>
      <x:c r="R353" s="126" t="b">
        <x:v>0</x:v>
      </x:c>
      <x:c r="S353" s="126" t="b">
        <x:v>0</x:v>
      </x:c>
      <x:c r="T353" s="126" t="b">
        <x:v>0</x:v>
      </x:c>
      <x:c r="U353" s="144"/>
      <x:c r="V353" s="123"/>
      <x:c r="W353" s="123"/>
      <x:c r="X353" s="126" t="b">
        <x:v>0</x:v>
      </x:c>
    </x:row>
    <x:row r="354" ht="18" customHeight="1">
      <x:c r="A354" s="111"/>
      <x:c r="B354" s="111"/>
      <x:c r="C354" s="111"/>
      <x:c r="D354" s="111"/>
      <x:c r="E354" s="129"/>
      <x:c r="F354" s="138"/>
      <x:c r="G354" s="133" t="str">
        <x:f>IF(OR(A354="",E354="",F354=""),"",E354+F354-IF('ตั้งค่า'!$B$12="นับรวมวันเซ็น",1,0))</x:f>
      </x:c>
      <x:c r="H354" s="134"/>
      <x:c r="I354" s="117" t="str">
        <x:v>ยังไม่ส่ง</x:v>
      </x:c>
      <x:c r="J354" s="141" t="str">
        <x:f>IF(A354="","",IF(G354="","",IF(I354="ส่งแล้ว",0,G354-TODAY())))</x:f>
      </x:c>
      <x:c r="K354" s="114" t="str">
        <x:f>IF(A354="","",IF(G354="","ยังไม่ระบุวัน",IF(I354="ส่งแล้ว",IF(H354="","ส่งแล้ว",IF(INT(H354)&lt;INT(G354),"ส่งก่อนกำหนด "&amp;(INT(G354)-INT(H354))&amp;" วัน",IF(INT(H354)=INT(G354),"ส่งตรงกำหนด","ส่งล่าช้า "&amp;(INT(H354)-INT(G354))&amp;" วัน"))),IFS(G354&lt;TODAY(),"เกินกำหนด "&amp;(TODAY()-G354)&amp;" วัน",G354=TODAY(),"ครบกำหนดวันนี้",G354-TODAY()&lt;=3,"เร่งดำเนินการ",G354-TODAY()&lt;=5,"ต้องติดตาม",G354-TODAY()&lt;=10,"ใกล้ครบกำหนด",TRUE,"อยู่ระหว่างดำเนินการ"))))</x:f>
      </x:c>
      <x:c r="L354" s="114" t="str">
        <x:f>IF(OR(A354="",P354=""),"",HYPERLINK(P354,"เปิดใน Google Calendar"))</x:f>
      </x:c>
      <x:c r="M354" s="111"/>
      <x:c r="N354" s="123"/>
      <x:c r="O354" s="123"/>
      <x:c r="P354" s="123"/>
      <x:c r="Q354" s="126" t="b">
        <x:v>0</x:v>
      </x:c>
      <x:c r="R354" s="126" t="b">
        <x:v>0</x:v>
      </x:c>
      <x:c r="S354" s="126" t="b">
        <x:v>0</x:v>
      </x:c>
      <x:c r="T354" s="126" t="b">
        <x:v>0</x:v>
      </x:c>
      <x:c r="U354" s="144"/>
      <x:c r="V354" s="123"/>
      <x:c r="W354" s="123"/>
      <x:c r="X354" s="126" t="b">
        <x:v>0</x:v>
      </x:c>
    </x:row>
    <x:row r="355" ht="18" customHeight="1">
      <x:c r="A355" s="111"/>
      <x:c r="B355" s="111"/>
      <x:c r="C355" s="111"/>
      <x:c r="D355" s="111"/>
      <x:c r="E355" s="129"/>
      <x:c r="F355" s="138"/>
      <x:c r="G355" s="133" t="str">
        <x:f>IF(OR(A355="",E355="",F355=""),"",E355+F355-IF('ตั้งค่า'!$B$12="นับรวมวันเซ็น",1,0))</x:f>
      </x:c>
      <x:c r="H355" s="134"/>
      <x:c r="I355" s="117" t="str">
        <x:v>ยังไม่ส่ง</x:v>
      </x:c>
      <x:c r="J355" s="141" t="str">
        <x:f>IF(A355="","",IF(G355="","",IF(I355="ส่งแล้ว",0,G355-TODAY())))</x:f>
      </x:c>
      <x:c r="K355" s="114" t="str">
        <x:f>IF(A355="","",IF(G355="","ยังไม่ระบุวัน",IF(I355="ส่งแล้ว",IF(H355="","ส่งแล้ว",IF(INT(H355)&lt;INT(G355),"ส่งก่อนกำหนด "&amp;(INT(G355)-INT(H355))&amp;" วัน",IF(INT(H355)=INT(G355),"ส่งตรงกำหนด","ส่งล่าช้า "&amp;(INT(H355)-INT(G355))&amp;" วัน"))),IFS(G355&lt;TODAY(),"เกินกำหนด "&amp;(TODAY()-G355)&amp;" วัน",G355=TODAY(),"ครบกำหนดวันนี้",G355-TODAY()&lt;=3,"เร่งดำเนินการ",G355-TODAY()&lt;=5,"ต้องติดตาม",G355-TODAY()&lt;=10,"ใกล้ครบกำหนด",TRUE,"อยู่ระหว่างดำเนินการ"))))</x:f>
      </x:c>
      <x:c r="L355" s="114" t="str">
        <x:f>IF(OR(A355="",P355=""),"",HYPERLINK(P355,"เปิดใน Google Calendar"))</x:f>
      </x:c>
      <x:c r="M355" s="111"/>
      <x:c r="N355" s="123"/>
      <x:c r="O355" s="123"/>
      <x:c r="P355" s="123"/>
      <x:c r="Q355" s="126" t="b">
        <x:v>0</x:v>
      </x:c>
      <x:c r="R355" s="126" t="b">
        <x:v>0</x:v>
      </x:c>
      <x:c r="S355" s="126" t="b">
        <x:v>0</x:v>
      </x:c>
      <x:c r="T355" s="126" t="b">
        <x:v>0</x:v>
      </x:c>
      <x:c r="U355" s="144"/>
      <x:c r="V355" s="123"/>
      <x:c r="W355" s="123"/>
      <x:c r="X355" s="126" t="b">
        <x:v>0</x:v>
      </x:c>
    </x:row>
    <x:row r="356" ht="18" customHeight="1">
      <x:c r="A356" s="111"/>
      <x:c r="B356" s="111"/>
      <x:c r="C356" s="111"/>
      <x:c r="D356" s="111"/>
      <x:c r="E356" s="129"/>
      <x:c r="F356" s="138"/>
      <x:c r="G356" s="133" t="str">
        <x:f>IF(OR(A356="",E356="",F356=""),"",E356+F356-IF('ตั้งค่า'!$B$12="นับรวมวันเซ็น",1,0))</x:f>
      </x:c>
      <x:c r="H356" s="134"/>
      <x:c r="I356" s="117" t="str">
        <x:v>ยังไม่ส่ง</x:v>
      </x:c>
      <x:c r="J356" s="141" t="str">
        <x:f>IF(A356="","",IF(G356="","",IF(I356="ส่งแล้ว",0,G356-TODAY())))</x:f>
      </x:c>
      <x:c r="K356" s="114" t="str">
        <x:f>IF(A356="","",IF(G356="","ยังไม่ระบุวัน",IF(I356="ส่งแล้ว",IF(H356="","ส่งแล้ว",IF(INT(H356)&lt;INT(G356),"ส่งก่อนกำหนด "&amp;(INT(G356)-INT(H356))&amp;" วัน",IF(INT(H356)=INT(G356),"ส่งตรงกำหนด","ส่งล่าช้า "&amp;(INT(H356)-INT(G356))&amp;" วัน"))),IFS(G356&lt;TODAY(),"เกินกำหนด "&amp;(TODAY()-G356)&amp;" วัน",G356=TODAY(),"ครบกำหนดวันนี้",G356-TODAY()&lt;=3,"เร่งดำเนินการ",G356-TODAY()&lt;=5,"ต้องติดตาม",G356-TODAY()&lt;=10,"ใกล้ครบกำหนด",TRUE,"อยู่ระหว่างดำเนินการ"))))</x:f>
      </x:c>
      <x:c r="L356" s="114" t="str">
        <x:f>IF(OR(A356="",P356=""),"",HYPERLINK(P356,"เปิดใน Google Calendar"))</x:f>
      </x:c>
      <x:c r="M356" s="111"/>
      <x:c r="N356" s="123"/>
      <x:c r="O356" s="123"/>
      <x:c r="P356" s="123"/>
      <x:c r="Q356" s="126" t="b">
        <x:v>0</x:v>
      </x:c>
      <x:c r="R356" s="126" t="b">
        <x:v>0</x:v>
      </x:c>
      <x:c r="S356" s="126" t="b">
        <x:v>0</x:v>
      </x:c>
      <x:c r="T356" s="126" t="b">
        <x:v>0</x:v>
      </x:c>
      <x:c r="U356" s="144"/>
      <x:c r="V356" s="123"/>
      <x:c r="W356" s="123"/>
      <x:c r="X356" s="126" t="b">
        <x:v>0</x:v>
      </x:c>
    </x:row>
    <x:row r="357" ht="18" customHeight="1">
      <x:c r="A357" s="111"/>
      <x:c r="B357" s="111"/>
      <x:c r="C357" s="111"/>
      <x:c r="D357" s="111"/>
      <x:c r="E357" s="129"/>
      <x:c r="F357" s="138"/>
      <x:c r="G357" s="133" t="str">
        <x:f>IF(OR(A357="",E357="",F357=""),"",E357+F357-IF('ตั้งค่า'!$B$12="นับรวมวันเซ็น",1,0))</x:f>
      </x:c>
      <x:c r="H357" s="134"/>
      <x:c r="I357" s="117" t="str">
        <x:v>ยังไม่ส่ง</x:v>
      </x:c>
      <x:c r="J357" s="141" t="str">
        <x:f>IF(A357="","",IF(G357="","",IF(I357="ส่งแล้ว",0,G357-TODAY())))</x:f>
      </x:c>
      <x:c r="K357" s="114" t="str">
        <x:f>IF(A357="","",IF(G357="","ยังไม่ระบุวัน",IF(I357="ส่งแล้ว",IF(H357="","ส่งแล้ว",IF(INT(H357)&lt;INT(G357),"ส่งก่อนกำหนด "&amp;(INT(G357)-INT(H357))&amp;" วัน",IF(INT(H357)=INT(G357),"ส่งตรงกำหนด","ส่งล่าช้า "&amp;(INT(H357)-INT(G357))&amp;" วัน"))),IFS(G357&lt;TODAY(),"เกินกำหนด "&amp;(TODAY()-G357)&amp;" วัน",G357=TODAY(),"ครบกำหนดวันนี้",G357-TODAY()&lt;=3,"เร่งดำเนินการ",G357-TODAY()&lt;=5,"ต้องติดตาม",G357-TODAY()&lt;=10,"ใกล้ครบกำหนด",TRUE,"อยู่ระหว่างดำเนินการ"))))</x:f>
      </x:c>
      <x:c r="L357" s="114" t="str">
        <x:f>IF(OR(A357="",P357=""),"",HYPERLINK(P357,"เปิดใน Google Calendar"))</x:f>
      </x:c>
      <x:c r="M357" s="111"/>
      <x:c r="N357" s="123"/>
      <x:c r="O357" s="123"/>
      <x:c r="P357" s="123"/>
      <x:c r="Q357" s="126" t="b">
        <x:v>0</x:v>
      </x:c>
      <x:c r="R357" s="126" t="b">
        <x:v>0</x:v>
      </x:c>
      <x:c r="S357" s="126" t="b">
        <x:v>0</x:v>
      </x:c>
      <x:c r="T357" s="126" t="b">
        <x:v>0</x:v>
      </x:c>
      <x:c r="U357" s="144"/>
      <x:c r="V357" s="123"/>
      <x:c r="W357" s="123"/>
      <x:c r="X357" s="126" t="b">
        <x:v>0</x:v>
      </x:c>
    </x:row>
    <x:row r="358" ht="18" customHeight="1">
      <x:c r="A358" s="111"/>
      <x:c r="B358" s="111"/>
      <x:c r="C358" s="111"/>
      <x:c r="D358" s="111"/>
      <x:c r="E358" s="129"/>
      <x:c r="F358" s="138"/>
      <x:c r="G358" s="133" t="str">
        <x:f>IF(OR(A358="",E358="",F358=""),"",E358+F358-IF('ตั้งค่า'!$B$12="นับรวมวันเซ็น",1,0))</x:f>
      </x:c>
      <x:c r="H358" s="134"/>
      <x:c r="I358" s="117" t="str">
        <x:v>ยังไม่ส่ง</x:v>
      </x:c>
      <x:c r="J358" s="141" t="str">
        <x:f>IF(A358="","",IF(G358="","",IF(I358="ส่งแล้ว",0,G358-TODAY())))</x:f>
      </x:c>
      <x:c r="K358" s="114" t="str">
        <x:f>IF(A358="","",IF(G358="","ยังไม่ระบุวัน",IF(I358="ส่งแล้ว",IF(H358="","ส่งแล้ว",IF(INT(H358)&lt;INT(G358),"ส่งก่อนกำหนด "&amp;(INT(G358)-INT(H358))&amp;" วัน",IF(INT(H358)=INT(G358),"ส่งตรงกำหนด","ส่งล่าช้า "&amp;(INT(H358)-INT(G358))&amp;" วัน"))),IFS(G358&lt;TODAY(),"เกินกำหนด "&amp;(TODAY()-G358)&amp;" วัน",G358=TODAY(),"ครบกำหนดวันนี้",G358-TODAY()&lt;=3,"เร่งดำเนินการ",G358-TODAY()&lt;=5,"ต้องติดตาม",G358-TODAY()&lt;=10,"ใกล้ครบกำหนด",TRUE,"อยู่ระหว่างดำเนินการ"))))</x:f>
      </x:c>
      <x:c r="L358" s="114" t="str">
        <x:f>IF(OR(A358="",P358=""),"",HYPERLINK(P358,"เปิดใน Google Calendar"))</x:f>
      </x:c>
      <x:c r="M358" s="111"/>
      <x:c r="N358" s="123"/>
      <x:c r="O358" s="123"/>
      <x:c r="P358" s="123"/>
      <x:c r="Q358" s="126" t="b">
        <x:v>0</x:v>
      </x:c>
      <x:c r="R358" s="126" t="b">
        <x:v>0</x:v>
      </x:c>
      <x:c r="S358" s="126" t="b">
        <x:v>0</x:v>
      </x:c>
      <x:c r="T358" s="126" t="b">
        <x:v>0</x:v>
      </x:c>
      <x:c r="U358" s="144"/>
      <x:c r="V358" s="123"/>
      <x:c r="W358" s="123"/>
      <x:c r="X358" s="126" t="b">
        <x:v>0</x:v>
      </x:c>
    </x:row>
    <x:row r="359" ht="18" customHeight="1">
      <x:c r="A359" s="111"/>
      <x:c r="B359" s="111"/>
      <x:c r="C359" s="111"/>
      <x:c r="D359" s="111"/>
      <x:c r="E359" s="129"/>
      <x:c r="F359" s="138"/>
      <x:c r="G359" s="133" t="str">
        <x:f>IF(OR(A359="",E359="",F359=""),"",E359+F359-IF('ตั้งค่า'!$B$12="นับรวมวันเซ็น",1,0))</x:f>
      </x:c>
      <x:c r="H359" s="134"/>
      <x:c r="I359" s="117" t="str">
        <x:v>ยังไม่ส่ง</x:v>
      </x:c>
      <x:c r="J359" s="141" t="str">
        <x:f>IF(A359="","",IF(G359="","",IF(I359="ส่งแล้ว",0,G359-TODAY())))</x:f>
      </x:c>
      <x:c r="K359" s="114" t="str">
        <x:f>IF(A359="","",IF(G359="","ยังไม่ระบุวัน",IF(I359="ส่งแล้ว",IF(H359="","ส่งแล้ว",IF(INT(H359)&lt;INT(G359),"ส่งก่อนกำหนด "&amp;(INT(G359)-INT(H359))&amp;" วัน",IF(INT(H359)=INT(G359),"ส่งตรงกำหนด","ส่งล่าช้า "&amp;(INT(H359)-INT(G359))&amp;" วัน"))),IFS(G359&lt;TODAY(),"เกินกำหนด "&amp;(TODAY()-G359)&amp;" วัน",G359=TODAY(),"ครบกำหนดวันนี้",G359-TODAY()&lt;=3,"เร่งดำเนินการ",G359-TODAY()&lt;=5,"ต้องติดตาม",G359-TODAY()&lt;=10,"ใกล้ครบกำหนด",TRUE,"อยู่ระหว่างดำเนินการ"))))</x:f>
      </x:c>
      <x:c r="L359" s="114" t="str">
        <x:f>IF(OR(A359="",P359=""),"",HYPERLINK(P359,"เปิดใน Google Calendar"))</x:f>
      </x:c>
      <x:c r="M359" s="111"/>
      <x:c r="N359" s="123"/>
      <x:c r="O359" s="123"/>
      <x:c r="P359" s="123"/>
      <x:c r="Q359" s="126" t="b">
        <x:v>0</x:v>
      </x:c>
      <x:c r="R359" s="126" t="b">
        <x:v>0</x:v>
      </x:c>
      <x:c r="S359" s="126" t="b">
        <x:v>0</x:v>
      </x:c>
      <x:c r="T359" s="126" t="b">
        <x:v>0</x:v>
      </x:c>
      <x:c r="U359" s="144"/>
      <x:c r="V359" s="123"/>
      <x:c r="W359" s="123"/>
      <x:c r="X359" s="126" t="b">
        <x:v>0</x:v>
      </x:c>
    </x:row>
    <x:row r="360" ht="18" customHeight="1">
      <x:c r="A360" s="111"/>
      <x:c r="B360" s="111"/>
      <x:c r="C360" s="111"/>
      <x:c r="D360" s="111"/>
      <x:c r="E360" s="129"/>
      <x:c r="F360" s="138"/>
      <x:c r="G360" s="133" t="str">
        <x:f>IF(OR(A360="",E360="",F360=""),"",E360+F360-IF('ตั้งค่า'!$B$12="นับรวมวันเซ็น",1,0))</x:f>
      </x:c>
      <x:c r="H360" s="134"/>
      <x:c r="I360" s="117" t="str">
        <x:v>ยังไม่ส่ง</x:v>
      </x:c>
      <x:c r="J360" s="141" t="str">
        <x:f>IF(A360="","",IF(G360="","",IF(I360="ส่งแล้ว",0,G360-TODAY())))</x:f>
      </x:c>
      <x:c r="K360" s="114" t="str">
        <x:f>IF(A360="","",IF(G360="","ยังไม่ระบุวัน",IF(I360="ส่งแล้ว",IF(H360="","ส่งแล้ว",IF(INT(H360)&lt;INT(G360),"ส่งก่อนกำหนด "&amp;(INT(G360)-INT(H360))&amp;" วัน",IF(INT(H360)=INT(G360),"ส่งตรงกำหนด","ส่งล่าช้า "&amp;(INT(H360)-INT(G360))&amp;" วัน"))),IFS(G360&lt;TODAY(),"เกินกำหนด "&amp;(TODAY()-G360)&amp;" วัน",G360=TODAY(),"ครบกำหนดวันนี้",G360-TODAY()&lt;=3,"เร่งดำเนินการ",G360-TODAY()&lt;=5,"ต้องติดตาม",G360-TODAY()&lt;=10,"ใกล้ครบกำหนด",TRUE,"อยู่ระหว่างดำเนินการ"))))</x:f>
      </x:c>
      <x:c r="L360" s="114" t="str">
        <x:f>IF(OR(A360="",P360=""),"",HYPERLINK(P360,"เปิดใน Google Calendar"))</x:f>
      </x:c>
      <x:c r="M360" s="111"/>
      <x:c r="N360" s="123"/>
      <x:c r="O360" s="123"/>
      <x:c r="P360" s="123"/>
      <x:c r="Q360" s="126" t="b">
        <x:v>0</x:v>
      </x:c>
      <x:c r="R360" s="126" t="b">
        <x:v>0</x:v>
      </x:c>
      <x:c r="S360" s="126" t="b">
        <x:v>0</x:v>
      </x:c>
      <x:c r="T360" s="126" t="b">
        <x:v>0</x:v>
      </x:c>
      <x:c r="U360" s="144"/>
      <x:c r="V360" s="123"/>
      <x:c r="W360" s="123"/>
      <x:c r="X360" s="126" t="b">
        <x:v>0</x:v>
      </x:c>
    </x:row>
    <x:row r="361" ht="18" customHeight="1">
      <x:c r="A361" s="111"/>
      <x:c r="B361" s="111"/>
      <x:c r="C361" s="111"/>
      <x:c r="D361" s="111"/>
      <x:c r="E361" s="129"/>
      <x:c r="F361" s="138"/>
      <x:c r="G361" s="133" t="str">
        <x:f>IF(OR(A361="",E361="",F361=""),"",E361+F361-IF('ตั้งค่า'!$B$12="นับรวมวันเซ็น",1,0))</x:f>
      </x:c>
      <x:c r="H361" s="134"/>
      <x:c r="I361" s="117" t="str">
        <x:v>ยังไม่ส่ง</x:v>
      </x:c>
      <x:c r="J361" s="141" t="str">
        <x:f>IF(A361="","",IF(G361="","",IF(I361="ส่งแล้ว",0,G361-TODAY())))</x:f>
      </x:c>
      <x:c r="K361" s="114" t="str">
        <x:f>IF(A361="","",IF(G361="","ยังไม่ระบุวัน",IF(I361="ส่งแล้ว",IF(H361="","ส่งแล้ว",IF(INT(H361)&lt;INT(G361),"ส่งก่อนกำหนด "&amp;(INT(G361)-INT(H361))&amp;" วัน",IF(INT(H361)=INT(G361),"ส่งตรงกำหนด","ส่งล่าช้า "&amp;(INT(H361)-INT(G361))&amp;" วัน"))),IFS(G361&lt;TODAY(),"เกินกำหนด "&amp;(TODAY()-G361)&amp;" วัน",G361=TODAY(),"ครบกำหนดวันนี้",G361-TODAY()&lt;=3,"เร่งดำเนินการ",G361-TODAY()&lt;=5,"ต้องติดตาม",G361-TODAY()&lt;=10,"ใกล้ครบกำหนด",TRUE,"อยู่ระหว่างดำเนินการ"))))</x:f>
      </x:c>
      <x:c r="L361" s="114" t="str">
        <x:f>IF(OR(A361="",P361=""),"",HYPERLINK(P361,"เปิดใน Google Calendar"))</x:f>
      </x:c>
      <x:c r="M361" s="111"/>
      <x:c r="N361" s="123"/>
      <x:c r="O361" s="123"/>
      <x:c r="P361" s="123"/>
      <x:c r="Q361" s="126" t="b">
        <x:v>0</x:v>
      </x:c>
      <x:c r="R361" s="126" t="b">
        <x:v>0</x:v>
      </x:c>
      <x:c r="S361" s="126" t="b">
        <x:v>0</x:v>
      </x:c>
      <x:c r="T361" s="126" t="b">
        <x:v>0</x:v>
      </x:c>
      <x:c r="U361" s="144"/>
      <x:c r="V361" s="123"/>
      <x:c r="W361" s="123"/>
      <x:c r="X361" s="126" t="b">
        <x:v>0</x:v>
      </x:c>
    </x:row>
    <x:row r="362" ht="18" customHeight="1">
      <x:c r="A362" s="111"/>
      <x:c r="B362" s="111"/>
      <x:c r="C362" s="111"/>
      <x:c r="D362" s="111"/>
      <x:c r="E362" s="129"/>
      <x:c r="F362" s="138"/>
      <x:c r="G362" s="133" t="str">
        <x:f>IF(OR(A362="",E362="",F362=""),"",E362+F362-IF('ตั้งค่า'!$B$12="นับรวมวันเซ็น",1,0))</x:f>
      </x:c>
      <x:c r="H362" s="134"/>
      <x:c r="I362" s="117" t="str">
        <x:v>ยังไม่ส่ง</x:v>
      </x:c>
      <x:c r="J362" s="141" t="str">
        <x:f>IF(A362="","",IF(G362="","",IF(I362="ส่งแล้ว",0,G362-TODAY())))</x:f>
      </x:c>
      <x:c r="K362" s="114" t="str">
        <x:f>IF(A362="","",IF(G362="","ยังไม่ระบุวัน",IF(I362="ส่งแล้ว",IF(H362="","ส่งแล้ว",IF(INT(H362)&lt;INT(G362),"ส่งก่อนกำหนด "&amp;(INT(G362)-INT(H362))&amp;" วัน",IF(INT(H362)=INT(G362),"ส่งตรงกำหนด","ส่งล่าช้า "&amp;(INT(H362)-INT(G362))&amp;" วัน"))),IFS(G362&lt;TODAY(),"เกินกำหนด "&amp;(TODAY()-G362)&amp;" วัน",G362=TODAY(),"ครบกำหนดวันนี้",G362-TODAY()&lt;=3,"เร่งดำเนินการ",G362-TODAY()&lt;=5,"ต้องติดตาม",G362-TODAY()&lt;=10,"ใกล้ครบกำหนด",TRUE,"อยู่ระหว่างดำเนินการ"))))</x:f>
      </x:c>
      <x:c r="L362" s="114" t="str">
        <x:f>IF(OR(A362="",P362=""),"",HYPERLINK(P362,"เปิดใน Google Calendar"))</x:f>
      </x:c>
      <x:c r="M362" s="111"/>
      <x:c r="N362" s="123"/>
      <x:c r="O362" s="123"/>
      <x:c r="P362" s="123"/>
      <x:c r="Q362" s="126" t="b">
        <x:v>0</x:v>
      </x:c>
      <x:c r="R362" s="126" t="b">
        <x:v>0</x:v>
      </x:c>
      <x:c r="S362" s="126" t="b">
        <x:v>0</x:v>
      </x:c>
      <x:c r="T362" s="126" t="b">
        <x:v>0</x:v>
      </x:c>
      <x:c r="U362" s="144"/>
      <x:c r="V362" s="123"/>
      <x:c r="W362" s="123"/>
      <x:c r="X362" s="126" t="b">
        <x:v>0</x:v>
      </x:c>
    </x:row>
    <x:row r="363" ht="18" customHeight="1">
      <x:c r="A363" s="111"/>
      <x:c r="B363" s="111"/>
      <x:c r="C363" s="111"/>
      <x:c r="D363" s="111"/>
      <x:c r="E363" s="129"/>
      <x:c r="F363" s="138"/>
      <x:c r="G363" s="133" t="str">
        <x:f>IF(OR(A363="",E363="",F363=""),"",E363+F363-IF('ตั้งค่า'!$B$12="นับรวมวันเซ็น",1,0))</x:f>
      </x:c>
      <x:c r="H363" s="134"/>
      <x:c r="I363" s="117" t="str">
        <x:v>ยังไม่ส่ง</x:v>
      </x:c>
      <x:c r="J363" s="141" t="str">
        <x:f>IF(A363="","",IF(G363="","",IF(I363="ส่งแล้ว",0,G363-TODAY())))</x:f>
      </x:c>
      <x:c r="K363" s="114" t="str">
        <x:f>IF(A363="","",IF(G363="","ยังไม่ระบุวัน",IF(I363="ส่งแล้ว",IF(H363="","ส่งแล้ว",IF(INT(H363)&lt;INT(G363),"ส่งก่อนกำหนด "&amp;(INT(G363)-INT(H363))&amp;" วัน",IF(INT(H363)=INT(G363),"ส่งตรงกำหนด","ส่งล่าช้า "&amp;(INT(H363)-INT(G363))&amp;" วัน"))),IFS(G363&lt;TODAY(),"เกินกำหนด "&amp;(TODAY()-G363)&amp;" วัน",G363=TODAY(),"ครบกำหนดวันนี้",G363-TODAY()&lt;=3,"เร่งดำเนินการ",G363-TODAY()&lt;=5,"ต้องติดตาม",G363-TODAY()&lt;=10,"ใกล้ครบกำหนด",TRUE,"อยู่ระหว่างดำเนินการ"))))</x:f>
      </x:c>
      <x:c r="L363" s="114" t="str">
        <x:f>IF(OR(A363="",P363=""),"",HYPERLINK(P363,"เปิดใน Google Calendar"))</x:f>
      </x:c>
      <x:c r="M363" s="111"/>
      <x:c r="N363" s="123"/>
      <x:c r="O363" s="123"/>
      <x:c r="P363" s="123"/>
      <x:c r="Q363" s="126" t="b">
        <x:v>0</x:v>
      </x:c>
      <x:c r="R363" s="126" t="b">
        <x:v>0</x:v>
      </x:c>
      <x:c r="S363" s="126" t="b">
        <x:v>0</x:v>
      </x:c>
      <x:c r="T363" s="126" t="b">
        <x:v>0</x:v>
      </x:c>
      <x:c r="U363" s="144"/>
      <x:c r="V363" s="123"/>
      <x:c r="W363" s="123"/>
      <x:c r="X363" s="126" t="b">
        <x:v>0</x:v>
      </x:c>
    </x:row>
    <x:row r="364" ht="18" customHeight="1">
      <x:c r="A364" s="111"/>
      <x:c r="B364" s="111"/>
      <x:c r="C364" s="111"/>
      <x:c r="D364" s="111"/>
      <x:c r="E364" s="129"/>
      <x:c r="F364" s="138"/>
      <x:c r="G364" s="133" t="str">
        <x:f>IF(OR(A364="",E364="",F364=""),"",E364+F364-IF('ตั้งค่า'!$B$12="นับรวมวันเซ็น",1,0))</x:f>
      </x:c>
      <x:c r="H364" s="134"/>
      <x:c r="I364" s="117" t="str">
        <x:v>ยังไม่ส่ง</x:v>
      </x:c>
      <x:c r="J364" s="141" t="str">
        <x:f>IF(A364="","",IF(G364="","",IF(I364="ส่งแล้ว",0,G364-TODAY())))</x:f>
      </x:c>
      <x:c r="K364" s="114" t="str">
        <x:f>IF(A364="","",IF(G364="","ยังไม่ระบุวัน",IF(I364="ส่งแล้ว",IF(H364="","ส่งแล้ว",IF(INT(H364)&lt;INT(G364),"ส่งก่อนกำหนด "&amp;(INT(G364)-INT(H364))&amp;" วัน",IF(INT(H364)=INT(G364),"ส่งตรงกำหนด","ส่งล่าช้า "&amp;(INT(H364)-INT(G364))&amp;" วัน"))),IFS(G364&lt;TODAY(),"เกินกำหนด "&amp;(TODAY()-G364)&amp;" วัน",G364=TODAY(),"ครบกำหนดวันนี้",G364-TODAY()&lt;=3,"เร่งดำเนินการ",G364-TODAY()&lt;=5,"ต้องติดตาม",G364-TODAY()&lt;=10,"ใกล้ครบกำหนด",TRUE,"อยู่ระหว่างดำเนินการ"))))</x:f>
      </x:c>
      <x:c r="L364" s="114" t="str">
        <x:f>IF(OR(A364="",P364=""),"",HYPERLINK(P364,"เปิดใน Google Calendar"))</x:f>
      </x:c>
      <x:c r="M364" s="111"/>
      <x:c r="N364" s="123"/>
      <x:c r="O364" s="123"/>
      <x:c r="P364" s="123"/>
      <x:c r="Q364" s="126" t="b">
        <x:v>0</x:v>
      </x:c>
      <x:c r="R364" s="126" t="b">
        <x:v>0</x:v>
      </x:c>
      <x:c r="S364" s="126" t="b">
        <x:v>0</x:v>
      </x:c>
      <x:c r="T364" s="126" t="b">
        <x:v>0</x:v>
      </x:c>
      <x:c r="U364" s="144"/>
      <x:c r="V364" s="123"/>
      <x:c r="W364" s="123"/>
      <x:c r="X364" s="126" t="b">
        <x:v>0</x:v>
      </x:c>
    </x:row>
    <x:row r="365" ht="18" customHeight="1">
      <x:c r="A365" s="111"/>
      <x:c r="B365" s="111"/>
      <x:c r="C365" s="111"/>
      <x:c r="D365" s="111"/>
      <x:c r="E365" s="129"/>
      <x:c r="F365" s="138"/>
      <x:c r="G365" s="133" t="str">
        <x:f>IF(OR(A365="",E365="",F365=""),"",E365+F365-IF('ตั้งค่า'!$B$12="นับรวมวันเซ็น",1,0))</x:f>
      </x:c>
      <x:c r="H365" s="134"/>
      <x:c r="I365" s="117" t="str">
        <x:v>ยังไม่ส่ง</x:v>
      </x:c>
      <x:c r="J365" s="141" t="str">
        <x:f>IF(A365="","",IF(G365="","",IF(I365="ส่งแล้ว",0,G365-TODAY())))</x:f>
      </x:c>
      <x:c r="K365" s="114" t="str">
        <x:f>IF(A365="","",IF(G365="","ยังไม่ระบุวัน",IF(I365="ส่งแล้ว",IF(H365="","ส่งแล้ว",IF(INT(H365)&lt;INT(G365),"ส่งก่อนกำหนด "&amp;(INT(G365)-INT(H365))&amp;" วัน",IF(INT(H365)=INT(G365),"ส่งตรงกำหนด","ส่งล่าช้า "&amp;(INT(H365)-INT(G365))&amp;" วัน"))),IFS(G365&lt;TODAY(),"เกินกำหนด "&amp;(TODAY()-G365)&amp;" วัน",G365=TODAY(),"ครบกำหนดวันนี้",G365-TODAY()&lt;=3,"เร่งดำเนินการ",G365-TODAY()&lt;=5,"ต้องติดตาม",G365-TODAY()&lt;=10,"ใกล้ครบกำหนด",TRUE,"อยู่ระหว่างดำเนินการ"))))</x:f>
      </x:c>
      <x:c r="L365" s="114" t="str">
        <x:f>IF(OR(A365="",P365=""),"",HYPERLINK(P365,"เปิดใน Google Calendar"))</x:f>
      </x:c>
      <x:c r="M365" s="111"/>
      <x:c r="N365" s="123"/>
      <x:c r="O365" s="123"/>
      <x:c r="P365" s="123"/>
      <x:c r="Q365" s="126" t="b">
        <x:v>0</x:v>
      </x:c>
      <x:c r="R365" s="126" t="b">
        <x:v>0</x:v>
      </x:c>
      <x:c r="S365" s="126" t="b">
        <x:v>0</x:v>
      </x:c>
      <x:c r="T365" s="126" t="b">
        <x:v>0</x:v>
      </x:c>
      <x:c r="U365" s="144"/>
      <x:c r="V365" s="123"/>
      <x:c r="W365" s="123"/>
      <x:c r="X365" s="126" t="b">
        <x:v>0</x:v>
      </x:c>
    </x:row>
    <x:row r="366" ht="18" customHeight="1">
      <x:c r="A366" s="111"/>
      <x:c r="B366" s="111"/>
      <x:c r="C366" s="111"/>
      <x:c r="D366" s="111"/>
      <x:c r="E366" s="129"/>
      <x:c r="F366" s="138"/>
      <x:c r="G366" s="133" t="str">
        <x:f>IF(OR(A366="",E366="",F366=""),"",E366+F366-IF('ตั้งค่า'!$B$12="นับรวมวันเซ็น",1,0))</x:f>
      </x:c>
      <x:c r="H366" s="134"/>
      <x:c r="I366" s="117" t="str">
        <x:v>ยังไม่ส่ง</x:v>
      </x:c>
      <x:c r="J366" s="141" t="str">
        <x:f>IF(A366="","",IF(G366="","",IF(I366="ส่งแล้ว",0,G366-TODAY())))</x:f>
      </x:c>
      <x:c r="K366" s="114" t="str">
        <x:f>IF(A366="","",IF(G366="","ยังไม่ระบุวัน",IF(I366="ส่งแล้ว",IF(H366="","ส่งแล้ว",IF(INT(H366)&lt;INT(G366),"ส่งก่อนกำหนด "&amp;(INT(G366)-INT(H366))&amp;" วัน",IF(INT(H366)=INT(G366),"ส่งตรงกำหนด","ส่งล่าช้า "&amp;(INT(H366)-INT(G366))&amp;" วัน"))),IFS(G366&lt;TODAY(),"เกินกำหนด "&amp;(TODAY()-G366)&amp;" วัน",G366=TODAY(),"ครบกำหนดวันนี้",G366-TODAY()&lt;=3,"เร่งดำเนินการ",G366-TODAY()&lt;=5,"ต้องติดตาม",G366-TODAY()&lt;=10,"ใกล้ครบกำหนด",TRUE,"อยู่ระหว่างดำเนินการ"))))</x:f>
      </x:c>
      <x:c r="L366" s="114" t="str">
        <x:f>IF(OR(A366="",P366=""),"",HYPERLINK(P366,"เปิดใน Google Calendar"))</x:f>
      </x:c>
      <x:c r="M366" s="111"/>
      <x:c r="N366" s="123"/>
      <x:c r="O366" s="123"/>
      <x:c r="P366" s="123"/>
      <x:c r="Q366" s="126" t="b">
        <x:v>0</x:v>
      </x:c>
      <x:c r="R366" s="126" t="b">
        <x:v>0</x:v>
      </x:c>
      <x:c r="S366" s="126" t="b">
        <x:v>0</x:v>
      </x:c>
      <x:c r="T366" s="126" t="b">
        <x:v>0</x:v>
      </x:c>
      <x:c r="U366" s="144"/>
      <x:c r="V366" s="123"/>
      <x:c r="W366" s="123"/>
      <x:c r="X366" s="126" t="b">
        <x:v>0</x:v>
      </x:c>
    </x:row>
    <x:row r="367" ht="18" customHeight="1">
      <x:c r="A367" s="111"/>
      <x:c r="B367" s="111"/>
      <x:c r="C367" s="111"/>
      <x:c r="D367" s="111"/>
      <x:c r="E367" s="129"/>
      <x:c r="F367" s="138"/>
      <x:c r="G367" s="133" t="str">
        <x:f>IF(OR(A367="",E367="",F367=""),"",E367+F367-IF('ตั้งค่า'!$B$12="นับรวมวันเซ็น",1,0))</x:f>
      </x:c>
      <x:c r="H367" s="134"/>
      <x:c r="I367" s="117" t="str">
        <x:v>ยังไม่ส่ง</x:v>
      </x:c>
      <x:c r="J367" s="141" t="str">
        <x:f>IF(A367="","",IF(G367="","",IF(I367="ส่งแล้ว",0,G367-TODAY())))</x:f>
      </x:c>
      <x:c r="K367" s="114" t="str">
        <x:f>IF(A367="","",IF(G367="","ยังไม่ระบุวัน",IF(I367="ส่งแล้ว",IF(H367="","ส่งแล้ว",IF(INT(H367)&lt;INT(G367),"ส่งก่อนกำหนด "&amp;(INT(G367)-INT(H367))&amp;" วัน",IF(INT(H367)=INT(G367),"ส่งตรงกำหนด","ส่งล่าช้า "&amp;(INT(H367)-INT(G367))&amp;" วัน"))),IFS(G367&lt;TODAY(),"เกินกำหนด "&amp;(TODAY()-G367)&amp;" วัน",G367=TODAY(),"ครบกำหนดวันนี้",G367-TODAY()&lt;=3,"เร่งดำเนินการ",G367-TODAY()&lt;=5,"ต้องติดตาม",G367-TODAY()&lt;=10,"ใกล้ครบกำหนด",TRUE,"อยู่ระหว่างดำเนินการ"))))</x:f>
      </x:c>
      <x:c r="L367" s="114" t="str">
        <x:f>IF(OR(A367="",P367=""),"",HYPERLINK(P367,"เปิดใน Google Calendar"))</x:f>
      </x:c>
      <x:c r="M367" s="111"/>
      <x:c r="N367" s="123"/>
      <x:c r="O367" s="123"/>
      <x:c r="P367" s="123"/>
      <x:c r="Q367" s="126" t="b">
        <x:v>0</x:v>
      </x:c>
      <x:c r="R367" s="126" t="b">
        <x:v>0</x:v>
      </x:c>
      <x:c r="S367" s="126" t="b">
        <x:v>0</x:v>
      </x:c>
      <x:c r="T367" s="126" t="b">
        <x:v>0</x:v>
      </x:c>
      <x:c r="U367" s="144"/>
      <x:c r="V367" s="123"/>
      <x:c r="W367" s="123"/>
      <x:c r="X367" s="126" t="b">
        <x:v>0</x:v>
      </x:c>
    </x:row>
    <x:row r="368" ht="18" customHeight="1">
      <x:c r="A368" s="111"/>
      <x:c r="B368" s="111"/>
      <x:c r="C368" s="111"/>
      <x:c r="D368" s="111"/>
      <x:c r="E368" s="129"/>
      <x:c r="F368" s="138"/>
      <x:c r="G368" s="133" t="str">
        <x:f>IF(OR(A368="",E368="",F368=""),"",E368+F368-IF('ตั้งค่า'!$B$12="นับรวมวันเซ็น",1,0))</x:f>
      </x:c>
      <x:c r="H368" s="134"/>
      <x:c r="I368" s="117" t="str">
        <x:v>ยังไม่ส่ง</x:v>
      </x:c>
      <x:c r="J368" s="141" t="str">
        <x:f>IF(A368="","",IF(G368="","",IF(I368="ส่งแล้ว",0,G368-TODAY())))</x:f>
      </x:c>
      <x:c r="K368" s="114" t="str">
        <x:f>IF(A368="","",IF(G368="","ยังไม่ระบุวัน",IF(I368="ส่งแล้ว",IF(H368="","ส่งแล้ว",IF(INT(H368)&lt;INT(G368),"ส่งก่อนกำหนด "&amp;(INT(G368)-INT(H368))&amp;" วัน",IF(INT(H368)=INT(G368),"ส่งตรงกำหนด","ส่งล่าช้า "&amp;(INT(H368)-INT(G368))&amp;" วัน"))),IFS(G368&lt;TODAY(),"เกินกำหนด "&amp;(TODAY()-G368)&amp;" วัน",G368=TODAY(),"ครบกำหนดวันนี้",G368-TODAY()&lt;=3,"เร่งดำเนินการ",G368-TODAY()&lt;=5,"ต้องติดตาม",G368-TODAY()&lt;=10,"ใกล้ครบกำหนด",TRUE,"อยู่ระหว่างดำเนินการ"))))</x:f>
      </x:c>
      <x:c r="L368" s="114" t="str">
        <x:f>IF(OR(A368="",P368=""),"",HYPERLINK(P368,"เปิดใน Google Calendar"))</x:f>
      </x:c>
      <x:c r="M368" s="111"/>
      <x:c r="N368" s="123"/>
      <x:c r="O368" s="123"/>
      <x:c r="P368" s="123"/>
      <x:c r="Q368" s="126" t="b">
        <x:v>0</x:v>
      </x:c>
      <x:c r="R368" s="126" t="b">
        <x:v>0</x:v>
      </x:c>
      <x:c r="S368" s="126" t="b">
        <x:v>0</x:v>
      </x:c>
      <x:c r="T368" s="126" t="b">
        <x:v>0</x:v>
      </x:c>
      <x:c r="U368" s="144"/>
      <x:c r="V368" s="123"/>
      <x:c r="W368" s="123"/>
      <x:c r="X368" s="126" t="b">
        <x:v>0</x:v>
      </x:c>
    </x:row>
    <x:row r="369" ht="18" customHeight="1">
      <x:c r="A369" s="111"/>
      <x:c r="B369" s="111"/>
      <x:c r="C369" s="111"/>
      <x:c r="D369" s="111"/>
      <x:c r="E369" s="129"/>
      <x:c r="F369" s="138"/>
      <x:c r="G369" s="133" t="str">
        <x:f>IF(OR(A369="",E369="",F369=""),"",E369+F369-IF('ตั้งค่า'!$B$12="นับรวมวันเซ็น",1,0))</x:f>
      </x:c>
      <x:c r="H369" s="134"/>
      <x:c r="I369" s="117" t="str">
        <x:v>ยังไม่ส่ง</x:v>
      </x:c>
      <x:c r="J369" s="141" t="str">
        <x:f>IF(A369="","",IF(G369="","",IF(I369="ส่งแล้ว",0,G369-TODAY())))</x:f>
      </x:c>
      <x:c r="K369" s="114" t="str">
        <x:f>IF(A369="","",IF(G369="","ยังไม่ระบุวัน",IF(I369="ส่งแล้ว",IF(H369="","ส่งแล้ว",IF(INT(H369)&lt;INT(G369),"ส่งก่อนกำหนด "&amp;(INT(G369)-INT(H369))&amp;" วัน",IF(INT(H369)=INT(G369),"ส่งตรงกำหนด","ส่งล่าช้า "&amp;(INT(H369)-INT(G369))&amp;" วัน"))),IFS(G369&lt;TODAY(),"เกินกำหนด "&amp;(TODAY()-G369)&amp;" วัน",G369=TODAY(),"ครบกำหนดวันนี้",G369-TODAY()&lt;=3,"เร่งดำเนินการ",G369-TODAY()&lt;=5,"ต้องติดตาม",G369-TODAY()&lt;=10,"ใกล้ครบกำหนด",TRUE,"อยู่ระหว่างดำเนินการ"))))</x:f>
      </x:c>
      <x:c r="L369" s="114" t="str">
        <x:f>IF(OR(A369="",P369=""),"",HYPERLINK(P369,"เปิดใน Google Calendar"))</x:f>
      </x:c>
      <x:c r="M369" s="111"/>
      <x:c r="N369" s="123"/>
      <x:c r="O369" s="123"/>
      <x:c r="P369" s="123"/>
      <x:c r="Q369" s="126" t="b">
        <x:v>0</x:v>
      </x:c>
      <x:c r="R369" s="126" t="b">
        <x:v>0</x:v>
      </x:c>
      <x:c r="S369" s="126" t="b">
        <x:v>0</x:v>
      </x:c>
      <x:c r="T369" s="126" t="b">
        <x:v>0</x:v>
      </x:c>
      <x:c r="U369" s="144"/>
      <x:c r="V369" s="123"/>
      <x:c r="W369" s="123"/>
      <x:c r="X369" s="126" t="b">
        <x:v>0</x:v>
      </x:c>
    </x:row>
    <x:row r="370" ht="18" customHeight="1">
      <x:c r="A370" s="111"/>
      <x:c r="B370" s="111"/>
      <x:c r="C370" s="111"/>
      <x:c r="D370" s="111"/>
      <x:c r="E370" s="129"/>
      <x:c r="F370" s="138"/>
      <x:c r="G370" s="133" t="str">
        <x:f>IF(OR(A370="",E370="",F370=""),"",E370+F370-IF('ตั้งค่า'!$B$12="นับรวมวันเซ็น",1,0))</x:f>
      </x:c>
      <x:c r="H370" s="134"/>
      <x:c r="I370" s="117" t="str">
        <x:v>ยังไม่ส่ง</x:v>
      </x:c>
      <x:c r="J370" s="141" t="str">
        <x:f>IF(A370="","",IF(G370="","",IF(I370="ส่งแล้ว",0,G370-TODAY())))</x:f>
      </x:c>
      <x:c r="K370" s="114" t="str">
        <x:f>IF(A370="","",IF(G370="","ยังไม่ระบุวัน",IF(I370="ส่งแล้ว",IF(H370="","ส่งแล้ว",IF(INT(H370)&lt;INT(G370),"ส่งก่อนกำหนด "&amp;(INT(G370)-INT(H370))&amp;" วัน",IF(INT(H370)=INT(G370),"ส่งตรงกำหนด","ส่งล่าช้า "&amp;(INT(H370)-INT(G370))&amp;" วัน"))),IFS(G370&lt;TODAY(),"เกินกำหนด "&amp;(TODAY()-G370)&amp;" วัน",G370=TODAY(),"ครบกำหนดวันนี้",G370-TODAY()&lt;=3,"เร่งดำเนินการ",G370-TODAY()&lt;=5,"ต้องติดตาม",G370-TODAY()&lt;=10,"ใกล้ครบกำหนด",TRUE,"อยู่ระหว่างดำเนินการ"))))</x:f>
      </x:c>
      <x:c r="L370" s="114" t="str">
        <x:f>IF(OR(A370="",P370=""),"",HYPERLINK(P370,"เปิดใน Google Calendar"))</x:f>
      </x:c>
      <x:c r="M370" s="111"/>
      <x:c r="N370" s="123"/>
      <x:c r="O370" s="123"/>
      <x:c r="P370" s="123"/>
      <x:c r="Q370" s="126" t="b">
        <x:v>0</x:v>
      </x:c>
      <x:c r="R370" s="126" t="b">
        <x:v>0</x:v>
      </x:c>
      <x:c r="S370" s="126" t="b">
        <x:v>0</x:v>
      </x:c>
      <x:c r="T370" s="126" t="b">
        <x:v>0</x:v>
      </x:c>
      <x:c r="U370" s="144"/>
      <x:c r="V370" s="123"/>
      <x:c r="W370" s="123"/>
      <x:c r="X370" s="126" t="b">
        <x:v>0</x:v>
      </x:c>
    </x:row>
    <x:row r="371" ht="18" customHeight="1">
      <x:c r="A371" s="111"/>
      <x:c r="B371" s="111"/>
      <x:c r="C371" s="111"/>
      <x:c r="D371" s="111"/>
      <x:c r="E371" s="129"/>
      <x:c r="F371" s="138"/>
      <x:c r="G371" s="133" t="str">
        <x:f>IF(OR(A371="",E371="",F371=""),"",E371+F371-IF('ตั้งค่า'!$B$12="นับรวมวันเซ็น",1,0))</x:f>
      </x:c>
      <x:c r="H371" s="134"/>
      <x:c r="I371" s="117" t="str">
        <x:v>ยังไม่ส่ง</x:v>
      </x:c>
      <x:c r="J371" s="141" t="str">
        <x:f>IF(A371="","",IF(G371="","",IF(I371="ส่งแล้ว",0,G371-TODAY())))</x:f>
      </x:c>
      <x:c r="K371" s="114" t="str">
        <x:f>IF(A371="","",IF(G371="","ยังไม่ระบุวัน",IF(I371="ส่งแล้ว",IF(H371="","ส่งแล้ว",IF(INT(H371)&lt;INT(G371),"ส่งก่อนกำหนด "&amp;(INT(G371)-INT(H371))&amp;" วัน",IF(INT(H371)=INT(G371),"ส่งตรงกำหนด","ส่งล่าช้า "&amp;(INT(H371)-INT(G371))&amp;" วัน"))),IFS(G371&lt;TODAY(),"เกินกำหนด "&amp;(TODAY()-G371)&amp;" วัน",G371=TODAY(),"ครบกำหนดวันนี้",G371-TODAY()&lt;=3,"เร่งดำเนินการ",G371-TODAY()&lt;=5,"ต้องติดตาม",G371-TODAY()&lt;=10,"ใกล้ครบกำหนด",TRUE,"อยู่ระหว่างดำเนินการ"))))</x:f>
      </x:c>
      <x:c r="L371" s="114" t="str">
        <x:f>IF(OR(A371="",P371=""),"",HYPERLINK(P371,"เปิดใน Google Calendar"))</x:f>
      </x:c>
      <x:c r="M371" s="111"/>
      <x:c r="N371" s="123"/>
      <x:c r="O371" s="123"/>
      <x:c r="P371" s="123"/>
      <x:c r="Q371" s="126" t="b">
        <x:v>0</x:v>
      </x:c>
      <x:c r="R371" s="126" t="b">
        <x:v>0</x:v>
      </x:c>
      <x:c r="S371" s="126" t="b">
        <x:v>0</x:v>
      </x:c>
      <x:c r="T371" s="126" t="b">
        <x:v>0</x:v>
      </x:c>
      <x:c r="U371" s="144"/>
      <x:c r="V371" s="123"/>
      <x:c r="W371" s="123"/>
      <x:c r="X371" s="126" t="b">
        <x:v>0</x:v>
      </x:c>
    </x:row>
    <x:row r="372" ht="18" customHeight="1">
      <x:c r="A372" s="111"/>
      <x:c r="B372" s="111"/>
      <x:c r="C372" s="111"/>
      <x:c r="D372" s="111"/>
      <x:c r="E372" s="129"/>
      <x:c r="F372" s="138"/>
      <x:c r="G372" s="133" t="str">
        <x:f>IF(OR(A372="",E372="",F372=""),"",E372+F372-IF('ตั้งค่า'!$B$12="นับรวมวันเซ็น",1,0))</x:f>
      </x:c>
      <x:c r="H372" s="134"/>
      <x:c r="I372" s="117" t="str">
        <x:v>ยังไม่ส่ง</x:v>
      </x:c>
      <x:c r="J372" s="141" t="str">
        <x:f>IF(A372="","",IF(G372="","",IF(I372="ส่งแล้ว",0,G372-TODAY())))</x:f>
      </x:c>
      <x:c r="K372" s="114" t="str">
        <x:f>IF(A372="","",IF(G372="","ยังไม่ระบุวัน",IF(I372="ส่งแล้ว",IF(H372="","ส่งแล้ว",IF(INT(H372)&lt;INT(G372),"ส่งก่อนกำหนด "&amp;(INT(G372)-INT(H372))&amp;" วัน",IF(INT(H372)=INT(G372),"ส่งตรงกำหนด","ส่งล่าช้า "&amp;(INT(H372)-INT(G372))&amp;" วัน"))),IFS(G372&lt;TODAY(),"เกินกำหนด "&amp;(TODAY()-G372)&amp;" วัน",G372=TODAY(),"ครบกำหนดวันนี้",G372-TODAY()&lt;=3,"เร่งดำเนินการ",G372-TODAY()&lt;=5,"ต้องติดตาม",G372-TODAY()&lt;=10,"ใกล้ครบกำหนด",TRUE,"อยู่ระหว่างดำเนินการ"))))</x:f>
      </x:c>
      <x:c r="L372" s="114" t="str">
        <x:f>IF(OR(A372="",P372=""),"",HYPERLINK(P372,"เปิดใน Google Calendar"))</x:f>
      </x:c>
      <x:c r="M372" s="111"/>
      <x:c r="N372" s="123"/>
      <x:c r="O372" s="123"/>
      <x:c r="P372" s="123"/>
      <x:c r="Q372" s="126" t="b">
        <x:v>0</x:v>
      </x:c>
      <x:c r="R372" s="126" t="b">
        <x:v>0</x:v>
      </x:c>
      <x:c r="S372" s="126" t="b">
        <x:v>0</x:v>
      </x:c>
      <x:c r="T372" s="126" t="b">
        <x:v>0</x:v>
      </x:c>
      <x:c r="U372" s="144"/>
      <x:c r="V372" s="123"/>
      <x:c r="W372" s="123"/>
      <x:c r="X372" s="126" t="b">
        <x:v>0</x:v>
      </x:c>
    </x:row>
    <x:row r="373" ht="18" customHeight="1">
      <x:c r="A373" s="111"/>
      <x:c r="B373" s="111"/>
      <x:c r="C373" s="111"/>
      <x:c r="D373" s="111"/>
      <x:c r="E373" s="129"/>
      <x:c r="F373" s="138"/>
      <x:c r="G373" s="133" t="str">
        <x:f>IF(OR(A373="",E373="",F373=""),"",E373+F373-IF('ตั้งค่า'!$B$12="นับรวมวันเซ็น",1,0))</x:f>
      </x:c>
      <x:c r="H373" s="134"/>
      <x:c r="I373" s="117" t="str">
        <x:v>ยังไม่ส่ง</x:v>
      </x:c>
      <x:c r="J373" s="141" t="str">
        <x:f>IF(A373="","",IF(G373="","",IF(I373="ส่งแล้ว",0,G373-TODAY())))</x:f>
      </x:c>
      <x:c r="K373" s="114" t="str">
        <x:f>IF(A373="","",IF(G373="","ยังไม่ระบุวัน",IF(I373="ส่งแล้ว",IF(H373="","ส่งแล้ว",IF(INT(H373)&lt;INT(G373),"ส่งก่อนกำหนด "&amp;(INT(G373)-INT(H373))&amp;" วัน",IF(INT(H373)=INT(G373),"ส่งตรงกำหนด","ส่งล่าช้า "&amp;(INT(H373)-INT(G373))&amp;" วัน"))),IFS(G373&lt;TODAY(),"เกินกำหนด "&amp;(TODAY()-G373)&amp;" วัน",G373=TODAY(),"ครบกำหนดวันนี้",G373-TODAY()&lt;=3,"เร่งดำเนินการ",G373-TODAY()&lt;=5,"ต้องติดตาม",G373-TODAY()&lt;=10,"ใกล้ครบกำหนด",TRUE,"อยู่ระหว่างดำเนินการ"))))</x:f>
      </x:c>
      <x:c r="L373" s="114" t="str">
        <x:f>IF(OR(A373="",P373=""),"",HYPERLINK(P373,"เปิดใน Google Calendar"))</x:f>
      </x:c>
      <x:c r="M373" s="111"/>
      <x:c r="N373" s="123"/>
      <x:c r="O373" s="123"/>
      <x:c r="P373" s="123"/>
      <x:c r="Q373" s="126" t="b">
        <x:v>0</x:v>
      </x:c>
      <x:c r="R373" s="126" t="b">
        <x:v>0</x:v>
      </x:c>
      <x:c r="S373" s="126" t="b">
        <x:v>0</x:v>
      </x:c>
      <x:c r="T373" s="126" t="b">
        <x:v>0</x:v>
      </x:c>
      <x:c r="U373" s="144"/>
      <x:c r="V373" s="123"/>
      <x:c r="W373" s="123"/>
      <x:c r="X373" s="126" t="b">
        <x:v>0</x:v>
      </x:c>
    </x:row>
    <x:row r="374" ht="18" customHeight="1">
      <x:c r="A374" s="111"/>
      <x:c r="B374" s="111"/>
      <x:c r="C374" s="111"/>
      <x:c r="D374" s="111"/>
      <x:c r="E374" s="129"/>
      <x:c r="F374" s="138"/>
      <x:c r="G374" s="133" t="str">
        <x:f>IF(OR(A374="",E374="",F374=""),"",E374+F374-IF('ตั้งค่า'!$B$12="นับรวมวันเซ็น",1,0))</x:f>
      </x:c>
      <x:c r="H374" s="134"/>
      <x:c r="I374" s="117" t="str">
        <x:v>ยังไม่ส่ง</x:v>
      </x:c>
      <x:c r="J374" s="141" t="str">
        <x:f>IF(A374="","",IF(G374="","",IF(I374="ส่งแล้ว",0,G374-TODAY())))</x:f>
      </x:c>
      <x:c r="K374" s="114" t="str">
        <x:f>IF(A374="","",IF(G374="","ยังไม่ระบุวัน",IF(I374="ส่งแล้ว",IF(H374="","ส่งแล้ว",IF(INT(H374)&lt;INT(G374),"ส่งก่อนกำหนด "&amp;(INT(G374)-INT(H374))&amp;" วัน",IF(INT(H374)=INT(G374),"ส่งตรงกำหนด","ส่งล่าช้า "&amp;(INT(H374)-INT(G374))&amp;" วัน"))),IFS(G374&lt;TODAY(),"เกินกำหนด "&amp;(TODAY()-G374)&amp;" วัน",G374=TODAY(),"ครบกำหนดวันนี้",G374-TODAY()&lt;=3,"เร่งดำเนินการ",G374-TODAY()&lt;=5,"ต้องติดตาม",G374-TODAY()&lt;=10,"ใกล้ครบกำหนด",TRUE,"อยู่ระหว่างดำเนินการ"))))</x:f>
      </x:c>
      <x:c r="L374" s="114" t="str">
        <x:f>IF(OR(A374="",P374=""),"",HYPERLINK(P374,"เปิดใน Google Calendar"))</x:f>
      </x:c>
      <x:c r="M374" s="111"/>
      <x:c r="N374" s="123"/>
      <x:c r="O374" s="123"/>
      <x:c r="P374" s="123"/>
      <x:c r="Q374" s="126" t="b">
        <x:v>0</x:v>
      </x:c>
      <x:c r="R374" s="126" t="b">
        <x:v>0</x:v>
      </x:c>
      <x:c r="S374" s="126" t="b">
        <x:v>0</x:v>
      </x:c>
      <x:c r="T374" s="126" t="b">
        <x:v>0</x:v>
      </x:c>
      <x:c r="U374" s="144"/>
      <x:c r="V374" s="123"/>
      <x:c r="W374" s="123"/>
      <x:c r="X374" s="126" t="b">
        <x:v>0</x:v>
      </x:c>
    </x:row>
    <x:row r="375" ht="18" customHeight="1">
      <x:c r="A375" s="111"/>
      <x:c r="B375" s="111"/>
      <x:c r="C375" s="111"/>
      <x:c r="D375" s="111"/>
      <x:c r="E375" s="129"/>
      <x:c r="F375" s="138"/>
      <x:c r="G375" s="133" t="str">
        <x:f>IF(OR(A375="",E375="",F375=""),"",E375+F375-IF('ตั้งค่า'!$B$12="นับรวมวันเซ็น",1,0))</x:f>
      </x:c>
      <x:c r="H375" s="134"/>
      <x:c r="I375" s="117" t="str">
        <x:v>ยังไม่ส่ง</x:v>
      </x:c>
      <x:c r="J375" s="141" t="str">
        <x:f>IF(A375="","",IF(G375="","",IF(I375="ส่งแล้ว",0,G375-TODAY())))</x:f>
      </x:c>
      <x:c r="K375" s="114" t="str">
        <x:f>IF(A375="","",IF(G375="","ยังไม่ระบุวัน",IF(I375="ส่งแล้ว",IF(H375="","ส่งแล้ว",IF(INT(H375)&lt;INT(G375),"ส่งก่อนกำหนด "&amp;(INT(G375)-INT(H375))&amp;" วัน",IF(INT(H375)=INT(G375),"ส่งตรงกำหนด","ส่งล่าช้า "&amp;(INT(H375)-INT(G375))&amp;" วัน"))),IFS(G375&lt;TODAY(),"เกินกำหนด "&amp;(TODAY()-G375)&amp;" วัน",G375=TODAY(),"ครบกำหนดวันนี้",G375-TODAY()&lt;=3,"เร่งดำเนินการ",G375-TODAY()&lt;=5,"ต้องติดตาม",G375-TODAY()&lt;=10,"ใกล้ครบกำหนด",TRUE,"อยู่ระหว่างดำเนินการ"))))</x:f>
      </x:c>
      <x:c r="L375" s="114" t="str">
        <x:f>IF(OR(A375="",P375=""),"",HYPERLINK(P375,"เปิดใน Google Calendar"))</x:f>
      </x:c>
      <x:c r="M375" s="111"/>
      <x:c r="N375" s="123"/>
      <x:c r="O375" s="123"/>
      <x:c r="P375" s="123"/>
      <x:c r="Q375" s="126" t="b">
        <x:v>0</x:v>
      </x:c>
      <x:c r="R375" s="126" t="b">
        <x:v>0</x:v>
      </x:c>
      <x:c r="S375" s="126" t="b">
        <x:v>0</x:v>
      </x:c>
      <x:c r="T375" s="126" t="b">
        <x:v>0</x:v>
      </x:c>
      <x:c r="U375" s="144"/>
      <x:c r="V375" s="123"/>
      <x:c r="W375" s="123"/>
      <x:c r="X375" s="126" t="b">
        <x:v>0</x:v>
      </x:c>
    </x:row>
    <x:row r="376" ht="18" customHeight="1">
      <x:c r="A376" s="111"/>
      <x:c r="B376" s="111"/>
      <x:c r="C376" s="111"/>
      <x:c r="D376" s="111"/>
      <x:c r="E376" s="129"/>
      <x:c r="F376" s="138"/>
      <x:c r="G376" s="133" t="str">
        <x:f>IF(OR(A376="",E376="",F376=""),"",E376+F376-IF('ตั้งค่า'!$B$12="นับรวมวันเซ็น",1,0))</x:f>
      </x:c>
      <x:c r="H376" s="134"/>
      <x:c r="I376" s="117" t="str">
        <x:v>ยังไม่ส่ง</x:v>
      </x:c>
      <x:c r="J376" s="141" t="str">
        <x:f>IF(A376="","",IF(G376="","",IF(I376="ส่งแล้ว",0,G376-TODAY())))</x:f>
      </x:c>
      <x:c r="K376" s="114" t="str">
        <x:f>IF(A376="","",IF(G376="","ยังไม่ระบุวัน",IF(I376="ส่งแล้ว",IF(H376="","ส่งแล้ว",IF(INT(H376)&lt;INT(G376),"ส่งก่อนกำหนด "&amp;(INT(G376)-INT(H376))&amp;" วัน",IF(INT(H376)=INT(G376),"ส่งตรงกำหนด","ส่งล่าช้า "&amp;(INT(H376)-INT(G376))&amp;" วัน"))),IFS(G376&lt;TODAY(),"เกินกำหนด "&amp;(TODAY()-G376)&amp;" วัน",G376=TODAY(),"ครบกำหนดวันนี้",G376-TODAY()&lt;=3,"เร่งดำเนินการ",G376-TODAY()&lt;=5,"ต้องติดตาม",G376-TODAY()&lt;=10,"ใกล้ครบกำหนด",TRUE,"อยู่ระหว่างดำเนินการ"))))</x:f>
      </x:c>
      <x:c r="L376" s="114" t="str">
        <x:f>IF(OR(A376="",P376=""),"",HYPERLINK(P376,"เปิดใน Google Calendar"))</x:f>
      </x:c>
      <x:c r="M376" s="111"/>
      <x:c r="N376" s="123"/>
      <x:c r="O376" s="123"/>
      <x:c r="P376" s="123"/>
      <x:c r="Q376" s="126" t="b">
        <x:v>0</x:v>
      </x:c>
      <x:c r="R376" s="126" t="b">
        <x:v>0</x:v>
      </x:c>
      <x:c r="S376" s="126" t="b">
        <x:v>0</x:v>
      </x:c>
      <x:c r="T376" s="126" t="b">
        <x:v>0</x:v>
      </x:c>
      <x:c r="U376" s="144"/>
      <x:c r="V376" s="123"/>
      <x:c r="W376" s="123"/>
      <x:c r="X376" s="126" t="b">
        <x:v>0</x:v>
      </x:c>
    </x:row>
    <x:row r="377" ht="18" customHeight="1">
      <x:c r="A377" s="111"/>
      <x:c r="B377" s="111"/>
      <x:c r="C377" s="111"/>
      <x:c r="D377" s="111"/>
      <x:c r="E377" s="129"/>
      <x:c r="F377" s="138"/>
      <x:c r="G377" s="133" t="str">
        <x:f>IF(OR(A377="",E377="",F377=""),"",E377+F377-IF('ตั้งค่า'!$B$12="นับรวมวันเซ็น",1,0))</x:f>
      </x:c>
      <x:c r="H377" s="134"/>
      <x:c r="I377" s="117" t="str">
        <x:v>ยังไม่ส่ง</x:v>
      </x:c>
      <x:c r="J377" s="141" t="str">
        <x:f>IF(A377="","",IF(G377="","",IF(I377="ส่งแล้ว",0,G377-TODAY())))</x:f>
      </x:c>
      <x:c r="K377" s="114" t="str">
        <x:f>IF(A377="","",IF(G377="","ยังไม่ระบุวัน",IF(I377="ส่งแล้ว",IF(H377="","ส่งแล้ว",IF(INT(H377)&lt;INT(G377),"ส่งก่อนกำหนด "&amp;(INT(G377)-INT(H377))&amp;" วัน",IF(INT(H377)=INT(G377),"ส่งตรงกำหนด","ส่งล่าช้า "&amp;(INT(H377)-INT(G377))&amp;" วัน"))),IFS(G377&lt;TODAY(),"เกินกำหนด "&amp;(TODAY()-G377)&amp;" วัน",G377=TODAY(),"ครบกำหนดวันนี้",G377-TODAY()&lt;=3,"เร่งดำเนินการ",G377-TODAY()&lt;=5,"ต้องติดตาม",G377-TODAY()&lt;=10,"ใกล้ครบกำหนด",TRUE,"อยู่ระหว่างดำเนินการ"))))</x:f>
      </x:c>
      <x:c r="L377" s="114" t="str">
        <x:f>IF(OR(A377="",P377=""),"",HYPERLINK(P377,"เปิดใน Google Calendar"))</x:f>
      </x:c>
      <x:c r="M377" s="111"/>
      <x:c r="N377" s="123"/>
      <x:c r="O377" s="123"/>
      <x:c r="P377" s="123"/>
      <x:c r="Q377" s="126" t="b">
        <x:v>0</x:v>
      </x:c>
      <x:c r="R377" s="126" t="b">
        <x:v>0</x:v>
      </x:c>
      <x:c r="S377" s="126" t="b">
        <x:v>0</x:v>
      </x:c>
      <x:c r="T377" s="126" t="b">
        <x:v>0</x:v>
      </x:c>
      <x:c r="U377" s="144"/>
      <x:c r="V377" s="123"/>
      <x:c r="W377" s="123"/>
      <x:c r="X377" s="126" t="b">
        <x:v>0</x:v>
      </x:c>
    </x:row>
    <x:row r="378" ht="18" customHeight="1">
      <x:c r="A378" s="111"/>
      <x:c r="B378" s="111"/>
      <x:c r="C378" s="111"/>
      <x:c r="D378" s="111"/>
      <x:c r="E378" s="129"/>
      <x:c r="F378" s="138"/>
      <x:c r="G378" s="133" t="str">
        <x:f>IF(OR(A378="",E378="",F378=""),"",E378+F378-IF('ตั้งค่า'!$B$12="นับรวมวันเซ็น",1,0))</x:f>
      </x:c>
      <x:c r="H378" s="134"/>
      <x:c r="I378" s="117" t="str">
        <x:v>ยังไม่ส่ง</x:v>
      </x:c>
      <x:c r="J378" s="141" t="str">
        <x:f>IF(A378="","",IF(G378="","",IF(I378="ส่งแล้ว",0,G378-TODAY())))</x:f>
      </x:c>
      <x:c r="K378" s="114" t="str">
        <x:f>IF(A378="","",IF(G378="","ยังไม่ระบุวัน",IF(I378="ส่งแล้ว",IF(H378="","ส่งแล้ว",IF(INT(H378)&lt;INT(G378),"ส่งก่อนกำหนด "&amp;(INT(G378)-INT(H378))&amp;" วัน",IF(INT(H378)=INT(G378),"ส่งตรงกำหนด","ส่งล่าช้า "&amp;(INT(H378)-INT(G378))&amp;" วัน"))),IFS(G378&lt;TODAY(),"เกินกำหนด "&amp;(TODAY()-G378)&amp;" วัน",G378=TODAY(),"ครบกำหนดวันนี้",G378-TODAY()&lt;=3,"เร่งดำเนินการ",G378-TODAY()&lt;=5,"ต้องติดตาม",G378-TODAY()&lt;=10,"ใกล้ครบกำหนด",TRUE,"อยู่ระหว่างดำเนินการ"))))</x:f>
      </x:c>
      <x:c r="L378" s="114" t="str">
        <x:f>IF(OR(A378="",P378=""),"",HYPERLINK(P378,"เปิดใน Google Calendar"))</x:f>
      </x:c>
      <x:c r="M378" s="111"/>
      <x:c r="N378" s="123"/>
      <x:c r="O378" s="123"/>
      <x:c r="P378" s="123"/>
      <x:c r="Q378" s="126" t="b">
        <x:v>0</x:v>
      </x:c>
      <x:c r="R378" s="126" t="b">
        <x:v>0</x:v>
      </x:c>
      <x:c r="S378" s="126" t="b">
        <x:v>0</x:v>
      </x:c>
      <x:c r="T378" s="126" t="b">
        <x:v>0</x:v>
      </x:c>
      <x:c r="U378" s="144"/>
      <x:c r="V378" s="123"/>
      <x:c r="W378" s="123"/>
      <x:c r="X378" s="126" t="b">
        <x:v>0</x:v>
      </x:c>
    </x:row>
    <x:row r="379" ht="18" customHeight="1">
      <x:c r="A379" s="111"/>
      <x:c r="B379" s="111"/>
      <x:c r="C379" s="111"/>
      <x:c r="D379" s="111"/>
      <x:c r="E379" s="129"/>
      <x:c r="F379" s="138"/>
      <x:c r="G379" s="133" t="str">
        <x:f>IF(OR(A379="",E379="",F379=""),"",E379+F379-IF('ตั้งค่า'!$B$12="นับรวมวันเซ็น",1,0))</x:f>
      </x:c>
      <x:c r="H379" s="134"/>
      <x:c r="I379" s="117" t="str">
        <x:v>ยังไม่ส่ง</x:v>
      </x:c>
      <x:c r="J379" s="141" t="str">
        <x:f>IF(A379="","",IF(G379="","",IF(I379="ส่งแล้ว",0,G379-TODAY())))</x:f>
      </x:c>
      <x:c r="K379" s="114" t="str">
        <x:f>IF(A379="","",IF(G379="","ยังไม่ระบุวัน",IF(I379="ส่งแล้ว",IF(H379="","ส่งแล้ว",IF(INT(H379)&lt;INT(G379),"ส่งก่อนกำหนด "&amp;(INT(G379)-INT(H379))&amp;" วัน",IF(INT(H379)=INT(G379),"ส่งตรงกำหนด","ส่งล่าช้า "&amp;(INT(H379)-INT(G379))&amp;" วัน"))),IFS(G379&lt;TODAY(),"เกินกำหนด "&amp;(TODAY()-G379)&amp;" วัน",G379=TODAY(),"ครบกำหนดวันนี้",G379-TODAY()&lt;=3,"เร่งดำเนินการ",G379-TODAY()&lt;=5,"ต้องติดตาม",G379-TODAY()&lt;=10,"ใกล้ครบกำหนด",TRUE,"อยู่ระหว่างดำเนินการ"))))</x:f>
      </x:c>
      <x:c r="L379" s="114" t="str">
        <x:f>IF(OR(A379="",P379=""),"",HYPERLINK(P379,"เปิดใน Google Calendar"))</x:f>
      </x:c>
      <x:c r="M379" s="111"/>
      <x:c r="N379" s="123"/>
      <x:c r="O379" s="123"/>
      <x:c r="P379" s="123"/>
      <x:c r="Q379" s="126" t="b">
        <x:v>0</x:v>
      </x:c>
      <x:c r="R379" s="126" t="b">
        <x:v>0</x:v>
      </x:c>
      <x:c r="S379" s="126" t="b">
        <x:v>0</x:v>
      </x:c>
      <x:c r="T379" s="126" t="b">
        <x:v>0</x:v>
      </x:c>
      <x:c r="U379" s="144"/>
      <x:c r="V379" s="123"/>
      <x:c r="W379" s="123"/>
      <x:c r="X379" s="126" t="b">
        <x:v>0</x:v>
      </x:c>
    </x:row>
    <x:row r="380" ht="18" customHeight="1">
      <x:c r="A380" s="111"/>
      <x:c r="B380" s="111"/>
      <x:c r="C380" s="111"/>
      <x:c r="D380" s="111"/>
      <x:c r="E380" s="129"/>
      <x:c r="F380" s="138"/>
      <x:c r="G380" s="133" t="str">
        <x:f>IF(OR(A380="",E380="",F380=""),"",E380+F380-IF('ตั้งค่า'!$B$12="นับรวมวันเซ็น",1,0))</x:f>
      </x:c>
      <x:c r="H380" s="134"/>
      <x:c r="I380" s="117" t="str">
        <x:v>ยังไม่ส่ง</x:v>
      </x:c>
      <x:c r="J380" s="141" t="str">
        <x:f>IF(A380="","",IF(G380="","",IF(I380="ส่งแล้ว",0,G380-TODAY())))</x:f>
      </x:c>
      <x:c r="K380" s="114" t="str">
        <x:f>IF(A380="","",IF(G380="","ยังไม่ระบุวัน",IF(I380="ส่งแล้ว",IF(H380="","ส่งแล้ว",IF(INT(H380)&lt;INT(G380),"ส่งก่อนกำหนด "&amp;(INT(G380)-INT(H380))&amp;" วัน",IF(INT(H380)=INT(G380),"ส่งตรงกำหนด","ส่งล่าช้า "&amp;(INT(H380)-INT(G380))&amp;" วัน"))),IFS(G380&lt;TODAY(),"เกินกำหนด "&amp;(TODAY()-G380)&amp;" วัน",G380=TODAY(),"ครบกำหนดวันนี้",G380-TODAY()&lt;=3,"เร่งดำเนินการ",G380-TODAY()&lt;=5,"ต้องติดตาม",G380-TODAY()&lt;=10,"ใกล้ครบกำหนด",TRUE,"อยู่ระหว่างดำเนินการ"))))</x:f>
      </x:c>
      <x:c r="L380" s="114" t="str">
        <x:f>IF(OR(A380="",P380=""),"",HYPERLINK(P380,"เปิดใน Google Calendar"))</x:f>
      </x:c>
      <x:c r="M380" s="111"/>
      <x:c r="N380" s="123"/>
      <x:c r="O380" s="123"/>
      <x:c r="P380" s="123"/>
      <x:c r="Q380" s="126" t="b">
        <x:v>0</x:v>
      </x:c>
      <x:c r="R380" s="126" t="b">
        <x:v>0</x:v>
      </x:c>
      <x:c r="S380" s="126" t="b">
        <x:v>0</x:v>
      </x:c>
      <x:c r="T380" s="126" t="b">
        <x:v>0</x:v>
      </x:c>
      <x:c r="U380" s="144"/>
      <x:c r="V380" s="123"/>
      <x:c r="W380" s="123"/>
      <x:c r="X380" s="126" t="b">
        <x:v>0</x:v>
      </x:c>
    </x:row>
    <x:row r="381" ht="18" customHeight="1">
      <x:c r="A381" s="111"/>
      <x:c r="B381" s="111"/>
      <x:c r="C381" s="111"/>
      <x:c r="D381" s="111"/>
      <x:c r="E381" s="129"/>
      <x:c r="F381" s="138"/>
      <x:c r="G381" s="133" t="str">
        <x:f>IF(OR(A381="",E381="",F381=""),"",E381+F381-IF('ตั้งค่า'!$B$12="นับรวมวันเซ็น",1,0))</x:f>
      </x:c>
      <x:c r="H381" s="134"/>
      <x:c r="I381" s="117" t="str">
        <x:v>ยังไม่ส่ง</x:v>
      </x:c>
      <x:c r="J381" s="141" t="str">
        <x:f>IF(A381="","",IF(G381="","",IF(I381="ส่งแล้ว",0,G381-TODAY())))</x:f>
      </x:c>
      <x:c r="K381" s="114" t="str">
        <x:f>IF(A381="","",IF(G381="","ยังไม่ระบุวัน",IF(I381="ส่งแล้ว",IF(H381="","ส่งแล้ว",IF(INT(H381)&lt;INT(G381),"ส่งก่อนกำหนด "&amp;(INT(G381)-INT(H381))&amp;" วัน",IF(INT(H381)=INT(G381),"ส่งตรงกำหนด","ส่งล่าช้า "&amp;(INT(H381)-INT(G381))&amp;" วัน"))),IFS(G381&lt;TODAY(),"เกินกำหนด "&amp;(TODAY()-G381)&amp;" วัน",G381=TODAY(),"ครบกำหนดวันนี้",G381-TODAY()&lt;=3,"เร่งดำเนินการ",G381-TODAY()&lt;=5,"ต้องติดตาม",G381-TODAY()&lt;=10,"ใกล้ครบกำหนด",TRUE,"อยู่ระหว่างดำเนินการ"))))</x:f>
      </x:c>
      <x:c r="L381" s="114" t="str">
        <x:f>IF(OR(A381="",P381=""),"",HYPERLINK(P381,"เปิดใน Google Calendar"))</x:f>
      </x:c>
      <x:c r="M381" s="111"/>
      <x:c r="N381" s="123"/>
      <x:c r="O381" s="123"/>
      <x:c r="P381" s="123"/>
      <x:c r="Q381" s="126" t="b">
        <x:v>0</x:v>
      </x:c>
      <x:c r="R381" s="126" t="b">
        <x:v>0</x:v>
      </x:c>
      <x:c r="S381" s="126" t="b">
        <x:v>0</x:v>
      </x:c>
      <x:c r="T381" s="126" t="b">
        <x:v>0</x:v>
      </x:c>
      <x:c r="U381" s="144"/>
      <x:c r="V381" s="123"/>
      <x:c r="W381" s="123"/>
      <x:c r="X381" s="126" t="b">
        <x:v>0</x:v>
      </x:c>
    </x:row>
    <x:row r="382" ht="18" customHeight="1">
      <x:c r="A382" s="111"/>
      <x:c r="B382" s="111"/>
      <x:c r="C382" s="111"/>
      <x:c r="D382" s="111"/>
      <x:c r="E382" s="129"/>
      <x:c r="F382" s="138"/>
      <x:c r="G382" s="133" t="str">
        <x:f>IF(OR(A382="",E382="",F382=""),"",E382+F382-IF('ตั้งค่า'!$B$12="นับรวมวันเซ็น",1,0))</x:f>
      </x:c>
      <x:c r="H382" s="134"/>
      <x:c r="I382" s="117" t="str">
        <x:v>ยังไม่ส่ง</x:v>
      </x:c>
      <x:c r="J382" s="141" t="str">
        <x:f>IF(A382="","",IF(G382="","",IF(I382="ส่งแล้ว",0,G382-TODAY())))</x:f>
      </x:c>
      <x:c r="K382" s="114" t="str">
        <x:f>IF(A382="","",IF(G382="","ยังไม่ระบุวัน",IF(I382="ส่งแล้ว",IF(H382="","ส่งแล้ว",IF(INT(H382)&lt;INT(G382),"ส่งก่อนกำหนด "&amp;(INT(G382)-INT(H382))&amp;" วัน",IF(INT(H382)=INT(G382),"ส่งตรงกำหนด","ส่งล่าช้า "&amp;(INT(H382)-INT(G382))&amp;" วัน"))),IFS(G382&lt;TODAY(),"เกินกำหนด "&amp;(TODAY()-G382)&amp;" วัน",G382=TODAY(),"ครบกำหนดวันนี้",G382-TODAY()&lt;=3,"เร่งดำเนินการ",G382-TODAY()&lt;=5,"ต้องติดตาม",G382-TODAY()&lt;=10,"ใกล้ครบกำหนด",TRUE,"อยู่ระหว่างดำเนินการ"))))</x:f>
      </x:c>
      <x:c r="L382" s="114" t="str">
        <x:f>IF(OR(A382="",P382=""),"",HYPERLINK(P382,"เปิดใน Google Calendar"))</x:f>
      </x:c>
      <x:c r="M382" s="111"/>
      <x:c r="N382" s="123"/>
      <x:c r="O382" s="123"/>
      <x:c r="P382" s="123"/>
      <x:c r="Q382" s="126" t="b">
        <x:v>0</x:v>
      </x:c>
      <x:c r="R382" s="126" t="b">
        <x:v>0</x:v>
      </x:c>
      <x:c r="S382" s="126" t="b">
        <x:v>0</x:v>
      </x:c>
      <x:c r="T382" s="126" t="b">
        <x:v>0</x:v>
      </x:c>
      <x:c r="U382" s="144"/>
      <x:c r="V382" s="123"/>
      <x:c r="W382" s="123"/>
      <x:c r="X382" s="126" t="b">
        <x:v>0</x:v>
      </x:c>
    </x:row>
    <x:row r="383" ht="18" customHeight="1">
      <x:c r="A383" s="111"/>
      <x:c r="B383" s="111"/>
      <x:c r="C383" s="111"/>
      <x:c r="D383" s="111"/>
      <x:c r="E383" s="129"/>
      <x:c r="F383" s="138"/>
      <x:c r="G383" s="133" t="str">
        <x:f>IF(OR(A383="",E383="",F383=""),"",E383+F383-IF('ตั้งค่า'!$B$12="นับรวมวันเซ็น",1,0))</x:f>
      </x:c>
      <x:c r="H383" s="134"/>
      <x:c r="I383" s="117" t="str">
        <x:v>ยังไม่ส่ง</x:v>
      </x:c>
      <x:c r="J383" s="141" t="str">
        <x:f>IF(A383="","",IF(G383="","",IF(I383="ส่งแล้ว",0,G383-TODAY())))</x:f>
      </x:c>
      <x:c r="K383" s="114" t="str">
        <x:f>IF(A383="","",IF(G383="","ยังไม่ระบุวัน",IF(I383="ส่งแล้ว",IF(H383="","ส่งแล้ว",IF(INT(H383)&lt;INT(G383),"ส่งก่อนกำหนด "&amp;(INT(G383)-INT(H383))&amp;" วัน",IF(INT(H383)=INT(G383),"ส่งตรงกำหนด","ส่งล่าช้า "&amp;(INT(H383)-INT(G383))&amp;" วัน"))),IFS(G383&lt;TODAY(),"เกินกำหนด "&amp;(TODAY()-G383)&amp;" วัน",G383=TODAY(),"ครบกำหนดวันนี้",G383-TODAY()&lt;=3,"เร่งดำเนินการ",G383-TODAY()&lt;=5,"ต้องติดตาม",G383-TODAY()&lt;=10,"ใกล้ครบกำหนด",TRUE,"อยู่ระหว่างดำเนินการ"))))</x:f>
      </x:c>
      <x:c r="L383" s="114" t="str">
        <x:f>IF(OR(A383="",P383=""),"",HYPERLINK(P383,"เปิดใน Google Calendar"))</x:f>
      </x:c>
      <x:c r="M383" s="111"/>
      <x:c r="N383" s="123"/>
      <x:c r="O383" s="123"/>
      <x:c r="P383" s="123"/>
      <x:c r="Q383" s="126" t="b">
        <x:v>0</x:v>
      </x:c>
      <x:c r="R383" s="126" t="b">
        <x:v>0</x:v>
      </x:c>
      <x:c r="S383" s="126" t="b">
        <x:v>0</x:v>
      </x:c>
      <x:c r="T383" s="126" t="b">
        <x:v>0</x:v>
      </x:c>
      <x:c r="U383" s="144"/>
      <x:c r="V383" s="123"/>
      <x:c r="W383" s="123"/>
      <x:c r="X383" s="126" t="b">
        <x:v>0</x:v>
      </x:c>
    </x:row>
    <x:row r="384" ht="18" customHeight="1">
      <x:c r="A384" s="111"/>
      <x:c r="B384" s="111"/>
      <x:c r="C384" s="111"/>
      <x:c r="D384" s="111"/>
      <x:c r="E384" s="129"/>
      <x:c r="F384" s="138"/>
      <x:c r="G384" s="133" t="str">
        <x:f>IF(OR(A384="",E384="",F384=""),"",E384+F384-IF('ตั้งค่า'!$B$12="นับรวมวันเซ็น",1,0))</x:f>
      </x:c>
      <x:c r="H384" s="134"/>
      <x:c r="I384" s="117" t="str">
        <x:v>ยังไม่ส่ง</x:v>
      </x:c>
      <x:c r="J384" s="141" t="str">
        <x:f>IF(A384="","",IF(G384="","",IF(I384="ส่งแล้ว",0,G384-TODAY())))</x:f>
      </x:c>
      <x:c r="K384" s="114" t="str">
        <x:f>IF(A384="","",IF(G384="","ยังไม่ระบุวัน",IF(I384="ส่งแล้ว",IF(H384="","ส่งแล้ว",IF(INT(H384)&lt;INT(G384),"ส่งก่อนกำหนด "&amp;(INT(G384)-INT(H384))&amp;" วัน",IF(INT(H384)=INT(G384),"ส่งตรงกำหนด","ส่งล่าช้า "&amp;(INT(H384)-INT(G384))&amp;" วัน"))),IFS(G384&lt;TODAY(),"เกินกำหนด "&amp;(TODAY()-G384)&amp;" วัน",G384=TODAY(),"ครบกำหนดวันนี้",G384-TODAY()&lt;=3,"เร่งดำเนินการ",G384-TODAY()&lt;=5,"ต้องติดตาม",G384-TODAY()&lt;=10,"ใกล้ครบกำหนด",TRUE,"อยู่ระหว่างดำเนินการ"))))</x:f>
      </x:c>
      <x:c r="L384" s="114" t="str">
        <x:f>IF(OR(A384="",P384=""),"",HYPERLINK(P384,"เปิดใน Google Calendar"))</x:f>
      </x:c>
      <x:c r="M384" s="111"/>
      <x:c r="N384" s="123"/>
      <x:c r="O384" s="123"/>
      <x:c r="P384" s="123"/>
      <x:c r="Q384" s="126" t="b">
        <x:v>0</x:v>
      </x:c>
      <x:c r="R384" s="126" t="b">
        <x:v>0</x:v>
      </x:c>
      <x:c r="S384" s="126" t="b">
        <x:v>0</x:v>
      </x:c>
      <x:c r="T384" s="126" t="b">
        <x:v>0</x:v>
      </x:c>
      <x:c r="U384" s="144"/>
      <x:c r="V384" s="123"/>
      <x:c r="W384" s="123"/>
      <x:c r="X384" s="126" t="b">
        <x:v>0</x:v>
      </x:c>
    </x:row>
    <x:row r="385" ht="18" customHeight="1">
      <x:c r="A385" s="111"/>
      <x:c r="B385" s="111"/>
      <x:c r="C385" s="111"/>
      <x:c r="D385" s="111"/>
      <x:c r="E385" s="129"/>
      <x:c r="F385" s="138"/>
      <x:c r="G385" s="133" t="str">
        <x:f>IF(OR(A385="",E385="",F385=""),"",E385+F385-IF('ตั้งค่า'!$B$12="นับรวมวันเซ็น",1,0))</x:f>
      </x:c>
      <x:c r="H385" s="134"/>
      <x:c r="I385" s="117" t="str">
        <x:v>ยังไม่ส่ง</x:v>
      </x:c>
      <x:c r="J385" s="141" t="str">
        <x:f>IF(A385="","",IF(G385="","",IF(I385="ส่งแล้ว",0,G385-TODAY())))</x:f>
      </x:c>
      <x:c r="K385" s="114" t="str">
        <x:f>IF(A385="","",IF(G385="","ยังไม่ระบุวัน",IF(I385="ส่งแล้ว",IF(H385="","ส่งแล้ว",IF(INT(H385)&lt;INT(G385),"ส่งก่อนกำหนด "&amp;(INT(G385)-INT(H385))&amp;" วัน",IF(INT(H385)=INT(G385),"ส่งตรงกำหนด","ส่งล่าช้า "&amp;(INT(H385)-INT(G385))&amp;" วัน"))),IFS(G385&lt;TODAY(),"เกินกำหนด "&amp;(TODAY()-G385)&amp;" วัน",G385=TODAY(),"ครบกำหนดวันนี้",G385-TODAY()&lt;=3,"เร่งดำเนินการ",G385-TODAY()&lt;=5,"ต้องติดตาม",G385-TODAY()&lt;=10,"ใกล้ครบกำหนด",TRUE,"อยู่ระหว่างดำเนินการ"))))</x:f>
      </x:c>
      <x:c r="L385" s="114" t="str">
        <x:f>IF(OR(A385="",P385=""),"",HYPERLINK(P385,"เปิดใน Google Calendar"))</x:f>
      </x:c>
      <x:c r="M385" s="111"/>
      <x:c r="N385" s="123"/>
      <x:c r="O385" s="123"/>
      <x:c r="P385" s="123"/>
      <x:c r="Q385" s="126" t="b">
        <x:v>0</x:v>
      </x:c>
      <x:c r="R385" s="126" t="b">
        <x:v>0</x:v>
      </x:c>
      <x:c r="S385" s="126" t="b">
        <x:v>0</x:v>
      </x:c>
      <x:c r="T385" s="126" t="b">
        <x:v>0</x:v>
      </x:c>
      <x:c r="U385" s="144"/>
      <x:c r="V385" s="123"/>
      <x:c r="W385" s="123"/>
      <x:c r="X385" s="126" t="b">
        <x:v>0</x:v>
      </x:c>
    </x:row>
    <x:row r="386" ht="18" customHeight="1">
      <x:c r="A386" s="111"/>
      <x:c r="B386" s="111"/>
      <x:c r="C386" s="111"/>
      <x:c r="D386" s="111"/>
      <x:c r="E386" s="129"/>
      <x:c r="F386" s="138"/>
      <x:c r="G386" s="133" t="str">
        <x:f>IF(OR(A386="",E386="",F386=""),"",E386+F386-IF('ตั้งค่า'!$B$12="นับรวมวันเซ็น",1,0))</x:f>
      </x:c>
      <x:c r="H386" s="134"/>
      <x:c r="I386" s="117" t="str">
        <x:v>ยังไม่ส่ง</x:v>
      </x:c>
      <x:c r="J386" s="141" t="str">
        <x:f>IF(A386="","",IF(G386="","",IF(I386="ส่งแล้ว",0,G386-TODAY())))</x:f>
      </x:c>
      <x:c r="K386" s="114" t="str">
        <x:f>IF(A386="","",IF(G386="","ยังไม่ระบุวัน",IF(I386="ส่งแล้ว",IF(H386="","ส่งแล้ว",IF(INT(H386)&lt;INT(G386),"ส่งก่อนกำหนด "&amp;(INT(G386)-INT(H386))&amp;" วัน",IF(INT(H386)=INT(G386),"ส่งตรงกำหนด","ส่งล่าช้า "&amp;(INT(H386)-INT(G386))&amp;" วัน"))),IFS(G386&lt;TODAY(),"เกินกำหนด "&amp;(TODAY()-G386)&amp;" วัน",G386=TODAY(),"ครบกำหนดวันนี้",G386-TODAY()&lt;=3,"เร่งดำเนินการ",G386-TODAY()&lt;=5,"ต้องติดตาม",G386-TODAY()&lt;=10,"ใกล้ครบกำหนด",TRUE,"อยู่ระหว่างดำเนินการ"))))</x:f>
      </x:c>
      <x:c r="L386" s="114" t="str">
        <x:f>IF(OR(A386="",P386=""),"",HYPERLINK(P386,"เปิดใน Google Calendar"))</x:f>
      </x:c>
      <x:c r="M386" s="111"/>
      <x:c r="N386" s="123"/>
      <x:c r="O386" s="123"/>
      <x:c r="P386" s="123"/>
      <x:c r="Q386" s="126" t="b">
        <x:v>0</x:v>
      </x:c>
      <x:c r="R386" s="126" t="b">
        <x:v>0</x:v>
      </x:c>
      <x:c r="S386" s="126" t="b">
        <x:v>0</x:v>
      </x:c>
      <x:c r="T386" s="126" t="b">
        <x:v>0</x:v>
      </x:c>
      <x:c r="U386" s="144"/>
      <x:c r="V386" s="123"/>
      <x:c r="W386" s="123"/>
      <x:c r="X386" s="126" t="b">
        <x:v>0</x:v>
      </x:c>
    </x:row>
    <x:row r="387" ht="18" customHeight="1">
      <x:c r="A387" s="111"/>
      <x:c r="B387" s="111"/>
      <x:c r="C387" s="111"/>
      <x:c r="D387" s="111"/>
      <x:c r="E387" s="129"/>
      <x:c r="F387" s="138"/>
      <x:c r="G387" s="133" t="str">
        <x:f>IF(OR(A387="",E387="",F387=""),"",E387+F387-IF('ตั้งค่า'!$B$12="นับรวมวันเซ็น",1,0))</x:f>
      </x:c>
      <x:c r="H387" s="134"/>
      <x:c r="I387" s="117" t="str">
        <x:v>ยังไม่ส่ง</x:v>
      </x:c>
      <x:c r="J387" s="141" t="str">
        <x:f>IF(A387="","",IF(G387="","",IF(I387="ส่งแล้ว",0,G387-TODAY())))</x:f>
      </x:c>
      <x:c r="K387" s="114" t="str">
        <x:f>IF(A387="","",IF(G387="","ยังไม่ระบุวัน",IF(I387="ส่งแล้ว",IF(H387="","ส่งแล้ว",IF(INT(H387)&lt;INT(G387),"ส่งก่อนกำหนด "&amp;(INT(G387)-INT(H387))&amp;" วัน",IF(INT(H387)=INT(G387),"ส่งตรงกำหนด","ส่งล่าช้า "&amp;(INT(H387)-INT(G387))&amp;" วัน"))),IFS(G387&lt;TODAY(),"เกินกำหนด "&amp;(TODAY()-G387)&amp;" วัน",G387=TODAY(),"ครบกำหนดวันนี้",G387-TODAY()&lt;=3,"เร่งดำเนินการ",G387-TODAY()&lt;=5,"ต้องติดตาม",G387-TODAY()&lt;=10,"ใกล้ครบกำหนด",TRUE,"อยู่ระหว่างดำเนินการ"))))</x:f>
      </x:c>
      <x:c r="L387" s="114" t="str">
        <x:f>IF(OR(A387="",P387=""),"",HYPERLINK(P387,"เปิดใน Google Calendar"))</x:f>
      </x:c>
      <x:c r="M387" s="111"/>
      <x:c r="N387" s="123"/>
      <x:c r="O387" s="123"/>
      <x:c r="P387" s="123"/>
      <x:c r="Q387" s="126" t="b">
        <x:v>0</x:v>
      </x:c>
      <x:c r="R387" s="126" t="b">
        <x:v>0</x:v>
      </x:c>
      <x:c r="S387" s="126" t="b">
        <x:v>0</x:v>
      </x:c>
      <x:c r="T387" s="126" t="b">
        <x:v>0</x:v>
      </x:c>
      <x:c r="U387" s="144"/>
      <x:c r="V387" s="123"/>
      <x:c r="W387" s="123"/>
      <x:c r="X387" s="126" t="b">
        <x:v>0</x:v>
      </x:c>
    </x:row>
    <x:row r="388" ht="18" customHeight="1">
      <x:c r="A388" s="111"/>
      <x:c r="B388" s="111"/>
      <x:c r="C388" s="111"/>
      <x:c r="D388" s="111"/>
      <x:c r="E388" s="129"/>
      <x:c r="F388" s="138"/>
      <x:c r="G388" s="133" t="str">
        <x:f>IF(OR(A388="",E388="",F388=""),"",E388+F388-IF('ตั้งค่า'!$B$12="นับรวมวันเซ็น",1,0))</x:f>
      </x:c>
      <x:c r="H388" s="134"/>
      <x:c r="I388" s="117" t="str">
        <x:v>ยังไม่ส่ง</x:v>
      </x:c>
      <x:c r="J388" s="141" t="str">
        <x:f>IF(A388="","",IF(G388="","",IF(I388="ส่งแล้ว",0,G388-TODAY())))</x:f>
      </x:c>
      <x:c r="K388" s="114" t="str">
        <x:f>IF(A388="","",IF(G388="","ยังไม่ระบุวัน",IF(I388="ส่งแล้ว",IF(H388="","ส่งแล้ว",IF(INT(H388)&lt;INT(G388),"ส่งก่อนกำหนด "&amp;(INT(G388)-INT(H388))&amp;" วัน",IF(INT(H388)=INT(G388),"ส่งตรงกำหนด","ส่งล่าช้า "&amp;(INT(H388)-INT(G388))&amp;" วัน"))),IFS(G388&lt;TODAY(),"เกินกำหนด "&amp;(TODAY()-G388)&amp;" วัน",G388=TODAY(),"ครบกำหนดวันนี้",G388-TODAY()&lt;=3,"เร่งดำเนินการ",G388-TODAY()&lt;=5,"ต้องติดตาม",G388-TODAY()&lt;=10,"ใกล้ครบกำหนด",TRUE,"อยู่ระหว่างดำเนินการ"))))</x:f>
      </x:c>
      <x:c r="L388" s="114" t="str">
        <x:f>IF(OR(A388="",P388=""),"",HYPERLINK(P388,"เปิดใน Google Calendar"))</x:f>
      </x:c>
      <x:c r="M388" s="111"/>
      <x:c r="N388" s="123"/>
      <x:c r="O388" s="123"/>
      <x:c r="P388" s="123"/>
      <x:c r="Q388" s="126" t="b">
        <x:v>0</x:v>
      </x:c>
      <x:c r="R388" s="126" t="b">
        <x:v>0</x:v>
      </x:c>
      <x:c r="S388" s="126" t="b">
        <x:v>0</x:v>
      </x:c>
      <x:c r="T388" s="126" t="b">
        <x:v>0</x:v>
      </x:c>
      <x:c r="U388" s="144"/>
      <x:c r="V388" s="123"/>
      <x:c r="W388" s="123"/>
      <x:c r="X388" s="126" t="b">
        <x:v>0</x:v>
      </x:c>
    </x:row>
    <x:row r="389" ht="18" customHeight="1">
      <x:c r="A389" s="111"/>
      <x:c r="B389" s="111"/>
      <x:c r="C389" s="111"/>
      <x:c r="D389" s="111"/>
      <x:c r="E389" s="129"/>
      <x:c r="F389" s="138"/>
      <x:c r="G389" s="133" t="str">
        <x:f>IF(OR(A389="",E389="",F389=""),"",E389+F389-IF('ตั้งค่า'!$B$12="นับรวมวันเซ็น",1,0))</x:f>
      </x:c>
      <x:c r="H389" s="134"/>
      <x:c r="I389" s="117" t="str">
        <x:v>ยังไม่ส่ง</x:v>
      </x:c>
      <x:c r="J389" s="141" t="str">
        <x:f>IF(A389="","",IF(G389="","",IF(I389="ส่งแล้ว",0,G389-TODAY())))</x:f>
      </x:c>
      <x:c r="K389" s="114" t="str">
        <x:f>IF(A389="","",IF(G389="","ยังไม่ระบุวัน",IF(I389="ส่งแล้ว",IF(H389="","ส่งแล้ว",IF(INT(H389)&lt;INT(G389),"ส่งก่อนกำหนด "&amp;(INT(G389)-INT(H389))&amp;" วัน",IF(INT(H389)=INT(G389),"ส่งตรงกำหนด","ส่งล่าช้า "&amp;(INT(H389)-INT(G389))&amp;" วัน"))),IFS(G389&lt;TODAY(),"เกินกำหนด "&amp;(TODAY()-G389)&amp;" วัน",G389=TODAY(),"ครบกำหนดวันนี้",G389-TODAY()&lt;=3,"เร่งดำเนินการ",G389-TODAY()&lt;=5,"ต้องติดตาม",G389-TODAY()&lt;=10,"ใกล้ครบกำหนด",TRUE,"อยู่ระหว่างดำเนินการ"))))</x:f>
      </x:c>
      <x:c r="L389" s="114" t="str">
        <x:f>IF(OR(A389="",P389=""),"",HYPERLINK(P389,"เปิดใน Google Calendar"))</x:f>
      </x:c>
      <x:c r="M389" s="111"/>
      <x:c r="N389" s="123"/>
      <x:c r="O389" s="123"/>
      <x:c r="P389" s="123"/>
      <x:c r="Q389" s="126" t="b">
        <x:v>0</x:v>
      </x:c>
      <x:c r="R389" s="126" t="b">
        <x:v>0</x:v>
      </x:c>
      <x:c r="S389" s="126" t="b">
        <x:v>0</x:v>
      </x:c>
      <x:c r="T389" s="126" t="b">
        <x:v>0</x:v>
      </x:c>
      <x:c r="U389" s="144"/>
      <x:c r="V389" s="123"/>
      <x:c r="W389" s="123"/>
      <x:c r="X389" s="126" t="b">
        <x:v>0</x:v>
      </x:c>
    </x:row>
    <x:row r="390" ht="18" customHeight="1">
      <x:c r="A390" s="111"/>
      <x:c r="B390" s="111"/>
      <x:c r="C390" s="111"/>
      <x:c r="D390" s="111"/>
      <x:c r="E390" s="129"/>
      <x:c r="F390" s="138"/>
      <x:c r="G390" s="133" t="str">
        <x:f>IF(OR(A390="",E390="",F390=""),"",E390+F390-IF('ตั้งค่า'!$B$12="นับรวมวันเซ็น",1,0))</x:f>
      </x:c>
      <x:c r="H390" s="134"/>
      <x:c r="I390" s="117" t="str">
        <x:v>ยังไม่ส่ง</x:v>
      </x:c>
      <x:c r="J390" s="141" t="str">
        <x:f>IF(A390="","",IF(G390="","",IF(I390="ส่งแล้ว",0,G390-TODAY())))</x:f>
      </x:c>
      <x:c r="K390" s="114" t="str">
        <x:f>IF(A390="","",IF(G390="","ยังไม่ระบุวัน",IF(I390="ส่งแล้ว",IF(H390="","ส่งแล้ว",IF(INT(H390)&lt;INT(G390),"ส่งก่อนกำหนด "&amp;(INT(G390)-INT(H390))&amp;" วัน",IF(INT(H390)=INT(G390),"ส่งตรงกำหนด","ส่งล่าช้า "&amp;(INT(H390)-INT(G390))&amp;" วัน"))),IFS(G390&lt;TODAY(),"เกินกำหนด "&amp;(TODAY()-G390)&amp;" วัน",G390=TODAY(),"ครบกำหนดวันนี้",G390-TODAY()&lt;=3,"เร่งดำเนินการ",G390-TODAY()&lt;=5,"ต้องติดตาม",G390-TODAY()&lt;=10,"ใกล้ครบกำหนด",TRUE,"อยู่ระหว่างดำเนินการ"))))</x:f>
      </x:c>
      <x:c r="L390" s="114" t="str">
        <x:f>IF(OR(A390="",P390=""),"",HYPERLINK(P390,"เปิดใน Google Calendar"))</x:f>
      </x:c>
      <x:c r="M390" s="111"/>
      <x:c r="N390" s="123"/>
      <x:c r="O390" s="123"/>
      <x:c r="P390" s="123"/>
      <x:c r="Q390" s="126" t="b">
        <x:v>0</x:v>
      </x:c>
      <x:c r="R390" s="126" t="b">
        <x:v>0</x:v>
      </x:c>
      <x:c r="S390" s="126" t="b">
        <x:v>0</x:v>
      </x:c>
      <x:c r="T390" s="126" t="b">
        <x:v>0</x:v>
      </x:c>
      <x:c r="U390" s="144"/>
      <x:c r="V390" s="123"/>
      <x:c r="W390" s="123"/>
      <x:c r="X390" s="126" t="b">
        <x:v>0</x:v>
      </x:c>
    </x:row>
    <x:row r="391" ht="18" customHeight="1">
      <x:c r="A391" s="111"/>
      <x:c r="B391" s="111"/>
      <x:c r="C391" s="111"/>
      <x:c r="D391" s="111"/>
      <x:c r="E391" s="129"/>
      <x:c r="F391" s="138"/>
      <x:c r="G391" s="133" t="str">
        <x:f>IF(OR(A391="",E391="",F391=""),"",E391+F391-IF('ตั้งค่า'!$B$12="นับรวมวันเซ็น",1,0))</x:f>
      </x:c>
      <x:c r="H391" s="134"/>
      <x:c r="I391" s="117" t="str">
        <x:v>ยังไม่ส่ง</x:v>
      </x:c>
      <x:c r="J391" s="141" t="str">
        <x:f>IF(A391="","",IF(G391="","",IF(I391="ส่งแล้ว",0,G391-TODAY())))</x:f>
      </x:c>
      <x:c r="K391" s="114" t="str">
        <x:f>IF(A391="","",IF(G391="","ยังไม่ระบุวัน",IF(I391="ส่งแล้ว",IF(H391="","ส่งแล้ว",IF(INT(H391)&lt;INT(G391),"ส่งก่อนกำหนด "&amp;(INT(G391)-INT(H391))&amp;" วัน",IF(INT(H391)=INT(G391),"ส่งตรงกำหนด","ส่งล่าช้า "&amp;(INT(H391)-INT(G391))&amp;" วัน"))),IFS(G391&lt;TODAY(),"เกินกำหนด "&amp;(TODAY()-G391)&amp;" วัน",G391=TODAY(),"ครบกำหนดวันนี้",G391-TODAY()&lt;=3,"เร่งดำเนินการ",G391-TODAY()&lt;=5,"ต้องติดตาม",G391-TODAY()&lt;=10,"ใกล้ครบกำหนด",TRUE,"อยู่ระหว่างดำเนินการ"))))</x:f>
      </x:c>
      <x:c r="L391" s="114" t="str">
        <x:f>IF(OR(A391="",P391=""),"",HYPERLINK(P391,"เปิดใน Google Calendar"))</x:f>
      </x:c>
      <x:c r="M391" s="111"/>
      <x:c r="N391" s="123"/>
      <x:c r="O391" s="123"/>
      <x:c r="P391" s="123"/>
      <x:c r="Q391" s="126" t="b">
        <x:v>0</x:v>
      </x:c>
      <x:c r="R391" s="126" t="b">
        <x:v>0</x:v>
      </x:c>
      <x:c r="S391" s="126" t="b">
        <x:v>0</x:v>
      </x:c>
      <x:c r="T391" s="126" t="b">
        <x:v>0</x:v>
      </x:c>
      <x:c r="U391" s="144"/>
      <x:c r="V391" s="123"/>
      <x:c r="W391" s="123"/>
      <x:c r="X391" s="126" t="b">
        <x:v>0</x:v>
      </x:c>
    </x:row>
    <x:row r="392" ht="18" customHeight="1">
      <x:c r="A392" s="111"/>
      <x:c r="B392" s="111"/>
      <x:c r="C392" s="111"/>
      <x:c r="D392" s="111"/>
      <x:c r="E392" s="129"/>
      <x:c r="F392" s="138"/>
      <x:c r="G392" s="133" t="str">
        <x:f>IF(OR(A392="",E392="",F392=""),"",E392+F392-IF('ตั้งค่า'!$B$12="นับรวมวันเซ็น",1,0))</x:f>
      </x:c>
      <x:c r="H392" s="134"/>
      <x:c r="I392" s="117" t="str">
        <x:v>ยังไม่ส่ง</x:v>
      </x:c>
      <x:c r="J392" s="141" t="str">
        <x:f>IF(A392="","",IF(G392="","",IF(I392="ส่งแล้ว",0,G392-TODAY())))</x:f>
      </x:c>
      <x:c r="K392" s="114" t="str">
        <x:f>IF(A392="","",IF(G392="","ยังไม่ระบุวัน",IF(I392="ส่งแล้ว",IF(H392="","ส่งแล้ว",IF(INT(H392)&lt;INT(G392),"ส่งก่อนกำหนด "&amp;(INT(G392)-INT(H392))&amp;" วัน",IF(INT(H392)=INT(G392),"ส่งตรงกำหนด","ส่งล่าช้า "&amp;(INT(H392)-INT(G392))&amp;" วัน"))),IFS(G392&lt;TODAY(),"เกินกำหนด "&amp;(TODAY()-G392)&amp;" วัน",G392=TODAY(),"ครบกำหนดวันนี้",G392-TODAY()&lt;=3,"เร่งดำเนินการ",G392-TODAY()&lt;=5,"ต้องติดตาม",G392-TODAY()&lt;=10,"ใกล้ครบกำหนด",TRUE,"อยู่ระหว่างดำเนินการ"))))</x:f>
      </x:c>
      <x:c r="L392" s="114" t="str">
        <x:f>IF(OR(A392="",P392=""),"",HYPERLINK(P392,"เปิดใน Google Calendar"))</x:f>
      </x:c>
      <x:c r="M392" s="111"/>
      <x:c r="N392" s="123"/>
      <x:c r="O392" s="123"/>
      <x:c r="P392" s="123"/>
      <x:c r="Q392" s="126" t="b">
        <x:v>0</x:v>
      </x:c>
      <x:c r="R392" s="126" t="b">
        <x:v>0</x:v>
      </x:c>
      <x:c r="S392" s="126" t="b">
        <x:v>0</x:v>
      </x:c>
      <x:c r="T392" s="126" t="b">
        <x:v>0</x:v>
      </x:c>
      <x:c r="U392" s="144"/>
      <x:c r="V392" s="123"/>
      <x:c r="W392" s="123"/>
      <x:c r="X392" s="126" t="b">
        <x:v>0</x:v>
      </x:c>
    </x:row>
    <x:row r="393" ht="18" customHeight="1">
      <x:c r="A393" s="111"/>
      <x:c r="B393" s="111"/>
      <x:c r="C393" s="111"/>
      <x:c r="D393" s="111"/>
      <x:c r="E393" s="129"/>
      <x:c r="F393" s="138"/>
      <x:c r="G393" s="133" t="str">
        <x:f>IF(OR(A393="",E393="",F393=""),"",E393+F393-IF('ตั้งค่า'!$B$12="นับรวมวันเซ็น",1,0))</x:f>
      </x:c>
      <x:c r="H393" s="134"/>
      <x:c r="I393" s="117" t="str">
        <x:v>ยังไม่ส่ง</x:v>
      </x:c>
      <x:c r="J393" s="141" t="str">
        <x:f>IF(A393="","",IF(G393="","",IF(I393="ส่งแล้ว",0,G393-TODAY())))</x:f>
      </x:c>
      <x:c r="K393" s="114" t="str">
        <x:f>IF(A393="","",IF(G393="","ยังไม่ระบุวัน",IF(I393="ส่งแล้ว",IF(H393="","ส่งแล้ว",IF(INT(H393)&lt;INT(G393),"ส่งก่อนกำหนด "&amp;(INT(G393)-INT(H393))&amp;" วัน",IF(INT(H393)=INT(G393),"ส่งตรงกำหนด","ส่งล่าช้า "&amp;(INT(H393)-INT(G393))&amp;" วัน"))),IFS(G393&lt;TODAY(),"เกินกำหนด "&amp;(TODAY()-G393)&amp;" วัน",G393=TODAY(),"ครบกำหนดวันนี้",G393-TODAY()&lt;=3,"เร่งดำเนินการ",G393-TODAY()&lt;=5,"ต้องติดตาม",G393-TODAY()&lt;=10,"ใกล้ครบกำหนด",TRUE,"อยู่ระหว่างดำเนินการ"))))</x:f>
      </x:c>
      <x:c r="L393" s="114" t="str">
        <x:f>IF(OR(A393="",P393=""),"",HYPERLINK(P393,"เปิดใน Google Calendar"))</x:f>
      </x:c>
      <x:c r="M393" s="111"/>
      <x:c r="N393" s="123"/>
      <x:c r="O393" s="123"/>
      <x:c r="P393" s="123"/>
      <x:c r="Q393" s="126" t="b">
        <x:v>0</x:v>
      </x:c>
      <x:c r="R393" s="126" t="b">
        <x:v>0</x:v>
      </x:c>
      <x:c r="S393" s="126" t="b">
        <x:v>0</x:v>
      </x:c>
      <x:c r="T393" s="126" t="b">
        <x:v>0</x:v>
      </x:c>
      <x:c r="U393" s="144"/>
      <x:c r="V393" s="123"/>
      <x:c r="W393" s="123"/>
      <x:c r="X393" s="126" t="b">
        <x:v>0</x:v>
      </x:c>
    </x:row>
    <x:row r="394" ht="18" customHeight="1">
      <x:c r="A394" s="111"/>
      <x:c r="B394" s="111"/>
      <x:c r="C394" s="111"/>
      <x:c r="D394" s="111"/>
      <x:c r="E394" s="129"/>
      <x:c r="F394" s="138"/>
      <x:c r="G394" s="133" t="str">
        <x:f>IF(OR(A394="",E394="",F394=""),"",E394+F394-IF('ตั้งค่า'!$B$12="นับรวมวันเซ็น",1,0))</x:f>
      </x:c>
      <x:c r="H394" s="134"/>
      <x:c r="I394" s="117" t="str">
        <x:v>ยังไม่ส่ง</x:v>
      </x:c>
      <x:c r="J394" s="141" t="str">
        <x:f>IF(A394="","",IF(G394="","",IF(I394="ส่งแล้ว",0,G394-TODAY())))</x:f>
      </x:c>
      <x:c r="K394" s="114" t="str">
        <x:f>IF(A394="","",IF(G394="","ยังไม่ระบุวัน",IF(I394="ส่งแล้ว",IF(H394="","ส่งแล้ว",IF(INT(H394)&lt;INT(G394),"ส่งก่อนกำหนด "&amp;(INT(G394)-INT(H394))&amp;" วัน",IF(INT(H394)=INT(G394),"ส่งตรงกำหนด","ส่งล่าช้า "&amp;(INT(H394)-INT(G394))&amp;" วัน"))),IFS(G394&lt;TODAY(),"เกินกำหนด "&amp;(TODAY()-G394)&amp;" วัน",G394=TODAY(),"ครบกำหนดวันนี้",G394-TODAY()&lt;=3,"เร่งดำเนินการ",G394-TODAY()&lt;=5,"ต้องติดตาม",G394-TODAY()&lt;=10,"ใกล้ครบกำหนด",TRUE,"อยู่ระหว่างดำเนินการ"))))</x:f>
      </x:c>
      <x:c r="L394" s="114" t="str">
        <x:f>IF(OR(A394="",P394=""),"",HYPERLINK(P394,"เปิดใน Google Calendar"))</x:f>
      </x:c>
      <x:c r="M394" s="111"/>
      <x:c r="N394" s="123"/>
      <x:c r="O394" s="123"/>
      <x:c r="P394" s="123"/>
      <x:c r="Q394" s="126" t="b">
        <x:v>0</x:v>
      </x:c>
      <x:c r="R394" s="126" t="b">
        <x:v>0</x:v>
      </x:c>
      <x:c r="S394" s="126" t="b">
        <x:v>0</x:v>
      </x:c>
      <x:c r="T394" s="126" t="b">
        <x:v>0</x:v>
      </x:c>
      <x:c r="U394" s="144"/>
      <x:c r="V394" s="123"/>
      <x:c r="W394" s="123"/>
      <x:c r="X394" s="126" t="b">
        <x:v>0</x:v>
      </x:c>
    </x:row>
    <x:row r="395" ht="18" customHeight="1">
      <x:c r="A395" s="111"/>
      <x:c r="B395" s="111"/>
      <x:c r="C395" s="111"/>
      <x:c r="D395" s="111"/>
      <x:c r="E395" s="129"/>
      <x:c r="F395" s="138"/>
      <x:c r="G395" s="133" t="str">
        <x:f>IF(OR(A395="",E395="",F395=""),"",E395+F395-IF('ตั้งค่า'!$B$12="นับรวมวันเซ็น",1,0))</x:f>
      </x:c>
      <x:c r="H395" s="134"/>
      <x:c r="I395" s="117" t="str">
        <x:v>ยังไม่ส่ง</x:v>
      </x:c>
      <x:c r="J395" s="141" t="str">
        <x:f>IF(A395="","",IF(G395="","",IF(I395="ส่งแล้ว",0,G395-TODAY())))</x:f>
      </x:c>
      <x:c r="K395" s="114" t="str">
        <x:f>IF(A395="","",IF(G395="","ยังไม่ระบุวัน",IF(I395="ส่งแล้ว",IF(H395="","ส่งแล้ว",IF(INT(H395)&lt;INT(G395),"ส่งก่อนกำหนด "&amp;(INT(G395)-INT(H395))&amp;" วัน",IF(INT(H395)=INT(G395),"ส่งตรงกำหนด","ส่งล่าช้า "&amp;(INT(H395)-INT(G395))&amp;" วัน"))),IFS(G395&lt;TODAY(),"เกินกำหนด "&amp;(TODAY()-G395)&amp;" วัน",G395=TODAY(),"ครบกำหนดวันนี้",G395-TODAY()&lt;=3,"เร่งดำเนินการ",G395-TODAY()&lt;=5,"ต้องติดตาม",G395-TODAY()&lt;=10,"ใกล้ครบกำหนด",TRUE,"อยู่ระหว่างดำเนินการ"))))</x:f>
      </x:c>
      <x:c r="L395" s="114" t="str">
        <x:f>IF(OR(A395="",P395=""),"",HYPERLINK(P395,"เปิดใน Google Calendar"))</x:f>
      </x:c>
      <x:c r="M395" s="111"/>
      <x:c r="N395" s="123"/>
      <x:c r="O395" s="123"/>
      <x:c r="P395" s="123"/>
      <x:c r="Q395" s="126" t="b">
        <x:v>0</x:v>
      </x:c>
      <x:c r="R395" s="126" t="b">
        <x:v>0</x:v>
      </x:c>
      <x:c r="S395" s="126" t="b">
        <x:v>0</x:v>
      </x:c>
      <x:c r="T395" s="126" t="b">
        <x:v>0</x:v>
      </x:c>
      <x:c r="U395" s="144"/>
      <x:c r="V395" s="123"/>
      <x:c r="W395" s="123"/>
      <x:c r="X395" s="126" t="b">
        <x:v>0</x:v>
      </x:c>
    </x:row>
    <x:row r="396" ht="18" customHeight="1">
      <x:c r="A396" s="111"/>
      <x:c r="B396" s="111"/>
      <x:c r="C396" s="111"/>
      <x:c r="D396" s="111"/>
      <x:c r="E396" s="129"/>
      <x:c r="F396" s="138"/>
      <x:c r="G396" s="133" t="str">
        <x:f>IF(OR(A396="",E396="",F396=""),"",E396+F396-IF('ตั้งค่า'!$B$12="นับรวมวันเซ็น",1,0))</x:f>
      </x:c>
      <x:c r="H396" s="134"/>
      <x:c r="I396" s="117" t="str">
        <x:v>ยังไม่ส่ง</x:v>
      </x:c>
      <x:c r="J396" s="141" t="str">
        <x:f>IF(A396="","",IF(G396="","",IF(I396="ส่งแล้ว",0,G396-TODAY())))</x:f>
      </x:c>
      <x:c r="K396" s="114" t="str">
        <x:f>IF(A396="","",IF(G396="","ยังไม่ระบุวัน",IF(I396="ส่งแล้ว",IF(H396="","ส่งแล้ว",IF(INT(H396)&lt;INT(G396),"ส่งก่อนกำหนด "&amp;(INT(G396)-INT(H396))&amp;" วัน",IF(INT(H396)=INT(G396),"ส่งตรงกำหนด","ส่งล่าช้า "&amp;(INT(H396)-INT(G396))&amp;" วัน"))),IFS(G396&lt;TODAY(),"เกินกำหนด "&amp;(TODAY()-G396)&amp;" วัน",G396=TODAY(),"ครบกำหนดวันนี้",G396-TODAY()&lt;=3,"เร่งดำเนินการ",G396-TODAY()&lt;=5,"ต้องติดตาม",G396-TODAY()&lt;=10,"ใกล้ครบกำหนด",TRUE,"อยู่ระหว่างดำเนินการ"))))</x:f>
      </x:c>
      <x:c r="L396" s="114" t="str">
        <x:f>IF(OR(A396="",P396=""),"",HYPERLINK(P396,"เปิดใน Google Calendar"))</x:f>
      </x:c>
      <x:c r="M396" s="111"/>
      <x:c r="N396" s="123"/>
      <x:c r="O396" s="123"/>
      <x:c r="P396" s="123"/>
      <x:c r="Q396" s="126" t="b">
        <x:v>0</x:v>
      </x:c>
      <x:c r="R396" s="126" t="b">
        <x:v>0</x:v>
      </x:c>
      <x:c r="S396" s="126" t="b">
        <x:v>0</x:v>
      </x:c>
      <x:c r="T396" s="126" t="b">
        <x:v>0</x:v>
      </x:c>
      <x:c r="U396" s="144"/>
      <x:c r="V396" s="123"/>
      <x:c r="W396" s="123"/>
      <x:c r="X396" s="126" t="b">
        <x:v>0</x:v>
      </x:c>
    </x:row>
    <x:row r="397" ht="18" customHeight="1">
      <x:c r="A397" s="111"/>
      <x:c r="B397" s="111"/>
      <x:c r="C397" s="111"/>
      <x:c r="D397" s="111"/>
      <x:c r="E397" s="129"/>
      <x:c r="F397" s="138"/>
      <x:c r="G397" s="133" t="str">
        <x:f>IF(OR(A397="",E397="",F397=""),"",E397+F397-IF('ตั้งค่า'!$B$12="นับรวมวันเซ็น",1,0))</x:f>
      </x:c>
      <x:c r="H397" s="134"/>
      <x:c r="I397" s="117" t="str">
        <x:v>ยังไม่ส่ง</x:v>
      </x:c>
      <x:c r="J397" s="141" t="str">
        <x:f>IF(A397="","",IF(G397="","",IF(I397="ส่งแล้ว",0,G397-TODAY())))</x:f>
      </x:c>
      <x:c r="K397" s="114" t="str">
        <x:f>IF(A397="","",IF(G397="","ยังไม่ระบุวัน",IF(I397="ส่งแล้ว",IF(H397="","ส่งแล้ว",IF(INT(H397)&lt;INT(G397),"ส่งก่อนกำหนด "&amp;(INT(G397)-INT(H397))&amp;" วัน",IF(INT(H397)=INT(G397),"ส่งตรงกำหนด","ส่งล่าช้า "&amp;(INT(H397)-INT(G397))&amp;" วัน"))),IFS(G397&lt;TODAY(),"เกินกำหนด "&amp;(TODAY()-G397)&amp;" วัน",G397=TODAY(),"ครบกำหนดวันนี้",G397-TODAY()&lt;=3,"เร่งดำเนินการ",G397-TODAY()&lt;=5,"ต้องติดตาม",G397-TODAY()&lt;=10,"ใกล้ครบกำหนด",TRUE,"อยู่ระหว่างดำเนินการ"))))</x:f>
      </x:c>
      <x:c r="L397" s="114" t="str">
        <x:f>IF(OR(A397="",P397=""),"",HYPERLINK(P397,"เปิดใน Google Calendar"))</x:f>
      </x:c>
      <x:c r="M397" s="111"/>
      <x:c r="N397" s="123"/>
      <x:c r="O397" s="123"/>
      <x:c r="P397" s="123"/>
      <x:c r="Q397" s="126" t="b">
        <x:v>0</x:v>
      </x:c>
      <x:c r="R397" s="126" t="b">
        <x:v>0</x:v>
      </x:c>
      <x:c r="S397" s="126" t="b">
        <x:v>0</x:v>
      </x:c>
      <x:c r="T397" s="126" t="b">
        <x:v>0</x:v>
      </x:c>
      <x:c r="U397" s="144"/>
      <x:c r="V397" s="123"/>
      <x:c r="W397" s="123"/>
      <x:c r="X397" s="126" t="b">
        <x:v>0</x:v>
      </x:c>
    </x:row>
    <x:row r="398" ht="18" customHeight="1">
      <x:c r="A398" s="111"/>
      <x:c r="B398" s="111"/>
      <x:c r="C398" s="111"/>
      <x:c r="D398" s="111"/>
      <x:c r="E398" s="129"/>
      <x:c r="F398" s="138"/>
      <x:c r="G398" s="133" t="str">
        <x:f>IF(OR(A398="",E398="",F398=""),"",E398+F398-IF('ตั้งค่า'!$B$12="นับรวมวันเซ็น",1,0))</x:f>
      </x:c>
      <x:c r="H398" s="134"/>
      <x:c r="I398" s="117" t="str">
        <x:v>ยังไม่ส่ง</x:v>
      </x:c>
      <x:c r="J398" s="141" t="str">
        <x:f>IF(A398="","",IF(G398="","",IF(I398="ส่งแล้ว",0,G398-TODAY())))</x:f>
      </x:c>
      <x:c r="K398" s="114" t="str">
        <x:f>IF(A398="","",IF(G398="","ยังไม่ระบุวัน",IF(I398="ส่งแล้ว",IF(H398="","ส่งแล้ว",IF(INT(H398)&lt;INT(G398),"ส่งก่อนกำหนด "&amp;(INT(G398)-INT(H398))&amp;" วัน",IF(INT(H398)=INT(G398),"ส่งตรงกำหนด","ส่งล่าช้า "&amp;(INT(H398)-INT(G398))&amp;" วัน"))),IFS(G398&lt;TODAY(),"เกินกำหนด "&amp;(TODAY()-G398)&amp;" วัน",G398=TODAY(),"ครบกำหนดวันนี้",G398-TODAY()&lt;=3,"เร่งดำเนินการ",G398-TODAY()&lt;=5,"ต้องติดตาม",G398-TODAY()&lt;=10,"ใกล้ครบกำหนด",TRUE,"อยู่ระหว่างดำเนินการ"))))</x:f>
      </x:c>
      <x:c r="L398" s="114" t="str">
        <x:f>IF(OR(A398="",P398=""),"",HYPERLINK(P398,"เปิดใน Google Calendar"))</x:f>
      </x:c>
      <x:c r="M398" s="111"/>
      <x:c r="N398" s="123"/>
      <x:c r="O398" s="123"/>
      <x:c r="P398" s="123"/>
      <x:c r="Q398" s="126" t="b">
        <x:v>0</x:v>
      </x:c>
      <x:c r="R398" s="126" t="b">
        <x:v>0</x:v>
      </x:c>
      <x:c r="S398" s="126" t="b">
        <x:v>0</x:v>
      </x:c>
      <x:c r="T398" s="126" t="b">
        <x:v>0</x:v>
      </x:c>
      <x:c r="U398" s="144"/>
      <x:c r="V398" s="123"/>
      <x:c r="W398" s="123"/>
      <x:c r="X398" s="126" t="b">
        <x:v>0</x:v>
      </x:c>
    </x:row>
    <x:row r="399" ht="18" customHeight="1">
      <x:c r="A399" s="111"/>
      <x:c r="B399" s="111"/>
      <x:c r="C399" s="111"/>
      <x:c r="D399" s="111"/>
      <x:c r="E399" s="129"/>
      <x:c r="F399" s="138"/>
      <x:c r="G399" s="133" t="str">
        <x:f>IF(OR(A399="",E399="",F399=""),"",E399+F399-IF('ตั้งค่า'!$B$12="นับรวมวันเซ็น",1,0))</x:f>
      </x:c>
      <x:c r="H399" s="134"/>
      <x:c r="I399" s="117" t="str">
        <x:v>ยังไม่ส่ง</x:v>
      </x:c>
      <x:c r="J399" s="141" t="str">
        <x:f>IF(A399="","",IF(G399="","",IF(I399="ส่งแล้ว",0,G399-TODAY())))</x:f>
      </x:c>
      <x:c r="K399" s="114" t="str">
        <x:f>IF(A399="","",IF(G399="","ยังไม่ระบุวัน",IF(I399="ส่งแล้ว",IF(H399="","ส่งแล้ว",IF(INT(H399)&lt;INT(G399),"ส่งก่อนกำหนด "&amp;(INT(G399)-INT(H399))&amp;" วัน",IF(INT(H399)=INT(G399),"ส่งตรงกำหนด","ส่งล่าช้า "&amp;(INT(H399)-INT(G399))&amp;" วัน"))),IFS(G399&lt;TODAY(),"เกินกำหนด "&amp;(TODAY()-G399)&amp;" วัน",G399=TODAY(),"ครบกำหนดวันนี้",G399-TODAY()&lt;=3,"เร่งดำเนินการ",G399-TODAY()&lt;=5,"ต้องติดตาม",G399-TODAY()&lt;=10,"ใกล้ครบกำหนด",TRUE,"อยู่ระหว่างดำเนินการ"))))</x:f>
      </x:c>
      <x:c r="L399" s="114" t="str">
        <x:f>IF(OR(A399="",P399=""),"",HYPERLINK(P399,"เปิดใน Google Calendar"))</x:f>
      </x:c>
      <x:c r="M399" s="111"/>
      <x:c r="N399" s="123"/>
      <x:c r="O399" s="123"/>
      <x:c r="P399" s="123"/>
      <x:c r="Q399" s="126" t="b">
        <x:v>0</x:v>
      </x:c>
      <x:c r="R399" s="126" t="b">
        <x:v>0</x:v>
      </x:c>
      <x:c r="S399" s="126" t="b">
        <x:v>0</x:v>
      </x:c>
      <x:c r="T399" s="126" t="b">
        <x:v>0</x:v>
      </x:c>
      <x:c r="U399" s="144"/>
      <x:c r="V399" s="123"/>
      <x:c r="W399" s="123"/>
      <x:c r="X399" s="126" t="b">
        <x:v>0</x:v>
      </x:c>
    </x:row>
    <x:row r="400" ht="18" customHeight="1">
      <x:c r="A400" s="111"/>
      <x:c r="B400" s="111"/>
      <x:c r="C400" s="111"/>
      <x:c r="D400" s="111"/>
      <x:c r="E400" s="129"/>
      <x:c r="F400" s="138"/>
      <x:c r="G400" s="133" t="str">
        <x:f>IF(OR(A400="",E400="",F400=""),"",E400+F400-IF('ตั้งค่า'!$B$12="นับรวมวันเซ็น",1,0))</x:f>
      </x:c>
      <x:c r="H400" s="134"/>
      <x:c r="I400" s="117" t="str">
        <x:v>ยังไม่ส่ง</x:v>
      </x:c>
      <x:c r="J400" s="141" t="str">
        <x:f>IF(A400="","",IF(G400="","",IF(I400="ส่งแล้ว",0,G400-TODAY())))</x:f>
      </x:c>
      <x:c r="K400" s="114" t="str">
        <x:f>IF(A400="","",IF(G400="","ยังไม่ระบุวัน",IF(I400="ส่งแล้ว",IF(H400="","ส่งแล้ว",IF(INT(H400)&lt;INT(G400),"ส่งก่อนกำหนด "&amp;(INT(G400)-INT(H400))&amp;" วัน",IF(INT(H400)=INT(G400),"ส่งตรงกำหนด","ส่งล่าช้า "&amp;(INT(H400)-INT(G400))&amp;" วัน"))),IFS(G400&lt;TODAY(),"เกินกำหนด "&amp;(TODAY()-G400)&amp;" วัน",G400=TODAY(),"ครบกำหนดวันนี้",G400-TODAY()&lt;=3,"เร่งดำเนินการ",G400-TODAY()&lt;=5,"ต้องติดตาม",G400-TODAY()&lt;=10,"ใกล้ครบกำหนด",TRUE,"อยู่ระหว่างดำเนินการ"))))</x:f>
      </x:c>
      <x:c r="L400" s="114" t="str">
        <x:f>IF(OR(A400="",P400=""),"",HYPERLINK(P400,"เปิดใน Google Calendar"))</x:f>
      </x:c>
      <x:c r="M400" s="111"/>
      <x:c r="N400" s="123"/>
      <x:c r="O400" s="123"/>
      <x:c r="P400" s="123"/>
      <x:c r="Q400" s="126" t="b">
        <x:v>0</x:v>
      </x:c>
      <x:c r="R400" s="126" t="b">
        <x:v>0</x:v>
      </x:c>
      <x:c r="S400" s="126" t="b">
        <x:v>0</x:v>
      </x:c>
      <x:c r="T400" s="126" t="b">
        <x:v>0</x:v>
      </x:c>
      <x:c r="U400" s="144"/>
      <x:c r="V400" s="123"/>
      <x:c r="W400" s="123"/>
      <x:c r="X400" s="126" t="b">
        <x:v>0</x:v>
      </x:c>
    </x:row>
    <x:row r="401" ht="18" customHeight="1">
      <x:c r="A401" s="111"/>
      <x:c r="B401" s="111"/>
      <x:c r="C401" s="111"/>
      <x:c r="D401" s="111"/>
      <x:c r="E401" s="129"/>
      <x:c r="F401" s="138"/>
      <x:c r="G401" s="133" t="str">
        <x:f>IF(OR(A401="",E401="",F401=""),"",E401+F401-IF('ตั้งค่า'!$B$12="นับรวมวันเซ็น",1,0))</x:f>
      </x:c>
      <x:c r="H401" s="134"/>
      <x:c r="I401" s="117" t="str">
        <x:v>ยังไม่ส่ง</x:v>
      </x:c>
      <x:c r="J401" s="141" t="str">
        <x:f>IF(A401="","",IF(G401="","",IF(I401="ส่งแล้ว",0,G401-TODAY())))</x:f>
      </x:c>
      <x:c r="K401" s="114" t="str">
        <x:f>IF(A401="","",IF(G401="","ยังไม่ระบุวัน",IF(I401="ส่งแล้ว",IF(H401="","ส่งแล้ว",IF(INT(H401)&lt;INT(G401),"ส่งก่อนกำหนด "&amp;(INT(G401)-INT(H401))&amp;" วัน",IF(INT(H401)=INT(G401),"ส่งตรงกำหนด","ส่งล่าช้า "&amp;(INT(H401)-INT(G401))&amp;" วัน"))),IFS(G401&lt;TODAY(),"เกินกำหนด "&amp;(TODAY()-G401)&amp;" วัน",G401=TODAY(),"ครบกำหนดวันนี้",G401-TODAY()&lt;=3,"เร่งดำเนินการ",G401-TODAY()&lt;=5,"ต้องติดตาม",G401-TODAY()&lt;=10,"ใกล้ครบกำหนด",TRUE,"อยู่ระหว่างดำเนินการ"))))</x:f>
      </x:c>
      <x:c r="L401" s="114" t="str">
        <x:f>IF(OR(A401="",P401=""),"",HYPERLINK(P401,"เปิดใน Google Calendar"))</x:f>
      </x:c>
      <x:c r="M401" s="111"/>
      <x:c r="N401" s="123"/>
      <x:c r="O401" s="123"/>
      <x:c r="P401" s="123"/>
      <x:c r="Q401" s="126" t="b">
        <x:v>0</x:v>
      </x:c>
      <x:c r="R401" s="126" t="b">
        <x:v>0</x:v>
      </x:c>
      <x:c r="S401" s="126" t="b">
        <x:v>0</x:v>
      </x:c>
      <x:c r="T401" s="126" t="b">
        <x:v>0</x:v>
      </x:c>
      <x:c r="U401" s="144"/>
      <x:c r="V401" s="123"/>
      <x:c r="W401" s="123"/>
      <x:c r="X401" s="126" t="b">
        <x:v>0</x:v>
      </x:c>
    </x:row>
    <x:row r="402" ht="18" customHeight="1">
      <x:c r="A402" s="111"/>
      <x:c r="B402" s="111"/>
      <x:c r="C402" s="111"/>
      <x:c r="D402" s="111"/>
      <x:c r="E402" s="129"/>
      <x:c r="F402" s="138"/>
      <x:c r="G402" s="133" t="str">
        <x:f>IF(OR(A402="",E402="",F402=""),"",E402+F402-IF('ตั้งค่า'!$B$12="นับรวมวันเซ็น",1,0))</x:f>
      </x:c>
      <x:c r="H402" s="134"/>
      <x:c r="I402" s="117" t="str">
        <x:v>ยังไม่ส่ง</x:v>
      </x:c>
      <x:c r="J402" s="141" t="str">
        <x:f>IF(A402="","",IF(G402="","",IF(I402="ส่งแล้ว",0,G402-TODAY())))</x:f>
      </x:c>
      <x:c r="K402" s="114" t="str">
        <x:f>IF(A402="","",IF(G402="","ยังไม่ระบุวัน",IF(I402="ส่งแล้ว",IF(H402="","ส่งแล้ว",IF(INT(H402)&lt;INT(G402),"ส่งก่อนกำหนด "&amp;(INT(G402)-INT(H402))&amp;" วัน",IF(INT(H402)=INT(G402),"ส่งตรงกำหนด","ส่งล่าช้า "&amp;(INT(H402)-INT(G402))&amp;" วัน"))),IFS(G402&lt;TODAY(),"เกินกำหนด "&amp;(TODAY()-G402)&amp;" วัน",G402=TODAY(),"ครบกำหนดวันนี้",G402-TODAY()&lt;=3,"เร่งดำเนินการ",G402-TODAY()&lt;=5,"ต้องติดตาม",G402-TODAY()&lt;=10,"ใกล้ครบกำหนด",TRUE,"อยู่ระหว่างดำเนินการ"))))</x:f>
      </x:c>
      <x:c r="L402" s="114" t="str">
        <x:f>IF(OR(A402="",P402=""),"",HYPERLINK(P402,"เปิดใน Google Calendar"))</x:f>
      </x:c>
      <x:c r="M402" s="111"/>
      <x:c r="N402" s="123"/>
      <x:c r="O402" s="123"/>
      <x:c r="P402" s="123"/>
      <x:c r="Q402" s="126" t="b">
        <x:v>0</x:v>
      </x:c>
      <x:c r="R402" s="126" t="b">
        <x:v>0</x:v>
      </x:c>
      <x:c r="S402" s="126" t="b">
        <x:v>0</x:v>
      </x:c>
      <x:c r="T402" s="126" t="b">
        <x:v>0</x:v>
      </x:c>
      <x:c r="U402" s="144"/>
      <x:c r="V402" s="123"/>
      <x:c r="W402" s="123"/>
      <x:c r="X402" s="126" t="b">
        <x:v>0</x:v>
      </x:c>
    </x:row>
    <x:row r="403" ht="18" customHeight="1">
      <x:c r="A403" s="111"/>
      <x:c r="B403" s="111"/>
      <x:c r="C403" s="111"/>
      <x:c r="D403" s="111"/>
      <x:c r="E403" s="129"/>
      <x:c r="F403" s="138"/>
      <x:c r="G403" s="133" t="str">
        <x:f>IF(OR(A403="",E403="",F403=""),"",E403+F403-IF('ตั้งค่า'!$B$12="นับรวมวันเซ็น",1,0))</x:f>
      </x:c>
      <x:c r="H403" s="134"/>
      <x:c r="I403" s="117" t="str">
        <x:v>ยังไม่ส่ง</x:v>
      </x:c>
      <x:c r="J403" s="141" t="str">
        <x:f>IF(A403="","",IF(G403="","",IF(I403="ส่งแล้ว",0,G403-TODAY())))</x:f>
      </x:c>
      <x:c r="K403" s="114" t="str">
        <x:f>IF(A403="","",IF(G403="","ยังไม่ระบุวัน",IF(I403="ส่งแล้ว",IF(H403="","ส่งแล้ว",IF(INT(H403)&lt;INT(G403),"ส่งก่อนกำหนด "&amp;(INT(G403)-INT(H403))&amp;" วัน",IF(INT(H403)=INT(G403),"ส่งตรงกำหนด","ส่งล่าช้า "&amp;(INT(H403)-INT(G403))&amp;" วัน"))),IFS(G403&lt;TODAY(),"เกินกำหนด "&amp;(TODAY()-G403)&amp;" วัน",G403=TODAY(),"ครบกำหนดวันนี้",G403-TODAY()&lt;=3,"เร่งดำเนินการ",G403-TODAY()&lt;=5,"ต้องติดตาม",G403-TODAY()&lt;=10,"ใกล้ครบกำหนด",TRUE,"อยู่ระหว่างดำเนินการ"))))</x:f>
      </x:c>
      <x:c r="L403" s="114" t="str">
        <x:f>IF(OR(A403="",P403=""),"",HYPERLINK(P403,"เปิดใน Google Calendar"))</x:f>
      </x:c>
      <x:c r="M403" s="111"/>
      <x:c r="N403" s="123"/>
      <x:c r="O403" s="123"/>
      <x:c r="P403" s="123"/>
      <x:c r="Q403" s="126" t="b">
        <x:v>0</x:v>
      </x:c>
      <x:c r="R403" s="126" t="b">
        <x:v>0</x:v>
      </x:c>
      <x:c r="S403" s="126" t="b">
        <x:v>0</x:v>
      </x:c>
      <x:c r="T403" s="126" t="b">
        <x:v>0</x:v>
      </x:c>
      <x:c r="U403" s="144"/>
      <x:c r="V403" s="123"/>
      <x:c r="W403" s="123"/>
      <x:c r="X403" s="126" t="b">
        <x:v>0</x:v>
      </x:c>
    </x:row>
    <x:row r="404" ht="18" customHeight="1">
      <x:c r="A404" s="111"/>
      <x:c r="B404" s="111"/>
      <x:c r="C404" s="111"/>
      <x:c r="D404" s="111"/>
      <x:c r="E404" s="129"/>
      <x:c r="F404" s="138"/>
      <x:c r="G404" s="133" t="str">
        <x:f>IF(OR(A404="",E404="",F404=""),"",E404+F404-IF('ตั้งค่า'!$B$12="นับรวมวันเซ็น",1,0))</x:f>
      </x:c>
      <x:c r="H404" s="134"/>
      <x:c r="I404" s="117" t="str">
        <x:v>ยังไม่ส่ง</x:v>
      </x:c>
      <x:c r="J404" s="141" t="str">
        <x:f>IF(A404="","",IF(G404="","",IF(I404="ส่งแล้ว",0,G404-TODAY())))</x:f>
      </x:c>
      <x:c r="K404" s="114" t="str">
        <x:f>IF(A404="","",IF(G404="","ยังไม่ระบุวัน",IF(I404="ส่งแล้ว",IF(H404="","ส่งแล้ว",IF(INT(H404)&lt;INT(G404),"ส่งก่อนกำหนด "&amp;(INT(G404)-INT(H404))&amp;" วัน",IF(INT(H404)=INT(G404),"ส่งตรงกำหนด","ส่งล่าช้า "&amp;(INT(H404)-INT(G404))&amp;" วัน"))),IFS(G404&lt;TODAY(),"เกินกำหนด "&amp;(TODAY()-G404)&amp;" วัน",G404=TODAY(),"ครบกำหนดวันนี้",G404-TODAY()&lt;=3,"เร่งดำเนินการ",G404-TODAY()&lt;=5,"ต้องติดตาม",G404-TODAY()&lt;=10,"ใกล้ครบกำหนด",TRUE,"อยู่ระหว่างดำเนินการ"))))</x:f>
      </x:c>
      <x:c r="L404" s="114" t="str">
        <x:f>IF(OR(A404="",P404=""),"",HYPERLINK(P404,"เปิดใน Google Calendar"))</x:f>
      </x:c>
      <x:c r="M404" s="111"/>
      <x:c r="N404" s="123"/>
      <x:c r="O404" s="123"/>
      <x:c r="P404" s="123"/>
      <x:c r="Q404" s="126" t="b">
        <x:v>0</x:v>
      </x:c>
      <x:c r="R404" s="126" t="b">
        <x:v>0</x:v>
      </x:c>
      <x:c r="S404" s="126" t="b">
        <x:v>0</x:v>
      </x:c>
      <x:c r="T404" s="126" t="b">
        <x:v>0</x:v>
      </x:c>
      <x:c r="U404" s="144"/>
      <x:c r="V404" s="123"/>
      <x:c r="W404" s="123"/>
      <x:c r="X404" s="126" t="b">
        <x:v>0</x:v>
      </x:c>
    </x:row>
    <x:row r="405" ht="18" customHeight="1">
      <x:c r="A405" s="111"/>
      <x:c r="B405" s="111"/>
      <x:c r="C405" s="111"/>
      <x:c r="D405" s="111"/>
      <x:c r="E405" s="129"/>
      <x:c r="F405" s="138"/>
      <x:c r="G405" s="133" t="str">
        <x:f>IF(OR(A405="",E405="",F405=""),"",E405+F405-IF('ตั้งค่า'!$B$12="นับรวมวันเซ็น",1,0))</x:f>
      </x:c>
      <x:c r="H405" s="134"/>
      <x:c r="I405" s="117" t="str">
        <x:v>ยังไม่ส่ง</x:v>
      </x:c>
      <x:c r="J405" s="141" t="str">
        <x:f>IF(A405="","",IF(G405="","",IF(I405="ส่งแล้ว",0,G405-TODAY())))</x:f>
      </x:c>
      <x:c r="K405" s="114" t="str">
        <x:f>IF(A405="","",IF(G405="","ยังไม่ระบุวัน",IF(I405="ส่งแล้ว",IF(H405="","ส่งแล้ว",IF(INT(H405)&lt;INT(G405),"ส่งก่อนกำหนด "&amp;(INT(G405)-INT(H405))&amp;" วัน",IF(INT(H405)=INT(G405),"ส่งตรงกำหนด","ส่งล่าช้า "&amp;(INT(H405)-INT(G405))&amp;" วัน"))),IFS(G405&lt;TODAY(),"เกินกำหนด "&amp;(TODAY()-G405)&amp;" วัน",G405=TODAY(),"ครบกำหนดวันนี้",G405-TODAY()&lt;=3,"เร่งดำเนินการ",G405-TODAY()&lt;=5,"ต้องติดตาม",G405-TODAY()&lt;=10,"ใกล้ครบกำหนด",TRUE,"อยู่ระหว่างดำเนินการ"))))</x:f>
      </x:c>
      <x:c r="L405" s="114" t="str">
        <x:f>IF(OR(A405="",P405=""),"",HYPERLINK(P405,"เปิดใน Google Calendar"))</x:f>
      </x:c>
      <x:c r="M405" s="111"/>
      <x:c r="N405" s="123"/>
      <x:c r="O405" s="123"/>
      <x:c r="P405" s="123"/>
      <x:c r="Q405" s="126" t="b">
        <x:v>0</x:v>
      </x:c>
      <x:c r="R405" s="126" t="b">
        <x:v>0</x:v>
      </x:c>
      <x:c r="S405" s="126" t="b">
        <x:v>0</x:v>
      </x:c>
      <x:c r="T405" s="126" t="b">
        <x:v>0</x:v>
      </x:c>
      <x:c r="U405" s="144"/>
      <x:c r="V405" s="123"/>
      <x:c r="W405" s="123"/>
      <x:c r="X405" s="126" t="b">
        <x:v>0</x:v>
      </x:c>
    </x:row>
    <x:row r="406" ht="18" customHeight="1">
      <x:c r="A406" s="111"/>
      <x:c r="B406" s="111"/>
      <x:c r="C406" s="111"/>
      <x:c r="D406" s="111"/>
      <x:c r="E406" s="129"/>
      <x:c r="F406" s="138"/>
      <x:c r="G406" s="133" t="str">
        <x:f>IF(OR(A406="",E406="",F406=""),"",E406+F406-IF('ตั้งค่า'!$B$12="นับรวมวันเซ็น",1,0))</x:f>
      </x:c>
      <x:c r="H406" s="134"/>
      <x:c r="I406" s="117" t="str">
        <x:v>ยังไม่ส่ง</x:v>
      </x:c>
      <x:c r="J406" s="141" t="str">
        <x:f>IF(A406="","",IF(G406="","",IF(I406="ส่งแล้ว",0,G406-TODAY())))</x:f>
      </x:c>
      <x:c r="K406" s="114" t="str">
        <x:f>IF(A406="","",IF(G406="","ยังไม่ระบุวัน",IF(I406="ส่งแล้ว",IF(H406="","ส่งแล้ว",IF(INT(H406)&lt;INT(G406),"ส่งก่อนกำหนด "&amp;(INT(G406)-INT(H406))&amp;" วัน",IF(INT(H406)=INT(G406),"ส่งตรงกำหนด","ส่งล่าช้า "&amp;(INT(H406)-INT(G406))&amp;" วัน"))),IFS(G406&lt;TODAY(),"เกินกำหนด "&amp;(TODAY()-G406)&amp;" วัน",G406=TODAY(),"ครบกำหนดวันนี้",G406-TODAY()&lt;=3,"เร่งดำเนินการ",G406-TODAY()&lt;=5,"ต้องติดตาม",G406-TODAY()&lt;=10,"ใกล้ครบกำหนด",TRUE,"อยู่ระหว่างดำเนินการ"))))</x:f>
      </x:c>
      <x:c r="L406" s="114" t="str">
        <x:f>IF(OR(A406="",P406=""),"",HYPERLINK(P406,"เปิดใน Google Calendar"))</x:f>
      </x:c>
      <x:c r="M406" s="111"/>
      <x:c r="N406" s="123"/>
      <x:c r="O406" s="123"/>
      <x:c r="P406" s="123"/>
      <x:c r="Q406" s="126" t="b">
        <x:v>0</x:v>
      </x:c>
      <x:c r="R406" s="126" t="b">
        <x:v>0</x:v>
      </x:c>
      <x:c r="S406" s="126" t="b">
        <x:v>0</x:v>
      </x:c>
      <x:c r="T406" s="126" t="b">
        <x:v>0</x:v>
      </x:c>
      <x:c r="U406" s="144"/>
      <x:c r="V406" s="123"/>
      <x:c r="W406" s="123"/>
      <x:c r="X406" s="126" t="b">
        <x:v>0</x:v>
      </x:c>
    </x:row>
    <x:row r="407" ht="18" customHeight="1">
      <x:c r="A407" s="111"/>
      <x:c r="B407" s="111"/>
      <x:c r="C407" s="111"/>
      <x:c r="D407" s="111"/>
      <x:c r="E407" s="129"/>
      <x:c r="F407" s="138"/>
      <x:c r="G407" s="133" t="str">
        <x:f>IF(OR(A407="",E407="",F407=""),"",E407+F407-IF('ตั้งค่า'!$B$12="นับรวมวันเซ็น",1,0))</x:f>
      </x:c>
      <x:c r="H407" s="134"/>
      <x:c r="I407" s="117" t="str">
        <x:v>ยังไม่ส่ง</x:v>
      </x:c>
      <x:c r="J407" s="141" t="str">
        <x:f>IF(A407="","",IF(G407="","",IF(I407="ส่งแล้ว",0,G407-TODAY())))</x:f>
      </x:c>
      <x:c r="K407" s="114" t="str">
        <x:f>IF(A407="","",IF(G407="","ยังไม่ระบุวัน",IF(I407="ส่งแล้ว",IF(H407="","ส่งแล้ว",IF(INT(H407)&lt;INT(G407),"ส่งก่อนกำหนด "&amp;(INT(G407)-INT(H407))&amp;" วัน",IF(INT(H407)=INT(G407),"ส่งตรงกำหนด","ส่งล่าช้า "&amp;(INT(H407)-INT(G407))&amp;" วัน"))),IFS(G407&lt;TODAY(),"เกินกำหนด "&amp;(TODAY()-G407)&amp;" วัน",G407=TODAY(),"ครบกำหนดวันนี้",G407-TODAY()&lt;=3,"เร่งดำเนินการ",G407-TODAY()&lt;=5,"ต้องติดตาม",G407-TODAY()&lt;=10,"ใกล้ครบกำหนด",TRUE,"อยู่ระหว่างดำเนินการ"))))</x:f>
      </x:c>
      <x:c r="L407" s="114" t="str">
        <x:f>IF(OR(A407="",P407=""),"",HYPERLINK(P407,"เปิดใน Google Calendar"))</x:f>
      </x:c>
      <x:c r="M407" s="111"/>
      <x:c r="N407" s="123"/>
      <x:c r="O407" s="123"/>
      <x:c r="P407" s="123"/>
      <x:c r="Q407" s="126" t="b">
        <x:v>0</x:v>
      </x:c>
      <x:c r="R407" s="126" t="b">
        <x:v>0</x:v>
      </x:c>
      <x:c r="S407" s="126" t="b">
        <x:v>0</x:v>
      </x:c>
      <x:c r="T407" s="126" t="b">
        <x:v>0</x:v>
      </x:c>
      <x:c r="U407" s="144"/>
      <x:c r="V407" s="123"/>
      <x:c r="W407" s="123"/>
      <x:c r="X407" s="126" t="b">
        <x:v>0</x:v>
      </x:c>
    </x:row>
    <x:row r="408" ht="18" customHeight="1">
      <x:c r="A408" s="111"/>
      <x:c r="B408" s="111"/>
      <x:c r="C408" s="111"/>
      <x:c r="D408" s="111"/>
      <x:c r="E408" s="129"/>
      <x:c r="F408" s="138"/>
      <x:c r="G408" s="133" t="str">
        <x:f>IF(OR(A408="",E408="",F408=""),"",E408+F408-IF('ตั้งค่า'!$B$12="นับรวมวันเซ็น",1,0))</x:f>
      </x:c>
      <x:c r="H408" s="134"/>
      <x:c r="I408" s="117" t="str">
        <x:v>ยังไม่ส่ง</x:v>
      </x:c>
      <x:c r="J408" s="141" t="str">
        <x:f>IF(A408="","",IF(G408="","",IF(I408="ส่งแล้ว",0,G408-TODAY())))</x:f>
      </x:c>
      <x:c r="K408" s="114" t="str">
        <x:f>IF(A408="","",IF(G408="","ยังไม่ระบุวัน",IF(I408="ส่งแล้ว",IF(H408="","ส่งแล้ว",IF(INT(H408)&lt;INT(G408),"ส่งก่อนกำหนด "&amp;(INT(G408)-INT(H408))&amp;" วัน",IF(INT(H408)=INT(G408),"ส่งตรงกำหนด","ส่งล่าช้า "&amp;(INT(H408)-INT(G408))&amp;" วัน"))),IFS(G408&lt;TODAY(),"เกินกำหนด "&amp;(TODAY()-G408)&amp;" วัน",G408=TODAY(),"ครบกำหนดวันนี้",G408-TODAY()&lt;=3,"เร่งดำเนินการ",G408-TODAY()&lt;=5,"ต้องติดตาม",G408-TODAY()&lt;=10,"ใกล้ครบกำหนด",TRUE,"อยู่ระหว่างดำเนินการ"))))</x:f>
      </x:c>
      <x:c r="L408" s="114" t="str">
        <x:f>IF(OR(A408="",P408=""),"",HYPERLINK(P408,"เปิดใน Google Calendar"))</x:f>
      </x:c>
      <x:c r="M408" s="111"/>
      <x:c r="N408" s="123"/>
      <x:c r="O408" s="123"/>
      <x:c r="P408" s="123"/>
      <x:c r="Q408" s="126" t="b">
        <x:v>0</x:v>
      </x:c>
      <x:c r="R408" s="126" t="b">
        <x:v>0</x:v>
      </x:c>
      <x:c r="S408" s="126" t="b">
        <x:v>0</x:v>
      </x:c>
      <x:c r="T408" s="126" t="b">
        <x:v>0</x:v>
      </x:c>
      <x:c r="U408" s="144"/>
      <x:c r="V408" s="123"/>
      <x:c r="W408" s="123"/>
      <x:c r="X408" s="126" t="b">
        <x:v>0</x:v>
      </x:c>
    </x:row>
    <x:row r="409" ht="18" customHeight="1">
      <x:c r="A409" s="111"/>
      <x:c r="B409" s="111"/>
      <x:c r="C409" s="111"/>
      <x:c r="D409" s="111"/>
      <x:c r="E409" s="129"/>
      <x:c r="F409" s="138"/>
      <x:c r="G409" s="133" t="str">
        <x:f>IF(OR(A409="",E409="",F409=""),"",E409+F409-IF('ตั้งค่า'!$B$12="นับรวมวันเซ็น",1,0))</x:f>
      </x:c>
      <x:c r="H409" s="134"/>
      <x:c r="I409" s="117" t="str">
        <x:v>ยังไม่ส่ง</x:v>
      </x:c>
      <x:c r="J409" s="141" t="str">
        <x:f>IF(A409="","",IF(G409="","",IF(I409="ส่งแล้ว",0,G409-TODAY())))</x:f>
      </x:c>
      <x:c r="K409" s="114" t="str">
        <x:f>IF(A409="","",IF(G409="","ยังไม่ระบุวัน",IF(I409="ส่งแล้ว",IF(H409="","ส่งแล้ว",IF(INT(H409)&lt;INT(G409),"ส่งก่อนกำหนด "&amp;(INT(G409)-INT(H409))&amp;" วัน",IF(INT(H409)=INT(G409),"ส่งตรงกำหนด","ส่งล่าช้า "&amp;(INT(H409)-INT(G409))&amp;" วัน"))),IFS(G409&lt;TODAY(),"เกินกำหนด "&amp;(TODAY()-G409)&amp;" วัน",G409=TODAY(),"ครบกำหนดวันนี้",G409-TODAY()&lt;=3,"เร่งดำเนินการ",G409-TODAY()&lt;=5,"ต้องติดตาม",G409-TODAY()&lt;=10,"ใกล้ครบกำหนด",TRUE,"อยู่ระหว่างดำเนินการ"))))</x:f>
      </x:c>
      <x:c r="L409" s="114" t="str">
        <x:f>IF(OR(A409="",P409=""),"",HYPERLINK(P409,"เปิดใน Google Calendar"))</x:f>
      </x:c>
      <x:c r="M409" s="111"/>
      <x:c r="N409" s="123"/>
      <x:c r="O409" s="123"/>
      <x:c r="P409" s="123"/>
      <x:c r="Q409" s="126" t="b">
        <x:v>0</x:v>
      </x:c>
      <x:c r="R409" s="126" t="b">
        <x:v>0</x:v>
      </x:c>
      <x:c r="S409" s="126" t="b">
        <x:v>0</x:v>
      </x:c>
      <x:c r="T409" s="126" t="b">
        <x:v>0</x:v>
      </x:c>
      <x:c r="U409" s="144"/>
      <x:c r="V409" s="123"/>
      <x:c r="W409" s="123"/>
      <x:c r="X409" s="126" t="b">
        <x:v>0</x:v>
      </x:c>
    </x:row>
    <x:row r="410" ht="18" customHeight="1">
      <x:c r="A410" s="111"/>
      <x:c r="B410" s="111"/>
      <x:c r="C410" s="111"/>
      <x:c r="D410" s="111"/>
      <x:c r="E410" s="129"/>
      <x:c r="F410" s="138"/>
      <x:c r="G410" s="133" t="str">
        <x:f>IF(OR(A410="",E410="",F410=""),"",E410+F410-IF('ตั้งค่า'!$B$12="นับรวมวันเซ็น",1,0))</x:f>
      </x:c>
      <x:c r="H410" s="134"/>
      <x:c r="I410" s="117" t="str">
        <x:v>ยังไม่ส่ง</x:v>
      </x:c>
      <x:c r="J410" s="141" t="str">
        <x:f>IF(A410="","",IF(G410="","",IF(I410="ส่งแล้ว",0,G410-TODAY())))</x:f>
      </x:c>
      <x:c r="K410" s="114" t="str">
        <x:f>IF(A410="","",IF(G410="","ยังไม่ระบุวัน",IF(I410="ส่งแล้ว",IF(H410="","ส่งแล้ว",IF(INT(H410)&lt;INT(G410),"ส่งก่อนกำหนด "&amp;(INT(G410)-INT(H410))&amp;" วัน",IF(INT(H410)=INT(G410),"ส่งตรงกำหนด","ส่งล่าช้า "&amp;(INT(H410)-INT(G410))&amp;" วัน"))),IFS(G410&lt;TODAY(),"เกินกำหนด "&amp;(TODAY()-G410)&amp;" วัน",G410=TODAY(),"ครบกำหนดวันนี้",G410-TODAY()&lt;=3,"เร่งดำเนินการ",G410-TODAY()&lt;=5,"ต้องติดตาม",G410-TODAY()&lt;=10,"ใกล้ครบกำหนด",TRUE,"อยู่ระหว่างดำเนินการ"))))</x:f>
      </x:c>
      <x:c r="L410" s="114" t="str">
        <x:f>IF(OR(A410="",P410=""),"",HYPERLINK(P410,"เปิดใน Google Calendar"))</x:f>
      </x:c>
      <x:c r="M410" s="111"/>
      <x:c r="N410" s="123"/>
      <x:c r="O410" s="123"/>
      <x:c r="P410" s="123"/>
      <x:c r="Q410" s="126" t="b">
        <x:v>0</x:v>
      </x:c>
      <x:c r="R410" s="126" t="b">
        <x:v>0</x:v>
      </x:c>
      <x:c r="S410" s="126" t="b">
        <x:v>0</x:v>
      </x:c>
      <x:c r="T410" s="126" t="b">
        <x:v>0</x:v>
      </x:c>
      <x:c r="U410" s="144"/>
      <x:c r="V410" s="123"/>
      <x:c r="W410" s="123"/>
      <x:c r="X410" s="126" t="b">
        <x:v>0</x:v>
      </x:c>
    </x:row>
    <x:row r="411" ht="18" customHeight="1">
      <x:c r="A411" s="111"/>
      <x:c r="B411" s="111"/>
      <x:c r="C411" s="111"/>
      <x:c r="D411" s="111"/>
      <x:c r="E411" s="129"/>
      <x:c r="F411" s="138"/>
      <x:c r="G411" s="133" t="str">
        <x:f>IF(OR(A411="",E411="",F411=""),"",E411+F411-IF('ตั้งค่า'!$B$12="นับรวมวันเซ็น",1,0))</x:f>
      </x:c>
      <x:c r="H411" s="134"/>
      <x:c r="I411" s="117" t="str">
        <x:v>ยังไม่ส่ง</x:v>
      </x:c>
      <x:c r="J411" s="141" t="str">
        <x:f>IF(A411="","",IF(G411="","",IF(I411="ส่งแล้ว",0,G411-TODAY())))</x:f>
      </x:c>
      <x:c r="K411" s="114" t="str">
        <x:f>IF(A411="","",IF(G411="","ยังไม่ระบุวัน",IF(I411="ส่งแล้ว",IF(H411="","ส่งแล้ว",IF(INT(H411)&lt;INT(G411),"ส่งก่อนกำหนด "&amp;(INT(G411)-INT(H411))&amp;" วัน",IF(INT(H411)=INT(G411),"ส่งตรงกำหนด","ส่งล่าช้า "&amp;(INT(H411)-INT(G411))&amp;" วัน"))),IFS(G411&lt;TODAY(),"เกินกำหนด "&amp;(TODAY()-G411)&amp;" วัน",G411=TODAY(),"ครบกำหนดวันนี้",G411-TODAY()&lt;=3,"เร่งดำเนินการ",G411-TODAY()&lt;=5,"ต้องติดตาม",G411-TODAY()&lt;=10,"ใกล้ครบกำหนด",TRUE,"อยู่ระหว่างดำเนินการ"))))</x:f>
      </x:c>
      <x:c r="L411" s="114" t="str">
        <x:f>IF(OR(A411="",P411=""),"",HYPERLINK(P411,"เปิดใน Google Calendar"))</x:f>
      </x:c>
      <x:c r="M411" s="111"/>
      <x:c r="N411" s="123"/>
      <x:c r="O411" s="123"/>
      <x:c r="P411" s="123"/>
      <x:c r="Q411" s="126" t="b">
        <x:v>0</x:v>
      </x:c>
      <x:c r="R411" s="126" t="b">
        <x:v>0</x:v>
      </x:c>
      <x:c r="S411" s="126" t="b">
        <x:v>0</x:v>
      </x:c>
      <x:c r="T411" s="126" t="b">
        <x:v>0</x:v>
      </x:c>
      <x:c r="U411" s="144"/>
      <x:c r="V411" s="123"/>
      <x:c r="W411" s="123"/>
      <x:c r="X411" s="126" t="b">
        <x:v>0</x:v>
      </x:c>
    </x:row>
    <x:row r="412" ht="18" customHeight="1">
      <x:c r="A412" s="111"/>
      <x:c r="B412" s="111"/>
      <x:c r="C412" s="111"/>
      <x:c r="D412" s="111"/>
      <x:c r="E412" s="129"/>
      <x:c r="F412" s="138"/>
      <x:c r="G412" s="133" t="str">
        <x:f>IF(OR(A412="",E412="",F412=""),"",E412+F412-IF('ตั้งค่า'!$B$12="นับรวมวันเซ็น",1,0))</x:f>
      </x:c>
      <x:c r="H412" s="134"/>
      <x:c r="I412" s="117" t="str">
        <x:v>ยังไม่ส่ง</x:v>
      </x:c>
      <x:c r="J412" s="141" t="str">
        <x:f>IF(A412="","",IF(G412="","",IF(I412="ส่งแล้ว",0,G412-TODAY())))</x:f>
      </x:c>
      <x:c r="K412" s="114" t="str">
        <x:f>IF(A412="","",IF(G412="","ยังไม่ระบุวัน",IF(I412="ส่งแล้ว",IF(H412="","ส่งแล้ว",IF(INT(H412)&lt;INT(G412),"ส่งก่อนกำหนด "&amp;(INT(G412)-INT(H412))&amp;" วัน",IF(INT(H412)=INT(G412),"ส่งตรงกำหนด","ส่งล่าช้า "&amp;(INT(H412)-INT(G412))&amp;" วัน"))),IFS(G412&lt;TODAY(),"เกินกำหนด "&amp;(TODAY()-G412)&amp;" วัน",G412=TODAY(),"ครบกำหนดวันนี้",G412-TODAY()&lt;=3,"เร่งดำเนินการ",G412-TODAY()&lt;=5,"ต้องติดตาม",G412-TODAY()&lt;=10,"ใกล้ครบกำหนด",TRUE,"อยู่ระหว่างดำเนินการ"))))</x:f>
      </x:c>
      <x:c r="L412" s="114" t="str">
        <x:f>IF(OR(A412="",P412=""),"",HYPERLINK(P412,"เปิดใน Google Calendar"))</x:f>
      </x:c>
      <x:c r="M412" s="111"/>
      <x:c r="N412" s="123"/>
      <x:c r="O412" s="123"/>
      <x:c r="P412" s="123"/>
      <x:c r="Q412" s="126" t="b">
        <x:v>0</x:v>
      </x:c>
      <x:c r="R412" s="126" t="b">
        <x:v>0</x:v>
      </x:c>
      <x:c r="S412" s="126" t="b">
        <x:v>0</x:v>
      </x:c>
      <x:c r="T412" s="126" t="b">
        <x:v>0</x:v>
      </x:c>
      <x:c r="U412" s="144"/>
      <x:c r="V412" s="123"/>
      <x:c r="W412" s="123"/>
      <x:c r="X412" s="126" t="b">
        <x:v>0</x:v>
      </x:c>
    </x:row>
    <x:row r="413" ht="18" customHeight="1">
      <x:c r="A413" s="111"/>
      <x:c r="B413" s="111"/>
      <x:c r="C413" s="111"/>
      <x:c r="D413" s="111"/>
      <x:c r="E413" s="129"/>
      <x:c r="F413" s="138"/>
      <x:c r="G413" s="133" t="str">
        <x:f>IF(OR(A413="",E413="",F413=""),"",E413+F413-IF('ตั้งค่า'!$B$12="นับรวมวันเซ็น",1,0))</x:f>
      </x:c>
      <x:c r="H413" s="134"/>
      <x:c r="I413" s="117" t="str">
        <x:v>ยังไม่ส่ง</x:v>
      </x:c>
      <x:c r="J413" s="141" t="str">
        <x:f>IF(A413="","",IF(G413="","",IF(I413="ส่งแล้ว",0,G413-TODAY())))</x:f>
      </x:c>
      <x:c r="K413" s="114" t="str">
        <x:f>IF(A413="","",IF(G413="","ยังไม่ระบุวัน",IF(I413="ส่งแล้ว",IF(H413="","ส่งแล้ว",IF(INT(H413)&lt;INT(G413),"ส่งก่อนกำหนด "&amp;(INT(G413)-INT(H413))&amp;" วัน",IF(INT(H413)=INT(G413),"ส่งตรงกำหนด","ส่งล่าช้า "&amp;(INT(H413)-INT(G413))&amp;" วัน"))),IFS(G413&lt;TODAY(),"เกินกำหนด "&amp;(TODAY()-G413)&amp;" วัน",G413=TODAY(),"ครบกำหนดวันนี้",G413-TODAY()&lt;=3,"เร่งดำเนินการ",G413-TODAY()&lt;=5,"ต้องติดตาม",G413-TODAY()&lt;=10,"ใกล้ครบกำหนด",TRUE,"อยู่ระหว่างดำเนินการ"))))</x:f>
      </x:c>
      <x:c r="L413" s="114" t="str">
        <x:f>IF(OR(A413="",P413=""),"",HYPERLINK(P413,"เปิดใน Google Calendar"))</x:f>
      </x:c>
      <x:c r="M413" s="111"/>
      <x:c r="N413" s="123"/>
      <x:c r="O413" s="123"/>
      <x:c r="P413" s="123"/>
      <x:c r="Q413" s="126" t="b">
        <x:v>0</x:v>
      </x:c>
      <x:c r="R413" s="126" t="b">
        <x:v>0</x:v>
      </x:c>
      <x:c r="S413" s="126" t="b">
        <x:v>0</x:v>
      </x:c>
      <x:c r="T413" s="126" t="b">
        <x:v>0</x:v>
      </x:c>
      <x:c r="U413" s="144"/>
      <x:c r="V413" s="123"/>
      <x:c r="W413" s="123"/>
      <x:c r="X413" s="126" t="b">
        <x:v>0</x:v>
      </x:c>
    </x:row>
    <x:row r="414" ht="18" customHeight="1">
      <x:c r="A414" s="111"/>
      <x:c r="B414" s="111"/>
      <x:c r="C414" s="111"/>
      <x:c r="D414" s="111"/>
      <x:c r="E414" s="129"/>
      <x:c r="F414" s="138"/>
      <x:c r="G414" s="133" t="str">
        <x:f>IF(OR(A414="",E414="",F414=""),"",E414+F414-IF('ตั้งค่า'!$B$12="นับรวมวันเซ็น",1,0))</x:f>
      </x:c>
      <x:c r="H414" s="134"/>
      <x:c r="I414" s="117" t="str">
        <x:v>ยังไม่ส่ง</x:v>
      </x:c>
      <x:c r="J414" s="141" t="str">
        <x:f>IF(A414="","",IF(G414="","",IF(I414="ส่งแล้ว",0,G414-TODAY())))</x:f>
      </x:c>
      <x:c r="K414" s="114" t="str">
        <x:f>IF(A414="","",IF(G414="","ยังไม่ระบุวัน",IF(I414="ส่งแล้ว",IF(H414="","ส่งแล้ว",IF(INT(H414)&lt;INT(G414),"ส่งก่อนกำหนด "&amp;(INT(G414)-INT(H414))&amp;" วัน",IF(INT(H414)=INT(G414),"ส่งตรงกำหนด","ส่งล่าช้า "&amp;(INT(H414)-INT(G414))&amp;" วัน"))),IFS(G414&lt;TODAY(),"เกินกำหนด "&amp;(TODAY()-G414)&amp;" วัน",G414=TODAY(),"ครบกำหนดวันนี้",G414-TODAY()&lt;=3,"เร่งดำเนินการ",G414-TODAY()&lt;=5,"ต้องติดตาม",G414-TODAY()&lt;=10,"ใกล้ครบกำหนด",TRUE,"อยู่ระหว่างดำเนินการ"))))</x:f>
      </x:c>
      <x:c r="L414" s="114" t="str">
        <x:f>IF(OR(A414="",P414=""),"",HYPERLINK(P414,"เปิดใน Google Calendar"))</x:f>
      </x:c>
      <x:c r="M414" s="111"/>
      <x:c r="N414" s="123"/>
      <x:c r="O414" s="123"/>
      <x:c r="P414" s="123"/>
      <x:c r="Q414" s="126" t="b">
        <x:v>0</x:v>
      </x:c>
      <x:c r="R414" s="126" t="b">
        <x:v>0</x:v>
      </x:c>
      <x:c r="S414" s="126" t="b">
        <x:v>0</x:v>
      </x:c>
      <x:c r="T414" s="126" t="b">
        <x:v>0</x:v>
      </x:c>
      <x:c r="U414" s="144"/>
      <x:c r="V414" s="123"/>
      <x:c r="W414" s="123"/>
      <x:c r="X414" s="126" t="b">
        <x:v>0</x:v>
      </x:c>
    </x:row>
    <x:row r="415" ht="18" customHeight="1">
      <x:c r="A415" s="111"/>
      <x:c r="B415" s="111"/>
      <x:c r="C415" s="111"/>
      <x:c r="D415" s="111"/>
      <x:c r="E415" s="129"/>
      <x:c r="F415" s="138"/>
      <x:c r="G415" s="133" t="str">
        <x:f>IF(OR(A415="",E415="",F415=""),"",E415+F415-IF('ตั้งค่า'!$B$12="นับรวมวันเซ็น",1,0))</x:f>
      </x:c>
      <x:c r="H415" s="134"/>
      <x:c r="I415" s="117" t="str">
        <x:v>ยังไม่ส่ง</x:v>
      </x:c>
      <x:c r="J415" s="141" t="str">
        <x:f>IF(A415="","",IF(G415="","",IF(I415="ส่งแล้ว",0,G415-TODAY())))</x:f>
      </x:c>
      <x:c r="K415" s="114" t="str">
        <x:f>IF(A415="","",IF(G415="","ยังไม่ระบุวัน",IF(I415="ส่งแล้ว",IF(H415="","ส่งแล้ว",IF(INT(H415)&lt;INT(G415),"ส่งก่อนกำหนด "&amp;(INT(G415)-INT(H415))&amp;" วัน",IF(INT(H415)=INT(G415),"ส่งตรงกำหนด","ส่งล่าช้า "&amp;(INT(H415)-INT(G415))&amp;" วัน"))),IFS(G415&lt;TODAY(),"เกินกำหนด "&amp;(TODAY()-G415)&amp;" วัน",G415=TODAY(),"ครบกำหนดวันนี้",G415-TODAY()&lt;=3,"เร่งดำเนินการ",G415-TODAY()&lt;=5,"ต้องติดตาม",G415-TODAY()&lt;=10,"ใกล้ครบกำหนด",TRUE,"อยู่ระหว่างดำเนินการ"))))</x:f>
      </x:c>
      <x:c r="L415" s="114" t="str">
        <x:f>IF(OR(A415="",P415=""),"",HYPERLINK(P415,"เปิดใน Google Calendar"))</x:f>
      </x:c>
      <x:c r="M415" s="111"/>
      <x:c r="N415" s="123"/>
      <x:c r="O415" s="123"/>
      <x:c r="P415" s="123"/>
      <x:c r="Q415" s="126" t="b">
        <x:v>0</x:v>
      </x:c>
      <x:c r="R415" s="126" t="b">
        <x:v>0</x:v>
      </x:c>
      <x:c r="S415" s="126" t="b">
        <x:v>0</x:v>
      </x:c>
      <x:c r="T415" s="126" t="b">
        <x:v>0</x:v>
      </x:c>
      <x:c r="U415" s="144"/>
      <x:c r="V415" s="123"/>
      <x:c r="W415" s="123"/>
      <x:c r="X415" s="126" t="b">
        <x:v>0</x:v>
      </x:c>
    </x:row>
    <x:row r="416" ht="18" customHeight="1">
      <x:c r="A416" s="111"/>
      <x:c r="B416" s="111"/>
      <x:c r="C416" s="111"/>
      <x:c r="D416" s="111"/>
      <x:c r="E416" s="129"/>
      <x:c r="F416" s="138"/>
      <x:c r="G416" s="133" t="str">
        <x:f>IF(OR(A416="",E416="",F416=""),"",E416+F416-IF('ตั้งค่า'!$B$12="นับรวมวันเซ็น",1,0))</x:f>
      </x:c>
      <x:c r="H416" s="134"/>
      <x:c r="I416" s="117" t="str">
        <x:v>ยังไม่ส่ง</x:v>
      </x:c>
      <x:c r="J416" s="141" t="str">
        <x:f>IF(A416="","",IF(G416="","",IF(I416="ส่งแล้ว",0,G416-TODAY())))</x:f>
      </x:c>
      <x:c r="K416" s="114" t="str">
        <x:f>IF(A416="","",IF(G416="","ยังไม่ระบุวัน",IF(I416="ส่งแล้ว",IF(H416="","ส่งแล้ว",IF(INT(H416)&lt;INT(G416),"ส่งก่อนกำหนด "&amp;(INT(G416)-INT(H416))&amp;" วัน",IF(INT(H416)=INT(G416),"ส่งตรงกำหนด","ส่งล่าช้า "&amp;(INT(H416)-INT(G416))&amp;" วัน"))),IFS(G416&lt;TODAY(),"เกินกำหนด "&amp;(TODAY()-G416)&amp;" วัน",G416=TODAY(),"ครบกำหนดวันนี้",G416-TODAY()&lt;=3,"เร่งดำเนินการ",G416-TODAY()&lt;=5,"ต้องติดตาม",G416-TODAY()&lt;=10,"ใกล้ครบกำหนด",TRUE,"อยู่ระหว่างดำเนินการ"))))</x:f>
      </x:c>
      <x:c r="L416" s="114" t="str">
        <x:f>IF(OR(A416="",P416=""),"",HYPERLINK(P416,"เปิดใน Google Calendar"))</x:f>
      </x:c>
      <x:c r="M416" s="111"/>
      <x:c r="N416" s="123"/>
      <x:c r="O416" s="123"/>
      <x:c r="P416" s="123"/>
      <x:c r="Q416" s="126" t="b">
        <x:v>0</x:v>
      </x:c>
      <x:c r="R416" s="126" t="b">
        <x:v>0</x:v>
      </x:c>
      <x:c r="S416" s="126" t="b">
        <x:v>0</x:v>
      </x:c>
      <x:c r="T416" s="126" t="b">
        <x:v>0</x:v>
      </x:c>
      <x:c r="U416" s="144"/>
      <x:c r="V416" s="123"/>
      <x:c r="W416" s="123"/>
      <x:c r="X416" s="126" t="b">
        <x:v>0</x:v>
      </x:c>
    </x:row>
    <x:row r="417" ht="18" customHeight="1">
      <x:c r="A417" s="111"/>
      <x:c r="B417" s="111"/>
      <x:c r="C417" s="111"/>
      <x:c r="D417" s="111"/>
      <x:c r="E417" s="129"/>
      <x:c r="F417" s="138"/>
      <x:c r="G417" s="133" t="str">
        <x:f>IF(OR(A417="",E417="",F417=""),"",E417+F417-IF('ตั้งค่า'!$B$12="นับรวมวันเซ็น",1,0))</x:f>
      </x:c>
      <x:c r="H417" s="134"/>
      <x:c r="I417" s="117" t="str">
        <x:v>ยังไม่ส่ง</x:v>
      </x:c>
      <x:c r="J417" s="141" t="str">
        <x:f>IF(A417="","",IF(G417="","",IF(I417="ส่งแล้ว",0,G417-TODAY())))</x:f>
      </x:c>
      <x:c r="K417" s="114" t="str">
        <x:f>IF(A417="","",IF(G417="","ยังไม่ระบุวัน",IF(I417="ส่งแล้ว",IF(H417="","ส่งแล้ว",IF(INT(H417)&lt;INT(G417),"ส่งก่อนกำหนด "&amp;(INT(G417)-INT(H417))&amp;" วัน",IF(INT(H417)=INT(G417),"ส่งตรงกำหนด","ส่งล่าช้า "&amp;(INT(H417)-INT(G417))&amp;" วัน"))),IFS(G417&lt;TODAY(),"เกินกำหนด "&amp;(TODAY()-G417)&amp;" วัน",G417=TODAY(),"ครบกำหนดวันนี้",G417-TODAY()&lt;=3,"เร่งดำเนินการ",G417-TODAY()&lt;=5,"ต้องติดตาม",G417-TODAY()&lt;=10,"ใกล้ครบกำหนด",TRUE,"อยู่ระหว่างดำเนินการ"))))</x:f>
      </x:c>
      <x:c r="L417" s="114" t="str">
        <x:f>IF(OR(A417="",P417=""),"",HYPERLINK(P417,"เปิดใน Google Calendar"))</x:f>
      </x:c>
      <x:c r="M417" s="111"/>
      <x:c r="N417" s="123"/>
      <x:c r="O417" s="123"/>
      <x:c r="P417" s="123"/>
      <x:c r="Q417" s="126" t="b">
        <x:v>0</x:v>
      </x:c>
      <x:c r="R417" s="126" t="b">
        <x:v>0</x:v>
      </x:c>
      <x:c r="S417" s="126" t="b">
        <x:v>0</x:v>
      </x:c>
      <x:c r="T417" s="126" t="b">
        <x:v>0</x:v>
      </x:c>
      <x:c r="U417" s="144"/>
      <x:c r="V417" s="123"/>
      <x:c r="W417" s="123"/>
      <x:c r="X417" s="126" t="b">
        <x:v>0</x:v>
      </x:c>
    </x:row>
    <x:row r="418" ht="18" customHeight="1">
      <x:c r="A418" s="111"/>
      <x:c r="B418" s="111"/>
      <x:c r="C418" s="111"/>
      <x:c r="D418" s="111"/>
      <x:c r="E418" s="129"/>
      <x:c r="F418" s="138"/>
      <x:c r="G418" s="133" t="str">
        <x:f>IF(OR(A418="",E418="",F418=""),"",E418+F418-IF('ตั้งค่า'!$B$12="นับรวมวันเซ็น",1,0))</x:f>
      </x:c>
      <x:c r="H418" s="134"/>
      <x:c r="I418" s="117" t="str">
        <x:v>ยังไม่ส่ง</x:v>
      </x:c>
      <x:c r="J418" s="141" t="str">
        <x:f>IF(A418="","",IF(G418="","",IF(I418="ส่งแล้ว",0,G418-TODAY())))</x:f>
      </x:c>
      <x:c r="K418" s="114" t="str">
        <x:f>IF(A418="","",IF(G418="","ยังไม่ระบุวัน",IF(I418="ส่งแล้ว",IF(H418="","ส่งแล้ว",IF(INT(H418)&lt;INT(G418),"ส่งก่อนกำหนด "&amp;(INT(G418)-INT(H418))&amp;" วัน",IF(INT(H418)=INT(G418),"ส่งตรงกำหนด","ส่งล่าช้า "&amp;(INT(H418)-INT(G418))&amp;" วัน"))),IFS(G418&lt;TODAY(),"เกินกำหนด "&amp;(TODAY()-G418)&amp;" วัน",G418=TODAY(),"ครบกำหนดวันนี้",G418-TODAY()&lt;=3,"เร่งดำเนินการ",G418-TODAY()&lt;=5,"ต้องติดตาม",G418-TODAY()&lt;=10,"ใกล้ครบกำหนด",TRUE,"อยู่ระหว่างดำเนินการ"))))</x:f>
      </x:c>
      <x:c r="L418" s="114" t="str">
        <x:f>IF(OR(A418="",P418=""),"",HYPERLINK(P418,"เปิดใน Google Calendar"))</x:f>
      </x:c>
      <x:c r="M418" s="111"/>
      <x:c r="N418" s="123"/>
      <x:c r="O418" s="123"/>
      <x:c r="P418" s="123"/>
      <x:c r="Q418" s="126" t="b">
        <x:v>0</x:v>
      </x:c>
      <x:c r="R418" s="126" t="b">
        <x:v>0</x:v>
      </x:c>
      <x:c r="S418" s="126" t="b">
        <x:v>0</x:v>
      </x:c>
      <x:c r="T418" s="126" t="b">
        <x:v>0</x:v>
      </x:c>
      <x:c r="U418" s="144"/>
      <x:c r="V418" s="123"/>
      <x:c r="W418" s="123"/>
      <x:c r="X418" s="126" t="b">
        <x:v>0</x:v>
      </x:c>
    </x:row>
    <x:row r="419" ht="18" customHeight="1">
      <x:c r="A419" s="111"/>
      <x:c r="B419" s="111"/>
      <x:c r="C419" s="111"/>
      <x:c r="D419" s="111"/>
      <x:c r="E419" s="129"/>
      <x:c r="F419" s="138"/>
      <x:c r="G419" s="133" t="str">
        <x:f>IF(OR(A419="",E419="",F419=""),"",E419+F419-IF('ตั้งค่า'!$B$12="นับรวมวันเซ็น",1,0))</x:f>
      </x:c>
      <x:c r="H419" s="134"/>
      <x:c r="I419" s="117" t="str">
        <x:v>ยังไม่ส่ง</x:v>
      </x:c>
      <x:c r="J419" s="141" t="str">
        <x:f>IF(A419="","",IF(G419="","",IF(I419="ส่งแล้ว",0,G419-TODAY())))</x:f>
      </x:c>
      <x:c r="K419" s="114" t="str">
        <x:f>IF(A419="","",IF(G419="","ยังไม่ระบุวัน",IF(I419="ส่งแล้ว",IF(H419="","ส่งแล้ว",IF(INT(H419)&lt;INT(G419),"ส่งก่อนกำหนด "&amp;(INT(G419)-INT(H419))&amp;" วัน",IF(INT(H419)=INT(G419),"ส่งตรงกำหนด","ส่งล่าช้า "&amp;(INT(H419)-INT(G419))&amp;" วัน"))),IFS(G419&lt;TODAY(),"เกินกำหนด "&amp;(TODAY()-G419)&amp;" วัน",G419=TODAY(),"ครบกำหนดวันนี้",G419-TODAY()&lt;=3,"เร่งดำเนินการ",G419-TODAY()&lt;=5,"ต้องติดตาม",G419-TODAY()&lt;=10,"ใกล้ครบกำหนด",TRUE,"อยู่ระหว่างดำเนินการ"))))</x:f>
      </x:c>
      <x:c r="L419" s="114" t="str">
        <x:f>IF(OR(A419="",P419=""),"",HYPERLINK(P419,"เปิดใน Google Calendar"))</x:f>
      </x:c>
      <x:c r="M419" s="111"/>
      <x:c r="N419" s="123"/>
      <x:c r="O419" s="123"/>
      <x:c r="P419" s="123"/>
      <x:c r="Q419" s="126" t="b">
        <x:v>0</x:v>
      </x:c>
      <x:c r="R419" s="126" t="b">
        <x:v>0</x:v>
      </x:c>
      <x:c r="S419" s="126" t="b">
        <x:v>0</x:v>
      </x:c>
      <x:c r="T419" s="126" t="b">
        <x:v>0</x:v>
      </x:c>
      <x:c r="U419" s="144"/>
      <x:c r="V419" s="123"/>
      <x:c r="W419" s="123"/>
      <x:c r="X419" s="126" t="b">
        <x:v>0</x:v>
      </x:c>
    </x:row>
    <x:row r="420" ht="18" customHeight="1">
      <x:c r="A420" s="111"/>
      <x:c r="B420" s="111"/>
      <x:c r="C420" s="111"/>
      <x:c r="D420" s="111"/>
      <x:c r="E420" s="129"/>
      <x:c r="F420" s="138"/>
      <x:c r="G420" s="133" t="str">
        <x:f>IF(OR(A420="",E420="",F420=""),"",E420+F420-IF('ตั้งค่า'!$B$12="นับรวมวันเซ็น",1,0))</x:f>
      </x:c>
      <x:c r="H420" s="134"/>
      <x:c r="I420" s="117" t="str">
        <x:v>ยังไม่ส่ง</x:v>
      </x:c>
      <x:c r="J420" s="141" t="str">
        <x:f>IF(A420="","",IF(G420="","",IF(I420="ส่งแล้ว",0,G420-TODAY())))</x:f>
      </x:c>
      <x:c r="K420" s="114" t="str">
        <x:f>IF(A420="","",IF(G420="","ยังไม่ระบุวัน",IF(I420="ส่งแล้ว",IF(H420="","ส่งแล้ว",IF(INT(H420)&lt;INT(G420),"ส่งก่อนกำหนด "&amp;(INT(G420)-INT(H420))&amp;" วัน",IF(INT(H420)=INT(G420),"ส่งตรงกำหนด","ส่งล่าช้า "&amp;(INT(H420)-INT(G420))&amp;" วัน"))),IFS(G420&lt;TODAY(),"เกินกำหนด "&amp;(TODAY()-G420)&amp;" วัน",G420=TODAY(),"ครบกำหนดวันนี้",G420-TODAY()&lt;=3,"เร่งดำเนินการ",G420-TODAY()&lt;=5,"ต้องติดตาม",G420-TODAY()&lt;=10,"ใกล้ครบกำหนด",TRUE,"อยู่ระหว่างดำเนินการ"))))</x:f>
      </x:c>
      <x:c r="L420" s="114" t="str">
        <x:f>IF(OR(A420="",P420=""),"",HYPERLINK(P420,"เปิดใน Google Calendar"))</x:f>
      </x:c>
      <x:c r="M420" s="111"/>
      <x:c r="N420" s="123"/>
      <x:c r="O420" s="123"/>
      <x:c r="P420" s="123"/>
      <x:c r="Q420" s="126" t="b">
        <x:v>0</x:v>
      </x:c>
      <x:c r="R420" s="126" t="b">
        <x:v>0</x:v>
      </x:c>
      <x:c r="S420" s="126" t="b">
        <x:v>0</x:v>
      </x:c>
      <x:c r="T420" s="126" t="b">
        <x:v>0</x:v>
      </x:c>
      <x:c r="U420" s="144"/>
      <x:c r="V420" s="123"/>
      <x:c r="W420" s="123"/>
      <x:c r="X420" s="126" t="b">
        <x:v>0</x:v>
      </x:c>
    </x:row>
    <x:row r="421" ht="18" customHeight="1">
      <x:c r="A421" s="111"/>
      <x:c r="B421" s="111"/>
      <x:c r="C421" s="111"/>
      <x:c r="D421" s="111"/>
      <x:c r="E421" s="129"/>
      <x:c r="F421" s="138"/>
      <x:c r="G421" s="133" t="str">
        <x:f>IF(OR(A421="",E421="",F421=""),"",E421+F421-IF('ตั้งค่า'!$B$12="นับรวมวันเซ็น",1,0))</x:f>
      </x:c>
      <x:c r="H421" s="134"/>
      <x:c r="I421" s="117" t="str">
        <x:v>ยังไม่ส่ง</x:v>
      </x:c>
      <x:c r="J421" s="141" t="str">
        <x:f>IF(A421="","",IF(G421="","",IF(I421="ส่งแล้ว",0,G421-TODAY())))</x:f>
      </x:c>
      <x:c r="K421" s="114" t="str">
        <x:f>IF(A421="","",IF(G421="","ยังไม่ระบุวัน",IF(I421="ส่งแล้ว",IF(H421="","ส่งแล้ว",IF(INT(H421)&lt;INT(G421),"ส่งก่อนกำหนด "&amp;(INT(G421)-INT(H421))&amp;" วัน",IF(INT(H421)=INT(G421),"ส่งตรงกำหนด","ส่งล่าช้า "&amp;(INT(H421)-INT(G421))&amp;" วัน"))),IFS(G421&lt;TODAY(),"เกินกำหนด "&amp;(TODAY()-G421)&amp;" วัน",G421=TODAY(),"ครบกำหนดวันนี้",G421-TODAY()&lt;=3,"เร่งดำเนินการ",G421-TODAY()&lt;=5,"ต้องติดตาม",G421-TODAY()&lt;=10,"ใกล้ครบกำหนด",TRUE,"อยู่ระหว่างดำเนินการ"))))</x:f>
      </x:c>
      <x:c r="L421" s="114" t="str">
        <x:f>IF(OR(A421="",P421=""),"",HYPERLINK(P421,"เปิดใน Google Calendar"))</x:f>
      </x:c>
      <x:c r="M421" s="111"/>
      <x:c r="N421" s="123"/>
      <x:c r="O421" s="123"/>
      <x:c r="P421" s="123"/>
      <x:c r="Q421" s="126" t="b">
        <x:v>0</x:v>
      </x:c>
      <x:c r="R421" s="126" t="b">
        <x:v>0</x:v>
      </x:c>
      <x:c r="S421" s="126" t="b">
        <x:v>0</x:v>
      </x:c>
      <x:c r="T421" s="126" t="b">
        <x:v>0</x:v>
      </x:c>
      <x:c r="U421" s="144"/>
      <x:c r="V421" s="123"/>
      <x:c r="W421" s="123"/>
      <x:c r="X421" s="126" t="b">
        <x:v>0</x:v>
      </x:c>
    </x:row>
    <x:row r="422" ht="18" customHeight="1">
      <x:c r="A422" s="111"/>
      <x:c r="B422" s="111"/>
      <x:c r="C422" s="111"/>
      <x:c r="D422" s="111"/>
      <x:c r="E422" s="129"/>
      <x:c r="F422" s="138"/>
      <x:c r="G422" s="133" t="str">
        <x:f>IF(OR(A422="",E422="",F422=""),"",E422+F422-IF('ตั้งค่า'!$B$12="นับรวมวันเซ็น",1,0))</x:f>
      </x:c>
      <x:c r="H422" s="134"/>
      <x:c r="I422" s="117" t="str">
        <x:v>ยังไม่ส่ง</x:v>
      </x:c>
      <x:c r="J422" s="141" t="str">
        <x:f>IF(A422="","",IF(G422="","",IF(I422="ส่งแล้ว",0,G422-TODAY())))</x:f>
      </x:c>
      <x:c r="K422" s="114" t="str">
        <x:f>IF(A422="","",IF(G422="","ยังไม่ระบุวัน",IF(I422="ส่งแล้ว",IF(H422="","ส่งแล้ว",IF(INT(H422)&lt;INT(G422),"ส่งก่อนกำหนด "&amp;(INT(G422)-INT(H422))&amp;" วัน",IF(INT(H422)=INT(G422),"ส่งตรงกำหนด","ส่งล่าช้า "&amp;(INT(H422)-INT(G422))&amp;" วัน"))),IFS(G422&lt;TODAY(),"เกินกำหนด "&amp;(TODAY()-G422)&amp;" วัน",G422=TODAY(),"ครบกำหนดวันนี้",G422-TODAY()&lt;=3,"เร่งดำเนินการ",G422-TODAY()&lt;=5,"ต้องติดตาม",G422-TODAY()&lt;=10,"ใกล้ครบกำหนด",TRUE,"อยู่ระหว่างดำเนินการ"))))</x:f>
      </x:c>
      <x:c r="L422" s="114" t="str">
        <x:f>IF(OR(A422="",P422=""),"",HYPERLINK(P422,"เปิดใน Google Calendar"))</x:f>
      </x:c>
      <x:c r="M422" s="111"/>
      <x:c r="N422" s="123"/>
      <x:c r="O422" s="123"/>
      <x:c r="P422" s="123"/>
      <x:c r="Q422" s="126" t="b">
        <x:v>0</x:v>
      </x:c>
      <x:c r="R422" s="126" t="b">
        <x:v>0</x:v>
      </x:c>
      <x:c r="S422" s="126" t="b">
        <x:v>0</x:v>
      </x:c>
      <x:c r="T422" s="126" t="b">
        <x:v>0</x:v>
      </x:c>
      <x:c r="U422" s="144"/>
      <x:c r="V422" s="123"/>
      <x:c r="W422" s="123"/>
      <x:c r="X422" s="126" t="b">
        <x:v>0</x:v>
      </x:c>
    </x:row>
    <x:row r="423" ht="18" customHeight="1">
      <x:c r="A423" s="111"/>
      <x:c r="B423" s="111"/>
      <x:c r="C423" s="111"/>
      <x:c r="D423" s="111"/>
      <x:c r="E423" s="129"/>
      <x:c r="F423" s="138"/>
      <x:c r="G423" s="133" t="str">
        <x:f>IF(OR(A423="",E423="",F423=""),"",E423+F423-IF('ตั้งค่า'!$B$12="นับรวมวันเซ็น",1,0))</x:f>
      </x:c>
      <x:c r="H423" s="134"/>
      <x:c r="I423" s="117" t="str">
        <x:v>ยังไม่ส่ง</x:v>
      </x:c>
      <x:c r="J423" s="141" t="str">
        <x:f>IF(A423="","",IF(G423="","",IF(I423="ส่งแล้ว",0,G423-TODAY())))</x:f>
      </x:c>
      <x:c r="K423" s="114" t="str">
        <x:f>IF(A423="","",IF(G423="","ยังไม่ระบุวัน",IF(I423="ส่งแล้ว",IF(H423="","ส่งแล้ว",IF(INT(H423)&lt;INT(G423),"ส่งก่อนกำหนด "&amp;(INT(G423)-INT(H423))&amp;" วัน",IF(INT(H423)=INT(G423),"ส่งตรงกำหนด","ส่งล่าช้า "&amp;(INT(H423)-INT(G423))&amp;" วัน"))),IFS(G423&lt;TODAY(),"เกินกำหนด "&amp;(TODAY()-G423)&amp;" วัน",G423=TODAY(),"ครบกำหนดวันนี้",G423-TODAY()&lt;=3,"เร่งดำเนินการ",G423-TODAY()&lt;=5,"ต้องติดตาม",G423-TODAY()&lt;=10,"ใกล้ครบกำหนด",TRUE,"อยู่ระหว่างดำเนินการ"))))</x:f>
      </x:c>
      <x:c r="L423" s="114" t="str">
        <x:f>IF(OR(A423="",P423=""),"",HYPERLINK(P423,"เปิดใน Google Calendar"))</x:f>
      </x:c>
      <x:c r="M423" s="111"/>
      <x:c r="N423" s="123"/>
      <x:c r="O423" s="123"/>
      <x:c r="P423" s="123"/>
      <x:c r="Q423" s="126" t="b">
        <x:v>0</x:v>
      </x:c>
      <x:c r="R423" s="126" t="b">
        <x:v>0</x:v>
      </x:c>
      <x:c r="S423" s="126" t="b">
        <x:v>0</x:v>
      </x:c>
      <x:c r="T423" s="126" t="b">
        <x:v>0</x:v>
      </x:c>
      <x:c r="U423" s="144"/>
      <x:c r="V423" s="123"/>
      <x:c r="W423" s="123"/>
      <x:c r="X423" s="126" t="b">
        <x:v>0</x:v>
      </x:c>
    </x:row>
    <x:row r="424" ht="18" customHeight="1">
      <x:c r="A424" s="111"/>
      <x:c r="B424" s="111"/>
      <x:c r="C424" s="111"/>
      <x:c r="D424" s="111"/>
      <x:c r="E424" s="129"/>
      <x:c r="F424" s="138"/>
      <x:c r="G424" s="133" t="str">
        <x:f>IF(OR(A424="",E424="",F424=""),"",E424+F424-IF('ตั้งค่า'!$B$12="นับรวมวันเซ็น",1,0))</x:f>
      </x:c>
      <x:c r="H424" s="134"/>
      <x:c r="I424" s="117" t="str">
        <x:v>ยังไม่ส่ง</x:v>
      </x:c>
      <x:c r="J424" s="141" t="str">
        <x:f>IF(A424="","",IF(G424="","",IF(I424="ส่งแล้ว",0,G424-TODAY())))</x:f>
      </x:c>
      <x:c r="K424" s="114" t="str">
        <x:f>IF(A424="","",IF(G424="","ยังไม่ระบุวัน",IF(I424="ส่งแล้ว",IF(H424="","ส่งแล้ว",IF(INT(H424)&lt;INT(G424),"ส่งก่อนกำหนด "&amp;(INT(G424)-INT(H424))&amp;" วัน",IF(INT(H424)=INT(G424),"ส่งตรงกำหนด","ส่งล่าช้า "&amp;(INT(H424)-INT(G424))&amp;" วัน"))),IFS(G424&lt;TODAY(),"เกินกำหนด "&amp;(TODAY()-G424)&amp;" วัน",G424=TODAY(),"ครบกำหนดวันนี้",G424-TODAY()&lt;=3,"เร่งดำเนินการ",G424-TODAY()&lt;=5,"ต้องติดตาม",G424-TODAY()&lt;=10,"ใกล้ครบกำหนด",TRUE,"อยู่ระหว่างดำเนินการ"))))</x:f>
      </x:c>
      <x:c r="L424" s="114" t="str">
        <x:f>IF(OR(A424="",P424=""),"",HYPERLINK(P424,"เปิดใน Google Calendar"))</x:f>
      </x:c>
      <x:c r="M424" s="111"/>
      <x:c r="N424" s="123"/>
      <x:c r="O424" s="123"/>
      <x:c r="P424" s="123"/>
      <x:c r="Q424" s="126" t="b">
        <x:v>0</x:v>
      </x:c>
      <x:c r="R424" s="126" t="b">
        <x:v>0</x:v>
      </x:c>
      <x:c r="S424" s="126" t="b">
        <x:v>0</x:v>
      </x:c>
      <x:c r="T424" s="126" t="b">
        <x:v>0</x:v>
      </x:c>
      <x:c r="U424" s="144"/>
      <x:c r="V424" s="123"/>
      <x:c r="W424" s="123"/>
      <x:c r="X424" s="126" t="b">
        <x:v>0</x:v>
      </x:c>
    </x:row>
    <x:row r="425" ht="18" customHeight="1">
      <x:c r="A425" s="111"/>
      <x:c r="B425" s="111"/>
      <x:c r="C425" s="111"/>
      <x:c r="D425" s="111"/>
      <x:c r="E425" s="129"/>
      <x:c r="F425" s="138"/>
      <x:c r="G425" s="133" t="str">
        <x:f>IF(OR(A425="",E425="",F425=""),"",E425+F425-IF('ตั้งค่า'!$B$12="นับรวมวันเซ็น",1,0))</x:f>
      </x:c>
      <x:c r="H425" s="134"/>
      <x:c r="I425" s="117" t="str">
        <x:v>ยังไม่ส่ง</x:v>
      </x:c>
      <x:c r="J425" s="141" t="str">
        <x:f>IF(A425="","",IF(G425="","",IF(I425="ส่งแล้ว",0,G425-TODAY())))</x:f>
      </x:c>
      <x:c r="K425" s="114" t="str">
        <x:f>IF(A425="","",IF(G425="","ยังไม่ระบุวัน",IF(I425="ส่งแล้ว",IF(H425="","ส่งแล้ว",IF(INT(H425)&lt;INT(G425),"ส่งก่อนกำหนด "&amp;(INT(G425)-INT(H425))&amp;" วัน",IF(INT(H425)=INT(G425),"ส่งตรงกำหนด","ส่งล่าช้า "&amp;(INT(H425)-INT(G425))&amp;" วัน"))),IFS(G425&lt;TODAY(),"เกินกำหนด "&amp;(TODAY()-G425)&amp;" วัน",G425=TODAY(),"ครบกำหนดวันนี้",G425-TODAY()&lt;=3,"เร่งดำเนินการ",G425-TODAY()&lt;=5,"ต้องติดตาม",G425-TODAY()&lt;=10,"ใกล้ครบกำหนด",TRUE,"อยู่ระหว่างดำเนินการ"))))</x:f>
      </x:c>
      <x:c r="L425" s="114" t="str">
        <x:f>IF(OR(A425="",P425=""),"",HYPERLINK(P425,"เปิดใน Google Calendar"))</x:f>
      </x:c>
      <x:c r="M425" s="111"/>
      <x:c r="N425" s="123"/>
      <x:c r="O425" s="123"/>
      <x:c r="P425" s="123"/>
      <x:c r="Q425" s="126" t="b">
        <x:v>0</x:v>
      </x:c>
      <x:c r="R425" s="126" t="b">
        <x:v>0</x:v>
      </x:c>
      <x:c r="S425" s="126" t="b">
        <x:v>0</x:v>
      </x:c>
      <x:c r="T425" s="126" t="b">
        <x:v>0</x:v>
      </x:c>
      <x:c r="U425" s="144"/>
      <x:c r="V425" s="123"/>
      <x:c r="W425" s="123"/>
      <x:c r="X425" s="126" t="b">
        <x:v>0</x:v>
      </x:c>
    </x:row>
    <x:row r="426" ht="18" customHeight="1">
      <x:c r="A426" s="111"/>
      <x:c r="B426" s="111"/>
      <x:c r="C426" s="111"/>
      <x:c r="D426" s="111"/>
      <x:c r="E426" s="129"/>
      <x:c r="F426" s="138"/>
      <x:c r="G426" s="133" t="str">
        <x:f>IF(OR(A426="",E426="",F426=""),"",E426+F426-IF('ตั้งค่า'!$B$12="นับรวมวันเซ็น",1,0))</x:f>
      </x:c>
      <x:c r="H426" s="134"/>
      <x:c r="I426" s="117" t="str">
        <x:v>ยังไม่ส่ง</x:v>
      </x:c>
      <x:c r="J426" s="141" t="str">
        <x:f>IF(A426="","",IF(G426="","",IF(I426="ส่งแล้ว",0,G426-TODAY())))</x:f>
      </x:c>
      <x:c r="K426" s="114" t="str">
        <x:f>IF(A426="","",IF(G426="","ยังไม่ระบุวัน",IF(I426="ส่งแล้ว",IF(H426="","ส่งแล้ว",IF(INT(H426)&lt;INT(G426),"ส่งก่อนกำหนด "&amp;(INT(G426)-INT(H426))&amp;" วัน",IF(INT(H426)=INT(G426),"ส่งตรงกำหนด","ส่งล่าช้า "&amp;(INT(H426)-INT(G426))&amp;" วัน"))),IFS(G426&lt;TODAY(),"เกินกำหนด "&amp;(TODAY()-G426)&amp;" วัน",G426=TODAY(),"ครบกำหนดวันนี้",G426-TODAY()&lt;=3,"เร่งดำเนินการ",G426-TODAY()&lt;=5,"ต้องติดตาม",G426-TODAY()&lt;=10,"ใกล้ครบกำหนด",TRUE,"อยู่ระหว่างดำเนินการ"))))</x:f>
      </x:c>
      <x:c r="L426" s="114" t="str">
        <x:f>IF(OR(A426="",P426=""),"",HYPERLINK(P426,"เปิดใน Google Calendar"))</x:f>
      </x:c>
      <x:c r="M426" s="111"/>
      <x:c r="N426" s="123"/>
      <x:c r="O426" s="123"/>
      <x:c r="P426" s="123"/>
      <x:c r="Q426" s="126" t="b">
        <x:v>0</x:v>
      </x:c>
      <x:c r="R426" s="126" t="b">
        <x:v>0</x:v>
      </x:c>
      <x:c r="S426" s="126" t="b">
        <x:v>0</x:v>
      </x:c>
      <x:c r="T426" s="126" t="b">
        <x:v>0</x:v>
      </x:c>
      <x:c r="U426" s="144"/>
      <x:c r="V426" s="123"/>
      <x:c r="W426" s="123"/>
      <x:c r="X426" s="126" t="b">
        <x:v>0</x:v>
      </x:c>
    </x:row>
    <x:row r="427" ht="18" customHeight="1">
      <x:c r="A427" s="111"/>
      <x:c r="B427" s="111"/>
      <x:c r="C427" s="111"/>
      <x:c r="D427" s="111"/>
      <x:c r="E427" s="129"/>
      <x:c r="F427" s="138"/>
      <x:c r="G427" s="133" t="str">
        <x:f>IF(OR(A427="",E427="",F427=""),"",E427+F427-IF('ตั้งค่า'!$B$12="นับรวมวันเซ็น",1,0))</x:f>
      </x:c>
      <x:c r="H427" s="134"/>
      <x:c r="I427" s="117" t="str">
        <x:v>ยังไม่ส่ง</x:v>
      </x:c>
      <x:c r="J427" s="141" t="str">
        <x:f>IF(A427="","",IF(G427="","",IF(I427="ส่งแล้ว",0,G427-TODAY())))</x:f>
      </x:c>
      <x:c r="K427" s="114" t="str">
        <x:f>IF(A427="","",IF(G427="","ยังไม่ระบุวัน",IF(I427="ส่งแล้ว",IF(H427="","ส่งแล้ว",IF(INT(H427)&lt;INT(G427),"ส่งก่อนกำหนด "&amp;(INT(G427)-INT(H427))&amp;" วัน",IF(INT(H427)=INT(G427),"ส่งตรงกำหนด","ส่งล่าช้า "&amp;(INT(H427)-INT(G427))&amp;" วัน"))),IFS(G427&lt;TODAY(),"เกินกำหนด "&amp;(TODAY()-G427)&amp;" วัน",G427=TODAY(),"ครบกำหนดวันนี้",G427-TODAY()&lt;=3,"เร่งดำเนินการ",G427-TODAY()&lt;=5,"ต้องติดตาม",G427-TODAY()&lt;=10,"ใกล้ครบกำหนด",TRUE,"อยู่ระหว่างดำเนินการ"))))</x:f>
      </x:c>
      <x:c r="L427" s="114" t="str">
        <x:f>IF(OR(A427="",P427=""),"",HYPERLINK(P427,"เปิดใน Google Calendar"))</x:f>
      </x:c>
      <x:c r="M427" s="111"/>
      <x:c r="N427" s="123"/>
      <x:c r="O427" s="123"/>
      <x:c r="P427" s="123"/>
      <x:c r="Q427" s="126" t="b">
        <x:v>0</x:v>
      </x:c>
      <x:c r="R427" s="126" t="b">
        <x:v>0</x:v>
      </x:c>
      <x:c r="S427" s="126" t="b">
        <x:v>0</x:v>
      </x:c>
      <x:c r="T427" s="126" t="b">
        <x:v>0</x:v>
      </x:c>
      <x:c r="U427" s="144"/>
      <x:c r="V427" s="123"/>
      <x:c r="W427" s="123"/>
      <x:c r="X427" s="126" t="b">
        <x:v>0</x:v>
      </x:c>
    </x:row>
    <x:row r="428" ht="18" customHeight="1">
      <x:c r="A428" s="111"/>
      <x:c r="B428" s="111"/>
      <x:c r="C428" s="111"/>
      <x:c r="D428" s="111"/>
      <x:c r="E428" s="129"/>
      <x:c r="F428" s="138"/>
      <x:c r="G428" s="133" t="str">
        <x:f>IF(OR(A428="",E428="",F428=""),"",E428+F428-IF('ตั้งค่า'!$B$12="นับรวมวันเซ็น",1,0))</x:f>
      </x:c>
      <x:c r="H428" s="134"/>
      <x:c r="I428" s="117" t="str">
        <x:v>ยังไม่ส่ง</x:v>
      </x:c>
      <x:c r="J428" s="141" t="str">
        <x:f>IF(A428="","",IF(G428="","",IF(I428="ส่งแล้ว",0,G428-TODAY())))</x:f>
      </x:c>
      <x:c r="K428" s="114" t="str">
        <x:f>IF(A428="","",IF(G428="","ยังไม่ระบุวัน",IF(I428="ส่งแล้ว",IF(H428="","ส่งแล้ว",IF(INT(H428)&lt;INT(G428),"ส่งก่อนกำหนด "&amp;(INT(G428)-INT(H428))&amp;" วัน",IF(INT(H428)=INT(G428),"ส่งตรงกำหนด","ส่งล่าช้า "&amp;(INT(H428)-INT(G428))&amp;" วัน"))),IFS(G428&lt;TODAY(),"เกินกำหนด "&amp;(TODAY()-G428)&amp;" วัน",G428=TODAY(),"ครบกำหนดวันนี้",G428-TODAY()&lt;=3,"เร่งดำเนินการ",G428-TODAY()&lt;=5,"ต้องติดตาม",G428-TODAY()&lt;=10,"ใกล้ครบกำหนด",TRUE,"อยู่ระหว่างดำเนินการ"))))</x:f>
      </x:c>
      <x:c r="L428" s="114" t="str">
        <x:f>IF(OR(A428="",P428=""),"",HYPERLINK(P428,"เปิดใน Google Calendar"))</x:f>
      </x:c>
      <x:c r="M428" s="111"/>
      <x:c r="N428" s="123"/>
      <x:c r="O428" s="123"/>
      <x:c r="P428" s="123"/>
      <x:c r="Q428" s="126" t="b">
        <x:v>0</x:v>
      </x:c>
      <x:c r="R428" s="126" t="b">
        <x:v>0</x:v>
      </x:c>
      <x:c r="S428" s="126" t="b">
        <x:v>0</x:v>
      </x:c>
      <x:c r="T428" s="126" t="b">
        <x:v>0</x:v>
      </x:c>
      <x:c r="U428" s="144"/>
      <x:c r="V428" s="123"/>
      <x:c r="W428" s="123"/>
      <x:c r="X428" s="126" t="b">
        <x:v>0</x:v>
      </x:c>
    </x:row>
    <x:row r="429" ht="18" customHeight="1">
      <x:c r="A429" s="111"/>
      <x:c r="B429" s="111"/>
      <x:c r="C429" s="111"/>
      <x:c r="D429" s="111"/>
      <x:c r="E429" s="129"/>
      <x:c r="F429" s="138"/>
      <x:c r="G429" s="133" t="str">
        <x:f>IF(OR(A429="",E429="",F429=""),"",E429+F429-IF('ตั้งค่า'!$B$12="นับรวมวันเซ็น",1,0))</x:f>
      </x:c>
      <x:c r="H429" s="134"/>
      <x:c r="I429" s="117" t="str">
        <x:v>ยังไม่ส่ง</x:v>
      </x:c>
      <x:c r="J429" s="141" t="str">
        <x:f>IF(A429="","",IF(G429="","",IF(I429="ส่งแล้ว",0,G429-TODAY())))</x:f>
      </x:c>
      <x:c r="K429" s="114" t="str">
        <x:f>IF(A429="","",IF(G429="","ยังไม่ระบุวัน",IF(I429="ส่งแล้ว",IF(H429="","ส่งแล้ว",IF(INT(H429)&lt;INT(G429),"ส่งก่อนกำหนด "&amp;(INT(G429)-INT(H429))&amp;" วัน",IF(INT(H429)=INT(G429),"ส่งตรงกำหนด","ส่งล่าช้า "&amp;(INT(H429)-INT(G429))&amp;" วัน"))),IFS(G429&lt;TODAY(),"เกินกำหนด "&amp;(TODAY()-G429)&amp;" วัน",G429=TODAY(),"ครบกำหนดวันนี้",G429-TODAY()&lt;=3,"เร่งดำเนินการ",G429-TODAY()&lt;=5,"ต้องติดตาม",G429-TODAY()&lt;=10,"ใกล้ครบกำหนด",TRUE,"อยู่ระหว่างดำเนินการ"))))</x:f>
      </x:c>
      <x:c r="L429" s="114" t="str">
        <x:f>IF(OR(A429="",P429=""),"",HYPERLINK(P429,"เปิดใน Google Calendar"))</x:f>
      </x:c>
      <x:c r="M429" s="111"/>
      <x:c r="N429" s="123"/>
      <x:c r="O429" s="123"/>
      <x:c r="P429" s="123"/>
      <x:c r="Q429" s="126" t="b">
        <x:v>0</x:v>
      </x:c>
      <x:c r="R429" s="126" t="b">
        <x:v>0</x:v>
      </x:c>
      <x:c r="S429" s="126" t="b">
        <x:v>0</x:v>
      </x:c>
      <x:c r="T429" s="126" t="b">
        <x:v>0</x:v>
      </x:c>
      <x:c r="U429" s="144"/>
      <x:c r="V429" s="123"/>
      <x:c r="W429" s="123"/>
      <x:c r="X429" s="126" t="b">
        <x:v>0</x:v>
      </x:c>
    </x:row>
    <x:row r="430" ht="18" customHeight="1">
      <x:c r="A430" s="111"/>
      <x:c r="B430" s="111"/>
      <x:c r="C430" s="111"/>
      <x:c r="D430" s="111"/>
      <x:c r="E430" s="129"/>
      <x:c r="F430" s="138"/>
      <x:c r="G430" s="133" t="str">
        <x:f>IF(OR(A430="",E430="",F430=""),"",E430+F430-IF('ตั้งค่า'!$B$12="นับรวมวันเซ็น",1,0))</x:f>
      </x:c>
      <x:c r="H430" s="134"/>
      <x:c r="I430" s="117" t="str">
        <x:v>ยังไม่ส่ง</x:v>
      </x:c>
      <x:c r="J430" s="141" t="str">
        <x:f>IF(A430="","",IF(G430="","",IF(I430="ส่งแล้ว",0,G430-TODAY())))</x:f>
      </x:c>
      <x:c r="K430" s="114" t="str">
        <x:f>IF(A430="","",IF(G430="","ยังไม่ระบุวัน",IF(I430="ส่งแล้ว",IF(H430="","ส่งแล้ว",IF(INT(H430)&lt;INT(G430),"ส่งก่อนกำหนด "&amp;(INT(G430)-INT(H430))&amp;" วัน",IF(INT(H430)=INT(G430),"ส่งตรงกำหนด","ส่งล่าช้า "&amp;(INT(H430)-INT(G430))&amp;" วัน"))),IFS(G430&lt;TODAY(),"เกินกำหนด "&amp;(TODAY()-G430)&amp;" วัน",G430=TODAY(),"ครบกำหนดวันนี้",G430-TODAY()&lt;=3,"เร่งดำเนินการ",G430-TODAY()&lt;=5,"ต้องติดตาม",G430-TODAY()&lt;=10,"ใกล้ครบกำหนด",TRUE,"อยู่ระหว่างดำเนินการ"))))</x:f>
      </x:c>
      <x:c r="L430" s="114" t="str">
        <x:f>IF(OR(A430="",P430=""),"",HYPERLINK(P430,"เปิดใน Google Calendar"))</x:f>
      </x:c>
      <x:c r="M430" s="111"/>
      <x:c r="N430" s="123"/>
      <x:c r="O430" s="123"/>
      <x:c r="P430" s="123"/>
      <x:c r="Q430" s="126" t="b">
        <x:v>0</x:v>
      </x:c>
      <x:c r="R430" s="126" t="b">
        <x:v>0</x:v>
      </x:c>
      <x:c r="S430" s="126" t="b">
        <x:v>0</x:v>
      </x:c>
      <x:c r="T430" s="126" t="b">
        <x:v>0</x:v>
      </x:c>
      <x:c r="U430" s="144"/>
      <x:c r="V430" s="123"/>
      <x:c r="W430" s="123"/>
      <x:c r="X430" s="126" t="b">
        <x:v>0</x:v>
      </x:c>
    </x:row>
    <x:row r="431" ht="18" customHeight="1">
      <x:c r="A431" s="111"/>
      <x:c r="B431" s="111"/>
      <x:c r="C431" s="111"/>
      <x:c r="D431" s="111"/>
      <x:c r="E431" s="129"/>
      <x:c r="F431" s="138"/>
      <x:c r="G431" s="133" t="str">
        <x:f>IF(OR(A431="",E431="",F431=""),"",E431+F431-IF('ตั้งค่า'!$B$12="นับรวมวันเซ็น",1,0))</x:f>
      </x:c>
      <x:c r="H431" s="134"/>
      <x:c r="I431" s="117" t="str">
        <x:v>ยังไม่ส่ง</x:v>
      </x:c>
      <x:c r="J431" s="141" t="str">
        <x:f>IF(A431="","",IF(G431="","",IF(I431="ส่งแล้ว",0,G431-TODAY())))</x:f>
      </x:c>
      <x:c r="K431" s="114" t="str">
        <x:f>IF(A431="","",IF(G431="","ยังไม่ระบุวัน",IF(I431="ส่งแล้ว",IF(H431="","ส่งแล้ว",IF(INT(H431)&lt;INT(G431),"ส่งก่อนกำหนด "&amp;(INT(G431)-INT(H431))&amp;" วัน",IF(INT(H431)=INT(G431),"ส่งตรงกำหนด","ส่งล่าช้า "&amp;(INT(H431)-INT(G431))&amp;" วัน"))),IFS(G431&lt;TODAY(),"เกินกำหนด "&amp;(TODAY()-G431)&amp;" วัน",G431=TODAY(),"ครบกำหนดวันนี้",G431-TODAY()&lt;=3,"เร่งดำเนินการ",G431-TODAY()&lt;=5,"ต้องติดตาม",G431-TODAY()&lt;=10,"ใกล้ครบกำหนด",TRUE,"อยู่ระหว่างดำเนินการ"))))</x:f>
      </x:c>
      <x:c r="L431" s="114" t="str">
        <x:f>IF(OR(A431="",P431=""),"",HYPERLINK(P431,"เปิดใน Google Calendar"))</x:f>
      </x:c>
      <x:c r="M431" s="111"/>
      <x:c r="N431" s="123"/>
      <x:c r="O431" s="123"/>
      <x:c r="P431" s="123"/>
      <x:c r="Q431" s="126" t="b">
        <x:v>0</x:v>
      </x:c>
      <x:c r="R431" s="126" t="b">
        <x:v>0</x:v>
      </x:c>
      <x:c r="S431" s="126" t="b">
        <x:v>0</x:v>
      </x:c>
      <x:c r="T431" s="126" t="b">
        <x:v>0</x:v>
      </x:c>
      <x:c r="U431" s="144"/>
      <x:c r="V431" s="123"/>
      <x:c r="W431" s="123"/>
      <x:c r="X431" s="126" t="b">
        <x:v>0</x:v>
      </x:c>
    </x:row>
    <x:row r="432" ht="18" customHeight="1">
      <x:c r="A432" s="111"/>
      <x:c r="B432" s="111"/>
      <x:c r="C432" s="111"/>
      <x:c r="D432" s="111"/>
      <x:c r="E432" s="129"/>
      <x:c r="F432" s="138"/>
      <x:c r="G432" s="133" t="str">
        <x:f>IF(OR(A432="",E432="",F432=""),"",E432+F432-IF('ตั้งค่า'!$B$12="นับรวมวันเซ็น",1,0))</x:f>
      </x:c>
      <x:c r="H432" s="134"/>
      <x:c r="I432" s="117" t="str">
        <x:v>ยังไม่ส่ง</x:v>
      </x:c>
      <x:c r="J432" s="141" t="str">
        <x:f>IF(A432="","",IF(G432="","",IF(I432="ส่งแล้ว",0,G432-TODAY())))</x:f>
      </x:c>
      <x:c r="K432" s="114" t="str">
        <x:f>IF(A432="","",IF(G432="","ยังไม่ระบุวัน",IF(I432="ส่งแล้ว",IF(H432="","ส่งแล้ว",IF(INT(H432)&lt;INT(G432),"ส่งก่อนกำหนด "&amp;(INT(G432)-INT(H432))&amp;" วัน",IF(INT(H432)=INT(G432),"ส่งตรงกำหนด","ส่งล่าช้า "&amp;(INT(H432)-INT(G432))&amp;" วัน"))),IFS(G432&lt;TODAY(),"เกินกำหนด "&amp;(TODAY()-G432)&amp;" วัน",G432=TODAY(),"ครบกำหนดวันนี้",G432-TODAY()&lt;=3,"เร่งดำเนินการ",G432-TODAY()&lt;=5,"ต้องติดตาม",G432-TODAY()&lt;=10,"ใกล้ครบกำหนด",TRUE,"อยู่ระหว่างดำเนินการ"))))</x:f>
      </x:c>
      <x:c r="L432" s="114" t="str">
        <x:f>IF(OR(A432="",P432=""),"",HYPERLINK(P432,"เปิดใน Google Calendar"))</x:f>
      </x:c>
      <x:c r="M432" s="111"/>
      <x:c r="N432" s="123"/>
      <x:c r="O432" s="123"/>
      <x:c r="P432" s="123"/>
      <x:c r="Q432" s="126" t="b">
        <x:v>0</x:v>
      </x:c>
      <x:c r="R432" s="126" t="b">
        <x:v>0</x:v>
      </x:c>
      <x:c r="S432" s="126" t="b">
        <x:v>0</x:v>
      </x:c>
      <x:c r="T432" s="126" t="b">
        <x:v>0</x:v>
      </x:c>
      <x:c r="U432" s="144"/>
      <x:c r="V432" s="123"/>
      <x:c r="W432" s="123"/>
      <x:c r="X432" s="126" t="b">
        <x:v>0</x:v>
      </x:c>
    </x:row>
    <x:row r="433" ht="18" customHeight="1">
      <x:c r="A433" s="111"/>
      <x:c r="B433" s="111"/>
      <x:c r="C433" s="111"/>
      <x:c r="D433" s="111"/>
      <x:c r="E433" s="129"/>
      <x:c r="F433" s="138"/>
      <x:c r="G433" s="133" t="str">
        <x:f>IF(OR(A433="",E433="",F433=""),"",E433+F433-IF('ตั้งค่า'!$B$12="นับรวมวันเซ็น",1,0))</x:f>
      </x:c>
      <x:c r="H433" s="134"/>
      <x:c r="I433" s="117" t="str">
        <x:v>ยังไม่ส่ง</x:v>
      </x:c>
      <x:c r="J433" s="141" t="str">
        <x:f>IF(A433="","",IF(G433="","",IF(I433="ส่งแล้ว",0,G433-TODAY())))</x:f>
      </x:c>
      <x:c r="K433" s="114" t="str">
        <x:f>IF(A433="","",IF(G433="","ยังไม่ระบุวัน",IF(I433="ส่งแล้ว",IF(H433="","ส่งแล้ว",IF(INT(H433)&lt;INT(G433),"ส่งก่อนกำหนด "&amp;(INT(G433)-INT(H433))&amp;" วัน",IF(INT(H433)=INT(G433),"ส่งตรงกำหนด","ส่งล่าช้า "&amp;(INT(H433)-INT(G433))&amp;" วัน"))),IFS(G433&lt;TODAY(),"เกินกำหนด "&amp;(TODAY()-G433)&amp;" วัน",G433=TODAY(),"ครบกำหนดวันนี้",G433-TODAY()&lt;=3,"เร่งดำเนินการ",G433-TODAY()&lt;=5,"ต้องติดตาม",G433-TODAY()&lt;=10,"ใกล้ครบกำหนด",TRUE,"อยู่ระหว่างดำเนินการ"))))</x:f>
      </x:c>
      <x:c r="L433" s="114" t="str">
        <x:f>IF(OR(A433="",P433=""),"",HYPERLINK(P433,"เปิดใน Google Calendar"))</x:f>
      </x:c>
      <x:c r="M433" s="111"/>
      <x:c r="N433" s="123"/>
      <x:c r="O433" s="123"/>
      <x:c r="P433" s="123"/>
      <x:c r="Q433" s="126" t="b">
        <x:v>0</x:v>
      </x:c>
      <x:c r="R433" s="126" t="b">
        <x:v>0</x:v>
      </x:c>
      <x:c r="S433" s="126" t="b">
        <x:v>0</x:v>
      </x:c>
      <x:c r="T433" s="126" t="b">
        <x:v>0</x:v>
      </x:c>
      <x:c r="U433" s="144"/>
      <x:c r="V433" s="123"/>
      <x:c r="W433" s="123"/>
      <x:c r="X433" s="126" t="b">
        <x:v>0</x:v>
      </x:c>
    </x:row>
    <x:row r="434" ht="18" customHeight="1">
      <x:c r="A434" s="111"/>
      <x:c r="B434" s="111"/>
      <x:c r="C434" s="111"/>
      <x:c r="D434" s="111"/>
      <x:c r="E434" s="129"/>
      <x:c r="F434" s="138"/>
      <x:c r="G434" s="133" t="str">
        <x:f>IF(OR(A434="",E434="",F434=""),"",E434+F434-IF('ตั้งค่า'!$B$12="นับรวมวันเซ็น",1,0))</x:f>
      </x:c>
      <x:c r="H434" s="134"/>
      <x:c r="I434" s="117" t="str">
        <x:v>ยังไม่ส่ง</x:v>
      </x:c>
      <x:c r="J434" s="141" t="str">
        <x:f>IF(A434="","",IF(G434="","",IF(I434="ส่งแล้ว",0,G434-TODAY())))</x:f>
      </x:c>
      <x:c r="K434" s="114" t="str">
        <x:f>IF(A434="","",IF(G434="","ยังไม่ระบุวัน",IF(I434="ส่งแล้ว",IF(H434="","ส่งแล้ว",IF(INT(H434)&lt;INT(G434),"ส่งก่อนกำหนด "&amp;(INT(G434)-INT(H434))&amp;" วัน",IF(INT(H434)=INT(G434),"ส่งตรงกำหนด","ส่งล่าช้า "&amp;(INT(H434)-INT(G434))&amp;" วัน"))),IFS(G434&lt;TODAY(),"เกินกำหนด "&amp;(TODAY()-G434)&amp;" วัน",G434=TODAY(),"ครบกำหนดวันนี้",G434-TODAY()&lt;=3,"เร่งดำเนินการ",G434-TODAY()&lt;=5,"ต้องติดตาม",G434-TODAY()&lt;=10,"ใกล้ครบกำหนด",TRUE,"อยู่ระหว่างดำเนินการ"))))</x:f>
      </x:c>
      <x:c r="L434" s="114" t="str">
        <x:f>IF(OR(A434="",P434=""),"",HYPERLINK(P434,"เปิดใน Google Calendar"))</x:f>
      </x:c>
      <x:c r="M434" s="111"/>
      <x:c r="N434" s="123"/>
      <x:c r="O434" s="123"/>
      <x:c r="P434" s="123"/>
      <x:c r="Q434" s="126" t="b">
        <x:v>0</x:v>
      </x:c>
      <x:c r="R434" s="126" t="b">
        <x:v>0</x:v>
      </x:c>
      <x:c r="S434" s="126" t="b">
        <x:v>0</x:v>
      </x:c>
      <x:c r="T434" s="126" t="b">
        <x:v>0</x:v>
      </x:c>
      <x:c r="U434" s="144"/>
      <x:c r="V434" s="123"/>
      <x:c r="W434" s="123"/>
      <x:c r="X434" s="126" t="b">
        <x:v>0</x:v>
      </x:c>
    </x:row>
    <x:row r="435" ht="18" customHeight="1">
      <x:c r="A435" s="111"/>
      <x:c r="B435" s="111"/>
      <x:c r="C435" s="111"/>
      <x:c r="D435" s="111"/>
      <x:c r="E435" s="129"/>
      <x:c r="F435" s="138"/>
      <x:c r="G435" s="133" t="str">
        <x:f>IF(OR(A435="",E435="",F435=""),"",E435+F435-IF('ตั้งค่า'!$B$12="นับรวมวันเซ็น",1,0))</x:f>
      </x:c>
      <x:c r="H435" s="134"/>
      <x:c r="I435" s="117" t="str">
        <x:v>ยังไม่ส่ง</x:v>
      </x:c>
      <x:c r="J435" s="141" t="str">
        <x:f>IF(A435="","",IF(G435="","",IF(I435="ส่งแล้ว",0,G435-TODAY())))</x:f>
      </x:c>
      <x:c r="K435" s="114" t="str">
        <x:f>IF(A435="","",IF(G435="","ยังไม่ระบุวัน",IF(I435="ส่งแล้ว",IF(H435="","ส่งแล้ว",IF(INT(H435)&lt;INT(G435),"ส่งก่อนกำหนด "&amp;(INT(G435)-INT(H435))&amp;" วัน",IF(INT(H435)=INT(G435),"ส่งตรงกำหนด","ส่งล่าช้า "&amp;(INT(H435)-INT(G435))&amp;" วัน"))),IFS(G435&lt;TODAY(),"เกินกำหนด "&amp;(TODAY()-G435)&amp;" วัน",G435=TODAY(),"ครบกำหนดวันนี้",G435-TODAY()&lt;=3,"เร่งดำเนินการ",G435-TODAY()&lt;=5,"ต้องติดตาม",G435-TODAY()&lt;=10,"ใกล้ครบกำหนด",TRUE,"อยู่ระหว่างดำเนินการ"))))</x:f>
      </x:c>
      <x:c r="L435" s="114" t="str">
        <x:f>IF(OR(A435="",P435=""),"",HYPERLINK(P435,"เปิดใน Google Calendar"))</x:f>
      </x:c>
      <x:c r="M435" s="111"/>
      <x:c r="N435" s="123"/>
      <x:c r="O435" s="123"/>
      <x:c r="P435" s="123"/>
      <x:c r="Q435" s="126" t="b">
        <x:v>0</x:v>
      </x:c>
      <x:c r="R435" s="126" t="b">
        <x:v>0</x:v>
      </x:c>
      <x:c r="S435" s="126" t="b">
        <x:v>0</x:v>
      </x:c>
      <x:c r="T435" s="126" t="b">
        <x:v>0</x:v>
      </x:c>
      <x:c r="U435" s="144"/>
      <x:c r="V435" s="123"/>
      <x:c r="W435" s="123"/>
      <x:c r="X435" s="126" t="b">
        <x:v>0</x:v>
      </x:c>
    </x:row>
    <x:row r="436" ht="18" customHeight="1">
      <x:c r="A436" s="111"/>
      <x:c r="B436" s="111"/>
      <x:c r="C436" s="111"/>
      <x:c r="D436" s="111"/>
      <x:c r="E436" s="129"/>
      <x:c r="F436" s="138"/>
      <x:c r="G436" s="133" t="str">
        <x:f>IF(OR(A436="",E436="",F436=""),"",E436+F436-IF('ตั้งค่า'!$B$12="นับรวมวันเซ็น",1,0))</x:f>
      </x:c>
      <x:c r="H436" s="134"/>
      <x:c r="I436" s="117" t="str">
        <x:v>ยังไม่ส่ง</x:v>
      </x:c>
      <x:c r="J436" s="141" t="str">
        <x:f>IF(A436="","",IF(G436="","",IF(I436="ส่งแล้ว",0,G436-TODAY())))</x:f>
      </x:c>
      <x:c r="K436" s="114" t="str">
        <x:f>IF(A436="","",IF(G436="","ยังไม่ระบุวัน",IF(I436="ส่งแล้ว",IF(H436="","ส่งแล้ว",IF(INT(H436)&lt;INT(G436),"ส่งก่อนกำหนด "&amp;(INT(G436)-INT(H436))&amp;" วัน",IF(INT(H436)=INT(G436),"ส่งตรงกำหนด","ส่งล่าช้า "&amp;(INT(H436)-INT(G436))&amp;" วัน"))),IFS(G436&lt;TODAY(),"เกินกำหนด "&amp;(TODAY()-G436)&amp;" วัน",G436=TODAY(),"ครบกำหนดวันนี้",G436-TODAY()&lt;=3,"เร่งดำเนินการ",G436-TODAY()&lt;=5,"ต้องติดตาม",G436-TODAY()&lt;=10,"ใกล้ครบกำหนด",TRUE,"อยู่ระหว่างดำเนินการ"))))</x:f>
      </x:c>
      <x:c r="L436" s="114" t="str">
        <x:f>IF(OR(A436="",P436=""),"",HYPERLINK(P436,"เปิดใน Google Calendar"))</x:f>
      </x:c>
      <x:c r="M436" s="111"/>
      <x:c r="N436" s="123"/>
      <x:c r="O436" s="123"/>
      <x:c r="P436" s="123"/>
      <x:c r="Q436" s="126" t="b">
        <x:v>0</x:v>
      </x:c>
      <x:c r="R436" s="126" t="b">
        <x:v>0</x:v>
      </x:c>
      <x:c r="S436" s="126" t="b">
        <x:v>0</x:v>
      </x:c>
      <x:c r="T436" s="126" t="b">
        <x:v>0</x:v>
      </x:c>
      <x:c r="U436" s="144"/>
      <x:c r="V436" s="123"/>
      <x:c r="W436" s="123"/>
      <x:c r="X436" s="126" t="b">
        <x:v>0</x:v>
      </x:c>
    </x:row>
    <x:row r="437" ht="18" customHeight="1">
      <x:c r="A437" s="111"/>
      <x:c r="B437" s="111"/>
      <x:c r="C437" s="111"/>
      <x:c r="D437" s="111"/>
      <x:c r="E437" s="129"/>
      <x:c r="F437" s="138"/>
      <x:c r="G437" s="133" t="str">
        <x:f>IF(OR(A437="",E437="",F437=""),"",E437+F437-IF('ตั้งค่า'!$B$12="นับรวมวันเซ็น",1,0))</x:f>
      </x:c>
      <x:c r="H437" s="134"/>
      <x:c r="I437" s="117" t="str">
        <x:v>ยังไม่ส่ง</x:v>
      </x:c>
      <x:c r="J437" s="141" t="str">
        <x:f>IF(A437="","",IF(G437="","",IF(I437="ส่งแล้ว",0,G437-TODAY())))</x:f>
      </x:c>
      <x:c r="K437" s="114" t="str">
        <x:f>IF(A437="","",IF(G437="","ยังไม่ระบุวัน",IF(I437="ส่งแล้ว",IF(H437="","ส่งแล้ว",IF(INT(H437)&lt;INT(G437),"ส่งก่อนกำหนด "&amp;(INT(G437)-INT(H437))&amp;" วัน",IF(INT(H437)=INT(G437),"ส่งตรงกำหนด","ส่งล่าช้า "&amp;(INT(H437)-INT(G437))&amp;" วัน"))),IFS(G437&lt;TODAY(),"เกินกำหนด "&amp;(TODAY()-G437)&amp;" วัน",G437=TODAY(),"ครบกำหนดวันนี้",G437-TODAY()&lt;=3,"เร่งดำเนินการ",G437-TODAY()&lt;=5,"ต้องติดตาม",G437-TODAY()&lt;=10,"ใกล้ครบกำหนด",TRUE,"อยู่ระหว่างดำเนินการ"))))</x:f>
      </x:c>
      <x:c r="L437" s="114" t="str">
        <x:f>IF(OR(A437="",P437=""),"",HYPERLINK(P437,"เปิดใน Google Calendar"))</x:f>
      </x:c>
      <x:c r="M437" s="111"/>
      <x:c r="N437" s="123"/>
      <x:c r="O437" s="123"/>
      <x:c r="P437" s="123"/>
      <x:c r="Q437" s="126" t="b">
        <x:v>0</x:v>
      </x:c>
      <x:c r="R437" s="126" t="b">
        <x:v>0</x:v>
      </x:c>
      <x:c r="S437" s="126" t="b">
        <x:v>0</x:v>
      </x:c>
      <x:c r="T437" s="126" t="b">
        <x:v>0</x:v>
      </x:c>
      <x:c r="U437" s="144"/>
      <x:c r="V437" s="123"/>
      <x:c r="W437" s="123"/>
      <x:c r="X437" s="126" t="b">
        <x:v>0</x:v>
      </x:c>
    </x:row>
    <x:row r="438" ht="18" customHeight="1">
      <x:c r="A438" s="111"/>
      <x:c r="B438" s="111"/>
      <x:c r="C438" s="111"/>
      <x:c r="D438" s="111"/>
      <x:c r="E438" s="129"/>
      <x:c r="F438" s="138"/>
      <x:c r="G438" s="133" t="str">
        <x:f>IF(OR(A438="",E438="",F438=""),"",E438+F438-IF('ตั้งค่า'!$B$12="นับรวมวันเซ็น",1,0))</x:f>
      </x:c>
      <x:c r="H438" s="134"/>
      <x:c r="I438" s="117" t="str">
        <x:v>ยังไม่ส่ง</x:v>
      </x:c>
      <x:c r="J438" s="141" t="str">
        <x:f>IF(A438="","",IF(G438="","",IF(I438="ส่งแล้ว",0,G438-TODAY())))</x:f>
      </x:c>
      <x:c r="K438" s="114" t="str">
        <x:f>IF(A438="","",IF(G438="","ยังไม่ระบุวัน",IF(I438="ส่งแล้ว",IF(H438="","ส่งแล้ว",IF(INT(H438)&lt;INT(G438),"ส่งก่อนกำหนด "&amp;(INT(G438)-INT(H438))&amp;" วัน",IF(INT(H438)=INT(G438),"ส่งตรงกำหนด","ส่งล่าช้า "&amp;(INT(H438)-INT(G438))&amp;" วัน"))),IFS(G438&lt;TODAY(),"เกินกำหนด "&amp;(TODAY()-G438)&amp;" วัน",G438=TODAY(),"ครบกำหนดวันนี้",G438-TODAY()&lt;=3,"เร่งดำเนินการ",G438-TODAY()&lt;=5,"ต้องติดตาม",G438-TODAY()&lt;=10,"ใกล้ครบกำหนด",TRUE,"อยู่ระหว่างดำเนินการ"))))</x:f>
      </x:c>
      <x:c r="L438" s="114" t="str">
        <x:f>IF(OR(A438="",P438=""),"",HYPERLINK(P438,"เปิดใน Google Calendar"))</x:f>
      </x:c>
      <x:c r="M438" s="111"/>
      <x:c r="N438" s="123"/>
      <x:c r="O438" s="123"/>
      <x:c r="P438" s="123"/>
      <x:c r="Q438" s="126" t="b">
        <x:v>0</x:v>
      </x:c>
      <x:c r="R438" s="126" t="b">
        <x:v>0</x:v>
      </x:c>
      <x:c r="S438" s="126" t="b">
        <x:v>0</x:v>
      </x:c>
      <x:c r="T438" s="126" t="b">
        <x:v>0</x:v>
      </x:c>
      <x:c r="U438" s="144"/>
      <x:c r="V438" s="123"/>
      <x:c r="W438" s="123"/>
      <x:c r="X438" s="126" t="b">
        <x:v>0</x:v>
      </x:c>
    </x:row>
    <x:row r="439" ht="18" customHeight="1">
      <x:c r="A439" s="111"/>
      <x:c r="B439" s="111"/>
      <x:c r="C439" s="111"/>
      <x:c r="D439" s="111"/>
      <x:c r="E439" s="129"/>
      <x:c r="F439" s="138"/>
      <x:c r="G439" s="133" t="str">
        <x:f>IF(OR(A439="",E439="",F439=""),"",E439+F439-IF('ตั้งค่า'!$B$12="นับรวมวันเซ็น",1,0))</x:f>
      </x:c>
      <x:c r="H439" s="134"/>
      <x:c r="I439" s="117" t="str">
        <x:v>ยังไม่ส่ง</x:v>
      </x:c>
      <x:c r="J439" s="141" t="str">
        <x:f>IF(A439="","",IF(G439="","",IF(I439="ส่งแล้ว",0,G439-TODAY())))</x:f>
      </x:c>
      <x:c r="K439" s="114" t="str">
        <x:f>IF(A439="","",IF(G439="","ยังไม่ระบุวัน",IF(I439="ส่งแล้ว",IF(H439="","ส่งแล้ว",IF(INT(H439)&lt;INT(G439),"ส่งก่อนกำหนด "&amp;(INT(G439)-INT(H439))&amp;" วัน",IF(INT(H439)=INT(G439),"ส่งตรงกำหนด","ส่งล่าช้า "&amp;(INT(H439)-INT(G439))&amp;" วัน"))),IFS(G439&lt;TODAY(),"เกินกำหนด "&amp;(TODAY()-G439)&amp;" วัน",G439=TODAY(),"ครบกำหนดวันนี้",G439-TODAY()&lt;=3,"เร่งดำเนินการ",G439-TODAY()&lt;=5,"ต้องติดตาม",G439-TODAY()&lt;=10,"ใกล้ครบกำหนด",TRUE,"อยู่ระหว่างดำเนินการ"))))</x:f>
      </x:c>
      <x:c r="L439" s="114" t="str">
        <x:f>IF(OR(A439="",P439=""),"",HYPERLINK(P439,"เปิดใน Google Calendar"))</x:f>
      </x:c>
      <x:c r="M439" s="111"/>
      <x:c r="N439" s="123"/>
      <x:c r="O439" s="123"/>
      <x:c r="P439" s="123"/>
      <x:c r="Q439" s="126" t="b">
        <x:v>0</x:v>
      </x:c>
      <x:c r="R439" s="126" t="b">
        <x:v>0</x:v>
      </x:c>
      <x:c r="S439" s="126" t="b">
        <x:v>0</x:v>
      </x:c>
      <x:c r="T439" s="126" t="b">
        <x:v>0</x:v>
      </x:c>
      <x:c r="U439" s="144"/>
      <x:c r="V439" s="123"/>
      <x:c r="W439" s="123"/>
      <x:c r="X439" s="126" t="b">
        <x:v>0</x:v>
      </x:c>
    </x:row>
    <x:row r="440" ht="18" customHeight="1">
      <x:c r="A440" s="111"/>
      <x:c r="B440" s="111"/>
      <x:c r="C440" s="111"/>
      <x:c r="D440" s="111"/>
      <x:c r="E440" s="129"/>
      <x:c r="F440" s="138"/>
      <x:c r="G440" s="133" t="str">
        <x:f>IF(OR(A440="",E440="",F440=""),"",E440+F440-IF('ตั้งค่า'!$B$12="นับรวมวันเซ็น",1,0))</x:f>
      </x:c>
      <x:c r="H440" s="134"/>
      <x:c r="I440" s="117" t="str">
        <x:v>ยังไม่ส่ง</x:v>
      </x:c>
      <x:c r="J440" s="141" t="str">
        <x:f>IF(A440="","",IF(G440="","",IF(I440="ส่งแล้ว",0,G440-TODAY())))</x:f>
      </x:c>
      <x:c r="K440" s="114" t="str">
        <x:f>IF(A440="","",IF(G440="","ยังไม่ระบุวัน",IF(I440="ส่งแล้ว",IF(H440="","ส่งแล้ว",IF(INT(H440)&lt;INT(G440),"ส่งก่อนกำหนด "&amp;(INT(G440)-INT(H440))&amp;" วัน",IF(INT(H440)=INT(G440),"ส่งตรงกำหนด","ส่งล่าช้า "&amp;(INT(H440)-INT(G440))&amp;" วัน"))),IFS(G440&lt;TODAY(),"เกินกำหนด "&amp;(TODAY()-G440)&amp;" วัน",G440=TODAY(),"ครบกำหนดวันนี้",G440-TODAY()&lt;=3,"เร่งดำเนินการ",G440-TODAY()&lt;=5,"ต้องติดตาม",G440-TODAY()&lt;=10,"ใกล้ครบกำหนด",TRUE,"อยู่ระหว่างดำเนินการ"))))</x:f>
      </x:c>
      <x:c r="L440" s="114" t="str">
        <x:f>IF(OR(A440="",P440=""),"",HYPERLINK(P440,"เปิดใน Google Calendar"))</x:f>
      </x:c>
      <x:c r="M440" s="111"/>
      <x:c r="N440" s="123"/>
      <x:c r="O440" s="123"/>
      <x:c r="P440" s="123"/>
      <x:c r="Q440" s="126" t="b">
        <x:v>0</x:v>
      </x:c>
      <x:c r="R440" s="126" t="b">
        <x:v>0</x:v>
      </x:c>
      <x:c r="S440" s="126" t="b">
        <x:v>0</x:v>
      </x:c>
      <x:c r="T440" s="126" t="b">
        <x:v>0</x:v>
      </x:c>
      <x:c r="U440" s="144"/>
      <x:c r="V440" s="123"/>
      <x:c r="W440" s="123"/>
      <x:c r="X440" s="126" t="b">
        <x:v>0</x:v>
      </x:c>
    </x:row>
    <x:row r="441" ht="18" customHeight="1">
      <x:c r="A441" s="111"/>
      <x:c r="B441" s="111"/>
      <x:c r="C441" s="111"/>
      <x:c r="D441" s="111"/>
      <x:c r="E441" s="129"/>
      <x:c r="F441" s="138"/>
      <x:c r="G441" s="133" t="str">
        <x:f>IF(OR(A441="",E441="",F441=""),"",E441+F441-IF('ตั้งค่า'!$B$12="นับรวมวันเซ็น",1,0))</x:f>
      </x:c>
      <x:c r="H441" s="134"/>
      <x:c r="I441" s="117" t="str">
        <x:v>ยังไม่ส่ง</x:v>
      </x:c>
      <x:c r="J441" s="141" t="str">
        <x:f>IF(A441="","",IF(G441="","",IF(I441="ส่งแล้ว",0,G441-TODAY())))</x:f>
      </x:c>
      <x:c r="K441" s="114" t="str">
        <x:f>IF(A441="","",IF(G441="","ยังไม่ระบุวัน",IF(I441="ส่งแล้ว",IF(H441="","ส่งแล้ว",IF(INT(H441)&lt;INT(G441),"ส่งก่อนกำหนด "&amp;(INT(G441)-INT(H441))&amp;" วัน",IF(INT(H441)=INT(G441),"ส่งตรงกำหนด","ส่งล่าช้า "&amp;(INT(H441)-INT(G441))&amp;" วัน"))),IFS(G441&lt;TODAY(),"เกินกำหนด "&amp;(TODAY()-G441)&amp;" วัน",G441=TODAY(),"ครบกำหนดวันนี้",G441-TODAY()&lt;=3,"เร่งดำเนินการ",G441-TODAY()&lt;=5,"ต้องติดตาม",G441-TODAY()&lt;=10,"ใกล้ครบกำหนด",TRUE,"อยู่ระหว่างดำเนินการ"))))</x:f>
      </x:c>
      <x:c r="L441" s="114" t="str">
        <x:f>IF(OR(A441="",P441=""),"",HYPERLINK(P441,"เปิดใน Google Calendar"))</x:f>
      </x:c>
      <x:c r="M441" s="111"/>
      <x:c r="N441" s="123"/>
      <x:c r="O441" s="123"/>
      <x:c r="P441" s="123"/>
      <x:c r="Q441" s="126" t="b">
        <x:v>0</x:v>
      </x:c>
      <x:c r="R441" s="126" t="b">
        <x:v>0</x:v>
      </x:c>
      <x:c r="S441" s="126" t="b">
        <x:v>0</x:v>
      </x:c>
      <x:c r="T441" s="126" t="b">
        <x:v>0</x:v>
      </x:c>
      <x:c r="U441" s="144"/>
      <x:c r="V441" s="123"/>
      <x:c r="W441" s="123"/>
      <x:c r="X441" s="126" t="b">
        <x:v>0</x:v>
      </x:c>
    </x:row>
    <x:row r="442" ht="18" customHeight="1">
      <x:c r="A442" s="111"/>
      <x:c r="B442" s="111"/>
      <x:c r="C442" s="111"/>
      <x:c r="D442" s="111"/>
      <x:c r="E442" s="129"/>
      <x:c r="F442" s="138"/>
      <x:c r="G442" s="133" t="str">
        <x:f>IF(OR(A442="",E442="",F442=""),"",E442+F442-IF('ตั้งค่า'!$B$12="นับรวมวันเซ็น",1,0))</x:f>
      </x:c>
      <x:c r="H442" s="134"/>
      <x:c r="I442" s="117" t="str">
        <x:v>ยังไม่ส่ง</x:v>
      </x:c>
      <x:c r="J442" s="141" t="str">
        <x:f>IF(A442="","",IF(G442="","",IF(I442="ส่งแล้ว",0,G442-TODAY())))</x:f>
      </x:c>
      <x:c r="K442" s="114" t="str">
        <x:f>IF(A442="","",IF(G442="","ยังไม่ระบุวัน",IF(I442="ส่งแล้ว",IF(H442="","ส่งแล้ว",IF(INT(H442)&lt;INT(G442),"ส่งก่อนกำหนด "&amp;(INT(G442)-INT(H442))&amp;" วัน",IF(INT(H442)=INT(G442),"ส่งตรงกำหนด","ส่งล่าช้า "&amp;(INT(H442)-INT(G442))&amp;" วัน"))),IFS(G442&lt;TODAY(),"เกินกำหนด "&amp;(TODAY()-G442)&amp;" วัน",G442=TODAY(),"ครบกำหนดวันนี้",G442-TODAY()&lt;=3,"เร่งดำเนินการ",G442-TODAY()&lt;=5,"ต้องติดตาม",G442-TODAY()&lt;=10,"ใกล้ครบกำหนด",TRUE,"อยู่ระหว่างดำเนินการ"))))</x:f>
      </x:c>
      <x:c r="L442" s="114" t="str">
        <x:f>IF(OR(A442="",P442=""),"",HYPERLINK(P442,"เปิดใน Google Calendar"))</x:f>
      </x:c>
      <x:c r="M442" s="111"/>
      <x:c r="N442" s="123"/>
      <x:c r="O442" s="123"/>
      <x:c r="P442" s="123"/>
      <x:c r="Q442" s="126" t="b">
        <x:v>0</x:v>
      </x:c>
      <x:c r="R442" s="126" t="b">
        <x:v>0</x:v>
      </x:c>
      <x:c r="S442" s="126" t="b">
        <x:v>0</x:v>
      </x:c>
      <x:c r="T442" s="126" t="b">
        <x:v>0</x:v>
      </x:c>
      <x:c r="U442" s="144"/>
      <x:c r="V442" s="123"/>
      <x:c r="W442" s="123"/>
      <x:c r="X442" s="126" t="b">
        <x:v>0</x:v>
      </x:c>
    </x:row>
    <x:row r="443" ht="18" customHeight="1">
      <x:c r="A443" s="111"/>
      <x:c r="B443" s="111"/>
      <x:c r="C443" s="111"/>
      <x:c r="D443" s="111"/>
      <x:c r="E443" s="129"/>
      <x:c r="F443" s="138"/>
      <x:c r="G443" s="133" t="str">
        <x:f>IF(OR(A443="",E443="",F443=""),"",E443+F443-IF('ตั้งค่า'!$B$12="นับรวมวันเซ็น",1,0))</x:f>
      </x:c>
      <x:c r="H443" s="134"/>
      <x:c r="I443" s="117" t="str">
        <x:v>ยังไม่ส่ง</x:v>
      </x:c>
      <x:c r="J443" s="141" t="str">
        <x:f>IF(A443="","",IF(G443="","",IF(I443="ส่งแล้ว",0,G443-TODAY())))</x:f>
      </x:c>
      <x:c r="K443" s="114" t="str">
        <x:f>IF(A443="","",IF(G443="","ยังไม่ระบุวัน",IF(I443="ส่งแล้ว",IF(H443="","ส่งแล้ว",IF(INT(H443)&lt;INT(G443),"ส่งก่อนกำหนด "&amp;(INT(G443)-INT(H443))&amp;" วัน",IF(INT(H443)=INT(G443),"ส่งตรงกำหนด","ส่งล่าช้า "&amp;(INT(H443)-INT(G443))&amp;" วัน"))),IFS(G443&lt;TODAY(),"เกินกำหนด "&amp;(TODAY()-G443)&amp;" วัน",G443=TODAY(),"ครบกำหนดวันนี้",G443-TODAY()&lt;=3,"เร่งดำเนินการ",G443-TODAY()&lt;=5,"ต้องติดตาม",G443-TODAY()&lt;=10,"ใกล้ครบกำหนด",TRUE,"อยู่ระหว่างดำเนินการ"))))</x:f>
      </x:c>
      <x:c r="L443" s="114" t="str">
        <x:f>IF(OR(A443="",P443=""),"",HYPERLINK(P443,"เปิดใน Google Calendar"))</x:f>
      </x:c>
      <x:c r="M443" s="111"/>
      <x:c r="N443" s="123"/>
      <x:c r="O443" s="123"/>
      <x:c r="P443" s="123"/>
      <x:c r="Q443" s="126" t="b">
        <x:v>0</x:v>
      </x:c>
      <x:c r="R443" s="126" t="b">
        <x:v>0</x:v>
      </x:c>
      <x:c r="S443" s="126" t="b">
        <x:v>0</x:v>
      </x:c>
      <x:c r="T443" s="126" t="b">
        <x:v>0</x:v>
      </x:c>
      <x:c r="U443" s="144"/>
      <x:c r="V443" s="123"/>
      <x:c r="W443" s="123"/>
      <x:c r="X443" s="126" t="b">
        <x:v>0</x:v>
      </x:c>
    </x:row>
    <x:row r="444" ht="18" customHeight="1">
      <x:c r="A444" s="111"/>
      <x:c r="B444" s="111"/>
      <x:c r="C444" s="111"/>
      <x:c r="D444" s="111"/>
      <x:c r="E444" s="129"/>
      <x:c r="F444" s="138"/>
      <x:c r="G444" s="133" t="str">
        <x:f>IF(OR(A444="",E444="",F444=""),"",E444+F444-IF('ตั้งค่า'!$B$12="นับรวมวันเซ็น",1,0))</x:f>
      </x:c>
      <x:c r="H444" s="134"/>
      <x:c r="I444" s="117" t="str">
        <x:v>ยังไม่ส่ง</x:v>
      </x:c>
      <x:c r="J444" s="141" t="str">
        <x:f>IF(A444="","",IF(G444="","",IF(I444="ส่งแล้ว",0,G444-TODAY())))</x:f>
      </x:c>
      <x:c r="K444" s="114" t="str">
        <x:f>IF(A444="","",IF(G444="","ยังไม่ระบุวัน",IF(I444="ส่งแล้ว",IF(H444="","ส่งแล้ว",IF(INT(H444)&lt;INT(G444),"ส่งก่อนกำหนด "&amp;(INT(G444)-INT(H444))&amp;" วัน",IF(INT(H444)=INT(G444),"ส่งตรงกำหนด","ส่งล่าช้า "&amp;(INT(H444)-INT(G444))&amp;" วัน"))),IFS(G444&lt;TODAY(),"เกินกำหนด "&amp;(TODAY()-G444)&amp;" วัน",G444=TODAY(),"ครบกำหนดวันนี้",G444-TODAY()&lt;=3,"เร่งดำเนินการ",G444-TODAY()&lt;=5,"ต้องติดตาม",G444-TODAY()&lt;=10,"ใกล้ครบกำหนด",TRUE,"อยู่ระหว่างดำเนินการ"))))</x:f>
      </x:c>
      <x:c r="L444" s="114" t="str">
        <x:f>IF(OR(A444="",P444=""),"",HYPERLINK(P444,"เปิดใน Google Calendar"))</x:f>
      </x:c>
      <x:c r="M444" s="111"/>
      <x:c r="N444" s="123"/>
      <x:c r="O444" s="123"/>
      <x:c r="P444" s="123"/>
      <x:c r="Q444" s="126" t="b">
        <x:v>0</x:v>
      </x:c>
      <x:c r="R444" s="126" t="b">
        <x:v>0</x:v>
      </x:c>
      <x:c r="S444" s="126" t="b">
        <x:v>0</x:v>
      </x:c>
      <x:c r="T444" s="126" t="b">
        <x:v>0</x:v>
      </x:c>
      <x:c r="U444" s="144"/>
      <x:c r="V444" s="123"/>
      <x:c r="W444" s="123"/>
      <x:c r="X444" s="126" t="b">
        <x:v>0</x:v>
      </x:c>
    </x:row>
    <x:row r="445" ht="18" customHeight="1">
      <x:c r="A445" s="111"/>
      <x:c r="B445" s="111"/>
      <x:c r="C445" s="111"/>
      <x:c r="D445" s="111"/>
      <x:c r="E445" s="129"/>
      <x:c r="F445" s="138"/>
      <x:c r="G445" s="133" t="str">
        <x:f>IF(OR(A445="",E445="",F445=""),"",E445+F445-IF('ตั้งค่า'!$B$12="นับรวมวันเซ็น",1,0))</x:f>
      </x:c>
      <x:c r="H445" s="134"/>
      <x:c r="I445" s="117" t="str">
        <x:v>ยังไม่ส่ง</x:v>
      </x:c>
      <x:c r="J445" s="141" t="str">
        <x:f>IF(A445="","",IF(G445="","",IF(I445="ส่งแล้ว",0,G445-TODAY())))</x:f>
      </x:c>
      <x:c r="K445" s="114" t="str">
        <x:f>IF(A445="","",IF(G445="","ยังไม่ระบุวัน",IF(I445="ส่งแล้ว",IF(H445="","ส่งแล้ว",IF(INT(H445)&lt;INT(G445),"ส่งก่อนกำหนด "&amp;(INT(G445)-INT(H445))&amp;" วัน",IF(INT(H445)=INT(G445),"ส่งตรงกำหนด","ส่งล่าช้า "&amp;(INT(H445)-INT(G445))&amp;" วัน"))),IFS(G445&lt;TODAY(),"เกินกำหนด "&amp;(TODAY()-G445)&amp;" วัน",G445=TODAY(),"ครบกำหนดวันนี้",G445-TODAY()&lt;=3,"เร่งดำเนินการ",G445-TODAY()&lt;=5,"ต้องติดตาม",G445-TODAY()&lt;=10,"ใกล้ครบกำหนด",TRUE,"อยู่ระหว่างดำเนินการ"))))</x:f>
      </x:c>
      <x:c r="L445" s="114" t="str">
        <x:f>IF(OR(A445="",P445=""),"",HYPERLINK(P445,"เปิดใน Google Calendar"))</x:f>
      </x:c>
      <x:c r="M445" s="111"/>
      <x:c r="N445" s="123"/>
      <x:c r="O445" s="123"/>
      <x:c r="P445" s="123"/>
      <x:c r="Q445" s="126" t="b">
        <x:v>0</x:v>
      </x:c>
      <x:c r="R445" s="126" t="b">
        <x:v>0</x:v>
      </x:c>
      <x:c r="S445" s="126" t="b">
        <x:v>0</x:v>
      </x:c>
      <x:c r="T445" s="126" t="b">
        <x:v>0</x:v>
      </x:c>
      <x:c r="U445" s="144"/>
      <x:c r="V445" s="123"/>
      <x:c r="W445" s="123"/>
      <x:c r="X445" s="126" t="b">
        <x:v>0</x:v>
      </x:c>
    </x:row>
    <x:row r="446" ht="18" customHeight="1">
      <x:c r="A446" s="111"/>
      <x:c r="B446" s="111"/>
      <x:c r="C446" s="111"/>
      <x:c r="D446" s="111"/>
      <x:c r="E446" s="129"/>
      <x:c r="F446" s="138"/>
      <x:c r="G446" s="133" t="str">
        <x:f>IF(OR(A446="",E446="",F446=""),"",E446+F446-IF('ตั้งค่า'!$B$12="นับรวมวันเซ็น",1,0))</x:f>
      </x:c>
      <x:c r="H446" s="134"/>
      <x:c r="I446" s="117" t="str">
        <x:v>ยังไม่ส่ง</x:v>
      </x:c>
      <x:c r="J446" s="141" t="str">
        <x:f>IF(A446="","",IF(G446="","",IF(I446="ส่งแล้ว",0,G446-TODAY())))</x:f>
      </x:c>
      <x:c r="K446" s="114" t="str">
        <x:f>IF(A446="","",IF(G446="","ยังไม่ระบุวัน",IF(I446="ส่งแล้ว",IF(H446="","ส่งแล้ว",IF(INT(H446)&lt;INT(G446),"ส่งก่อนกำหนด "&amp;(INT(G446)-INT(H446))&amp;" วัน",IF(INT(H446)=INT(G446),"ส่งตรงกำหนด","ส่งล่าช้า "&amp;(INT(H446)-INT(G446))&amp;" วัน"))),IFS(G446&lt;TODAY(),"เกินกำหนด "&amp;(TODAY()-G446)&amp;" วัน",G446=TODAY(),"ครบกำหนดวันนี้",G446-TODAY()&lt;=3,"เร่งดำเนินการ",G446-TODAY()&lt;=5,"ต้องติดตาม",G446-TODAY()&lt;=10,"ใกล้ครบกำหนด",TRUE,"อยู่ระหว่างดำเนินการ"))))</x:f>
      </x:c>
      <x:c r="L446" s="114" t="str">
        <x:f>IF(OR(A446="",P446=""),"",HYPERLINK(P446,"เปิดใน Google Calendar"))</x:f>
      </x:c>
      <x:c r="M446" s="111"/>
      <x:c r="N446" s="123"/>
      <x:c r="O446" s="123"/>
      <x:c r="P446" s="123"/>
      <x:c r="Q446" s="126" t="b">
        <x:v>0</x:v>
      </x:c>
      <x:c r="R446" s="126" t="b">
        <x:v>0</x:v>
      </x:c>
      <x:c r="S446" s="126" t="b">
        <x:v>0</x:v>
      </x:c>
      <x:c r="T446" s="126" t="b">
        <x:v>0</x:v>
      </x:c>
      <x:c r="U446" s="144"/>
      <x:c r="V446" s="123"/>
      <x:c r="W446" s="123"/>
      <x:c r="X446" s="126" t="b">
        <x:v>0</x:v>
      </x:c>
    </x:row>
    <x:row r="447" ht="18" customHeight="1">
      <x:c r="A447" s="111"/>
      <x:c r="B447" s="111"/>
      <x:c r="C447" s="111"/>
      <x:c r="D447" s="111"/>
      <x:c r="E447" s="129"/>
      <x:c r="F447" s="138"/>
      <x:c r="G447" s="133" t="str">
        <x:f>IF(OR(A447="",E447="",F447=""),"",E447+F447-IF('ตั้งค่า'!$B$12="นับรวมวันเซ็น",1,0))</x:f>
      </x:c>
      <x:c r="H447" s="134"/>
      <x:c r="I447" s="117" t="str">
        <x:v>ยังไม่ส่ง</x:v>
      </x:c>
      <x:c r="J447" s="141" t="str">
        <x:f>IF(A447="","",IF(G447="","",IF(I447="ส่งแล้ว",0,G447-TODAY())))</x:f>
      </x:c>
      <x:c r="K447" s="114" t="str">
        <x:f>IF(A447="","",IF(G447="","ยังไม่ระบุวัน",IF(I447="ส่งแล้ว",IF(H447="","ส่งแล้ว",IF(INT(H447)&lt;INT(G447),"ส่งก่อนกำหนด "&amp;(INT(G447)-INT(H447))&amp;" วัน",IF(INT(H447)=INT(G447),"ส่งตรงกำหนด","ส่งล่าช้า "&amp;(INT(H447)-INT(G447))&amp;" วัน"))),IFS(G447&lt;TODAY(),"เกินกำหนด "&amp;(TODAY()-G447)&amp;" วัน",G447=TODAY(),"ครบกำหนดวันนี้",G447-TODAY()&lt;=3,"เร่งดำเนินการ",G447-TODAY()&lt;=5,"ต้องติดตาม",G447-TODAY()&lt;=10,"ใกล้ครบกำหนด",TRUE,"อยู่ระหว่างดำเนินการ"))))</x:f>
      </x:c>
      <x:c r="L447" s="114" t="str">
        <x:f>IF(OR(A447="",P447=""),"",HYPERLINK(P447,"เปิดใน Google Calendar"))</x:f>
      </x:c>
      <x:c r="M447" s="111"/>
      <x:c r="N447" s="123"/>
      <x:c r="O447" s="123"/>
      <x:c r="P447" s="123"/>
      <x:c r="Q447" s="126" t="b">
        <x:v>0</x:v>
      </x:c>
      <x:c r="R447" s="126" t="b">
        <x:v>0</x:v>
      </x:c>
      <x:c r="S447" s="126" t="b">
        <x:v>0</x:v>
      </x:c>
      <x:c r="T447" s="126" t="b">
        <x:v>0</x:v>
      </x:c>
      <x:c r="U447" s="144"/>
      <x:c r="V447" s="123"/>
      <x:c r="W447" s="123"/>
      <x:c r="X447" s="126" t="b">
        <x:v>0</x:v>
      </x:c>
    </x:row>
    <x:row r="448" ht="18" customHeight="1">
      <x:c r="A448" s="111"/>
      <x:c r="B448" s="111"/>
      <x:c r="C448" s="111"/>
      <x:c r="D448" s="111"/>
      <x:c r="E448" s="129"/>
      <x:c r="F448" s="138"/>
      <x:c r="G448" s="133" t="str">
        <x:f>IF(OR(A448="",E448="",F448=""),"",E448+F448-IF('ตั้งค่า'!$B$12="นับรวมวันเซ็น",1,0))</x:f>
      </x:c>
      <x:c r="H448" s="134"/>
      <x:c r="I448" s="117" t="str">
        <x:v>ยังไม่ส่ง</x:v>
      </x:c>
      <x:c r="J448" s="141" t="str">
        <x:f>IF(A448="","",IF(G448="","",IF(I448="ส่งแล้ว",0,G448-TODAY())))</x:f>
      </x:c>
      <x:c r="K448" s="114" t="str">
        <x:f>IF(A448="","",IF(G448="","ยังไม่ระบุวัน",IF(I448="ส่งแล้ว",IF(H448="","ส่งแล้ว",IF(INT(H448)&lt;INT(G448),"ส่งก่อนกำหนด "&amp;(INT(G448)-INT(H448))&amp;" วัน",IF(INT(H448)=INT(G448),"ส่งตรงกำหนด","ส่งล่าช้า "&amp;(INT(H448)-INT(G448))&amp;" วัน"))),IFS(G448&lt;TODAY(),"เกินกำหนด "&amp;(TODAY()-G448)&amp;" วัน",G448=TODAY(),"ครบกำหนดวันนี้",G448-TODAY()&lt;=3,"เร่งดำเนินการ",G448-TODAY()&lt;=5,"ต้องติดตาม",G448-TODAY()&lt;=10,"ใกล้ครบกำหนด",TRUE,"อยู่ระหว่างดำเนินการ"))))</x:f>
      </x:c>
      <x:c r="L448" s="114" t="str">
        <x:f>IF(OR(A448="",P448=""),"",HYPERLINK(P448,"เปิดใน Google Calendar"))</x:f>
      </x:c>
      <x:c r="M448" s="111"/>
      <x:c r="N448" s="123"/>
      <x:c r="O448" s="123"/>
      <x:c r="P448" s="123"/>
      <x:c r="Q448" s="126" t="b">
        <x:v>0</x:v>
      </x:c>
      <x:c r="R448" s="126" t="b">
        <x:v>0</x:v>
      </x:c>
      <x:c r="S448" s="126" t="b">
        <x:v>0</x:v>
      </x:c>
      <x:c r="T448" s="126" t="b">
        <x:v>0</x:v>
      </x:c>
      <x:c r="U448" s="144"/>
      <x:c r="V448" s="123"/>
      <x:c r="W448" s="123"/>
      <x:c r="X448" s="126" t="b">
        <x:v>0</x:v>
      </x:c>
    </x:row>
    <x:row r="449" ht="18" customHeight="1">
      <x:c r="A449" s="111"/>
      <x:c r="B449" s="111"/>
      <x:c r="C449" s="111"/>
      <x:c r="D449" s="111"/>
      <x:c r="E449" s="129"/>
      <x:c r="F449" s="138"/>
      <x:c r="G449" s="133" t="str">
        <x:f>IF(OR(A449="",E449="",F449=""),"",E449+F449-IF('ตั้งค่า'!$B$12="นับรวมวันเซ็น",1,0))</x:f>
      </x:c>
      <x:c r="H449" s="134"/>
      <x:c r="I449" s="117" t="str">
        <x:v>ยังไม่ส่ง</x:v>
      </x:c>
      <x:c r="J449" s="141" t="str">
        <x:f>IF(A449="","",IF(G449="","",IF(I449="ส่งแล้ว",0,G449-TODAY())))</x:f>
      </x:c>
      <x:c r="K449" s="114" t="str">
        <x:f>IF(A449="","",IF(G449="","ยังไม่ระบุวัน",IF(I449="ส่งแล้ว",IF(H449="","ส่งแล้ว",IF(INT(H449)&lt;INT(G449),"ส่งก่อนกำหนด "&amp;(INT(G449)-INT(H449))&amp;" วัน",IF(INT(H449)=INT(G449),"ส่งตรงกำหนด","ส่งล่าช้า "&amp;(INT(H449)-INT(G449))&amp;" วัน"))),IFS(G449&lt;TODAY(),"เกินกำหนด "&amp;(TODAY()-G449)&amp;" วัน",G449=TODAY(),"ครบกำหนดวันนี้",G449-TODAY()&lt;=3,"เร่งดำเนินการ",G449-TODAY()&lt;=5,"ต้องติดตาม",G449-TODAY()&lt;=10,"ใกล้ครบกำหนด",TRUE,"อยู่ระหว่างดำเนินการ"))))</x:f>
      </x:c>
      <x:c r="L449" s="114" t="str">
        <x:f>IF(OR(A449="",P449=""),"",HYPERLINK(P449,"เปิดใน Google Calendar"))</x:f>
      </x:c>
      <x:c r="M449" s="111"/>
      <x:c r="N449" s="123"/>
      <x:c r="O449" s="123"/>
      <x:c r="P449" s="123"/>
      <x:c r="Q449" s="126" t="b">
        <x:v>0</x:v>
      </x:c>
      <x:c r="R449" s="126" t="b">
        <x:v>0</x:v>
      </x:c>
      <x:c r="S449" s="126" t="b">
        <x:v>0</x:v>
      </x:c>
      <x:c r="T449" s="126" t="b">
        <x:v>0</x:v>
      </x:c>
      <x:c r="U449" s="144"/>
      <x:c r="V449" s="123"/>
      <x:c r="W449" s="123"/>
      <x:c r="X449" s="126" t="b">
        <x:v>0</x:v>
      </x:c>
    </x:row>
    <x:row r="450" ht="18" customHeight="1">
      <x:c r="A450" s="111"/>
      <x:c r="B450" s="111"/>
      <x:c r="C450" s="111"/>
      <x:c r="D450" s="111"/>
      <x:c r="E450" s="129"/>
      <x:c r="F450" s="138"/>
      <x:c r="G450" s="133" t="str">
        <x:f>IF(OR(A450="",E450="",F450=""),"",E450+F450-IF('ตั้งค่า'!$B$12="นับรวมวันเซ็น",1,0))</x:f>
      </x:c>
      <x:c r="H450" s="134"/>
      <x:c r="I450" s="117" t="str">
        <x:v>ยังไม่ส่ง</x:v>
      </x:c>
      <x:c r="J450" s="141" t="str">
        <x:f>IF(A450="","",IF(G450="","",IF(I450="ส่งแล้ว",0,G450-TODAY())))</x:f>
      </x:c>
      <x:c r="K450" s="114" t="str">
        <x:f>IF(A450="","",IF(G450="","ยังไม่ระบุวัน",IF(I450="ส่งแล้ว",IF(H450="","ส่งแล้ว",IF(INT(H450)&lt;INT(G450),"ส่งก่อนกำหนด "&amp;(INT(G450)-INT(H450))&amp;" วัน",IF(INT(H450)=INT(G450),"ส่งตรงกำหนด","ส่งล่าช้า "&amp;(INT(H450)-INT(G450))&amp;" วัน"))),IFS(G450&lt;TODAY(),"เกินกำหนด "&amp;(TODAY()-G450)&amp;" วัน",G450=TODAY(),"ครบกำหนดวันนี้",G450-TODAY()&lt;=3,"เร่งดำเนินการ",G450-TODAY()&lt;=5,"ต้องติดตาม",G450-TODAY()&lt;=10,"ใกล้ครบกำหนด",TRUE,"อยู่ระหว่างดำเนินการ"))))</x:f>
      </x:c>
      <x:c r="L450" s="114" t="str">
        <x:f>IF(OR(A450="",P450=""),"",HYPERLINK(P450,"เปิดใน Google Calendar"))</x:f>
      </x:c>
      <x:c r="M450" s="111"/>
      <x:c r="N450" s="123"/>
      <x:c r="O450" s="123"/>
      <x:c r="P450" s="123"/>
      <x:c r="Q450" s="126" t="b">
        <x:v>0</x:v>
      </x:c>
      <x:c r="R450" s="126" t="b">
        <x:v>0</x:v>
      </x:c>
      <x:c r="S450" s="126" t="b">
        <x:v>0</x:v>
      </x:c>
      <x:c r="T450" s="126" t="b">
        <x:v>0</x:v>
      </x:c>
      <x:c r="U450" s="144"/>
      <x:c r="V450" s="123"/>
      <x:c r="W450" s="123"/>
      <x:c r="X450" s="126" t="b">
        <x:v>0</x:v>
      </x:c>
    </x:row>
    <x:row r="451" ht="18" customHeight="1">
      <x:c r="A451" s="111"/>
      <x:c r="B451" s="111"/>
      <x:c r="C451" s="111"/>
      <x:c r="D451" s="111"/>
      <x:c r="E451" s="129"/>
      <x:c r="F451" s="138"/>
      <x:c r="G451" s="133" t="str">
        <x:f>IF(OR(A451="",E451="",F451=""),"",E451+F451-IF('ตั้งค่า'!$B$12="นับรวมวันเซ็น",1,0))</x:f>
      </x:c>
      <x:c r="H451" s="134"/>
      <x:c r="I451" s="117" t="str">
        <x:v>ยังไม่ส่ง</x:v>
      </x:c>
      <x:c r="J451" s="141" t="str">
        <x:f>IF(A451="","",IF(G451="","",IF(I451="ส่งแล้ว",0,G451-TODAY())))</x:f>
      </x:c>
      <x:c r="K451" s="114" t="str">
        <x:f>IF(A451="","",IF(G451="","ยังไม่ระบุวัน",IF(I451="ส่งแล้ว",IF(H451="","ส่งแล้ว",IF(INT(H451)&lt;INT(G451),"ส่งก่อนกำหนด "&amp;(INT(G451)-INT(H451))&amp;" วัน",IF(INT(H451)=INT(G451),"ส่งตรงกำหนด","ส่งล่าช้า "&amp;(INT(H451)-INT(G451))&amp;" วัน"))),IFS(G451&lt;TODAY(),"เกินกำหนด "&amp;(TODAY()-G451)&amp;" วัน",G451=TODAY(),"ครบกำหนดวันนี้",G451-TODAY()&lt;=3,"เร่งดำเนินการ",G451-TODAY()&lt;=5,"ต้องติดตาม",G451-TODAY()&lt;=10,"ใกล้ครบกำหนด",TRUE,"อยู่ระหว่างดำเนินการ"))))</x:f>
      </x:c>
      <x:c r="L451" s="114" t="str">
        <x:f>IF(OR(A451="",P451=""),"",HYPERLINK(P451,"เปิดใน Google Calendar"))</x:f>
      </x:c>
      <x:c r="M451" s="111"/>
      <x:c r="N451" s="123"/>
      <x:c r="O451" s="123"/>
      <x:c r="P451" s="123"/>
      <x:c r="Q451" s="126" t="b">
        <x:v>0</x:v>
      </x:c>
      <x:c r="R451" s="126" t="b">
        <x:v>0</x:v>
      </x:c>
      <x:c r="S451" s="126" t="b">
        <x:v>0</x:v>
      </x:c>
      <x:c r="T451" s="126" t="b">
        <x:v>0</x:v>
      </x:c>
      <x:c r="U451" s="144"/>
      <x:c r="V451" s="123"/>
      <x:c r="W451" s="123"/>
      <x:c r="X451" s="126" t="b">
        <x:v>0</x:v>
      </x:c>
    </x:row>
    <x:row r="452" ht="18" customHeight="1">
      <x:c r="A452" s="111"/>
      <x:c r="B452" s="111"/>
      <x:c r="C452" s="111"/>
      <x:c r="D452" s="111"/>
      <x:c r="E452" s="129"/>
      <x:c r="F452" s="138"/>
      <x:c r="G452" s="133" t="str">
        <x:f>IF(OR(A452="",E452="",F452=""),"",E452+F452-IF('ตั้งค่า'!$B$12="นับรวมวันเซ็น",1,0))</x:f>
      </x:c>
      <x:c r="H452" s="134"/>
      <x:c r="I452" s="117" t="str">
        <x:v>ยังไม่ส่ง</x:v>
      </x:c>
      <x:c r="J452" s="141" t="str">
        <x:f>IF(A452="","",IF(G452="","",IF(I452="ส่งแล้ว",0,G452-TODAY())))</x:f>
      </x:c>
      <x:c r="K452" s="114" t="str">
        <x:f>IF(A452="","",IF(G452="","ยังไม่ระบุวัน",IF(I452="ส่งแล้ว",IF(H452="","ส่งแล้ว",IF(INT(H452)&lt;INT(G452),"ส่งก่อนกำหนด "&amp;(INT(G452)-INT(H452))&amp;" วัน",IF(INT(H452)=INT(G452),"ส่งตรงกำหนด","ส่งล่าช้า "&amp;(INT(H452)-INT(G452))&amp;" วัน"))),IFS(G452&lt;TODAY(),"เกินกำหนด "&amp;(TODAY()-G452)&amp;" วัน",G452=TODAY(),"ครบกำหนดวันนี้",G452-TODAY()&lt;=3,"เร่งดำเนินการ",G452-TODAY()&lt;=5,"ต้องติดตาม",G452-TODAY()&lt;=10,"ใกล้ครบกำหนด",TRUE,"อยู่ระหว่างดำเนินการ"))))</x:f>
      </x:c>
      <x:c r="L452" s="114" t="str">
        <x:f>IF(OR(A452="",P452=""),"",HYPERLINK(P452,"เปิดใน Google Calendar"))</x:f>
      </x:c>
      <x:c r="M452" s="111"/>
      <x:c r="N452" s="123"/>
      <x:c r="O452" s="123"/>
      <x:c r="P452" s="123"/>
      <x:c r="Q452" s="126" t="b">
        <x:v>0</x:v>
      </x:c>
      <x:c r="R452" s="126" t="b">
        <x:v>0</x:v>
      </x:c>
      <x:c r="S452" s="126" t="b">
        <x:v>0</x:v>
      </x:c>
      <x:c r="T452" s="126" t="b">
        <x:v>0</x:v>
      </x:c>
      <x:c r="U452" s="144"/>
      <x:c r="V452" s="123"/>
      <x:c r="W452" s="123"/>
      <x:c r="X452" s="126" t="b">
        <x:v>0</x:v>
      </x:c>
    </x:row>
    <x:row r="453" ht="18" customHeight="1">
      <x:c r="A453" s="111"/>
      <x:c r="B453" s="111"/>
      <x:c r="C453" s="111"/>
      <x:c r="D453" s="111"/>
      <x:c r="E453" s="129"/>
      <x:c r="F453" s="138"/>
      <x:c r="G453" s="133" t="str">
        <x:f>IF(OR(A453="",E453="",F453=""),"",E453+F453-IF('ตั้งค่า'!$B$12="นับรวมวันเซ็น",1,0))</x:f>
      </x:c>
      <x:c r="H453" s="134"/>
      <x:c r="I453" s="117" t="str">
        <x:v>ยังไม่ส่ง</x:v>
      </x:c>
      <x:c r="J453" s="141" t="str">
        <x:f>IF(A453="","",IF(G453="","",IF(I453="ส่งแล้ว",0,G453-TODAY())))</x:f>
      </x:c>
      <x:c r="K453" s="114" t="str">
        <x:f>IF(A453="","",IF(G453="","ยังไม่ระบุวัน",IF(I453="ส่งแล้ว",IF(H453="","ส่งแล้ว",IF(INT(H453)&lt;INT(G453),"ส่งก่อนกำหนด "&amp;(INT(G453)-INT(H453))&amp;" วัน",IF(INT(H453)=INT(G453),"ส่งตรงกำหนด","ส่งล่าช้า "&amp;(INT(H453)-INT(G453))&amp;" วัน"))),IFS(G453&lt;TODAY(),"เกินกำหนด "&amp;(TODAY()-G453)&amp;" วัน",G453=TODAY(),"ครบกำหนดวันนี้",G453-TODAY()&lt;=3,"เร่งดำเนินการ",G453-TODAY()&lt;=5,"ต้องติดตาม",G453-TODAY()&lt;=10,"ใกล้ครบกำหนด",TRUE,"อยู่ระหว่างดำเนินการ"))))</x:f>
      </x:c>
      <x:c r="L453" s="114" t="str">
        <x:f>IF(OR(A453="",P453=""),"",HYPERLINK(P453,"เปิดใน Google Calendar"))</x:f>
      </x:c>
      <x:c r="M453" s="111"/>
      <x:c r="N453" s="123"/>
      <x:c r="O453" s="123"/>
      <x:c r="P453" s="123"/>
      <x:c r="Q453" s="126" t="b">
        <x:v>0</x:v>
      </x:c>
      <x:c r="R453" s="126" t="b">
        <x:v>0</x:v>
      </x:c>
      <x:c r="S453" s="126" t="b">
        <x:v>0</x:v>
      </x:c>
      <x:c r="T453" s="126" t="b">
        <x:v>0</x:v>
      </x:c>
      <x:c r="U453" s="144"/>
      <x:c r="V453" s="123"/>
      <x:c r="W453" s="123"/>
      <x:c r="X453" s="126" t="b">
        <x:v>0</x:v>
      </x:c>
    </x:row>
    <x:row r="454" ht="18" customHeight="1">
      <x:c r="A454" s="111"/>
      <x:c r="B454" s="111"/>
      <x:c r="C454" s="111"/>
      <x:c r="D454" s="111"/>
      <x:c r="E454" s="129"/>
      <x:c r="F454" s="138"/>
      <x:c r="G454" s="133" t="str">
        <x:f>IF(OR(A454="",E454="",F454=""),"",E454+F454-IF('ตั้งค่า'!$B$12="นับรวมวันเซ็น",1,0))</x:f>
      </x:c>
      <x:c r="H454" s="134"/>
      <x:c r="I454" s="117" t="str">
        <x:v>ยังไม่ส่ง</x:v>
      </x:c>
      <x:c r="J454" s="141" t="str">
        <x:f>IF(A454="","",IF(G454="","",IF(I454="ส่งแล้ว",0,G454-TODAY())))</x:f>
      </x:c>
      <x:c r="K454" s="114" t="str">
        <x:f>IF(A454="","",IF(G454="","ยังไม่ระบุวัน",IF(I454="ส่งแล้ว",IF(H454="","ส่งแล้ว",IF(INT(H454)&lt;INT(G454),"ส่งก่อนกำหนด "&amp;(INT(G454)-INT(H454))&amp;" วัน",IF(INT(H454)=INT(G454),"ส่งตรงกำหนด","ส่งล่าช้า "&amp;(INT(H454)-INT(G454))&amp;" วัน"))),IFS(G454&lt;TODAY(),"เกินกำหนด "&amp;(TODAY()-G454)&amp;" วัน",G454=TODAY(),"ครบกำหนดวันนี้",G454-TODAY()&lt;=3,"เร่งดำเนินการ",G454-TODAY()&lt;=5,"ต้องติดตาม",G454-TODAY()&lt;=10,"ใกล้ครบกำหนด",TRUE,"อยู่ระหว่างดำเนินการ"))))</x:f>
      </x:c>
      <x:c r="L454" s="114" t="str">
        <x:f>IF(OR(A454="",P454=""),"",HYPERLINK(P454,"เปิดใน Google Calendar"))</x:f>
      </x:c>
      <x:c r="M454" s="111"/>
      <x:c r="N454" s="123"/>
      <x:c r="O454" s="123"/>
      <x:c r="P454" s="123"/>
      <x:c r="Q454" s="126" t="b">
        <x:v>0</x:v>
      </x:c>
      <x:c r="R454" s="126" t="b">
        <x:v>0</x:v>
      </x:c>
      <x:c r="S454" s="126" t="b">
        <x:v>0</x:v>
      </x:c>
      <x:c r="T454" s="126" t="b">
        <x:v>0</x:v>
      </x:c>
      <x:c r="U454" s="144"/>
      <x:c r="V454" s="123"/>
      <x:c r="W454" s="123"/>
      <x:c r="X454" s="126" t="b">
        <x:v>0</x:v>
      </x:c>
    </x:row>
    <x:row r="455" ht="18" customHeight="1">
      <x:c r="A455" s="111"/>
      <x:c r="B455" s="111"/>
      <x:c r="C455" s="111"/>
      <x:c r="D455" s="111"/>
      <x:c r="E455" s="129"/>
      <x:c r="F455" s="138"/>
      <x:c r="G455" s="133" t="str">
        <x:f>IF(OR(A455="",E455="",F455=""),"",E455+F455-IF('ตั้งค่า'!$B$12="นับรวมวันเซ็น",1,0))</x:f>
      </x:c>
      <x:c r="H455" s="134"/>
      <x:c r="I455" s="117" t="str">
        <x:v>ยังไม่ส่ง</x:v>
      </x:c>
      <x:c r="J455" s="141" t="str">
        <x:f>IF(A455="","",IF(G455="","",IF(I455="ส่งแล้ว",0,G455-TODAY())))</x:f>
      </x:c>
      <x:c r="K455" s="114" t="str">
        <x:f>IF(A455="","",IF(G455="","ยังไม่ระบุวัน",IF(I455="ส่งแล้ว",IF(H455="","ส่งแล้ว",IF(INT(H455)&lt;INT(G455),"ส่งก่อนกำหนด "&amp;(INT(G455)-INT(H455))&amp;" วัน",IF(INT(H455)=INT(G455),"ส่งตรงกำหนด","ส่งล่าช้า "&amp;(INT(H455)-INT(G455))&amp;" วัน"))),IFS(G455&lt;TODAY(),"เกินกำหนด "&amp;(TODAY()-G455)&amp;" วัน",G455=TODAY(),"ครบกำหนดวันนี้",G455-TODAY()&lt;=3,"เร่งดำเนินการ",G455-TODAY()&lt;=5,"ต้องติดตาม",G455-TODAY()&lt;=10,"ใกล้ครบกำหนด",TRUE,"อยู่ระหว่างดำเนินการ"))))</x:f>
      </x:c>
      <x:c r="L455" s="114" t="str">
        <x:f>IF(OR(A455="",P455=""),"",HYPERLINK(P455,"เปิดใน Google Calendar"))</x:f>
      </x:c>
      <x:c r="M455" s="111"/>
      <x:c r="N455" s="123"/>
      <x:c r="O455" s="123"/>
      <x:c r="P455" s="123"/>
      <x:c r="Q455" s="126" t="b">
        <x:v>0</x:v>
      </x:c>
      <x:c r="R455" s="126" t="b">
        <x:v>0</x:v>
      </x:c>
      <x:c r="S455" s="126" t="b">
        <x:v>0</x:v>
      </x:c>
      <x:c r="T455" s="126" t="b">
        <x:v>0</x:v>
      </x:c>
      <x:c r="U455" s="144"/>
      <x:c r="V455" s="123"/>
      <x:c r="W455" s="123"/>
      <x:c r="X455" s="126" t="b">
        <x:v>0</x:v>
      </x:c>
    </x:row>
    <x:row r="456" ht="18" customHeight="1">
      <x:c r="A456" s="111"/>
      <x:c r="B456" s="111"/>
      <x:c r="C456" s="111"/>
      <x:c r="D456" s="111"/>
      <x:c r="E456" s="129"/>
      <x:c r="F456" s="138"/>
      <x:c r="G456" s="133" t="str">
        <x:f>IF(OR(A456="",E456="",F456=""),"",E456+F456-IF('ตั้งค่า'!$B$12="นับรวมวันเซ็น",1,0))</x:f>
      </x:c>
      <x:c r="H456" s="134"/>
      <x:c r="I456" s="117" t="str">
        <x:v>ยังไม่ส่ง</x:v>
      </x:c>
      <x:c r="J456" s="141" t="str">
        <x:f>IF(A456="","",IF(G456="","",IF(I456="ส่งแล้ว",0,G456-TODAY())))</x:f>
      </x:c>
      <x:c r="K456" s="114" t="str">
        <x:f>IF(A456="","",IF(G456="","ยังไม่ระบุวัน",IF(I456="ส่งแล้ว",IF(H456="","ส่งแล้ว",IF(INT(H456)&lt;INT(G456),"ส่งก่อนกำหนด "&amp;(INT(G456)-INT(H456))&amp;" วัน",IF(INT(H456)=INT(G456),"ส่งตรงกำหนด","ส่งล่าช้า "&amp;(INT(H456)-INT(G456))&amp;" วัน"))),IFS(G456&lt;TODAY(),"เกินกำหนด "&amp;(TODAY()-G456)&amp;" วัน",G456=TODAY(),"ครบกำหนดวันนี้",G456-TODAY()&lt;=3,"เร่งดำเนินการ",G456-TODAY()&lt;=5,"ต้องติดตาม",G456-TODAY()&lt;=10,"ใกล้ครบกำหนด",TRUE,"อยู่ระหว่างดำเนินการ"))))</x:f>
      </x:c>
      <x:c r="L456" s="114" t="str">
        <x:f>IF(OR(A456="",P456=""),"",HYPERLINK(P456,"เปิดใน Google Calendar"))</x:f>
      </x:c>
      <x:c r="M456" s="111"/>
      <x:c r="N456" s="123"/>
      <x:c r="O456" s="123"/>
      <x:c r="P456" s="123"/>
      <x:c r="Q456" s="126" t="b">
        <x:v>0</x:v>
      </x:c>
      <x:c r="R456" s="126" t="b">
        <x:v>0</x:v>
      </x:c>
      <x:c r="S456" s="126" t="b">
        <x:v>0</x:v>
      </x:c>
      <x:c r="T456" s="126" t="b">
        <x:v>0</x:v>
      </x:c>
      <x:c r="U456" s="144"/>
      <x:c r="V456" s="123"/>
      <x:c r="W456" s="123"/>
      <x:c r="X456" s="126" t="b">
        <x:v>0</x:v>
      </x:c>
    </x:row>
    <x:row r="457" ht="18" customHeight="1">
      <x:c r="A457" s="111"/>
      <x:c r="B457" s="111"/>
      <x:c r="C457" s="111"/>
      <x:c r="D457" s="111"/>
      <x:c r="E457" s="129"/>
      <x:c r="F457" s="138"/>
      <x:c r="G457" s="133" t="str">
        <x:f>IF(OR(A457="",E457="",F457=""),"",E457+F457-IF('ตั้งค่า'!$B$12="นับรวมวันเซ็น",1,0))</x:f>
      </x:c>
      <x:c r="H457" s="134"/>
      <x:c r="I457" s="117" t="str">
        <x:v>ยังไม่ส่ง</x:v>
      </x:c>
      <x:c r="J457" s="141" t="str">
        <x:f>IF(A457="","",IF(G457="","",IF(I457="ส่งแล้ว",0,G457-TODAY())))</x:f>
      </x:c>
      <x:c r="K457" s="114" t="str">
        <x:f>IF(A457="","",IF(G457="","ยังไม่ระบุวัน",IF(I457="ส่งแล้ว",IF(H457="","ส่งแล้ว",IF(INT(H457)&lt;INT(G457),"ส่งก่อนกำหนด "&amp;(INT(G457)-INT(H457))&amp;" วัน",IF(INT(H457)=INT(G457),"ส่งตรงกำหนด","ส่งล่าช้า "&amp;(INT(H457)-INT(G457))&amp;" วัน"))),IFS(G457&lt;TODAY(),"เกินกำหนด "&amp;(TODAY()-G457)&amp;" วัน",G457=TODAY(),"ครบกำหนดวันนี้",G457-TODAY()&lt;=3,"เร่งดำเนินการ",G457-TODAY()&lt;=5,"ต้องติดตาม",G457-TODAY()&lt;=10,"ใกล้ครบกำหนด",TRUE,"อยู่ระหว่างดำเนินการ"))))</x:f>
      </x:c>
      <x:c r="L457" s="114" t="str">
        <x:f>IF(OR(A457="",P457=""),"",HYPERLINK(P457,"เปิดใน Google Calendar"))</x:f>
      </x:c>
      <x:c r="M457" s="111"/>
      <x:c r="N457" s="123"/>
      <x:c r="O457" s="123"/>
      <x:c r="P457" s="123"/>
      <x:c r="Q457" s="126" t="b">
        <x:v>0</x:v>
      </x:c>
      <x:c r="R457" s="126" t="b">
        <x:v>0</x:v>
      </x:c>
      <x:c r="S457" s="126" t="b">
        <x:v>0</x:v>
      </x:c>
      <x:c r="T457" s="126" t="b">
        <x:v>0</x:v>
      </x:c>
      <x:c r="U457" s="144"/>
      <x:c r="V457" s="123"/>
      <x:c r="W457" s="123"/>
      <x:c r="X457" s="126" t="b">
        <x:v>0</x:v>
      </x:c>
    </x:row>
    <x:row r="458" ht="18" customHeight="1">
      <x:c r="A458" s="111"/>
      <x:c r="B458" s="111"/>
      <x:c r="C458" s="111"/>
      <x:c r="D458" s="111"/>
      <x:c r="E458" s="129"/>
      <x:c r="F458" s="138"/>
      <x:c r="G458" s="133" t="str">
        <x:f>IF(OR(A458="",E458="",F458=""),"",E458+F458-IF('ตั้งค่า'!$B$12="นับรวมวันเซ็น",1,0))</x:f>
      </x:c>
      <x:c r="H458" s="134"/>
      <x:c r="I458" s="117" t="str">
        <x:v>ยังไม่ส่ง</x:v>
      </x:c>
      <x:c r="J458" s="141" t="str">
        <x:f>IF(A458="","",IF(G458="","",IF(I458="ส่งแล้ว",0,G458-TODAY())))</x:f>
      </x:c>
      <x:c r="K458" s="114" t="str">
        <x:f>IF(A458="","",IF(G458="","ยังไม่ระบุวัน",IF(I458="ส่งแล้ว",IF(H458="","ส่งแล้ว",IF(INT(H458)&lt;INT(G458),"ส่งก่อนกำหนด "&amp;(INT(G458)-INT(H458))&amp;" วัน",IF(INT(H458)=INT(G458),"ส่งตรงกำหนด","ส่งล่าช้า "&amp;(INT(H458)-INT(G458))&amp;" วัน"))),IFS(G458&lt;TODAY(),"เกินกำหนด "&amp;(TODAY()-G458)&amp;" วัน",G458=TODAY(),"ครบกำหนดวันนี้",G458-TODAY()&lt;=3,"เร่งดำเนินการ",G458-TODAY()&lt;=5,"ต้องติดตาม",G458-TODAY()&lt;=10,"ใกล้ครบกำหนด",TRUE,"อยู่ระหว่างดำเนินการ"))))</x:f>
      </x:c>
      <x:c r="L458" s="114" t="str">
        <x:f>IF(OR(A458="",P458=""),"",HYPERLINK(P458,"เปิดใน Google Calendar"))</x:f>
      </x:c>
      <x:c r="M458" s="111"/>
      <x:c r="N458" s="123"/>
      <x:c r="O458" s="123"/>
      <x:c r="P458" s="123"/>
      <x:c r="Q458" s="126" t="b">
        <x:v>0</x:v>
      </x:c>
      <x:c r="R458" s="126" t="b">
        <x:v>0</x:v>
      </x:c>
      <x:c r="S458" s="126" t="b">
        <x:v>0</x:v>
      </x:c>
      <x:c r="T458" s="126" t="b">
        <x:v>0</x:v>
      </x:c>
      <x:c r="U458" s="144"/>
      <x:c r="V458" s="123"/>
      <x:c r="W458" s="123"/>
      <x:c r="X458" s="126" t="b">
        <x:v>0</x:v>
      </x:c>
    </x:row>
    <x:row r="459" ht="18" customHeight="1">
      <x:c r="A459" s="111"/>
      <x:c r="B459" s="111"/>
      <x:c r="C459" s="111"/>
      <x:c r="D459" s="111"/>
      <x:c r="E459" s="129"/>
      <x:c r="F459" s="138"/>
      <x:c r="G459" s="133" t="str">
        <x:f>IF(OR(A459="",E459="",F459=""),"",E459+F459-IF('ตั้งค่า'!$B$12="นับรวมวันเซ็น",1,0))</x:f>
      </x:c>
      <x:c r="H459" s="134"/>
      <x:c r="I459" s="117" t="str">
        <x:v>ยังไม่ส่ง</x:v>
      </x:c>
      <x:c r="J459" s="141" t="str">
        <x:f>IF(A459="","",IF(G459="","",IF(I459="ส่งแล้ว",0,G459-TODAY())))</x:f>
      </x:c>
      <x:c r="K459" s="114" t="str">
        <x:f>IF(A459="","",IF(G459="","ยังไม่ระบุวัน",IF(I459="ส่งแล้ว",IF(H459="","ส่งแล้ว",IF(INT(H459)&lt;INT(G459),"ส่งก่อนกำหนด "&amp;(INT(G459)-INT(H459))&amp;" วัน",IF(INT(H459)=INT(G459),"ส่งตรงกำหนด","ส่งล่าช้า "&amp;(INT(H459)-INT(G459))&amp;" วัน"))),IFS(G459&lt;TODAY(),"เกินกำหนด "&amp;(TODAY()-G459)&amp;" วัน",G459=TODAY(),"ครบกำหนดวันนี้",G459-TODAY()&lt;=3,"เร่งดำเนินการ",G459-TODAY()&lt;=5,"ต้องติดตาม",G459-TODAY()&lt;=10,"ใกล้ครบกำหนด",TRUE,"อยู่ระหว่างดำเนินการ"))))</x:f>
      </x:c>
      <x:c r="L459" s="114" t="str">
        <x:f>IF(OR(A459="",P459=""),"",HYPERLINK(P459,"เปิดใน Google Calendar"))</x:f>
      </x:c>
      <x:c r="M459" s="111"/>
      <x:c r="N459" s="123"/>
      <x:c r="O459" s="123"/>
      <x:c r="P459" s="123"/>
      <x:c r="Q459" s="126" t="b">
        <x:v>0</x:v>
      </x:c>
      <x:c r="R459" s="126" t="b">
        <x:v>0</x:v>
      </x:c>
      <x:c r="S459" s="126" t="b">
        <x:v>0</x:v>
      </x:c>
      <x:c r="T459" s="126" t="b">
        <x:v>0</x:v>
      </x:c>
      <x:c r="U459" s="144"/>
      <x:c r="V459" s="123"/>
      <x:c r="W459" s="123"/>
      <x:c r="X459" s="126" t="b">
        <x:v>0</x:v>
      </x:c>
    </x:row>
    <x:row r="460" ht="18" customHeight="1">
      <x:c r="A460" s="111"/>
      <x:c r="B460" s="111"/>
      <x:c r="C460" s="111"/>
      <x:c r="D460" s="111"/>
      <x:c r="E460" s="129"/>
      <x:c r="F460" s="138"/>
      <x:c r="G460" s="133" t="str">
        <x:f>IF(OR(A460="",E460="",F460=""),"",E460+F460-IF('ตั้งค่า'!$B$12="นับรวมวันเซ็น",1,0))</x:f>
      </x:c>
      <x:c r="H460" s="134"/>
      <x:c r="I460" s="117" t="str">
        <x:v>ยังไม่ส่ง</x:v>
      </x:c>
      <x:c r="J460" s="141" t="str">
        <x:f>IF(A460="","",IF(G460="","",IF(I460="ส่งแล้ว",0,G460-TODAY())))</x:f>
      </x:c>
      <x:c r="K460" s="114" t="str">
        <x:f>IF(A460="","",IF(G460="","ยังไม่ระบุวัน",IF(I460="ส่งแล้ว",IF(H460="","ส่งแล้ว",IF(INT(H460)&lt;INT(G460),"ส่งก่อนกำหนด "&amp;(INT(G460)-INT(H460))&amp;" วัน",IF(INT(H460)=INT(G460),"ส่งตรงกำหนด","ส่งล่าช้า "&amp;(INT(H460)-INT(G460))&amp;" วัน"))),IFS(G460&lt;TODAY(),"เกินกำหนด "&amp;(TODAY()-G460)&amp;" วัน",G460=TODAY(),"ครบกำหนดวันนี้",G460-TODAY()&lt;=3,"เร่งดำเนินการ",G460-TODAY()&lt;=5,"ต้องติดตาม",G460-TODAY()&lt;=10,"ใกล้ครบกำหนด",TRUE,"อยู่ระหว่างดำเนินการ"))))</x:f>
      </x:c>
      <x:c r="L460" s="114" t="str">
        <x:f>IF(OR(A460="",P460=""),"",HYPERLINK(P460,"เปิดใน Google Calendar"))</x:f>
      </x:c>
      <x:c r="M460" s="111"/>
      <x:c r="N460" s="123"/>
      <x:c r="O460" s="123"/>
      <x:c r="P460" s="123"/>
      <x:c r="Q460" s="126" t="b">
        <x:v>0</x:v>
      </x:c>
      <x:c r="R460" s="126" t="b">
        <x:v>0</x:v>
      </x:c>
      <x:c r="S460" s="126" t="b">
        <x:v>0</x:v>
      </x:c>
      <x:c r="T460" s="126" t="b">
        <x:v>0</x:v>
      </x:c>
      <x:c r="U460" s="144"/>
      <x:c r="V460" s="123"/>
      <x:c r="W460" s="123"/>
      <x:c r="X460" s="126" t="b">
        <x:v>0</x:v>
      </x:c>
    </x:row>
    <x:row r="461" ht="18" customHeight="1">
      <x:c r="A461" s="111"/>
      <x:c r="B461" s="111"/>
      <x:c r="C461" s="111"/>
      <x:c r="D461" s="111"/>
      <x:c r="E461" s="129"/>
      <x:c r="F461" s="138"/>
      <x:c r="G461" s="133" t="str">
        <x:f>IF(OR(A461="",E461="",F461=""),"",E461+F461-IF('ตั้งค่า'!$B$12="นับรวมวันเซ็น",1,0))</x:f>
      </x:c>
      <x:c r="H461" s="134"/>
      <x:c r="I461" s="117" t="str">
        <x:v>ยังไม่ส่ง</x:v>
      </x:c>
      <x:c r="J461" s="141" t="str">
        <x:f>IF(A461="","",IF(G461="","",IF(I461="ส่งแล้ว",0,G461-TODAY())))</x:f>
      </x:c>
      <x:c r="K461" s="114" t="str">
        <x:f>IF(A461="","",IF(G461="","ยังไม่ระบุวัน",IF(I461="ส่งแล้ว",IF(H461="","ส่งแล้ว",IF(INT(H461)&lt;INT(G461),"ส่งก่อนกำหนด "&amp;(INT(G461)-INT(H461))&amp;" วัน",IF(INT(H461)=INT(G461),"ส่งตรงกำหนด","ส่งล่าช้า "&amp;(INT(H461)-INT(G461))&amp;" วัน"))),IFS(G461&lt;TODAY(),"เกินกำหนด "&amp;(TODAY()-G461)&amp;" วัน",G461=TODAY(),"ครบกำหนดวันนี้",G461-TODAY()&lt;=3,"เร่งดำเนินการ",G461-TODAY()&lt;=5,"ต้องติดตาม",G461-TODAY()&lt;=10,"ใกล้ครบกำหนด",TRUE,"อยู่ระหว่างดำเนินการ"))))</x:f>
      </x:c>
      <x:c r="L461" s="114" t="str">
        <x:f>IF(OR(A461="",P461=""),"",HYPERLINK(P461,"เปิดใน Google Calendar"))</x:f>
      </x:c>
      <x:c r="M461" s="111"/>
      <x:c r="N461" s="123"/>
      <x:c r="O461" s="123"/>
      <x:c r="P461" s="123"/>
      <x:c r="Q461" s="126" t="b">
        <x:v>0</x:v>
      </x:c>
      <x:c r="R461" s="126" t="b">
        <x:v>0</x:v>
      </x:c>
      <x:c r="S461" s="126" t="b">
        <x:v>0</x:v>
      </x:c>
      <x:c r="T461" s="126" t="b">
        <x:v>0</x:v>
      </x:c>
      <x:c r="U461" s="144"/>
      <x:c r="V461" s="123"/>
      <x:c r="W461" s="123"/>
      <x:c r="X461" s="126" t="b">
        <x:v>0</x:v>
      </x:c>
    </x:row>
    <x:row r="462" ht="18" customHeight="1">
      <x:c r="A462" s="111"/>
      <x:c r="B462" s="111"/>
      <x:c r="C462" s="111"/>
      <x:c r="D462" s="111"/>
      <x:c r="E462" s="129"/>
      <x:c r="F462" s="138"/>
      <x:c r="G462" s="133" t="str">
        <x:f>IF(OR(A462="",E462="",F462=""),"",E462+F462-IF('ตั้งค่า'!$B$12="นับรวมวันเซ็น",1,0))</x:f>
      </x:c>
      <x:c r="H462" s="134"/>
      <x:c r="I462" s="117" t="str">
        <x:v>ยังไม่ส่ง</x:v>
      </x:c>
      <x:c r="J462" s="141" t="str">
        <x:f>IF(A462="","",IF(G462="","",IF(I462="ส่งแล้ว",0,G462-TODAY())))</x:f>
      </x:c>
      <x:c r="K462" s="114" t="str">
        <x:f>IF(A462="","",IF(G462="","ยังไม่ระบุวัน",IF(I462="ส่งแล้ว",IF(H462="","ส่งแล้ว",IF(INT(H462)&lt;INT(G462),"ส่งก่อนกำหนด "&amp;(INT(G462)-INT(H462))&amp;" วัน",IF(INT(H462)=INT(G462),"ส่งตรงกำหนด","ส่งล่าช้า "&amp;(INT(H462)-INT(G462))&amp;" วัน"))),IFS(G462&lt;TODAY(),"เกินกำหนด "&amp;(TODAY()-G462)&amp;" วัน",G462=TODAY(),"ครบกำหนดวันนี้",G462-TODAY()&lt;=3,"เร่งดำเนินการ",G462-TODAY()&lt;=5,"ต้องติดตาม",G462-TODAY()&lt;=10,"ใกล้ครบกำหนด",TRUE,"อยู่ระหว่างดำเนินการ"))))</x:f>
      </x:c>
      <x:c r="L462" s="114" t="str">
        <x:f>IF(OR(A462="",P462=""),"",HYPERLINK(P462,"เปิดใน Google Calendar"))</x:f>
      </x:c>
      <x:c r="M462" s="111"/>
      <x:c r="N462" s="123"/>
      <x:c r="O462" s="123"/>
      <x:c r="P462" s="123"/>
      <x:c r="Q462" s="126" t="b">
        <x:v>0</x:v>
      </x:c>
      <x:c r="R462" s="126" t="b">
        <x:v>0</x:v>
      </x:c>
      <x:c r="S462" s="126" t="b">
        <x:v>0</x:v>
      </x:c>
      <x:c r="T462" s="126" t="b">
        <x:v>0</x:v>
      </x:c>
      <x:c r="U462" s="144"/>
      <x:c r="V462" s="123"/>
      <x:c r="W462" s="123"/>
      <x:c r="X462" s="126" t="b">
        <x:v>0</x:v>
      </x:c>
    </x:row>
    <x:row r="463" ht="18" customHeight="1">
      <x:c r="A463" s="111"/>
      <x:c r="B463" s="111"/>
      <x:c r="C463" s="111"/>
      <x:c r="D463" s="111"/>
      <x:c r="E463" s="129"/>
      <x:c r="F463" s="138"/>
      <x:c r="G463" s="133" t="str">
        <x:f>IF(OR(A463="",E463="",F463=""),"",E463+F463-IF('ตั้งค่า'!$B$12="นับรวมวันเซ็น",1,0))</x:f>
      </x:c>
      <x:c r="H463" s="134"/>
      <x:c r="I463" s="117" t="str">
        <x:v>ยังไม่ส่ง</x:v>
      </x:c>
      <x:c r="J463" s="141" t="str">
        <x:f>IF(A463="","",IF(G463="","",IF(I463="ส่งแล้ว",0,G463-TODAY())))</x:f>
      </x:c>
      <x:c r="K463" s="114" t="str">
        <x:f>IF(A463="","",IF(G463="","ยังไม่ระบุวัน",IF(I463="ส่งแล้ว",IF(H463="","ส่งแล้ว",IF(INT(H463)&lt;INT(G463),"ส่งก่อนกำหนด "&amp;(INT(G463)-INT(H463))&amp;" วัน",IF(INT(H463)=INT(G463),"ส่งตรงกำหนด","ส่งล่าช้า "&amp;(INT(H463)-INT(G463))&amp;" วัน"))),IFS(G463&lt;TODAY(),"เกินกำหนด "&amp;(TODAY()-G463)&amp;" วัน",G463=TODAY(),"ครบกำหนดวันนี้",G463-TODAY()&lt;=3,"เร่งดำเนินการ",G463-TODAY()&lt;=5,"ต้องติดตาม",G463-TODAY()&lt;=10,"ใกล้ครบกำหนด",TRUE,"อยู่ระหว่างดำเนินการ"))))</x:f>
      </x:c>
      <x:c r="L463" s="114" t="str">
        <x:f>IF(OR(A463="",P463=""),"",HYPERLINK(P463,"เปิดใน Google Calendar"))</x:f>
      </x:c>
      <x:c r="M463" s="111"/>
      <x:c r="N463" s="123"/>
      <x:c r="O463" s="123"/>
      <x:c r="P463" s="123"/>
      <x:c r="Q463" s="126" t="b">
        <x:v>0</x:v>
      </x:c>
      <x:c r="R463" s="126" t="b">
        <x:v>0</x:v>
      </x:c>
      <x:c r="S463" s="126" t="b">
        <x:v>0</x:v>
      </x:c>
      <x:c r="T463" s="126" t="b">
        <x:v>0</x:v>
      </x:c>
      <x:c r="U463" s="144"/>
      <x:c r="V463" s="123"/>
      <x:c r="W463" s="123"/>
      <x:c r="X463" s="126" t="b">
        <x:v>0</x:v>
      </x:c>
    </x:row>
    <x:row r="464" ht="18" customHeight="1">
      <x:c r="A464" s="111"/>
      <x:c r="B464" s="111"/>
      <x:c r="C464" s="111"/>
      <x:c r="D464" s="111"/>
      <x:c r="E464" s="129"/>
      <x:c r="F464" s="138"/>
      <x:c r="G464" s="133" t="str">
        <x:f>IF(OR(A464="",E464="",F464=""),"",E464+F464-IF('ตั้งค่า'!$B$12="นับรวมวันเซ็น",1,0))</x:f>
      </x:c>
      <x:c r="H464" s="134"/>
      <x:c r="I464" s="117" t="str">
        <x:v>ยังไม่ส่ง</x:v>
      </x:c>
      <x:c r="J464" s="141" t="str">
        <x:f>IF(A464="","",IF(G464="","",IF(I464="ส่งแล้ว",0,G464-TODAY())))</x:f>
      </x:c>
      <x:c r="K464" s="114" t="str">
        <x:f>IF(A464="","",IF(G464="","ยังไม่ระบุวัน",IF(I464="ส่งแล้ว",IF(H464="","ส่งแล้ว",IF(INT(H464)&lt;INT(G464),"ส่งก่อนกำหนด "&amp;(INT(G464)-INT(H464))&amp;" วัน",IF(INT(H464)=INT(G464),"ส่งตรงกำหนด","ส่งล่าช้า "&amp;(INT(H464)-INT(G464))&amp;" วัน"))),IFS(G464&lt;TODAY(),"เกินกำหนด "&amp;(TODAY()-G464)&amp;" วัน",G464=TODAY(),"ครบกำหนดวันนี้",G464-TODAY()&lt;=3,"เร่งดำเนินการ",G464-TODAY()&lt;=5,"ต้องติดตาม",G464-TODAY()&lt;=10,"ใกล้ครบกำหนด",TRUE,"อยู่ระหว่างดำเนินการ"))))</x:f>
      </x:c>
      <x:c r="L464" s="114" t="str">
        <x:f>IF(OR(A464="",P464=""),"",HYPERLINK(P464,"เปิดใน Google Calendar"))</x:f>
      </x:c>
      <x:c r="M464" s="111"/>
      <x:c r="N464" s="123"/>
      <x:c r="O464" s="123"/>
      <x:c r="P464" s="123"/>
      <x:c r="Q464" s="126" t="b">
        <x:v>0</x:v>
      </x:c>
      <x:c r="R464" s="126" t="b">
        <x:v>0</x:v>
      </x:c>
      <x:c r="S464" s="126" t="b">
        <x:v>0</x:v>
      </x:c>
      <x:c r="T464" s="126" t="b">
        <x:v>0</x:v>
      </x:c>
      <x:c r="U464" s="144"/>
      <x:c r="V464" s="123"/>
      <x:c r="W464" s="123"/>
      <x:c r="X464" s="126" t="b">
        <x:v>0</x:v>
      </x:c>
    </x:row>
    <x:row r="465" ht="18" customHeight="1">
      <x:c r="A465" s="111"/>
      <x:c r="B465" s="111"/>
      <x:c r="C465" s="111"/>
      <x:c r="D465" s="111"/>
      <x:c r="E465" s="129"/>
      <x:c r="F465" s="138"/>
      <x:c r="G465" s="133" t="str">
        <x:f>IF(OR(A465="",E465="",F465=""),"",E465+F465-IF('ตั้งค่า'!$B$12="นับรวมวันเซ็น",1,0))</x:f>
      </x:c>
      <x:c r="H465" s="134"/>
      <x:c r="I465" s="117" t="str">
        <x:v>ยังไม่ส่ง</x:v>
      </x:c>
      <x:c r="J465" s="141" t="str">
        <x:f>IF(A465="","",IF(G465="","",IF(I465="ส่งแล้ว",0,G465-TODAY())))</x:f>
      </x:c>
      <x:c r="K465" s="114" t="str">
        <x:f>IF(A465="","",IF(G465="","ยังไม่ระบุวัน",IF(I465="ส่งแล้ว",IF(H465="","ส่งแล้ว",IF(INT(H465)&lt;INT(G465),"ส่งก่อนกำหนด "&amp;(INT(G465)-INT(H465))&amp;" วัน",IF(INT(H465)=INT(G465),"ส่งตรงกำหนด","ส่งล่าช้า "&amp;(INT(H465)-INT(G465))&amp;" วัน"))),IFS(G465&lt;TODAY(),"เกินกำหนด "&amp;(TODAY()-G465)&amp;" วัน",G465=TODAY(),"ครบกำหนดวันนี้",G465-TODAY()&lt;=3,"เร่งดำเนินการ",G465-TODAY()&lt;=5,"ต้องติดตาม",G465-TODAY()&lt;=10,"ใกล้ครบกำหนด",TRUE,"อยู่ระหว่างดำเนินการ"))))</x:f>
      </x:c>
      <x:c r="L465" s="114" t="str">
        <x:f>IF(OR(A465="",P465=""),"",HYPERLINK(P465,"เปิดใน Google Calendar"))</x:f>
      </x:c>
      <x:c r="M465" s="111"/>
      <x:c r="N465" s="123"/>
      <x:c r="O465" s="123"/>
      <x:c r="P465" s="123"/>
      <x:c r="Q465" s="126" t="b">
        <x:v>0</x:v>
      </x:c>
      <x:c r="R465" s="126" t="b">
        <x:v>0</x:v>
      </x:c>
      <x:c r="S465" s="126" t="b">
        <x:v>0</x:v>
      </x:c>
      <x:c r="T465" s="126" t="b">
        <x:v>0</x:v>
      </x:c>
      <x:c r="U465" s="144"/>
      <x:c r="V465" s="123"/>
      <x:c r="W465" s="123"/>
      <x:c r="X465" s="126" t="b">
        <x:v>0</x:v>
      </x:c>
    </x:row>
    <x:row r="466" ht="18" customHeight="1">
      <x:c r="A466" s="111"/>
      <x:c r="B466" s="111"/>
      <x:c r="C466" s="111"/>
      <x:c r="D466" s="111"/>
      <x:c r="E466" s="129"/>
      <x:c r="F466" s="138"/>
      <x:c r="G466" s="133" t="str">
        <x:f>IF(OR(A466="",E466="",F466=""),"",E466+F466-IF('ตั้งค่า'!$B$12="นับรวมวันเซ็น",1,0))</x:f>
      </x:c>
      <x:c r="H466" s="134"/>
      <x:c r="I466" s="117" t="str">
        <x:v>ยังไม่ส่ง</x:v>
      </x:c>
      <x:c r="J466" s="141" t="str">
        <x:f>IF(A466="","",IF(G466="","",IF(I466="ส่งแล้ว",0,G466-TODAY())))</x:f>
      </x:c>
      <x:c r="K466" s="114" t="str">
        <x:f>IF(A466="","",IF(G466="","ยังไม่ระบุวัน",IF(I466="ส่งแล้ว",IF(H466="","ส่งแล้ว",IF(INT(H466)&lt;INT(G466),"ส่งก่อนกำหนด "&amp;(INT(G466)-INT(H466))&amp;" วัน",IF(INT(H466)=INT(G466),"ส่งตรงกำหนด","ส่งล่าช้า "&amp;(INT(H466)-INT(G466))&amp;" วัน"))),IFS(G466&lt;TODAY(),"เกินกำหนด "&amp;(TODAY()-G466)&amp;" วัน",G466=TODAY(),"ครบกำหนดวันนี้",G466-TODAY()&lt;=3,"เร่งดำเนินการ",G466-TODAY()&lt;=5,"ต้องติดตาม",G466-TODAY()&lt;=10,"ใกล้ครบกำหนด",TRUE,"อยู่ระหว่างดำเนินการ"))))</x:f>
      </x:c>
      <x:c r="L466" s="114" t="str">
        <x:f>IF(OR(A466="",P466=""),"",HYPERLINK(P466,"เปิดใน Google Calendar"))</x:f>
      </x:c>
      <x:c r="M466" s="111"/>
      <x:c r="N466" s="123"/>
      <x:c r="O466" s="123"/>
      <x:c r="P466" s="123"/>
      <x:c r="Q466" s="126" t="b">
        <x:v>0</x:v>
      </x:c>
      <x:c r="R466" s="126" t="b">
        <x:v>0</x:v>
      </x:c>
      <x:c r="S466" s="126" t="b">
        <x:v>0</x:v>
      </x:c>
      <x:c r="T466" s="126" t="b">
        <x:v>0</x:v>
      </x:c>
      <x:c r="U466" s="144"/>
      <x:c r="V466" s="123"/>
      <x:c r="W466" s="123"/>
      <x:c r="X466" s="126" t="b">
        <x:v>0</x:v>
      </x:c>
    </x:row>
    <x:row r="467" ht="18" customHeight="1">
      <x:c r="A467" s="111"/>
      <x:c r="B467" s="111"/>
      <x:c r="C467" s="111"/>
      <x:c r="D467" s="111"/>
      <x:c r="E467" s="129"/>
      <x:c r="F467" s="138"/>
      <x:c r="G467" s="133" t="str">
        <x:f>IF(OR(A467="",E467="",F467=""),"",E467+F467-IF('ตั้งค่า'!$B$12="นับรวมวันเซ็น",1,0))</x:f>
      </x:c>
      <x:c r="H467" s="134"/>
      <x:c r="I467" s="117" t="str">
        <x:v>ยังไม่ส่ง</x:v>
      </x:c>
      <x:c r="J467" s="141" t="str">
        <x:f>IF(A467="","",IF(G467="","",IF(I467="ส่งแล้ว",0,G467-TODAY())))</x:f>
      </x:c>
      <x:c r="K467" s="114" t="str">
        <x:f>IF(A467="","",IF(G467="","ยังไม่ระบุวัน",IF(I467="ส่งแล้ว",IF(H467="","ส่งแล้ว",IF(INT(H467)&lt;INT(G467),"ส่งก่อนกำหนด "&amp;(INT(G467)-INT(H467))&amp;" วัน",IF(INT(H467)=INT(G467),"ส่งตรงกำหนด","ส่งล่าช้า "&amp;(INT(H467)-INT(G467))&amp;" วัน"))),IFS(G467&lt;TODAY(),"เกินกำหนด "&amp;(TODAY()-G467)&amp;" วัน",G467=TODAY(),"ครบกำหนดวันนี้",G467-TODAY()&lt;=3,"เร่งดำเนินการ",G467-TODAY()&lt;=5,"ต้องติดตาม",G467-TODAY()&lt;=10,"ใกล้ครบกำหนด",TRUE,"อยู่ระหว่างดำเนินการ"))))</x:f>
      </x:c>
      <x:c r="L467" s="114" t="str">
        <x:f>IF(OR(A467="",P467=""),"",HYPERLINK(P467,"เปิดใน Google Calendar"))</x:f>
      </x:c>
      <x:c r="M467" s="111"/>
      <x:c r="N467" s="123"/>
      <x:c r="O467" s="123"/>
      <x:c r="P467" s="123"/>
      <x:c r="Q467" s="126" t="b">
        <x:v>0</x:v>
      </x:c>
      <x:c r="R467" s="126" t="b">
        <x:v>0</x:v>
      </x:c>
      <x:c r="S467" s="126" t="b">
        <x:v>0</x:v>
      </x:c>
      <x:c r="T467" s="126" t="b">
        <x:v>0</x:v>
      </x:c>
      <x:c r="U467" s="144"/>
      <x:c r="V467" s="123"/>
      <x:c r="W467" s="123"/>
      <x:c r="X467" s="126" t="b">
        <x:v>0</x:v>
      </x:c>
    </x:row>
    <x:row r="468" ht="18" customHeight="1">
      <x:c r="A468" s="111"/>
      <x:c r="B468" s="111"/>
      <x:c r="C468" s="111"/>
      <x:c r="D468" s="111"/>
      <x:c r="E468" s="129"/>
      <x:c r="F468" s="138"/>
      <x:c r="G468" s="133" t="str">
        <x:f>IF(OR(A468="",E468="",F468=""),"",E468+F468-IF('ตั้งค่า'!$B$12="นับรวมวันเซ็น",1,0))</x:f>
      </x:c>
      <x:c r="H468" s="134"/>
      <x:c r="I468" s="117" t="str">
        <x:v>ยังไม่ส่ง</x:v>
      </x:c>
      <x:c r="J468" s="141" t="str">
        <x:f>IF(A468="","",IF(G468="","",IF(I468="ส่งแล้ว",0,G468-TODAY())))</x:f>
      </x:c>
      <x:c r="K468" s="114" t="str">
        <x:f>IF(A468="","",IF(G468="","ยังไม่ระบุวัน",IF(I468="ส่งแล้ว",IF(H468="","ส่งแล้ว",IF(INT(H468)&lt;INT(G468),"ส่งก่อนกำหนด "&amp;(INT(G468)-INT(H468))&amp;" วัน",IF(INT(H468)=INT(G468),"ส่งตรงกำหนด","ส่งล่าช้า "&amp;(INT(H468)-INT(G468))&amp;" วัน"))),IFS(G468&lt;TODAY(),"เกินกำหนด "&amp;(TODAY()-G468)&amp;" วัน",G468=TODAY(),"ครบกำหนดวันนี้",G468-TODAY()&lt;=3,"เร่งดำเนินการ",G468-TODAY()&lt;=5,"ต้องติดตาม",G468-TODAY()&lt;=10,"ใกล้ครบกำหนด",TRUE,"อยู่ระหว่างดำเนินการ"))))</x:f>
      </x:c>
      <x:c r="L468" s="114" t="str">
        <x:f>IF(OR(A468="",P468=""),"",HYPERLINK(P468,"เปิดใน Google Calendar"))</x:f>
      </x:c>
      <x:c r="M468" s="111"/>
      <x:c r="N468" s="123"/>
      <x:c r="O468" s="123"/>
      <x:c r="P468" s="123"/>
      <x:c r="Q468" s="126" t="b">
        <x:v>0</x:v>
      </x:c>
      <x:c r="R468" s="126" t="b">
        <x:v>0</x:v>
      </x:c>
      <x:c r="S468" s="126" t="b">
        <x:v>0</x:v>
      </x:c>
      <x:c r="T468" s="126" t="b">
        <x:v>0</x:v>
      </x:c>
      <x:c r="U468" s="144"/>
      <x:c r="V468" s="123"/>
      <x:c r="W468" s="123"/>
      <x:c r="X468" s="126" t="b">
        <x:v>0</x:v>
      </x:c>
    </x:row>
    <x:row r="469" ht="18" customHeight="1">
      <x:c r="A469" s="111"/>
      <x:c r="B469" s="111"/>
      <x:c r="C469" s="111"/>
      <x:c r="D469" s="111"/>
      <x:c r="E469" s="129"/>
      <x:c r="F469" s="138"/>
      <x:c r="G469" s="133" t="str">
        <x:f>IF(OR(A469="",E469="",F469=""),"",E469+F469-IF('ตั้งค่า'!$B$12="นับรวมวันเซ็น",1,0))</x:f>
      </x:c>
      <x:c r="H469" s="134"/>
      <x:c r="I469" s="117" t="str">
        <x:v>ยังไม่ส่ง</x:v>
      </x:c>
      <x:c r="J469" s="141" t="str">
        <x:f>IF(A469="","",IF(G469="","",IF(I469="ส่งแล้ว",0,G469-TODAY())))</x:f>
      </x:c>
      <x:c r="K469" s="114" t="str">
        <x:f>IF(A469="","",IF(G469="","ยังไม่ระบุวัน",IF(I469="ส่งแล้ว",IF(H469="","ส่งแล้ว",IF(INT(H469)&lt;INT(G469),"ส่งก่อนกำหนด "&amp;(INT(G469)-INT(H469))&amp;" วัน",IF(INT(H469)=INT(G469),"ส่งตรงกำหนด","ส่งล่าช้า "&amp;(INT(H469)-INT(G469))&amp;" วัน"))),IFS(G469&lt;TODAY(),"เกินกำหนด "&amp;(TODAY()-G469)&amp;" วัน",G469=TODAY(),"ครบกำหนดวันนี้",G469-TODAY()&lt;=3,"เร่งดำเนินการ",G469-TODAY()&lt;=5,"ต้องติดตาม",G469-TODAY()&lt;=10,"ใกล้ครบกำหนด",TRUE,"อยู่ระหว่างดำเนินการ"))))</x:f>
      </x:c>
      <x:c r="L469" s="114" t="str">
        <x:f>IF(OR(A469="",P469=""),"",HYPERLINK(P469,"เปิดใน Google Calendar"))</x:f>
      </x:c>
      <x:c r="M469" s="111"/>
      <x:c r="N469" s="123"/>
      <x:c r="O469" s="123"/>
      <x:c r="P469" s="123"/>
      <x:c r="Q469" s="126" t="b">
        <x:v>0</x:v>
      </x:c>
      <x:c r="R469" s="126" t="b">
        <x:v>0</x:v>
      </x:c>
      <x:c r="S469" s="126" t="b">
        <x:v>0</x:v>
      </x:c>
      <x:c r="T469" s="126" t="b">
        <x:v>0</x:v>
      </x:c>
      <x:c r="U469" s="144"/>
      <x:c r="V469" s="123"/>
      <x:c r="W469" s="123"/>
      <x:c r="X469" s="126" t="b">
        <x:v>0</x:v>
      </x:c>
    </x:row>
    <x:row r="470" ht="18" customHeight="1">
      <x:c r="A470" s="111"/>
      <x:c r="B470" s="111"/>
      <x:c r="C470" s="111"/>
      <x:c r="D470" s="111"/>
      <x:c r="E470" s="129"/>
      <x:c r="F470" s="138"/>
      <x:c r="G470" s="133" t="str">
        <x:f>IF(OR(A470="",E470="",F470=""),"",E470+F470-IF('ตั้งค่า'!$B$12="นับรวมวันเซ็น",1,0))</x:f>
      </x:c>
      <x:c r="H470" s="134"/>
      <x:c r="I470" s="117" t="str">
        <x:v>ยังไม่ส่ง</x:v>
      </x:c>
      <x:c r="J470" s="141" t="str">
        <x:f>IF(A470="","",IF(G470="","",IF(I470="ส่งแล้ว",0,G470-TODAY())))</x:f>
      </x:c>
      <x:c r="K470" s="114" t="str">
        <x:f>IF(A470="","",IF(G470="","ยังไม่ระบุวัน",IF(I470="ส่งแล้ว",IF(H470="","ส่งแล้ว",IF(INT(H470)&lt;INT(G470),"ส่งก่อนกำหนด "&amp;(INT(G470)-INT(H470))&amp;" วัน",IF(INT(H470)=INT(G470),"ส่งตรงกำหนด","ส่งล่าช้า "&amp;(INT(H470)-INT(G470))&amp;" วัน"))),IFS(G470&lt;TODAY(),"เกินกำหนด "&amp;(TODAY()-G470)&amp;" วัน",G470=TODAY(),"ครบกำหนดวันนี้",G470-TODAY()&lt;=3,"เร่งดำเนินการ",G470-TODAY()&lt;=5,"ต้องติดตาม",G470-TODAY()&lt;=10,"ใกล้ครบกำหนด",TRUE,"อยู่ระหว่างดำเนินการ"))))</x:f>
      </x:c>
      <x:c r="L470" s="114" t="str">
        <x:f>IF(OR(A470="",P470=""),"",HYPERLINK(P470,"เปิดใน Google Calendar"))</x:f>
      </x:c>
      <x:c r="M470" s="111"/>
      <x:c r="N470" s="123"/>
      <x:c r="O470" s="123"/>
      <x:c r="P470" s="123"/>
      <x:c r="Q470" s="126" t="b">
        <x:v>0</x:v>
      </x:c>
      <x:c r="R470" s="126" t="b">
        <x:v>0</x:v>
      </x:c>
      <x:c r="S470" s="126" t="b">
        <x:v>0</x:v>
      </x:c>
      <x:c r="T470" s="126" t="b">
        <x:v>0</x:v>
      </x:c>
      <x:c r="U470" s="144"/>
      <x:c r="V470" s="123"/>
      <x:c r="W470" s="123"/>
      <x:c r="X470" s="126" t="b">
        <x:v>0</x:v>
      </x:c>
    </x:row>
    <x:row r="471" ht="18" customHeight="1">
      <x:c r="A471" s="111"/>
      <x:c r="B471" s="111"/>
      <x:c r="C471" s="111"/>
      <x:c r="D471" s="111"/>
      <x:c r="E471" s="129"/>
      <x:c r="F471" s="138"/>
      <x:c r="G471" s="133" t="str">
        <x:f>IF(OR(A471="",E471="",F471=""),"",E471+F471-IF('ตั้งค่า'!$B$12="นับรวมวันเซ็น",1,0))</x:f>
      </x:c>
      <x:c r="H471" s="134"/>
      <x:c r="I471" s="117" t="str">
        <x:v>ยังไม่ส่ง</x:v>
      </x:c>
      <x:c r="J471" s="141" t="str">
        <x:f>IF(A471="","",IF(G471="","",IF(I471="ส่งแล้ว",0,G471-TODAY())))</x:f>
      </x:c>
      <x:c r="K471" s="114" t="str">
        <x:f>IF(A471="","",IF(G471="","ยังไม่ระบุวัน",IF(I471="ส่งแล้ว",IF(H471="","ส่งแล้ว",IF(INT(H471)&lt;INT(G471),"ส่งก่อนกำหนด "&amp;(INT(G471)-INT(H471))&amp;" วัน",IF(INT(H471)=INT(G471),"ส่งตรงกำหนด","ส่งล่าช้า "&amp;(INT(H471)-INT(G471))&amp;" วัน"))),IFS(G471&lt;TODAY(),"เกินกำหนด "&amp;(TODAY()-G471)&amp;" วัน",G471=TODAY(),"ครบกำหนดวันนี้",G471-TODAY()&lt;=3,"เร่งดำเนินการ",G471-TODAY()&lt;=5,"ต้องติดตาม",G471-TODAY()&lt;=10,"ใกล้ครบกำหนด",TRUE,"อยู่ระหว่างดำเนินการ"))))</x:f>
      </x:c>
      <x:c r="L471" s="114" t="str">
        <x:f>IF(OR(A471="",P471=""),"",HYPERLINK(P471,"เปิดใน Google Calendar"))</x:f>
      </x:c>
      <x:c r="M471" s="111"/>
      <x:c r="N471" s="123"/>
      <x:c r="O471" s="123"/>
      <x:c r="P471" s="123"/>
      <x:c r="Q471" s="126" t="b">
        <x:v>0</x:v>
      </x:c>
      <x:c r="R471" s="126" t="b">
        <x:v>0</x:v>
      </x:c>
      <x:c r="S471" s="126" t="b">
        <x:v>0</x:v>
      </x:c>
      <x:c r="T471" s="126" t="b">
        <x:v>0</x:v>
      </x:c>
      <x:c r="U471" s="144"/>
      <x:c r="V471" s="123"/>
      <x:c r="W471" s="123"/>
      <x:c r="X471" s="126" t="b">
        <x:v>0</x:v>
      </x:c>
    </x:row>
    <x:row r="472" ht="18" customHeight="1">
      <x:c r="A472" s="111"/>
      <x:c r="B472" s="111"/>
      <x:c r="C472" s="111"/>
      <x:c r="D472" s="111"/>
      <x:c r="E472" s="129"/>
      <x:c r="F472" s="138"/>
      <x:c r="G472" s="133" t="str">
        <x:f>IF(OR(A472="",E472="",F472=""),"",E472+F472-IF('ตั้งค่า'!$B$12="นับรวมวันเซ็น",1,0))</x:f>
      </x:c>
      <x:c r="H472" s="134"/>
      <x:c r="I472" s="117" t="str">
        <x:v>ยังไม่ส่ง</x:v>
      </x:c>
      <x:c r="J472" s="141" t="str">
        <x:f>IF(A472="","",IF(G472="","",IF(I472="ส่งแล้ว",0,G472-TODAY())))</x:f>
      </x:c>
      <x:c r="K472" s="114" t="str">
        <x:f>IF(A472="","",IF(G472="","ยังไม่ระบุวัน",IF(I472="ส่งแล้ว",IF(H472="","ส่งแล้ว",IF(INT(H472)&lt;INT(G472),"ส่งก่อนกำหนด "&amp;(INT(G472)-INT(H472))&amp;" วัน",IF(INT(H472)=INT(G472),"ส่งตรงกำหนด","ส่งล่าช้า "&amp;(INT(H472)-INT(G472))&amp;" วัน"))),IFS(G472&lt;TODAY(),"เกินกำหนด "&amp;(TODAY()-G472)&amp;" วัน",G472=TODAY(),"ครบกำหนดวันนี้",G472-TODAY()&lt;=3,"เร่งดำเนินการ",G472-TODAY()&lt;=5,"ต้องติดตาม",G472-TODAY()&lt;=10,"ใกล้ครบกำหนด",TRUE,"อยู่ระหว่างดำเนินการ"))))</x:f>
      </x:c>
      <x:c r="L472" s="114" t="str">
        <x:f>IF(OR(A472="",P472=""),"",HYPERLINK(P472,"เปิดใน Google Calendar"))</x:f>
      </x:c>
      <x:c r="M472" s="111"/>
      <x:c r="N472" s="123"/>
      <x:c r="O472" s="123"/>
      <x:c r="P472" s="123"/>
      <x:c r="Q472" s="126" t="b">
        <x:v>0</x:v>
      </x:c>
      <x:c r="R472" s="126" t="b">
        <x:v>0</x:v>
      </x:c>
      <x:c r="S472" s="126" t="b">
        <x:v>0</x:v>
      </x:c>
      <x:c r="T472" s="126" t="b">
        <x:v>0</x:v>
      </x:c>
      <x:c r="U472" s="144"/>
      <x:c r="V472" s="123"/>
      <x:c r="W472" s="123"/>
      <x:c r="X472" s="126" t="b">
        <x:v>0</x:v>
      </x:c>
    </x:row>
    <x:row r="473" ht="18" customHeight="1">
      <x:c r="A473" s="111"/>
      <x:c r="B473" s="111"/>
      <x:c r="C473" s="111"/>
      <x:c r="D473" s="111"/>
      <x:c r="E473" s="129"/>
      <x:c r="F473" s="138"/>
      <x:c r="G473" s="133" t="str">
        <x:f>IF(OR(A473="",E473="",F473=""),"",E473+F473-IF('ตั้งค่า'!$B$12="นับรวมวันเซ็น",1,0))</x:f>
      </x:c>
      <x:c r="H473" s="134"/>
      <x:c r="I473" s="117" t="str">
        <x:v>ยังไม่ส่ง</x:v>
      </x:c>
      <x:c r="J473" s="141" t="str">
        <x:f>IF(A473="","",IF(G473="","",IF(I473="ส่งแล้ว",0,G473-TODAY())))</x:f>
      </x:c>
      <x:c r="K473" s="114" t="str">
        <x:f>IF(A473="","",IF(G473="","ยังไม่ระบุวัน",IF(I473="ส่งแล้ว",IF(H473="","ส่งแล้ว",IF(INT(H473)&lt;INT(G473),"ส่งก่อนกำหนด "&amp;(INT(G473)-INT(H473))&amp;" วัน",IF(INT(H473)=INT(G473),"ส่งตรงกำหนด","ส่งล่าช้า "&amp;(INT(H473)-INT(G473))&amp;" วัน"))),IFS(G473&lt;TODAY(),"เกินกำหนด "&amp;(TODAY()-G473)&amp;" วัน",G473=TODAY(),"ครบกำหนดวันนี้",G473-TODAY()&lt;=3,"เร่งดำเนินการ",G473-TODAY()&lt;=5,"ต้องติดตาม",G473-TODAY()&lt;=10,"ใกล้ครบกำหนด",TRUE,"อยู่ระหว่างดำเนินการ"))))</x:f>
      </x:c>
      <x:c r="L473" s="114" t="str">
        <x:f>IF(OR(A473="",P473=""),"",HYPERLINK(P473,"เปิดใน Google Calendar"))</x:f>
      </x:c>
      <x:c r="M473" s="111"/>
      <x:c r="N473" s="123"/>
      <x:c r="O473" s="123"/>
      <x:c r="P473" s="123"/>
      <x:c r="Q473" s="126" t="b">
        <x:v>0</x:v>
      </x:c>
      <x:c r="R473" s="126" t="b">
        <x:v>0</x:v>
      </x:c>
      <x:c r="S473" s="126" t="b">
        <x:v>0</x:v>
      </x:c>
      <x:c r="T473" s="126" t="b">
        <x:v>0</x:v>
      </x:c>
      <x:c r="U473" s="144"/>
      <x:c r="V473" s="123"/>
      <x:c r="W473" s="123"/>
      <x:c r="X473" s="126" t="b">
        <x:v>0</x:v>
      </x:c>
    </x:row>
    <x:row r="474" ht="18" customHeight="1">
      <x:c r="A474" s="111"/>
      <x:c r="B474" s="111"/>
      <x:c r="C474" s="111"/>
      <x:c r="D474" s="111"/>
      <x:c r="E474" s="129"/>
      <x:c r="F474" s="138"/>
      <x:c r="G474" s="133" t="str">
        <x:f>IF(OR(A474="",E474="",F474=""),"",E474+F474-IF('ตั้งค่า'!$B$12="นับรวมวันเซ็น",1,0))</x:f>
      </x:c>
      <x:c r="H474" s="134"/>
      <x:c r="I474" s="117" t="str">
        <x:v>ยังไม่ส่ง</x:v>
      </x:c>
      <x:c r="J474" s="141" t="str">
        <x:f>IF(A474="","",IF(G474="","",IF(I474="ส่งแล้ว",0,G474-TODAY())))</x:f>
      </x:c>
      <x:c r="K474" s="114" t="str">
        <x:f>IF(A474="","",IF(G474="","ยังไม่ระบุวัน",IF(I474="ส่งแล้ว",IF(H474="","ส่งแล้ว",IF(INT(H474)&lt;INT(G474),"ส่งก่อนกำหนด "&amp;(INT(G474)-INT(H474))&amp;" วัน",IF(INT(H474)=INT(G474),"ส่งตรงกำหนด","ส่งล่าช้า "&amp;(INT(H474)-INT(G474))&amp;" วัน"))),IFS(G474&lt;TODAY(),"เกินกำหนด "&amp;(TODAY()-G474)&amp;" วัน",G474=TODAY(),"ครบกำหนดวันนี้",G474-TODAY()&lt;=3,"เร่งดำเนินการ",G474-TODAY()&lt;=5,"ต้องติดตาม",G474-TODAY()&lt;=10,"ใกล้ครบกำหนด",TRUE,"อยู่ระหว่างดำเนินการ"))))</x:f>
      </x:c>
      <x:c r="L474" s="114" t="str">
        <x:f>IF(OR(A474="",P474=""),"",HYPERLINK(P474,"เปิดใน Google Calendar"))</x:f>
      </x:c>
      <x:c r="M474" s="111"/>
      <x:c r="N474" s="123"/>
      <x:c r="O474" s="123"/>
      <x:c r="P474" s="123"/>
      <x:c r="Q474" s="126" t="b">
        <x:v>0</x:v>
      </x:c>
      <x:c r="R474" s="126" t="b">
        <x:v>0</x:v>
      </x:c>
      <x:c r="S474" s="126" t="b">
        <x:v>0</x:v>
      </x:c>
      <x:c r="T474" s="126" t="b">
        <x:v>0</x:v>
      </x:c>
      <x:c r="U474" s="144"/>
      <x:c r="V474" s="123"/>
      <x:c r="W474" s="123"/>
      <x:c r="X474" s="126" t="b">
        <x:v>0</x:v>
      </x:c>
    </x:row>
    <x:row r="475" ht="18" customHeight="1">
      <x:c r="A475" s="111"/>
      <x:c r="B475" s="111"/>
      <x:c r="C475" s="111"/>
      <x:c r="D475" s="111"/>
      <x:c r="E475" s="129"/>
      <x:c r="F475" s="138"/>
      <x:c r="G475" s="133" t="str">
        <x:f>IF(OR(A475="",E475="",F475=""),"",E475+F475-IF('ตั้งค่า'!$B$12="นับรวมวันเซ็น",1,0))</x:f>
      </x:c>
      <x:c r="H475" s="134"/>
      <x:c r="I475" s="117" t="str">
        <x:v>ยังไม่ส่ง</x:v>
      </x:c>
      <x:c r="J475" s="141" t="str">
        <x:f>IF(A475="","",IF(G475="","",IF(I475="ส่งแล้ว",0,G475-TODAY())))</x:f>
      </x:c>
      <x:c r="K475" s="114" t="str">
        <x:f>IF(A475="","",IF(G475="","ยังไม่ระบุวัน",IF(I475="ส่งแล้ว",IF(H475="","ส่งแล้ว",IF(INT(H475)&lt;INT(G475),"ส่งก่อนกำหนด "&amp;(INT(G475)-INT(H475))&amp;" วัน",IF(INT(H475)=INT(G475),"ส่งตรงกำหนด","ส่งล่าช้า "&amp;(INT(H475)-INT(G475))&amp;" วัน"))),IFS(G475&lt;TODAY(),"เกินกำหนด "&amp;(TODAY()-G475)&amp;" วัน",G475=TODAY(),"ครบกำหนดวันนี้",G475-TODAY()&lt;=3,"เร่งดำเนินการ",G475-TODAY()&lt;=5,"ต้องติดตาม",G475-TODAY()&lt;=10,"ใกล้ครบกำหนด",TRUE,"อยู่ระหว่างดำเนินการ"))))</x:f>
      </x:c>
      <x:c r="L475" s="114" t="str">
        <x:f>IF(OR(A475="",P475=""),"",HYPERLINK(P475,"เปิดใน Google Calendar"))</x:f>
      </x:c>
      <x:c r="M475" s="111"/>
      <x:c r="N475" s="123"/>
      <x:c r="O475" s="123"/>
      <x:c r="P475" s="123"/>
      <x:c r="Q475" s="126" t="b">
        <x:v>0</x:v>
      </x:c>
      <x:c r="R475" s="126" t="b">
        <x:v>0</x:v>
      </x:c>
      <x:c r="S475" s="126" t="b">
        <x:v>0</x:v>
      </x:c>
      <x:c r="T475" s="126" t="b">
        <x:v>0</x:v>
      </x:c>
      <x:c r="U475" s="144"/>
      <x:c r="V475" s="123"/>
      <x:c r="W475" s="123"/>
      <x:c r="X475" s="126" t="b">
        <x:v>0</x:v>
      </x:c>
    </x:row>
    <x:row r="476" ht="18" customHeight="1">
      <x:c r="A476" s="111"/>
      <x:c r="B476" s="111"/>
      <x:c r="C476" s="111"/>
      <x:c r="D476" s="111"/>
      <x:c r="E476" s="129"/>
      <x:c r="F476" s="138"/>
      <x:c r="G476" s="133" t="str">
        <x:f>IF(OR(A476="",E476="",F476=""),"",E476+F476-IF('ตั้งค่า'!$B$12="นับรวมวันเซ็น",1,0))</x:f>
      </x:c>
      <x:c r="H476" s="134"/>
      <x:c r="I476" s="117" t="str">
        <x:v>ยังไม่ส่ง</x:v>
      </x:c>
      <x:c r="J476" s="141" t="str">
        <x:f>IF(A476="","",IF(G476="","",IF(I476="ส่งแล้ว",0,G476-TODAY())))</x:f>
      </x:c>
      <x:c r="K476" s="114" t="str">
        <x:f>IF(A476="","",IF(G476="","ยังไม่ระบุวัน",IF(I476="ส่งแล้ว",IF(H476="","ส่งแล้ว",IF(INT(H476)&lt;INT(G476),"ส่งก่อนกำหนด "&amp;(INT(G476)-INT(H476))&amp;" วัน",IF(INT(H476)=INT(G476),"ส่งตรงกำหนด","ส่งล่าช้า "&amp;(INT(H476)-INT(G476))&amp;" วัน"))),IFS(G476&lt;TODAY(),"เกินกำหนด "&amp;(TODAY()-G476)&amp;" วัน",G476=TODAY(),"ครบกำหนดวันนี้",G476-TODAY()&lt;=3,"เร่งดำเนินการ",G476-TODAY()&lt;=5,"ต้องติดตาม",G476-TODAY()&lt;=10,"ใกล้ครบกำหนด",TRUE,"อยู่ระหว่างดำเนินการ"))))</x:f>
      </x:c>
      <x:c r="L476" s="114" t="str">
        <x:f>IF(OR(A476="",P476=""),"",HYPERLINK(P476,"เปิดใน Google Calendar"))</x:f>
      </x:c>
      <x:c r="M476" s="111"/>
      <x:c r="N476" s="123"/>
      <x:c r="O476" s="123"/>
      <x:c r="P476" s="123"/>
      <x:c r="Q476" s="126" t="b">
        <x:v>0</x:v>
      </x:c>
      <x:c r="R476" s="126" t="b">
        <x:v>0</x:v>
      </x:c>
      <x:c r="S476" s="126" t="b">
        <x:v>0</x:v>
      </x:c>
      <x:c r="T476" s="126" t="b">
        <x:v>0</x:v>
      </x:c>
      <x:c r="U476" s="144"/>
      <x:c r="V476" s="123"/>
      <x:c r="W476" s="123"/>
      <x:c r="X476" s="126" t="b">
        <x:v>0</x:v>
      </x:c>
    </x:row>
    <x:row r="477" ht="18" customHeight="1">
      <x:c r="A477" s="111"/>
      <x:c r="B477" s="111"/>
      <x:c r="C477" s="111"/>
      <x:c r="D477" s="111"/>
      <x:c r="E477" s="129"/>
      <x:c r="F477" s="138"/>
      <x:c r="G477" s="133" t="str">
        <x:f>IF(OR(A477="",E477="",F477=""),"",E477+F477-IF('ตั้งค่า'!$B$12="นับรวมวันเซ็น",1,0))</x:f>
      </x:c>
      <x:c r="H477" s="134"/>
      <x:c r="I477" s="117" t="str">
        <x:v>ยังไม่ส่ง</x:v>
      </x:c>
      <x:c r="J477" s="141" t="str">
        <x:f>IF(A477="","",IF(G477="","",IF(I477="ส่งแล้ว",0,G477-TODAY())))</x:f>
      </x:c>
      <x:c r="K477" s="114" t="str">
        <x:f>IF(A477="","",IF(G477="","ยังไม่ระบุวัน",IF(I477="ส่งแล้ว",IF(H477="","ส่งแล้ว",IF(INT(H477)&lt;INT(G477),"ส่งก่อนกำหนด "&amp;(INT(G477)-INT(H477))&amp;" วัน",IF(INT(H477)=INT(G477),"ส่งตรงกำหนด","ส่งล่าช้า "&amp;(INT(H477)-INT(G477))&amp;" วัน"))),IFS(G477&lt;TODAY(),"เกินกำหนด "&amp;(TODAY()-G477)&amp;" วัน",G477=TODAY(),"ครบกำหนดวันนี้",G477-TODAY()&lt;=3,"เร่งดำเนินการ",G477-TODAY()&lt;=5,"ต้องติดตาม",G477-TODAY()&lt;=10,"ใกล้ครบกำหนด",TRUE,"อยู่ระหว่างดำเนินการ"))))</x:f>
      </x:c>
      <x:c r="L477" s="114" t="str">
        <x:f>IF(OR(A477="",P477=""),"",HYPERLINK(P477,"เปิดใน Google Calendar"))</x:f>
      </x:c>
      <x:c r="M477" s="111"/>
      <x:c r="N477" s="123"/>
      <x:c r="O477" s="123"/>
      <x:c r="P477" s="123"/>
      <x:c r="Q477" s="126" t="b">
        <x:v>0</x:v>
      </x:c>
      <x:c r="R477" s="126" t="b">
        <x:v>0</x:v>
      </x:c>
      <x:c r="S477" s="126" t="b">
        <x:v>0</x:v>
      </x:c>
      <x:c r="T477" s="126" t="b">
        <x:v>0</x:v>
      </x:c>
      <x:c r="U477" s="144"/>
      <x:c r="V477" s="123"/>
      <x:c r="W477" s="123"/>
      <x:c r="X477" s="126" t="b">
        <x:v>0</x:v>
      </x:c>
    </x:row>
    <x:row r="478" ht="18" customHeight="1">
      <x:c r="A478" s="111"/>
      <x:c r="B478" s="111"/>
      <x:c r="C478" s="111"/>
      <x:c r="D478" s="111"/>
      <x:c r="E478" s="129"/>
      <x:c r="F478" s="138"/>
      <x:c r="G478" s="133" t="str">
        <x:f>IF(OR(A478="",E478="",F478=""),"",E478+F478-IF('ตั้งค่า'!$B$12="นับรวมวันเซ็น",1,0))</x:f>
      </x:c>
      <x:c r="H478" s="134"/>
      <x:c r="I478" s="117" t="str">
        <x:v>ยังไม่ส่ง</x:v>
      </x:c>
      <x:c r="J478" s="141" t="str">
        <x:f>IF(A478="","",IF(G478="","",IF(I478="ส่งแล้ว",0,G478-TODAY())))</x:f>
      </x:c>
      <x:c r="K478" s="114" t="str">
        <x:f>IF(A478="","",IF(G478="","ยังไม่ระบุวัน",IF(I478="ส่งแล้ว",IF(H478="","ส่งแล้ว",IF(INT(H478)&lt;INT(G478),"ส่งก่อนกำหนด "&amp;(INT(G478)-INT(H478))&amp;" วัน",IF(INT(H478)=INT(G478),"ส่งตรงกำหนด","ส่งล่าช้า "&amp;(INT(H478)-INT(G478))&amp;" วัน"))),IFS(G478&lt;TODAY(),"เกินกำหนด "&amp;(TODAY()-G478)&amp;" วัน",G478=TODAY(),"ครบกำหนดวันนี้",G478-TODAY()&lt;=3,"เร่งดำเนินการ",G478-TODAY()&lt;=5,"ต้องติดตาม",G478-TODAY()&lt;=10,"ใกล้ครบกำหนด",TRUE,"อยู่ระหว่างดำเนินการ"))))</x:f>
      </x:c>
      <x:c r="L478" s="114" t="str">
        <x:f>IF(OR(A478="",P478=""),"",HYPERLINK(P478,"เปิดใน Google Calendar"))</x:f>
      </x:c>
      <x:c r="M478" s="111"/>
      <x:c r="N478" s="123"/>
      <x:c r="O478" s="123"/>
      <x:c r="P478" s="123"/>
      <x:c r="Q478" s="126" t="b">
        <x:v>0</x:v>
      </x:c>
      <x:c r="R478" s="126" t="b">
        <x:v>0</x:v>
      </x:c>
      <x:c r="S478" s="126" t="b">
        <x:v>0</x:v>
      </x:c>
      <x:c r="T478" s="126" t="b">
        <x:v>0</x:v>
      </x:c>
      <x:c r="U478" s="144"/>
      <x:c r="V478" s="123"/>
      <x:c r="W478" s="123"/>
      <x:c r="X478" s="126" t="b">
        <x:v>0</x:v>
      </x:c>
    </x:row>
    <x:row r="479" ht="18" customHeight="1">
      <x:c r="A479" s="111"/>
      <x:c r="B479" s="111"/>
      <x:c r="C479" s="111"/>
      <x:c r="D479" s="111"/>
      <x:c r="E479" s="129"/>
      <x:c r="F479" s="138"/>
      <x:c r="G479" s="133" t="str">
        <x:f>IF(OR(A479="",E479="",F479=""),"",E479+F479-IF('ตั้งค่า'!$B$12="นับรวมวันเซ็น",1,0))</x:f>
      </x:c>
      <x:c r="H479" s="134"/>
      <x:c r="I479" s="117" t="str">
        <x:v>ยังไม่ส่ง</x:v>
      </x:c>
      <x:c r="J479" s="141" t="str">
        <x:f>IF(A479="","",IF(G479="","",IF(I479="ส่งแล้ว",0,G479-TODAY())))</x:f>
      </x:c>
      <x:c r="K479" s="114" t="str">
        <x:f>IF(A479="","",IF(G479="","ยังไม่ระบุวัน",IF(I479="ส่งแล้ว",IF(H479="","ส่งแล้ว",IF(INT(H479)&lt;INT(G479),"ส่งก่อนกำหนด "&amp;(INT(G479)-INT(H479))&amp;" วัน",IF(INT(H479)=INT(G479),"ส่งตรงกำหนด","ส่งล่าช้า "&amp;(INT(H479)-INT(G479))&amp;" วัน"))),IFS(G479&lt;TODAY(),"เกินกำหนด "&amp;(TODAY()-G479)&amp;" วัน",G479=TODAY(),"ครบกำหนดวันนี้",G479-TODAY()&lt;=3,"เร่งดำเนินการ",G479-TODAY()&lt;=5,"ต้องติดตาม",G479-TODAY()&lt;=10,"ใกล้ครบกำหนด",TRUE,"อยู่ระหว่างดำเนินการ"))))</x:f>
      </x:c>
      <x:c r="L479" s="114" t="str">
        <x:f>IF(OR(A479="",P479=""),"",HYPERLINK(P479,"เปิดใน Google Calendar"))</x:f>
      </x:c>
      <x:c r="M479" s="111"/>
      <x:c r="N479" s="123"/>
      <x:c r="O479" s="123"/>
      <x:c r="P479" s="123"/>
      <x:c r="Q479" s="126" t="b">
        <x:v>0</x:v>
      </x:c>
      <x:c r="R479" s="126" t="b">
        <x:v>0</x:v>
      </x:c>
      <x:c r="S479" s="126" t="b">
        <x:v>0</x:v>
      </x:c>
      <x:c r="T479" s="126" t="b">
        <x:v>0</x:v>
      </x:c>
      <x:c r="U479" s="144"/>
      <x:c r="V479" s="123"/>
      <x:c r="W479" s="123"/>
      <x:c r="X479" s="126" t="b">
        <x:v>0</x:v>
      </x:c>
    </x:row>
    <x:row r="480" ht="18" customHeight="1">
      <x:c r="A480" s="111"/>
      <x:c r="B480" s="111"/>
      <x:c r="C480" s="111"/>
      <x:c r="D480" s="111"/>
      <x:c r="E480" s="129"/>
      <x:c r="F480" s="138"/>
      <x:c r="G480" s="133" t="str">
        <x:f>IF(OR(A480="",E480="",F480=""),"",E480+F480-IF('ตั้งค่า'!$B$12="นับรวมวันเซ็น",1,0))</x:f>
      </x:c>
      <x:c r="H480" s="134"/>
      <x:c r="I480" s="117" t="str">
        <x:v>ยังไม่ส่ง</x:v>
      </x:c>
      <x:c r="J480" s="141" t="str">
        <x:f>IF(A480="","",IF(G480="","",IF(I480="ส่งแล้ว",0,G480-TODAY())))</x:f>
      </x:c>
      <x:c r="K480" s="114" t="str">
        <x:f>IF(A480="","",IF(G480="","ยังไม่ระบุวัน",IF(I480="ส่งแล้ว",IF(H480="","ส่งแล้ว",IF(INT(H480)&lt;INT(G480),"ส่งก่อนกำหนด "&amp;(INT(G480)-INT(H480))&amp;" วัน",IF(INT(H480)=INT(G480),"ส่งตรงกำหนด","ส่งล่าช้า "&amp;(INT(H480)-INT(G480))&amp;" วัน"))),IFS(G480&lt;TODAY(),"เกินกำหนด "&amp;(TODAY()-G480)&amp;" วัน",G480=TODAY(),"ครบกำหนดวันนี้",G480-TODAY()&lt;=3,"เร่งดำเนินการ",G480-TODAY()&lt;=5,"ต้องติดตาม",G480-TODAY()&lt;=10,"ใกล้ครบกำหนด",TRUE,"อยู่ระหว่างดำเนินการ"))))</x:f>
      </x:c>
      <x:c r="L480" s="114" t="str">
        <x:f>IF(OR(A480="",P480=""),"",HYPERLINK(P480,"เปิดใน Google Calendar"))</x:f>
      </x:c>
      <x:c r="M480" s="111"/>
      <x:c r="N480" s="123"/>
      <x:c r="O480" s="123"/>
      <x:c r="P480" s="123"/>
      <x:c r="Q480" s="126" t="b">
        <x:v>0</x:v>
      </x:c>
      <x:c r="R480" s="126" t="b">
        <x:v>0</x:v>
      </x:c>
      <x:c r="S480" s="126" t="b">
        <x:v>0</x:v>
      </x:c>
      <x:c r="T480" s="126" t="b">
        <x:v>0</x:v>
      </x:c>
      <x:c r="U480" s="144"/>
      <x:c r="V480" s="123"/>
      <x:c r="W480" s="123"/>
      <x:c r="X480" s="126" t="b">
        <x:v>0</x:v>
      </x:c>
    </x:row>
    <x:row r="481" ht="18" customHeight="1">
      <x:c r="A481" s="111"/>
      <x:c r="B481" s="111"/>
      <x:c r="C481" s="111"/>
      <x:c r="D481" s="111"/>
      <x:c r="E481" s="129"/>
      <x:c r="F481" s="138"/>
      <x:c r="G481" s="133" t="str">
        <x:f>IF(OR(A481="",E481="",F481=""),"",E481+F481-IF('ตั้งค่า'!$B$12="นับรวมวันเซ็น",1,0))</x:f>
      </x:c>
      <x:c r="H481" s="134"/>
      <x:c r="I481" s="117" t="str">
        <x:v>ยังไม่ส่ง</x:v>
      </x:c>
      <x:c r="J481" s="141" t="str">
        <x:f>IF(A481="","",IF(G481="","",IF(I481="ส่งแล้ว",0,G481-TODAY())))</x:f>
      </x:c>
      <x:c r="K481" s="114" t="str">
        <x:f>IF(A481="","",IF(G481="","ยังไม่ระบุวัน",IF(I481="ส่งแล้ว",IF(H481="","ส่งแล้ว",IF(INT(H481)&lt;INT(G481),"ส่งก่อนกำหนด "&amp;(INT(G481)-INT(H481))&amp;" วัน",IF(INT(H481)=INT(G481),"ส่งตรงกำหนด","ส่งล่าช้า "&amp;(INT(H481)-INT(G481))&amp;" วัน"))),IFS(G481&lt;TODAY(),"เกินกำหนด "&amp;(TODAY()-G481)&amp;" วัน",G481=TODAY(),"ครบกำหนดวันนี้",G481-TODAY()&lt;=3,"เร่งดำเนินการ",G481-TODAY()&lt;=5,"ต้องติดตาม",G481-TODAY()&lt;=10,"ใกล้ครบกำหนด",TRUE,"อยู่ระหว่างดำเนินการ"))))</x:f>
      </x:c>
      <x:c r="L481" s="114" t="str">
        <x:f>IF(OR(A481="",P481=""),"",HYPERLINK(P481,"เปิดใน Google Calendar"))</x:f>
      </x:c>
      <x:c r="M481" s="111"/>
      <x:c r="N481" s="123"/>
      <x:c r="O481" s="123"/>
      <x:c r="P481" s="123"/>
      <x:c r="Q481" s="126" t="b">
        <x:v>0</x:v>
      </x:c>
      <x:c r="R481" s="126" t="b">
        <x:v>0</x:v>
      </x:c>
      <x:c r="S481" s="126" t="b">
        <x:v>0</x:v>
      </x:c>
      <x:c r="T481" s="126" t="b">
        <x:v>0</x:v>
      </x:c>
      <x:c r="U481" s="144"/>
      <x:c r="V481" s="123"/>
      <x:c r="W481" s="123"/>
      <x:c r="X481" s="126" t="b">
        <x:v>0</x:v>
      </x:c>
    </x:row>
    <x:row r="482" ht="18" customHeight="1">
      <x:c r="A482" s="111"/>
      <x:c r="B482" s="111"/>
      <x:c r="C482" s="111"/>
      <x:c r="D482" s="111"/>
      <x:c r="E482" s="129"/>
      <x:c r="F482" s="138"/>
      <x:c r="G482" s="133" t="str">
        <x:f>IF(OR(A482="",E482="",F482=""),"",E482+F482-IF('ตั้งค่า'!$B$12="นับรวมวันเซ็น",1,0))</x:f>
      </x:c>
      <x:c r="H482" s="134"/>
      <x:c r="I482" s="117" t="str">
        <x:v>ยังไม่ส่ง</x:v>
      </x:c>
      <x:c r="J482" s="141" t="str">
        <x:f>IF(A482="","",IF(G482="","",IF(I482="ส่งแล้ว",0,G482-TODAY())))</x:f>
      </x:c>
      <x:c r="K482" s="114" t="str">
        <x:f>IF(A482="","",IF(G482="","ยังไม่ระบุวัน",IF(I482="ส่งแล้ว",IF(H482="","ส่งแล้ว",IF(INT(H482)&lt;INT(G482),"ส่งก่อนกำหนด "&amp;(INT(G482)-INT(H482))&amp;" วัน",IF(INT(H482)=INT(G482),"ส่งตรงกำหนด","ส่งล่าช้า "&amp;(INT(H482)-INT(G482))&amp;" วัน"))),IFS(G482&lt;TODAY(),"เกินกำหนด "&amp;(TODAY()-G482)&amp;" วัน",G482=TODAY(),"ครบกำหนดวันนี้",G482-TODAY()&lt;=3,"เร่งดำเนินการ",G482-TODAY()&lt;=5,"ต้องติดตาม",G482-TODAY()&lt;=10,"ใกล้ครบกำหนด",TRUE,"อยู่ระหว่างดำเนินการ"))))</x:f>
      </x:c>
      <x:c r="L482" s="114" t="str">
        <x:f>IF(OR(A482="",P482=""),"",HYPERLINK(P482,"เปิดใน Google Calendar"))</x:f>
      </x:c>
      <x:c r="M482" s="111"/>
      <x:c r="N482" s="123"/>
      <x:c r="O482" s="123"/>
      <x:c r="P482" s="123"/>
      <x:c r="Q482" s="126" t="b">
        <x:v>0</x:v>
      </x:c>
      <x:c r="R482" s="126" t="b">
        <x:v>0</x:v>
      </x:c>
      <x:c r="S482" s="126" t="b">
        <x:v>0</x:v>
      </x:c>
      <x:c r="T482" s="126" t="b">
        <x:v>0</x:v>
      </x:c>
      <x:c r="U482" s="144"/>
      <x:c r="V482" s="123"/>
      <x:c r="W482" s="123"/>
      <x:c r="X482" s="126" t="b">
        <x:v>0</x:v>
      </x:c>
    </x:row>
    <x:row r="483" ht="18" customHeight="1">
      <x:c r="A483" s="111"/>
      <x:c r="B483" s="111"/>
      <x:c r="C483" s="111"/>
      <x:c r="D483" s="111"/>
      <x:c r="E483" s="129"/>
      <x:c r="F483" s="138"/>
      <x:c r="G483" s="133" t="str">
        <x:f>IF(OR(A483="",E483="",F483=""),"",E483+F483-IF('ตั้งค่า'!$B$12="นับรวมวันเซ็น",1,0))</x:f>
      </x:c>
      <x:c r="H483" s="134"/>
      <x:c r="I483" s="117" t="str">
        <x:v>ยังไม่ส่ง</x:v>
      </x:c>
      <x:c r="J483" s="141" t="str">
        <x:f>IF(A483="","",IF(G483="","",IF(I483="ส่งแล้ว",0,G483-TODAY())))</x:f>
      </x:c>
      <x:c r="K483" s="114" t="str">
        <x:f>IF(A483="","",IF(G483="","ยังไม่ระบุวัน",IF(I483="ส่งแล้ว",IF(H483="","ส่งแล้ว",IF(INT(H483)&lt;INT(G483),"ส่งก่อนกำหนด "&amp;(INT(G483)-INT(H483))&amp;" วัน",IF(INT(H483)=INT(G483),"ส่งตรงกำหนด","ส่งล่าช้า "&amp;(INT(H483)-INT(G483))&amp;" วัน"))),IFS(G483&lt;TODAY(),"เกินกำหนด "&amp;(TODAY()-G483)&amp;" วัน",G483=TODAY(),"ครบกำหนดวันนี้",G483-TODAY()&lt;=3,"เร่งดำเนินการ",G483-TODAY()&lt;=5,"ต้องติดตาม",G483-TODAY()&lt;=10,"ใกล้ครบกำหนด",TRUE,"อยู่ระหว่างดำเนินการ"))))</x:f>
      </x:c>
      <x:c r="L483" s="114" t="str">
        <x:f>IF(OR(A483="",P483=""),"",HYPERLINK(P483,"เปิดใน Google Calendar"))</x:f>
      </x:c>
      <x:c r="M483" s="111"/>
      <x:c r="N483" s="123"/>
      <x:c r="O483" s="123"/>
      <x:c r="P483" s="123"/>
      <x:c r="Q483" s="126" t="b">
        <x:v>0</x:v>
      </x:c>
      <x:c r="R483" s="126" t="b">
        <x:v>0</x:v>
      </x:c>
      <x:c r="S483" s="126" t="b">
        <x:v>0</x:v>
      </x:c>
      <x:c r="T483" s="126" t="b">
        <x:v>0</x:v>
      </x:c>
      <x:c r="U483" s="144"/>
      <x:c r="V483" s="123"/>
      <x:c r="W483" s="123"/>
      <x:c r="X483" s="126" t="b">
        <x:v>0</x:v>
      </x:c>
    </x:row>
    <x:row r="484" ht="18" customHeight="1">
      <x:c r="A484" s="111"/>
      <x:c r="B484" s="111"/>
      <x:c r="C484" s="111"/>
      <x:c r="D484" s="111"/>
      <x:c r="E484" s="129"/>
      <x:c r="F484" s="138"/>
      <x:c r="G484" s="133" t="str">
        <x:f>IF(OR(A484="",E484="",F484=""),"",E484+F484-IF('ตั้งค่า'!$B$12="นับรวมวันเซ็น",1,0))</x:f>
      </x:c>
      <x:c r="H484" s="134"/>
      <x:c r="I484" s="117" t="str">
        <x:v>ยังไม่ส่ง</x:v>
      </x:c>
      <x:c r="J484" s="141" t="str">
        <x:f>IF(A484="","",IF(G484="","",IF(I484="ส่งแล้ว",0,G484-TODAY())))</x:f>
      </x:c>
      <x:c r="K484" s="114" t="str">
        <x:f>IF(A484="","",IF(G484="","ยังไม่ระบุวัน",IF(I484="ส่งแล้ว",IF(H484="","ส่งแล้ว",IF(INT(H484)&lt;INT(G484),"ส่งก่อนกำหนด "&amp;(INT(G484)-INT(H484))&amp;" วัน",IF(INT(H484)=INT(G484),"ส่งตรงกำหนด","ส่งล่าช้า "&amp;(INT(H484)-INT(G484))&amp;" วัน"))),IFS(G484&lt;TODAY(),"เกินกำหนด "&amp;(TODAY()-G484)&amp;" วัน",G484=TODAY(),"ครบกำหนดวันนี้",G484-TODAY()&lt;=3,"เร่งดำเนินการ",G484-TODAY()&lt;=5,"ต้องติดตาม",G484-TODAY()&lt;=10,"ใกล้ครบกำหนด",TRUE,"อยู่ระหว่างดำเนินการ"))))</x:f>
      </x:c>
      <x:c r="L484" s="114" t="str">
        <x:f>IF(OR(A484="",P484=""),"",HYPERLINK(P484,"เปิดใน Google Calendar"))</x:f>
      </x:c>
      <x:c r="M484" s="111"/>
      <x:c r="N484" s="123"/>
      <x:c r="O484" s="123"/>
      <x:c r="P484" s="123"/>
      <x:c r="Q484" s="126" t="b">
        <x:v>0</x:v>
      </x:c>
      <x:c r="R484" s="126" t="b">
        <x:v>0</x:v>
      </x:c>
      <x:c r="S484" s="126" t="b">
        <x:v>0</x:v>
      </x:c>
      <x:c r="T484" s="126" t="b">
        <x:v>0</x:v>
      </x:c>
      <x:c r="U484" s="144"/>
      <x:c r="V484" s="123"/>
      <x:c r="W484" s="123"/>
      <x:c r="X484" s="126" t="b">
        <x:v>0</x:v>
      </x:c>
    </x:row>
    <x:row r="485" ht="18" customHeight="1">
      <x:c r="A485" s="111"/>
      <x:c r="B485" s="111"/>
      <x:c r="C485" s="111"/>
      <x:c r="D485" s="111"/>
      <x:c r="E485" s="129"/>
      <x:c r="F485" s="138"/>
      <x:c r="G485" s="133" t="str">
        <x:f>IF(OR(A485="",E485="",F485=""),"",E485+F485-IF('ตั้งค่า'!$B$12="นับรวมวันเซ็น",1,0))</x:f>
      </x:c>
      <x:c r="H485" s="134"/>
      <x:c r="I485" s="117" t="str">
        <x:v>ยังไม่ส่ง</x:v>
      </x:c>
      <x:c r="J485" s="141" t="str">
        <x:f>IF(A485="","",IF(G485="","",IF(I485="ส่งแล้ว",0,G485-TODAY())))</x:f>
      </x:c>
      <x:c r="K485" s="114" t="str">
        <x:f>IF(A485="","",IF(G485="","ยังไม่ระบุวัน",IF(I485="ส่งแล้ว",IF(H485="","ส่งแล้ว",IF(INT(H485)&lt;INT(G485),"ส่งก่อนกำหนด "&amp;(INT(G485)-INT(H485))&amp;" วัน",IF(INT(H485)=INT(G485),"ส่งตรงกำหนด","ส่งล่าช้า "&amp;(INT(H485)-INT(G485))&amp;" วัน"))),IFS(G485&lt;TODAY(),"เกินกำหนด "&amp;(TODAY()-G485)&amp;" วัน",G485=TODAY(),"ครบกำหนดวันนี้",G485-TODAY()&lt;=3,"เร่งดำเนินการ",G485-TODAY()&lt;=5,"ต้องติดตาม",G485-TODAY()&lt;=10,"ใกล้ครบกำหนด",TRUE,"อยู่ระหว่างดำเนินการ"))))</x:f>
      </x:c>
      <x:c r="L485" s="114" t="str">
        <x:f>IF(OR(A485="",P485=""),"",HYPERLINK(P485,"เปิดใน Google Calendar"))</x:f>
      </x:c>
      <x:c r="M485" s="111"/>
      <x:c r="N485" s="123"/>
      <x:c r="O485" s="123"/>
      <x:c r="P485" s="123"/>
      <x:c r="Q485" s="126" t="b">
        <x:v>0</x:v>
      </x:c>
      <x:c r="R485" s="126" t="b">
        <x:v>0</x:v>
      </x:c>
      <x:c r="S485" s="126" t="b">
        <x:v>0</x:v>
      </x:c>
      <x:c r="T485" s="126" t="b">
        <x:v>0</x:v>
      </x:c>
      <x:c r="U485" s="144"/>
      <x:c r="V485" s="123"/>
      <x:c r="W485" s="123"/>
      <x:c r="X485" s="126" t="b">
        <x:v>0</x:v>
      </x:c>
    </x:row>
    <x:row r="486" ht="18" customHeight="1">
      <x:c r="A486" s="111"/>
      <x:c r="B486" s="111"/>
      <x:c r="C486" s="111"/>
      <x:c r="D486" s="111"/>
      <x:c r="E486" s="129"/>
      <x:c r="F486" s="138"/>
      <x:c r="G486" s="133" t="str">
        <x:f>IF(OR(A486="",E486="",F486=""),"",E486+F486-IF('ตั้งค่า'!$B$12="นับรวมวันเซ็น",1,0))</x:f>
      </x:c>
      <x:c r="H486" s="134"/>
      <x:c r="I486" s="117" t="str">
        <x:v>ยังไม่ส่ง</x:v>
      </x:c>
      <x:c r="J486" s="141" t="str">
        <x:f>IF(A486="","",IF(G486="","",IF(I486="ส่งแล้ว",0,G486-TODAY())))</x:f>
      </x:c>
      <x:c r="K486" s="114" t="str">
        <x:f>IF(A486="","",IF(G486="","ยังไม่ระบุวัน",IF(I486="ส่งแล้ว",IF(H486="","ส่งแล้ว",IF(INT(H486)&lt;INT(G486),"ส่งก่อนกำหนด "&amp;(INT(G486)-INT(H486))&amp;" วัน",IF(INT(H486)=INT(G486),"ส่งตรงกำหนด","ส่งล่าช้า "&amp;(INT(H486)-INT(G486))&amp;" วัน"))),IFS(G486&lt;TODAY(),"เกินกำหนด "&amp;(TODAY()-G486)&amp;" วัน",G486=TODAY(),"ครบกำหนดวันนี้",G486-TODAY()&lt;=3,"เร่งดำเนินการ",G486-TODAY()&lt;=5,"ต้องติดตาม",G486-TODAY()&lt;=10,"ใกล้ครบกำหนด",TRUE,"อยู่ระหว่างดำเนินการ"))))</x:f>
      </x:c>
      <x:c r="L486" s="114" t="str">
        <x:f>IF(OR(A486="",P486=""),"",HYPERLINK(P486,"เปิดใน Google Calendar"))</x:f>
      </x:c>
      <x:c r="M486" s="111"/>
      <x:c r="N486" s="123"/>
      <x:c r="O486" s="123"/>
      <x:c r="P486" s="123"/>
      <x:c r="Q486" s="126" t="b">
        <x:v>0</x:v>
      </x:c>
      <x:c r="R486" s="126" t="b">
        <x:v>0</x:v>
      </x:c>
      <x:c r="S486" s="126" t="b">
        <x:v>0</x:v>
      </x:c>
      <x:c r="T486" s="126" t="b">
        <x:v>0</x:v>
      </x:c>
      <x:c r="U486" s="144"/>
      <x:c r="V486" s="123"/>
      <x:c r="W486" s="123"/>
      <x:c r="X486" s="126" t="b">
        <x:v>0</x:v>
      </x:c>
    </x:row>
    <x:row r="487" ht="18" customHeight="1">
      <x:c r="A487" s="111"/>
      <x:c r="B487" s="111"/>
      <x:c r="C487" s="111"/>
      <x:c r="D487" s="111"/>
      <x:c r="E487" s="129"/>
      <x:c r="F487" s="138"/>
      <x:c r="G487" s="133" t="str">
        <x:f>IF(OR(A487="",E487="",F487=""),"",E487+F487-IF('ตั้งค่า'!$B$12="นับรวมวันเซ็น",1,0))</x:f>
      </x:c>
      <x:c r="H487" s="134"/>
      <x:c r="I487" s="117" t="str">
        <x:v>ยังไม่ส่ง</x:v>
      </x:c>
      <x:c r="J487" s="141" t="str">
        <x:f>IF(A487="","",IF(G487="","",IF(I487="ส่งแล้ว",0,G487-TODAY())))</x:f>
      </x:c>
      <x:c r="K487" s="114" t="str">
        <x:f>IF(A487="","",IF(G487="","ยังไม่ระบุวัน",IF(I487="ส่งแล้ว",IF(H487="","ส่งแล้ว",IF(INT(H487)&lt;INT(G487),"ส่งก่อนกำหนด "&amp;(INT(G487)-INT(H487))&amp;" วัน",IF(INT(H487)=INT(G487),"ส่งตรงกำหนด","ส่งล่าช้า "&amp;(INT(H487)-INT(G487))&amp;" วัน"))),IFS(G487&lt;TODAY(),"เกินกำหนด "&amp;(TODAY()-G487)&amp;" วัน",G487=TODAY(),"ครบกำหนดวันนี้",G487-TODAY()&lt;=3,"เร่งดำเนินการ",G487-TODAY()&lt;=5,"ต้องติดตาม",G487-TODAY()&lt;=10,"ใกล้ครบกำหนด",TRUE,"อยู่ระหว่างดำเนินการ"))))</x:f>
      </x:c>
      <x:c r="L487" s="114" t="str">
        <x:f>IF(OR(A487="",P487=""),"",HYPERLINK(P487,"เปิดใน Google Calendar"))</x:f>
      </x:c>
      <x:c r="M487" s="111"/>
      <x:c r="N487" s="123"/>
      <x:c r="O487" s="123"/>
      <x:c r="P487" s="123"/>
      <x:c r="Q487" s="126" t="b">
        <x:v>0</x:v>
      </x:c>
      <x:c r="R487" s="126" t="b">
        <x:v>0</x:v>
      </x:c>
      <x:c r="S487" s="126" t="b">
        <x:v>0</x:v>
      </x:c>
      <x:c r="T487" s="126" t="b">
        <x:v>0</x:v>
      </x:c>
      <x:c r="U487" s="144"/>
      <x:c r="V487" s="123"/>
      <x:c r="W487" s="123"/>
      <x:c r="X487" s="126" t="b">
        <x:v>0</x:v>
      </x:c>
    </x:row>
    <x:row r="488" ht="18" customHeight="1">
      <x:c r="A488" s="111"/>
      <x:c r="B488" s="111"/>
      <x:c r="C488" s="111"/>
      <x:c r="D488" s="111"/>
      <x:c r="E488" s="129"/>
      <x:c r="F488" s="138"/>
      <x:c r="G488" s="133" t="str">
        <x:f>IF(OR(A488="",E488="",F488=""),"",E488+F488-IF('ตั้งค่า'!$B$12="นับรวมวันเซ็น",1,0))</x:f>
      </x:c>
      <x:c r="H488" s="134"/>
      <x:c r="I488" s="117" t="str">
        <x:v>ยังไม่ส่ง</x:v>
      </x:c>
      <x:c r="J488" s="141" t="str">
        <x:f>IF(A488="","",IF(G488="","",IF(I488="ส่งแล้ว",0,G488-TODAY())))</x:f>
      </x:c>
      <x:c r="K488" s="114" t="str">
        <x:f>IF(A488="","",IF(G488="","ยังไม่ระบุวัน",IF(I488="ส่งแล้ว",IF(H488="","ส่งแล้ว",IF(INT(H488)&lt;INT(G488),"ส่งก่อนกำหนด "&amp;(INT(G488)-INT(H488))&amp;" วัน",IF(INT(H488)=INT(G488),"ส่งตรงกำหนด","ส่งล่าช้า "&amp;(INT(H488)-INT(G488))&amp;" วัน"))),IFS(G488&lt;TODAY(),"เกินกำหนด "&amp;(TODAY()-G488)&amp;" วัน",G488=TODAY(),"ครบกำหนดวันนี้",G488-TODAY()&lt;=3,"เร่งดำเนินการ",G488-TODAY()&lt;=5,"ต้องติดตาม",G488-TODAY()&lt;=10,"ใกล้ครบกำหนด",TRUE,"อยู่ระหว่างดำเนินการ"))))</x:f>
      </x:c>
      <x:c r="L488" s="114" t="str">
        <x:f>IF(OR(A488="",P488=""),"",HYPERLINK(P488,"เปิดใน Google Calendar"))</x:f>
      </x:c>
      <x:c r="M488" s="111"/>
      <x:c r="N488" s="123"/>
      <x:c r="O488" s="123"/>
      <x:c r="P488" s="123"/>
      <x:c r="Q488" s="126" t="b">
        <x:v>0</x:v>
      </x:c>
      <x:c r="R488" s="126" t="b">
        <x:v>0</x:v>
      </x:c>
      <x:c r="S488" s="126" t="b">
        <x:v>0</x:v>
      </x:c>
      <x:c r="T488" s="126" t="b">
        <x:v>0</x:v>
      </x:c>
      <x:c r="U488" s="144"/>
      <x:c r="V488" s="123"/>
      <x:c r="W488" s="123"/>
      <x:c r="X488" s="126" t="b">
        <x:v>0</x:v>
      </x:c>
    </x:row>
    <x:row r="489" ht="18" customHeight="1">
      <x:c r="A489" s="111"/>
      <x:c r="B489" s="111"/>
      <x:c r="C489" s="111"/>
      <x:c r="D489" s="111"/>
      <x:c r="E489" s="129"/>
      <x:c r="F489" s="138"/>
      <x:c r="G489" s="133" t="str">
        <x:f>IF(OR(A489="",E489="",F489=""),"",E489+F489-IF('ตั้งค่า'!$B$12="นับรวมวันเซ็น",1,0))</x:f>
      </x:c>
      <x:c r="H489" s="134"/>
      <x:c r="I489" s="117" t="str">
        <x:v>ยังไม่ส่ง</x:v>
      </x:c>
      <x:c r="J489" s="141" t="str">
        <x:f>IF(A489="","",IF(G489="","",IF(I489="ส่งแล้ว",0,G489-TODAY())))</x:f>
      </x:c>
      <x:c r="K489" s="114" t="str">
        <x:f>IF(A489="","",IF(G489="","ยังไม่ระบุวัน",IF(I489="ส่งแล้ว",IF(H489="","ส่งแล้ว",IF(INT(H489)&lt;INT(G489),"ส่งก่อนกำหนด "&amp;(INT(G489)-INT(H489))&amp;" วัน",IF(INT(H489)=INT(G489),"ส่งตรงกำหนด","ส่งล่าช้า "&amp;(INT(H489)-INT(G489))&amp;" วัน"))),IFS(G489&lt;TODAY(),"เกินกำหนด "&amp;(TODAY()-G489)&amp;" วัน",G489=TODAY(),"ครบกำหนดวันนี้",G489-TODAY()&lt;=3,"เร่งดำเนินการ",G489-TODAY()&lt;=5,"ต้องติดตาม",G489-TODAY()&lt;=10,"ใกล้ครบกำหนด",TRUE,"อยู่ระหว่างดำเนินการ"))))</x:f>
      </x:c>
      <x:c r="L489" s="114" t="str">
        <x:f>IF(OR(A489="",P489=""),"",HYPERLINK(P489,"เปิดใน Google Calendar"))</x:f>
      </x:c>
      <x:c r="M489" s="111"/>
      <x:c r="N489" s="123"/>
      <x:c r="O489" s="123"/>
      <x:c r="P489" s="123"/>
      <x:c r="Q489" s="126" t="b">
        <x:v>0</x:v>
      </x:c>
      <x:c r="R489" s="126" t="b">
        <x:v>0</x:v>
      </x:c>
      <x:c r="S489" s="126" t="b">
        <x:v>0</x:v>
      </x:c>
      <x:c r="T489" s="126" t="b">
        <x:v>0</x:v>
      </x:c>
      <x:c r="U489" s="144"/>
      <x:c r="V489" s="123"/>
      <x:c r="W489" s="123"/>
      <x:c r="X489" s="126" t="b">
        <x:v>0</x:v>
      </x:c>
    </x:row>
    <x:row r="490" ht="18" customHeight="1">
      <x:c r="A490" s="111"/>
      <x:c r="B490" s="111"/>
      <x:c r="C490" s="111"/>
      <x:c r="D490" s="111"/>
      <x:c r="E490" s="129"/>
      <x:c r="F490" s="138"/>
      <x:c r="G490" s="133" t="str">
        <x:f>IF(OR(A490="",E490="",F490=""),"",E490+F490-IF('ตั้งค่า'!$B$12="นับรวมวันเซ็น",1,0))</x:f>
      </x:c>
      <x:c r="H490" s="134"/>
      <x:c r="I490" s="117" t="str">
        <x:v>ยังไม่ส่ง</x:v>
      </x:c>
      <x:c r="J490" s="141" t="str">
        <x:f>IF(A490="","",IF(G490="","",IF(I490="ส่งแล้ว",0,G490-TODAY())))</x:f>
      </x:c>
      <x:c r="K490" s="114" t="str">
        <x:f>IF(A490="","",IF(G490="","ยังไม่ระบุวัน",IF(I490="ส่งแล้ว",IF(H490="","ส่งแล้ว",IF(INT(H490)&lt;INT(G490),"ส่งก่อนกำหนด "&amp;(INT(G490)-INT(H490))&amp;" วัน",IF(INT(H490)=INT(G490),"ส่งตรงกำหนด","ส่งล่าช้า "&amp;(INT(H490)-INT(G490))&amp;" วัน"))),IFS(G490&lt;TODAY(),"เกินกำหนด "&amp;(TODAY()-G490)&amp;" วัน",G490=TODAY(),"ครบกำหนดวันนี้",G490-TODAY()&lt;=3,"เร่งดำเนินการ",G490-TODAY()&lt;=5,"ต้องติดตาม",G490-TODAY()&lt;=10,"ใกล้ครบกำหนด",TRUE,"อยู่ระหว่างดำเนินการ"))))</x:f>
      </x:c>
      <x:c r="L490" s="114" t="str">
        <x:f>IF(OR(A490="",P490=""),"",HYPERLINK(P490,"เปิดใน Google Calendar"))</x:f>
      </x:c>
      <x:c r="M490" s="111"/>
      <x:c r="N490" s="123"/>
      <x:c r="O490" s="123"/>
      <x:c r="P490" s="123"/>
      <x:c r="Q490" s="126" t="b">
        <x:v>0</x:v>
      </x:c>
      <x:c r="R490" s="126" t="b">
        <x:v>0</x:v>
      </x:c>
      <x:c r="S490" s="126" t="b">
        <x:v>0</x:v>
      </x:c>
      <x:c r="T490" s="126" t="b">
        <x:v>0</x:v>
      </x:c>
      <x:c r="U490" s="144"/>
      <x:c r="V490" s="123"/>
      <x:c r="W490" s="123"/>
      <x:c r="X490" s="126" t="b">
        <x:v>0</x:v>
      </x:c>
    </x:row>
    <x:row r="491" ht="18" customHeight="1">
      <x:c r="A491" s="111"/>
      <x:c r="B491" s="111"/>
      <x:c r="C491" s="111"/>
      <x:c r="D491" s="111"/>
      <x:c r="E491" s="129"/>
      <x:c r="F491" s="138"/>
      <x:c r="G491" s="133" t="str">
        <x:f>IF(OR(A491="",E491="",F491=""),"",E491+F491-IF('ตั้งค่า'!$B$12="นับรวมวันเซ็น",1,0))</x:f>
      </x:c>
      <x:c r="H491" s="134"/>
      <x:c r="I491" s="117" t="str">
        <x:v>ยังไม่ส่ง</x:v>
      </x:c>
      <x:c r="J491" s="141" t="str">
        <x:f>IF(A491="","",IF(G491="","",IF(I491="ส่งแล้ว",0,G491-TODAY())))</x:f>
      </x:c>
      <x:c r="K491" s="114" t="str">
        <x:f>IF(A491="","",IF(G491="","ยังไม่ระบุวัน",IF(I491="ส่งแล้ว",IF(H491="","ส่งแล้ว",IF(INT(H491)&lt;INT(G491),"ส่งก่อนกำหนด "&amp;(INT(G491)-INT(H491))&amp;" วัน",IF(INT(H491)=INT(G491),"ส่งตรงกำหนด","ส่งล่าช้า "&amp;(INT(H491)-INT(G491))&amp;" วัน"))),IFS(G491&lt;TODAY(),"เกินกำหนด "&amp;(TODAY()-G491)&amp;" วัน",G491=TODAY(),"ครบกำหนดวันนี้",G491-TODAY()&lt;=3,"เร่งดำเนินการ",G491-TODAY()&lt;=5,"ต้องติดตาม",G491-TODAY()&lt;=10,"ใกล้ครบกำหนด",TRUE,"อยู่ระหว่างดำเนินการ"))))</x:f>
      </x:c>
      <x:c r="L491" s="114" t="str">
        <x:f>IF(OR(A491="",P491=""),"",HYPERLINK(P491,"เปิดใน Google Calendar"))</x:f>
      </x:c>
      <x:c r="M491" s="111"/>
      <x:c r="N491" s="123"/>
      <x:c r="O491" s="123"/>
      <x:c r="P491" s="123"/>
      <x:c r="Q491" s="126" t="b">
        <x:v>0</x:v>
      </x:c>
      <x:c r="R491" s="126" t="b">
        <x:v>0</x:v>
      </x:c>
      <x:c r="S491" s="126" t="b">
        <x:v>0</x:v>
      </x:c>
      <x:c r="T491" s="126" t="b">
        <x:v>0</x:v>
      </x:c>
      <x:c r="U491" s="144"/>
      <x:c r="V491" s="123"/>
      <x:c r="W491" s="123"/>
      <x:c r="X491" s="126" t="b">
        <x:v>0</x:v>
      </x:c>
    </x:row>
    <x:row r="492" ht="18" customHeight="1">
      <x:c r="A492" s="111"/>
      <x:c r="B492" s="111"/>
      <x:c r="C492" s="111"/>
      <x:c r="D492" s="111"/>
      <x:c r="E492" s="129"/>
      <x:c r="F492" s="138"/>
      <x:c r="G492" s="133" t="str">
        <x:f>IF(OR(A492="",E492="",F492=""),"",E492+F492-IF('ตั้งค่า'!$B$12="นับรวมวันเซ็น",1,0))</x:f>
      </x:c>
      <x:c r="H492" s="134"/>
      <x:c r="I492" s="117" t="str">
        <x:v>ยังไม่ส่ง</x:v>
      </x:c>
      <x:c r="J492" s="141" t="str">
        <x:f>IF(A492="","",IF(G492="","",IF(I492="ส่งแล้ว",0,G492-TODAY())))</x:f>
      </x:c>
      <x:c r="K492" s="114" t="str">
        <x:f>IF(A492="","",IF(G492="","ยังไม่ระบุวัน",IF(I492="ส่งแล้ว",IF(H492="","ส่งแล้ว",IF(INT(H492)&lt;INT(G492),"ส่งก่อนกำหนด "&amp;(INT(G492)-INT(H492))&amp;" วัน",IF(INT(H492)=INT(G492),"ส่งตรงกำหนด","ส่งล่าช้า "&amp;(INT(H492)-INT(G492))&amp;" วัน"))),IFS(G492&lt;TODAY(),"เกินกำหนด "&amp;(TODAY()-G492)&amp;" วัน",G492=TODAY(),"ครบกำหนดวันนี้",G492-TODAY()&lt;=3,"เร่งดำเนินการ",G492-TODAY()&lt;=5,"ต้องติดตาม",G492-TODAY()&lt;=10,"ใกล้ครบกำหนด",TRUE,"อยู่ระหว่างดำเนินการ"))))</x:f>
      </x:c>
      <x:c r="L492" s="114" t="str">
        <x:f>IF(OR(A492="",P492=""),"",HYPERLINK(P492,"เปิดใน Google Calendar"))</x:f>
      </x:c>
      <x:c r="M492" s="111"/>
      <x:c r="N492" s="123"/>
      <x:c r="O492" s="123"/>
      <x:c r="P492" s="123"/>
      <x:c r="Q492" s="126" t="b">
        <x:v>0</x:v>
      </x:c>
      <x:c r="R492" s="126" t="b">
        <x:v>0</x:v>
      </x:c>
      <x:c r="S492" s="126" t="b">
        <x:v>0</x:v>
      </x:c>
      <x:c r="T492" s="126" t="b">
        <x:v>0</x:v>
      </x:c>
      <x:c r="U492" s="144"/>
      <x:c r="V492" s="123"/>
      <x:c r="W492" s="123"/>
      <x:c r="X492" s="126" t="b">
        <x:v>0</x:v>
      </x:c>
    </x:row>
    <x:row r="493" ht="18" customHeight="1">
      <x:c r="A493" s="111"/>
      <x:c r="B493" s="111"/>
      <x:c r="C493" s="111"/>
      <x:c r="D493" s="111"/>
      <x:c r="E493" s="129"/>
      <x:c r="F493" s="138"/>
      <x:c r="G493" s="133" t="str">
        <x:f>IF(OR(A493="",E493="",F493=""),"",E493+F493-IF('ตั้งค่า'!$B$12="นับรวมวันเซ็น",1,0))</x:f>
      </x:c>
      <x:c r="H493" s="134"/>
      <x:c r="I493" s="117" t="str">
        <x:v>ยังไม่ส่ง</x:v>
      </x:c>
      <x:c r="J493" s="141" t="str">
        <x:f>IF(A493="","",IF(G493="","",IF(I493="ส่งแล้ว",0,G493-TODAY())))</x:f>
      </x:c>
      <x:c r="K493" s="114" t="str">
        <x:f>IF(A493="","",IF(G493="","ยังไม่ระบุวัน",IF(I493="ส่งแล้ว",IF(H493="","ส่งแล้ว",IF(INT(H493)&lt;INT(G493),"ส่งก่อนกำหนด "&amp;(INT(G493)-INT(H493))&amp;" วัน",IF(INT(H493)=INT(G493),"ส่งตรงกำหนด","ส่งล่าช้า "&amp;(INT(H493)-INT(G493))&amp;" วัน"))),IFS(G493&lt;TODAY(),"เกินกำหนด "&amp;(TODAY()-G493)&amp;" วัน",G493=TODAY(),"ครบกำหนดวันนี้",G493-TODAY()&lt;=3,"เร่งดำเนินการ",G493-TODAY()&lt;=5,"ต้องติดตาม",G493-TODAY()&lt;=10,"ใกล้ครบกำหนด",TRUE,"อยู่ระหว่างดำเนินการ"))))</x:f>
      </x:c>
      <x:c r="L493" s="114" t="str">
        <x:f>IF(OR(A493="",P493=""),"",HYPERLINK(P493,"เปิดใน Google Calendar"))</x:f>
      </x:c>
      <x:c r="M493" s="111"/>
      <x:c r="N493" s="123"/>
      <x:c r="O493" s="123"/>
      <x:c r="P493" s="123"/>
      <x:c r="Q493" s="126" t="b">
        <x:v>0</x:v>
      </x:c>
      <x:c r="R493" s="126" t="b">
        <x:v>0</x:v>
      </x:c>
      <x:c r="S493" s="126" t="b">
        <x:v>0</x:v>
      </x:c>
      <x:c r="T493" s="126" t="b">
        <x:v>0</x:v>
      </x:c>
      <x:c r="U493" s="144"/>
      <x:c r="V493" s="123"/>
      <x:c r="W493" s="123"/>
      <x:c r="X493" s="126" t="b">
        <x:v>0</x:v>
      </x:c>
    </x:row>
    <x:row r="494" ht="18" customHeight="1">
      <x:c r="A494" s="111"/>
      <x:c r="B494" s="111"/>
      <x:c r="C494" s="111"/>
      <x:c r="D494" s="111"/>
      <x:c r="E494" s="129"/>
      <x:c r="F494" s="138"/>
      <x:c r="G494" s="133" t="str">
        <x:f>IF(OR(A494="",E494="",F494=""),"",E494+F494-IF('ตั้งค่า'!$B$12="นับรวมวันเซ็น",1,0))</x:f>
      </x:c>
      <x:c r="H494" s="134"/>
      <x:c r="I494" s="117" t="str">
        <x:v>ยังไม่ส่ง</x:v>
      </x:c>
      <x:c r="J494" s="141" t="str">
        <x:f>IF(A494="","",IF(G494="","",IF(I494="ส่งแล้ว",0,G494-TODAY())))</x:f>
      </x:c>
      <x:c r="K494" s="114" t="str">
        <x:f>IF(A494="","",IF(G494="","ยังไม่ระบุวัน",IF(I494="ส่งแล้ว",IF(H494="","ส่งแล้ว",IF(INT(H494)&lt;INT(G494),"ส่งก่อนกำหนด "&amp;(INT(G494)-INT(H494))&amp;" วัน",IF(INT(H494)=INT(G494),"ส่งตรงกำหนด","ส่งล่าช้า "&amp;(INT(H494)-INT(G494))&amp;" วัน"))),IFS(G494&lt;TODAY(),"เกินกำหนด "&amp;(TODAY()-G494)&amp;" วัน",G494=TODAY(),"ครบกำหนดวันนี้",G494-TODAY()&lt;=3,"เร่งดำเนินการ",G494-TODAY()&lt;=5,"ต้องติดตาม",G494-TODAY()&lt;=10,"ใกล้ครบกำหนด",TRUE,"อยู่ระหว่างดำเนินการ"))))</x:f>
      </x:c>
      <x:c r="L494" s="114" t="str">
        <x:f>IF(OR(A494="",P494=""),"",HYPERLINK(P494,"เปิดใน Google Calendar"))</x:f>
      </x:c>
      <x:c r="M494" s="111"/>
      <x:c r="N494" s="123"/>
      <x:c r="O494" s="123"/>
      <x:c r="P494" s="123"/>
      <x:c r="Q494" s="126" t="b">
        <x:v>0</x:v>
      </x:c>
      <x:c r="R494" s="126" t="b">
        <x:v>0</x:v>
      </x:c>
      <x:c r="S494" s="126" t="b">
        <x:v>0</x:v>
      </x:c>
      <x:c r="T494" s="126" t="b">
        <x:v>0</x:v>
      </x:c>
      <x:c r="U494" s="144"/>
      <x:c r="V494" s="123"/>
      <x:c r="W494" s="123"/>
      <x:c r="X494" s="126" t="b">
        <x:v>0</x:v>
      </x:c>
    </x:row>
    <x:row r="495" ht="18" customHeight="1">
      <x:c r="A495" s="111"/>
      <x:c r="B495" s="111"/>
      <x:c r="C495" s="111"/>
      <x:c r="D495" s="111"/>
      <x:c r="E495" s="129"/>
      <x:c r="F495" s="138"/>
      <x:c r="G495" s="133" t="str">
        <x:f>IF(OR(A495="",E495="",F495=""),"",E495+F495-IF('ตั้งค่า'!$B$12="นับรวมวันเซ็น",1,0))</x:f>
      </x:c>
      <x:c r="H495" s="134"/>
      <x:c r="I495" s="117" t="str">
        <x:v>ยังไม่ส่ง</x:v>
      </x:c>
      <x:c r="J495" s="141" t="str">
        <x:f>IF(A495="","",IF(G495="","",IF(I495="ส่งแล้ว",0,G495-TODAY())))</x:f>
      </x:c>
      <x:c r="K495" s="114" t="str">
        <x:f>IF(A495="","",IF(G495="","ยังไม่ระบุวัน",IF(I495="ส่งแล้ว",IF(H495="","ส่งแล้ว",IF(INT(H495)&lt;INT(G495),"ส่งก่อนกำหนด "&amp;(INT(G495)-INT(H495))&amp;" วัน",IF(INT(H495)=INT(G495),"ส่งตรงกำหนด","ส่งล่าช้า "&amp;(INT(H495)-INT(G495))&amp;" วัน"))),IFS(G495&lt;TODAY(),"เกินกำหนด "&amp;(TODAY()-G495)&amp;" วัน",G495=TODAY(),"ครบกำหนดวันนี้",G495-TODAY()&lt;=3,"เร่งดำเนินการ",G495-TODAY()&lt;=5,"ต้องติดตาม",G495-TODAY()&lt;=10,"ใกล้ครบกำหนด",TRUE,"อยู่ระหว่างดำเนินการ"))))</x:f>
      </x:c>
      <x:c r="L495" s="114" t="str">
        <x:f>IF(OR(A495="",P495=""),"",HYPERLINK(P495,"เปิดใน Google Calendar"))</x:f>
      </x:c>
      <x:c r="M495" s="111"/>
      <x:c r="N495" s="123"/>
      <x:c r="O495" s="123"/>
      <x:c r="P495" s="123"/>
      <x:c r="Q495" s="126" t="b">
        <x:v>0</x:v>
      </x:c>
      <x:c r="R495" s="126" t="b">
        <x:v>0</x:v>
      </x:c>
      <x:c r="S495" s="126" t="b">
        <x:v>0</x:v>
      </x:c>
      <x:c r="T495" s="126" t="b">
        <x:v>0</x:v>
      </x:c>
      <x:c r="U495" s="144"/>
      <x:c r="V495" s="123"/>
      <x:c r="W495" s="123"/>
      <x:c r="X495" s="126" t="b">
        <x:v>0</x:v>
      </x:c>
    </x:row>
    <x:row r="496" ht="18" customHeight="1">
      <x:c r="A496" s="111"/>
      <x:c r="B496" s="111"/>
      <x:c r="C496" s="111"/>
      <x:c r="D496" s="111"/>
      <x:c r="E496" s="129"/>
      <x:c r="F496" s="138"/>
      <x:c r="G496" s="133" t="str">
        <x:f>IF(OR(A496="",E496="",F496=""),"",E496+F496-IF('ตั้งค่า'!$B$12="นับรวมวันเซ็น",1,0))</x:f>
      </x:c>
      <x:c r="H496" s="134"/>
      <x:c r="I496" s="117" t="str">
        <x:v>ยังไม่ส่ง</x:v>
      </x:c>
      <x:c r="J496" s="141" t="str">
        <x:f>IF(A496="","",IF(G496="","",IF(I496="ส่งแล้ว",0,G496-TODAY())))</x:f>
      </x:c>
      <x:c r="K496" s="114" t="str">
        <x:f>IF(A496="","",IF(G496="","ยังไม่ระบุวัน",IF(I496="ส่งแล้ว",IF(H496="","ส่งแล้ว",IF(INT(H496)&lt;INT(G496),"ส่งก่อนกำหนด "&amp;(INT(G496)-INT(H496))&amp;" วัน",IF(INT(H496)=INT(G496),"ส่งตรงกำหนด","ส่งล่าช้า "&amp;(INT(H496)-INT(G496))&amp;" วัน"))),IFS(G496&lt;TODAY(),"เกินกำหนด "&amp;(TODAY()-G496)&amp;" วัน",G496=TODAY(),"ครบกำหนดวันนี้",G496-TODAY()&lt;=3,"เร่งดำเนินการ",G496-TODAY()&lt;=5,"ต้องติดตาม",G496-TODAY()&lt;=10,"ใกล้ครบกำหนด",TRUE,"อยู่ระหว่างดำเนินการ"))))</x:f>
      </x:c>
      <x:c r="L496" s="114" t="str">
        <x:f>IF(OR(A496="",P496=""),"",HYPERLINK(P496,"เปิดใน Google Calendar"))</x:f>
      </x:c>
      <x:c r="M496" s="111"/>
      <x:c r="N496" s="123"/>
      <x:c r="O496" s="123"/>
      <x:c r="P496" s="123"/>
      <x:c r="Q496" s="126" t="b">
        <x:v>0</x:v>
      </x:c>
      <x:c r="R496" s="126" t="b">
        <x:v>0</x:v>
      </x:c>
      <x:c r="S496" s="126" t="b">
        <x:v>0</x:v>
      </x:c>
      <x:c r="T496" s="126" t="b">
        <x:v>0</x:v>
      </x:c>
      <x:c r="U496" s="144"/>
      <x:c r="V496" s="123"/>
      <x:c r="W496" s="123"/>
      <x:c r="X496" s="126" t="b">
        <x:v>0</x:v>
      </x:c>
    </x:row>
    <x:row r="497" ht="18" customHeight="1">
      <x:c r="A497" s="111"/>
      <x:c r="B497" s="111"/>
      <x:c r="C497" s="111"/>
      <x:c r="D497" s="111"/>
      <x:c r="E497" s="129"/>
      <x:c r="F497" s="138"/>
      <x:c r="G497" s="133" t="str">
        <x:f>IF(OR(A497="",E497="",F497=""),"",E497+F497-IF('ตั้งค่า'!$B$12="นับรวมวันเซ็น",1,0))</x:f>
      </x:c>
      <x:c r="H497" s="134"/>
      <x:c r="I497" s="117" t="str">
        <x:v>ยังไม่ส่ง</x:v>
      </x:c>
      <x:c r="J497" s="141" t="str">
        <x:f>IF(A497="","",IF(G497="","",IF(I497="ส่งแล้ว",0,G497-TODAY())))</x:f>
      </x:c>
      <x:c r="K497" s="114" t="str">
        <x:f>IF(A497="","",IF(G497="","ยังไม่ระบุวัน",IF(I497="ส่งแล้ว",IF(H497="","ส่งแล้ว",IF(INT(H497)&lt;INT(G497),"ส่งก่อนกำหนด "&amp;(INT(G497)-INT(H497))&amp;" วัน",IF(INT(H497)=INT(G497),"ส่งตรงกำหนด","ส่งล่าช้า "&amp;(INT(H497)-INT(G497))&amp;" วัน"))),IFS(G497&lt;TODAY(),"เกินกำหนด "&amp;(TODAY()-G497)&amp;" วัน",G497=TODAY(),"ครบกำหนดวันนี้",G497-TODAY()&lt;=3,"เร่งดำเนินการ",G497-TODAY()&lt;=5,"ต้องติดตาม",G497-TODAY()&lt;=10,"ใกล้ครบกำหนด",TRUE,"อยู่ระหว่างดำเนินการ"))))</x:f>
      </x:c>
      <x:c r="L497" s="114" t="str">
        <x:f>IF(OR(A497="",P497=""),"",HYPERLINK(P497,"เปิดใน Google Calendar"))</x:f>
      </x:c>
      <x:c r="M497" s="111"/>
      <x:c r="N497" s="123"/>
      <x:c r="O497" s="123"/>
      <x:c r="P497" s="123"/>
      <x:c r="Q497" s="126" t="b">
        <x:v>0</x:v>
      </x:c>
      <x:c r="R497" s="126" t="b">
        <x:v>0</x:v>
      </x:c>
      <x:c r="S497" s="126" t="b">
        <x:v>0</x:v>
      </x:c>
      <x:c r="T497" s="126" t="b">
        <x:v>0</x:v>
      </x:c>
      <x:c r="U497" s="144"/>
      <x:c r="V497" s="123"/>
      <x:c r="W497" s="123"/>
      <x:c r="X497" s="126" t="b">
        <x:v>0</x:v>
      </x:c>
    </x:row>
    <x:row r="498" ht="18" customHeight="1">
      <x:c r="A498" s="111"/>
      <x:c r="B498" s="111"/>
      <x:c r="C498" s="111"/>
      <x:c r="D498" s="111"/>
      <x:c r="E498" s="129"/>
      <x:c r="F498" s="138"/>
      <x:c r="G498" s="133" t="str">
        <x:f>IF(OR(A498="",E498="",F498=""),"",E498+F498-IF('ตั้งค่า'!$B$12="นับรวมวันเซ็น",1,0))</x:f>
      </x:c>
      <x:c r="H498" s="134"/>
      <x:c r="I498" s="117" t="str">
        <x:v>ยังไม่ส่ง</x:v>
      </x:c>
      <x:c r="J498" s="141" t="str">
        <x:f>IF(A498="","",IF(G498="","",IF(I498="ส่งแล้ว",0,G498-TODAY())))</x:f>
      </x:c>
      <x:c r="K498" s="114" t="str">
        <x:f>IF(A498="","",IF(G498="","ยังไม่ระบุวัน",IF(I498="ส่งแล้ว",IF(H498="","ส่งแล้ว",IF(INT(H498)&lt;INT(G498),"ส่งก่อนกำหนด "&amp;(INT(G498)-INT(H498))&amp;" วัน",IF(INT(H498)=INT(G498),"ส่งตรงกำหนด","ส่งล่าช้า "&amp;(INT(H498)-INT(G498))&amp;" วัน"))),IFS(G498&lt;TODAY(),"เกินกำหนด "&amp;(TODAY()-G498)&amp;" วัน",G498=TODAY(),"ครบกำหนดวันนี้",G498-TODAY()&lt;=3,"เร่งดำเนินการ",G498-TODAY()&lt;=5,"ต้องติดตาม",G498-TODAY()&lt;=10,"ใกล้ครบกำหนด",TRUE,"อยู่ระหว่างดำเนินการ"))))</x:f>
      </x:c>
      <x:c r="L498" s="114" t="str">
        <x:f>IF(OR(A498="",P498=""),"",HYPERLINK(P498,"เปิดใน Google Calendar"))</x:f>
      </x:c>
      <x:c r="M498" s="111"/>
      <x:c r="N498" s="123"/>
      <x:c r="O498" s="123"/>
      <x:c r="P498" s="123"/>
      <x:c r="Q498" s="126" t="b">
        <x:v>0</x:v>
      </x:c>
      <x:c r="R498" s="126" t="b">
        <x:v>0</x:v>
      </x:c>
      <x:c r="S498" s="126" t="b">
        <x:v>0</x:v>
      </x:c>
      <x:c r="T498" s="126" t="b">
        <x:v>0</x:v>
      </x:c>
      <x:c r="U498" s="144"/>
      <x:c r="V498" s="123"/>
      <x:c r="W498" s="123"/>
      <x:c r="X498" s="126" t="b">
        <x:v>0</x:v>
      </x:c>
    </x:row>
    <x:row r="499" ht="18" customHeight="1">
      <x:c r="A499" s="111"/>
      <x:c r="B499" s="111"/>
      <x:c r="C499" s="111"/>
      <x:c r="D499" s="111"/>
      <x:c r="E499" s="129"/>
      <x:c r="F499" s="138"/>
      <x:c r="G499" s="133" t="str">
        <x:f>IF(OR(A499="",E499="",F499=""),"",E499+F499-IF('ตั้งค่า'!$B$12="นับรวมวันเซ็น",1,0))</x:f>
      </x:c>
      <x:c r="H499" s="134"/>
      <x:c r="I499" s="117" t="str">
        <x:v>ยังไม่ส่ง</x:v>
      </x:c>
      <x:c r="J499" s="141" t="str">
        <x:f>IF(A499="","",IF(G499="","",IF(I499="ส่งแล้ว",0,G499-TODAY())))</x:f>
      </x:c>
      <x:c r="K499" s="114" t="str">
        <x:f>IF(A499="","",IF(G499="","ยังไม่ระบุวัน",IF(I499="ส่งแล้ว",IF(H499="","ส่งแล้ว",IF(INT(H499)&lt;INT(G499),"ส่งก่อนกำหนด "&amp;(INT(G499)-INT(H499))&amp;" วัน",IF(INT(H499)=INT(G499),"ส่งตรงกำหนด","ส่งล่าช้า "&amp;(INT(H499)-INT(G499))&amp;" วัน"))),IFS(G499&lt;TODAY(),"เกินกำหนด "&amp;(TODAY()-G499)&amp;" วัน",G499=TODAY(),"ครบกำหนดวันนี้",G499-TODAY()&lt;=3,"เร่งดำเนินการ",G499-TODAY()&lt;=5,"ต้องติดตาม",G499-TODAY()&lt;=10,"ใกล้ครบกำหนด",TRUE,"อยู่ระหว่างดำเนินการ"))))</x:f>
      </x:c>
      <x:c r="L499" s="114" t="str">
        <x:f>IF(OR(A499="",P499=""),"",HYPERLINK(P499,"เปิดใน Google Calendar"))</x:f>
      </x:c>
      <x:c r="M499" s="111"/>
      <x:c r="N499" s="123"/>
      <x:c r="O499" s="123"/>
      <x:c r="P499" s="123"/>
      <x:c r="Q499" s="126" t="b">
        <x:v>0</x:v>
      </x:c>
      <x:c r="R499" s="126" t="b">
        <x:v>0</x:v>
      </x:c>
      <x:c r="S499" s="126" t="b">
        <x:v>0</x:v>
      </x:c>
      <x:c r="T499" s="126" t="b">
        <x:v>0</x:v>
      </x:c>
      <x:c r="U499" s="144"/>
      <x:c r="V499" s="123"/>
      <x:c r="W499" s="123"/>
      <x:c r="X499" s="126" t="b">
        <x:v>0</x:v>
      </x:c>
    </x:row>
    <x:row r="500" ht="18" customHeight="1">
      <x:c r="A500" s="111"/>
      <x:c r="B500" s="111"/>
      <x:c r="C500" s="111"/>
      <x:c r="D500" s="111"/>
      <x:c r="E500" s="129"/>
      <x:c r="F500" s="138"/>
      <x:c r="G500" s="133" t="str">
        <x:f>IF(OR(A500="",E500="",F500=""),"",E500+F500-IF('ตั้งค่า'!$B$12="นับรวมวันเซ็น",1,0))</x:f>
      </x:c>
      <x:c r="H500" s="134"/>
      <x:c r="I500" s="117" t="str">
        <x:v>ยังไม่ส่ง</x:v>
      </x:c>
      <x:c r="J500" s="141" t="str">
        <x:f>IF(A500="","",IF(G500="","",IF(I500="ส่งแล้ว",0,G500-TODAY())))</x:f>
      </x:c>
      <x:c r="K500" s="114" t="str">
        <x:f>IF(A500="","",IF(G500="","ยังไม่ระบุวัน",IF(I500="ส่งแล้ว",IF(H500="","ส่งแล้ว",IF(INT(H500)&lt;INT(G500),"ส่งก่อนกำหนด "&amp;(INT(G500)-INT(H500))&amp;" วัน",IF(INT(H500)=INT(G500),"ส่งตรงกำหนด","ส่งล่าช้า "&amp;(INT(H500)-INT(G500))&amp;" วัน"))),IFS(G500&lt;TODAY(),"เกินกำหนด "&amp;(TODAY()-G500)&amp;" วัน",G500=TODAY(),"ครบกำหนดวันนี้",G500-TODAY()&lt;=3,"เร่งดำเนินการ",G500-TODAY()&lt;=5,"ต้องติดตาม",G500-TODAY()&lt;=10,"ใกล้ครบกำหนด",TRUE,"อยู่ระหว่างดำเนินการ"))))</x:f>
      </x:c>
      <x:c r="L500" s="114" t="str">
        <x:f>IF(OR(A500="",P500=""),"",HYPERLINK(P500,"เปิดใน Google Calendar"))</x:f>
      </x:c>
      <x:c r="M500" s="111"/>
      <x:c r="N500" s="123"/>
      <x:c r="O500" s="123"/>
      <x:c r="P500" s="123"/>
      <x:c r="Q500" s="126" t="b">
        <x:v>0</x:v>
      </x:c>
      <x:c r="R500" s="126" t="b">
        <x:v>0</x:v>
      </x:c>
      <x:c r="S500" s="126" t="b">
        <x:v>0</x:v>
      </x:c>
      <x:c r="T500" s="126" t="b">
        <x:v>0</x:v>
      </x:c>
      <x:c r="U500" s="144"/>
      <x:c r="V500" s="123"/>
      <x:c r="W500" s="123"/>
      <x:c r="X500" s="126" t="b">
        <x:v>0</x:v>
      </x:c>
    </x:row>
    <x:row r="501" ht="18" customHeight="1">
      <x:c r="A501" s="111"/>
      <x:c r="B501" s="111"/>
      <x:c r="C501" s="111"/>
      <x:c r="D501" s="111"/>
      <x:c r="E501" s="129"/>
      <x:c r="F501" s="138"/>
      <x:c r="G501" s="133" t="str">
        <x:f>IF(OR(A501="",E501="",F501=""),"",E501+F501-IF('ตั้งค่า'!$B$12="นับรวมวันเซ็น",1,0))</x:f>
      </x:c>
      <x:c r="H501" s="134"/>
      <x:c r="I501" s="117" t="str">
        <x:v>ยังไม่ส่ง</x:v>
      </x:c>
      <x:c r="J501" s="141" t="str">
        <x:f>IF(A501="","",IF(G501="","",IF(I501="ส่งแล้ว",0,G501-TODAY())))</x:f>
      </x:c>
      <x:c r="K501" s="114" t="str">
        <x:f>IF(A501="","",IF(G501="","ยังไม่ระบุวัน",IF(I501="ส่งแล้ว",IF(H501="","ส่งแล้ว",IF(INT(H501)&lt;INT(G501),"ส่งก่อนกำหนด "&amp;(INT(G501)-INT(H501))&amp;" วัน",IF(INT(H501)=INT(G501),"ส่งตรงกำหนด","ส่งล่าช้า "&amp;(INT(H501)-INT(G501))&amp;" วัน"))),IFS(G501&lt;TODAY(),"เกินกำหนด "&amp;(TODAY()-G501)&amp;" วัน",G501=TODAY(),"ครบกำหนดวันนี้",G501-TODAY()&lt;=3,"เร่งดำเนินการ",G501-TODAY()&lt;=5,"ต้องติดตาม",G501-TODAY()&lt;=10,"ใกล้ครบกำหนด",TRUE,"อยู่ระหว่างดำเนินการ"))))</x:f>
      </x:c>
      <x:c r="L501" s="114" t="str">
        <x:f>IF(OR(A501="",P501=""),"",HYPERLINK(P501,"เปิดใน Google Calendar"))</x:f>
      </x:c>
      <x:c r="M501" s="111"/>
      <x:c r="N501" s="123"/>
      <x:c r="O501" s="123"/>
      <x:c r="P501" s="123"/>
      <x:c r="Q501" s="126" t="b">
        <x:v>0</x:v>
      </x:c>
      <x:c r="R501" s="126" t="b">
        <x:v>0</x:v>
      </x:c>
      <x:c r="S501" s="126" t="b">
        <x:v>0</x:v>
      </x:c>
      <x:c r="T501" s="126" t="b">
        <x:v>0</x:v>
      </x:c>
      <x:c r="U501" s="144"/>
      <x:c r="V501" s="123"/>
      <x:c r="W501" s="123"/>
      <x:c r="X501" s="126" t="b">
        <x:v>0</x:v>
      </x:c>
    </x:row>
    <x:row r="502" ht="18" customHeight="1">
      <x:c r="A502" s="111"/>
      <x:c r="B502" s="111"/>
      <x:c r="C502" s="111"/>
      <x:c r="D502" s="111"/>
      <x:c r="E502" s="129"/>
      <x:c r="F502" s="138"/>
      <x:c r="G502" s="133" t="str">
        <x:f>IF(OR(A502="",E502="",F502=""),"",E502+F502-IF('ตั้งค่า'!$B$12="นับรวมวันเซ็น",1,0))</x:f>
      </x:c>
      <x:c r="H502" s="134"/>
      <x:c r="I502" s="117" t="str">
        <x:v>ยังไม่ส่ง</x:v>
      </x:c>
      <x:c r="J502" s="141" t="str">
        <x:f>IF(A502="","",IF(G502="","",IF(I502="ส่งแล้ว",0,G502-TODAY())))</x:f>
      </x:c>
      <x:c r="K502" s="114" t="str">
        <x:f>IF(A502="","",IF(G502="","ยังไม่ระบุวัน",IF(I502="ส่งแล้ว",IF(H502="","ส่งแล้ว",IF(INT(H502)&lt;INT(G502),"ส่งก่อนกำหนด "&amp;(INT(G502)-INT(H502))&amp;" วัน",IF(INT(H502)=INT(G502),"ส่งตรงกำหนด","ส่งล่าช้า "&amp;(INT(H502)-INT(G502))&amp;" วัน"))),IFS(G502&lt;TODAY(),"เกินกำหนด "&amp;(TODAY()-G502)&amp;" วัน",G502=TODAY(),"ครบกำหนดวันนี้",G502-TODAY()&lt;=3,"เร่งดำเนินการ",G502-TODAY()&lt;=5,"ต้องติดตาม",G502-TODAY()&lt;=10,"ใกล้ครบกำหนด",TRUE,"อยู่ระหว่างดำเนินการ"))))</x:f>
      </x:c>
      <x:c r="L502" s="114" t="str">
        <x:f>IF(OR(A502="",P502=""),"",HYPERLINK(P502,"เปิดใน Google Calendar"))</x:f>
      </x:c>
      <x:c r="M502" s="111"/>
      <x:c r="N502" s="123"/>
      <x:c r="O502" s="123"/>
      <x:c r="P502" s="123"/>
      <x:c r="Q502" s="126" t="b">
        <x:v>0</x:v>
      </x:c>
      <x:c r="R502" s="126" t="b">
        <x:v>0</x:v>
      </x:c>
      <x:c r="S502" s="126" t="b">
        <x:v>0</x:v>
      </x:c>
      <x:c r="T502" s="126" t="b">
        <x:v>0</x:v>
      </x:c>
      <x:c r="U502" s="144"/>
      <x:c r="V502" s="123"/>
      <x:c r="W502" s="123"/>
      <x:c r="X502" s="126" t="b">
        <x:v>0</x:v>
      </x:c>
    </x:row>
    <x:row r="503" ht="18" customHeight="1">
      <x:c r="A503" s="111"/>
      <x:c r="B503" s="111"/>
      <x:c r="C503" s="111"/>
      <x:c r="D503" s="111"/>
      <x:c r="E503" s="129"/>
      <x:c r="F503" s="138"/>
      <x:c r="G503" s="133" t="str">
        <x:f>IF(OR(A503="",E503="",F503=""),"",E503+F503-IF('ตั้งค่า'!$B$12="นับรวมวันเซ็น",1,0))</x:f>
      </x:c>
      <x:c r="H503" s="134"/>
      <x:c r="I503" s="117" t="str">
        <x:v>ยังไม่ส่ง</x:v>
      </x:c>
      <x:c r="J503" s="141" t="str">
        <x:f>IF(A503="","",IF(G503="","",IF(I503="ส่งแล้ว",0,G503-TODAY())))</x:f>
      </x:c>
      <x:c r="K503" s="114" t="str">
        <x:f>IF(A503="","",IF(G503="","ยังไม่ระบุวัน",IF(I503="ส่งแล้ว",IF(H503="","ส่งแล้ว",IF(INT(H503)&lt;INT(G503),"ส่งก่อนกำหนด "&amp;(INT(G503)-INT(H503))&amp;" วัน",IF(INT(H503)=INT(G503),"ส่งตรงกำหนด","ส่งล่าช้า "&amp;(INT(H503)-INT(G503))&amp;" วัน"))),IFS(G503&lt;TODAY(),"เกินกำหนด "&amp;(TODAY()-G503)&amp;" วัน",G503=TODAY(),"ครบกำหนดวันนี้",G503-TODAY()&lt;=3,"เร่งดำเนินการ",G503-TODAY()&lt;=5,"ต้องติดตาม",G503-TODAY()&lt;=10,"ใกล้ครบกำหนด",TRUE,"อยู่ระหว่างดำเนินการ"))))</x:f>
      </x:c>
      <x:c r="L503" s="114" t="str">
        <x:f>IF(OR(A503="",P503=""),"",HYPERLINK(P503,"เปิดใน Google Calendar"))</x:f>
      </x:c>
      <x:c r="M503" s="111"/>
      <x:c r="N503" s="123"/>
      <x:c r="O503" s="123"/>
      <x:c r="P503" s="123"/>
      <x:c r="Q503" s="126" t="b">
        <x:v>0</x:v>
      </x:c>
      <x:c r="R503" s="126" t="b">
        <x:v>0</x:v>
      </x:c>
      <x:c r="S503" s="126" t="b">
        <x:v>0</x:v>
      </x:c>
      <x:c r="T503" s="126" t="b">
        <x:v>0</x:v>
      </x:c>
      <x:c r="U503" s="144"/>
      <x:c r="V503" s="123"/>
      <x:c r="W503" s="123"/>
      <x:c r="X503" s="126" t="b">
        <x:v>0</x:v>
      </x:c>
    </x:row>
    <x:row r="504" ht="18" customHeight="1">
      <x:c r="A504" s="111"/>
      <x:c r="B504" s="111"/>
      <x:c r="C504" s="111"/>
      <x:c r="D504" s="111"/>
      <x:c r="E504" s="129"/>
      <x:c r="F504" s="138"/>
      <x:c r="G504" s="133" t="str">
        <x:f>IF(OR(A504="",E504="",F504=""),"",E504+F504-IF('ตั้งค่า'!$B$12="นับรวมวันเซ็น",1,0))</x:f>
      </x:c>
      <x:c r="H504" s="134"/>
      <x:c r="I504" s="117" t="str">
        <x:v>ยังไม่ส่ง</x:v>
      </x:c>
      <x:c r="J504" s="141" t="str">
        <x:f>IF(A504="","",IF(G504="","",IF(I504="ส่งแล้ว",0,G504-TODAY())))</x:f>
      </x:c>
      <x:c r="K504" s="114" t="str">
        <x:f>IF(A504="","",IF(G504="","ยังไม่ระบุวัน",IF(I504="ส่งแล้ว",IF(H504="","ส่งแล้ว",IF(INT(H504)&lt;INT(G504),"ส่งก่อนกำหนด "&amp;(INT(G504)-INT(H504))&amp;" วัน",IF(INT(H504)=INT(G504),"ส่งตรงกำหนด","ส่งล่าช้า "&amp;(INT(H504)-INT(G504))&amp;" วัน"))),IFS(G504&lt;TODAY(),"เกินกำหนด "&amp;(TODAY()-G504)&amp;" วัน",G504=TODAY(),"ครบกำหนดวันนี้",G504-TODAY()&lt;=3,"เร่งดำเนินการ",G504-TODAY()&lt;=5,"ต้องติดตาม",G504-TODAY()&lt;=10,"ใกล้ครบกำหนด",TRUE,"อยู่ระหว่างดำเนินการ"))))</x:f>
      </x:c>
      <x:c r="L504" s="114" t="str">
        <x:f>IF(OR(A504="",P504=""),"",HYPERLINK(P504,"เปิดใน Google Calendar"))</x:f>
      </x:c>
      <x:c r="M504" s="111"/>
      <x:c r="N504" s="123"/>
      <x:c r="O504" s="123"/>
      <x:c r="P504" s="123"/>
      <x:c r="Q504" s="126" t="b">
        <x:v>0</x:v>
      </x:c>
      <x:c r="R504" s="126" t="b">
        <x:v>0</x:v>
      </x:c>
      <x:c r="S504" s="126" t="b">
        <x:v>0</x:v>
      </x:c>
      <x:c r="T504" s="126" t="b">
        <x:v>0</x:v>
      </x:c>
      <x:c r="U504" s="144"/>
      <x:c r="V504" s="123"/>
      <x:c r="W504" s="123"/>
      <x:c r="X504" s="126" t="b">
        <x:v>0</x:v>
      </x:c>
    </x:row>
    <x:row r="505" ht="18" customHeight="1">
      <x:c r="A505" s="112"/>
      <x:c r="B505" s="112"/>
      <x:c r="C505" s="112"/>
      <x:c r="D505" s="112"/>
      <x:c r="E505" s="130"/>
      <x:c r="F505" s="139"/>
      <x:c r="G505" s="135" t="str">
        <x:f>IF(OR(A505="",E505="",F505=""),"",E505+F505-IF('ตั้งค่า'!$B$12="นับรวมวันเซ็น",1,0))</x:f>
      </x:c>
      <x:c r="H505" s="136"/>
      <x:c r="I505" s="118" t="str">
        <x:v>ยังไม่ส่ง</x:v>
      </x:c>
      <x:c r="J505" s="142" t="str">
        <x:f>IF(A505="","",IF(G505="","",IF(I505="ส่งแล้ว",0,G505-TODAY())))</x:f>
      </x:c>
      <x:c r="K505" s="115" t="str">
        <x:f>IF(A505="","",IF(G505="","ยังไม่ระบุวัน",IF(I505="ส่งแล้ว",IF(H505="","ส่งแล้ว",IF(INT(H505)&lt;INT(G505),"ส่งก่อนกำหนด "&amp;(INT(G505)-INT(H505))&amp;" วัน",IF(INT(H505)=INT(G505),"ส่งตรงกำหนด","ส่งล่าช้า "&amp;(INT(H505)-INT(G505))&amp;" วัน"))),IFS(G505&lt;TODAY(),"เกินกำหนด "&amp;(TODAY()-G505)&amp;" วัน",G505=TODAY(),"ครบกำหนดวันนี้",G505-TODAY()&lt;=3,"เร่งดำเนินการ",G505-TODAY()&lt;=5,"ต้องติดตาม",G505-TODAY()&lt;=10,"ใกล้ครบกำหนด",TRUE,"อยู่ระหว่างดำเนินการ"))))</x:f>
      </x:c>
      <x:c r="L505" s="115" t="str">
        <x:f>IF(OR(A505="",P505=""),"",HYPERLINK(P505,"เปิดใน Google Calendar"))</x:f>
      </x:c>
      <x:c r="M505" s="112"/>
      <x:c r="N505" s="124"/>
      <x:c r="O505" s="124"/>
      <x:c r="P505" s="124"/>
      <x:c r="Q505" s="127" t="b">
        <x:v>0</x:v>
      </x:c>
      <x:c r="R505" s="127" t="b">
        <x:v>0</x:v>
      </x:c>
      <x:c r="S505" s="127" t="b">
        <x:v>0</x:v>
      </x:c>
      <x:c r="T505" s="127" t="b">
        <x:v>0</x:v>
      </x:c>
      <x:c r="U505" s="145"/>
      <x:c r="V505" s="124"/>
      <x:c r="W505" s="124"/>
      <x:c r="X505" s="127" t="b">
        <x:v>0</x:v>
      </x:c>
    </x:row>
  </x:sheetData>
  <x:mergeCells>
    <x:mergeCell ref="A1:X1"/>
    <x:mergeCell ref="A2:X2"/>
    <x:mergeCell ref="A3:X3"/>
  </x:mergeCells>
  <x:conditionalFormatting sqref="K6:K505">
    <x:cfRule type="containsText" dxfId="0" priority="1" operator="containsText" text="อยู่ระหว่างดำเนินการ"/>
    <x:cfRule type="containsText" dxfId="1" priority="2" operator="containsText" text="ใกล้ครบกำหนด"/>
    <x:cfRule type="containsText" dxfId="2" priority="3" operator="containsText" text="ต้องติดตาม"/>
    <x:cfRule type="containsText" dxfId="3" priority="4" operator="containsText" text="เร่งดำเนินการ"/>
    <x:cfRule type="containsText" dxfId="4" priority="5" operator="containsText" text="ครบกำหนดวันนี้"/>
    <x:cfRule type="containsText" dxfId="5" priority="6" operator="containsText" text="เกินกำหนด"/>
    <x:cfRule type="containsText" dxfId="6" priority="7" operator="containsText" text="ส่งก่อนกำหนด"/>
    <x:cfRule type="containsText" dxfId="7" priority="8" operator="containsText" text="ส่งตรงกำหนด"/>
    <x:cfRule type="containsText" dxfId="8" priority="9" operator="containsText" text="ส่งล่าช้า"/>
  </x:conditionalFormatting>
  <x:conditionalFormatting sqref="I6:I505">
    <x:cfRule type="containsText" dxfId="9" priority="10" operator="containsText" text="ส่งแล้ว"/>
    <x:cfRule type="containsText" dxfId="10" priority="11" operator="containsText" text="ยังไม่ส่ง"/>
  </x:conditionalFormatting>
  <x:dataValidations count="1">
    <x:dataValidation type="list" sqref="I6:I505">
      <x:formula1>"ยังไม่ส่ง,ส่งแล้ว"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28.889999389648438" hidden="0" customWidth="1"/>
    <x:col min="3" max="3" width="11.670000076293945" hidden="0" customWidth="1"/>
    <x:col min="4" max="4" width="11.670000076293945" hidden="0" customWidth="1"/>
    <x:col min="5" max="5" width="19.440000534057617" hidden="0" customWidth="1"/>
    <x:col min="6" max="6" width="4.21999979019165" hidden="0" customWidth="1"/>
    <x:col min="7" max="7" width="4.21999979019165" hidden="0" customWidth="1"/>
    <x:col min="8" max="8" width="4.21999979019165" hidden="0" customWidth="1"/>
    <x:col min="9" max="9" width="4.21999979019165" hidden="0" customWidth="1"/>
    <x:col min="10" max="10" width="4.21999979019165" hidden="0" customWidth="1"/>
    <x:col min="11" max="11" width="4.21999979019165" hidden="0" customWidth="1"/>
    <x:col min="12" max="12" width="4.21999979019165" hidden="0" customWidth="1"/>
    <x:col min="13" max="13" width="4.21999979019165" hidden="0" customWidth="1"/>
    <x:col min="14" max="14" width="4.21999979019165" hidden="0" customWidth="1"/>
    <x:col min="15" max="15" width="4.21999979019165" hidden="0" customWidth="1"/>
    <x:col min="16" max="16" width="4.21999979019165" hidden="0" customWidth="1"/>
    <x:col min="17" max="17" width="4.21999979019165" hidden="0" customWidth="1"/>
    <x:col min="18" max="18" width="4.21999979019165" hidden="0" customWidth="1"/>
    <x:col min="19" max="19" width="4.21999979019165" hidden="0" customWidth="1"/>
    <x:col min="20" max="20" width="4.21999979019165" hidden="0" customWidth="1"/>
    <x:col min="21" max="21" width="4.21999979019165" hidden="0" customWidth="1"/>
    <x:col min="22" max="22" width="4.21999979019165" hidden="0" customWidth="1"/>
    <x:col min="23" max="23" width="4.21999979019165" hidden="0" customWidth="1"/>
    <x:col min="24" max="24" width="4.21999979019165" hidden="0" customWidth="1"/>
    <x:col min="25" max="25" width="4.21999979019165" hidden="0" customWidth="1"/>
    <x:col min="26" max="26" width="4.21999979019165" hidden="0" customWidth="1"/>
    <x:col min="27" max="27" width="4.21999979019165" hidden="0" customWidth="1"/>
    <x:col min="28" max="28" width="4.21999979019165" hidden="0" customWidth="1"/>
    <x:col min="29" max="29" width="4.21999979019165" hidden="0" customWidth="1"/>
    <x:col min="30" max="30" width="4.21999979019165" hidden="0" customWidth="1"/>
    <x:col min="31" max="31" width="4.21999979019165" hidden="0" customWidth="1"/>
    <x:col min="32" max="32" width="4.21999979019165" hidden="0" customWidth="1"/>
    <x:col min="33" max="33" width="4.21999979019165" hidden="0" customWidth="1"/>
    <x:col min="34" max="34" width="4.21999979019165" hidden="0" customWidth="1"/>
    <x:col min="35" max="35" width="4.21999979019165" hidden="0" customWidth="1"/>
    <x:col min="36" max="36" width="4.21999979019165" hidden="0" customWidth="1"/>
    <x:col min="37" max="37" width="4.21999979019165" hidden="0" customWidth="1"/>
    <x:col min="38" max="38" width="4.21999979019165" hidden="0" customWidth="1"/>
    <x:col min="39" max="39" width="4.21999979019165" hidden="0" customWidth="1"/>
    <x:col min="40" max="40" width="4.21999979019165" hidden="0" customWidth="1"/>
    <x:col min="41" max="41" width="4.21999979019165" hidden="0" customWidth="1"/>
    <x:col min="42" max="42" width="4.21999979019165" hidden="0" customWidth="1"/>
    <x:col min="43" max="43" width="4.21999979019165" hidden="0" customWidth="1"/>
    <x:col min="44" max="44" width="4.21999979019165" hidden="0" customWidth="1"/>
    <x:col min="45" max="45" width="4.21999979019165" hidden="0" customWidth="1"/>
    <x:col min="46" max="46" width="4.21999979019165" hidden="0" customWidth="1"/>
    <x:col min="47" max="47" width="4.21999979019165" hidden="0" customWidth="1"/>
    <x:col min="48" max="48" width="4.21999979019165" hidden="0" customWidth="1"/>
    <x:col min="49" max="49" width="4.21999979019165" hidden="0" customWidth="1"/>
    <x:col min="50" max="50" width="4.21999979019165" hidden="0" customWidth="1"/>
    <x:col min="51" max="51" width="4.21999979019165" hidden="0" customWidth="1"/>
    <x:col min="52" max="52" width="4.21999979019165" hidden="0" customWidth="1"/>
    <x:col min="53" max="53" width="4.21999979019165" hidden="0" customWidth="1"/>
    <x:col min="54" max="54" width="4.21999979019165" hidden="0" customWidth="1"/>
    <x:col min="55" max="55" width="4.21999979019165" hidden="0" customWidth="1"/>
    <x:col min="56" max="56" width="4.21999979019165" hidden="0" customWidth="1"/>
    <x:col min="57" max="57" width="4.21999979019165" hidden="0" customWidth="1"/>
    <x:col min="58" max="58" width="4.21999979019165" hidden="0" customWidth="1"/>
    <x:col min="59" max="59" width="4.21999979019165" hidden="0" customWidth="1"/>
    <x:col min="60" max="60" width="4.21999979019165" hidden="0" customWidth="1"/>
    <x:col min="61" max="61" width="4.21999979019165" hidden="0" customWidth="1"/>
    <x:col min="62" max="62" width="4.21999979019165" hidden="0" customWidth="1"/>
    <x:col min="63" max="63" width="4.21999979019165" hidden="0" customWidth="1"/>
    <x:col min="64" max="64" width="4.21999979019165" hidden="0" customWidth="1"/>
    <x:col min="65" max="65" width="4.21999979019165" hidden="0" customWidth="1"/>
    <x:col min="66" max="66" width="4.21999979019165" hidden="0" customWidth="1"/>
    <x:col min="67" max="67" width="4.21999979019165" hidden="0" customWidth="1"/>
    <x:col min="68" max="68" width="4.21999979019165" hidden="0" customWidth="1"/>
    <x:col min="69" max="69" width="4.21999979019165" hidden="0" customWidth="1"/>
    <x:col min="70" max="70" width="4.21999979019165" hidden="0" customWidth="1"/>
    <x:col min="71" max="71" width="4.21999979019165" hidden="0" customWidth="1"/>
    <x:col min="72" max="72" width="4.21999979019165" hidden="0" customWidth="1"/>
    <x:col min="73" max="73" width="4.21999979019165" hidden="0" customWidth="1"/>
    <x:col min="74" max="74" width="4.21999979019165" hidden="0" customWidth="1"/>
    <x:col min="75" max="75" width="4.21999979019165" hidden="0" customWidth="1"/>
  </x:cols>
  <x:sheetData>
    <x:row r="1" ht="25.5" customHeight="1">
      <x:c r="A1" s="4" t="str">
        <x:v>ปฏิทิน Timeline สัญญา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  <x:c r="BK1" s="4"/>
      <x:c r="BL1" s="4"/>
      <x:c r="BM1" s="4"/>
      <x:c r="BN1" s="4"/>
      <x:c r="BO1" s="4"/>
      <x:c r="BP1" s="4"/>
      <x:c r="BQ1" s="4"/>
      <x:c r="BR1" s="4"/>
      <x:c r="BS1" s="4"/>
      <x:c r="BT1" s="4"/>
      <x:c r="BU1" s="4"/>
      <x:c r="BV1" s="4"/>
      <x:c r="BW1" s="4"/>
    </x:row>
    <x:row r="2" ht="21" customHeight="1">
      <x:c r="A2" s="8" t="str">
        <x:v>แสดงเส้นระยะเวลาตั้งแต่วันที่เซ็นถึงวันครบกำหนด เปลี่ยนวันที่เริ่มแสดงได้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/>
      <x:c r="BE2" s="8"/>
      <x:c r="BF2" s="8"/>
      <x:c r="BG2" s="8"/>
      <x:c r="BH2" s="8"/>
      <x:c r="BI2" s="8"/>
      <x:c r="BJ2" s="8"/>
      <x:c r="BK2" s="8"/>
      <x:c r="BL2" s="8"/>
      <x:c r="BM2" s="8"/>
      <x:c r="BN2" s="8"/>
      <x:c r="BO2" s="8"/>
      <x:c r="BP2" s="8"/>
      <x:c r="BQ2" s="8"/>
      <x:c r="BR2" s="8"/>
      <x:c r="BS2" s="8"/>
      <x:c r="BT2" s="8"/>
      <x:c r="BU2" s="8"/>
      <x:c r="BV2" s="8"/>
      <x:c r="BW2" s="8"/>
    </x:row>
    <x:row r="3">
      <x:c r="A3" s="147" t="str">
        <x:v>วันที่เริ่มแสดง</x:v>
      </x:c>
      <x:c r="B3" s="148" t="n">
        <x:f>TODAY()-7</x:f>
        <x:v>46254</x:v>
      </x:c>
      <x:c r="C3" s="147" t="str">
        <x:v>เปลี่ยนวันที่ในช่อง B3 เพื่อเลื่อนช่วงเวลาที่ต้องการดู</x:v>
      </x:c>
      <x:c r="D3" s="147"/>
      <x:c r="E3" s="147"/>
      <x:c r="F3" s="147"/>
      <x:c r="G3" s="147"/>
      <x:c r="H3" s="147"/>
    </x:row>
    <x:row r="5" ht="25.5" customHeight="1">
      <x:c r="A5" s="152" t="str">
        <x:v>ชื่อบริษัท</x:v>
      </x:c>
      <x:c r="B5" s="152" t="str">
        <x:v>ชื่อรายการ</x:v>
      </x:c>
      <x:c r="C5" s="152" t="str">
        <x:v>วันที่เซ็น</x:v>
      </x:c>
      <x:c r="D5" s="152" t="str">
        <x:v>วันครบกำหนด</x:v>
      </x:c>
      <x:c r="E5" s="152" t="str">
        <x:v>สถานะ</x:v>
      </x:c>
      <x:c r="F5" s="153" t="n">
        <x:f>$B$3</x:f>
        <x:v>46254</x:v>
      </x:c>
      <x:c r="G5" s="153" t="n">
        <x:f>F5+1</x:f>
        <x:v>46255</x:v>
      </x:c>
      <x:c r="H5" s="153" t="n">
        <x:f>G5+1</x:f>
        <x:v>46256</x:v>
      </x:c>
      <x:c r="I5" s="153" t="n">
        <x:f>H5+1</x:f>
        <x:v>46257</x:v>
      </x:c>
      <x:c r="J5" s="153" t="n">
        <x:f>I5+1</x:f>
        <x:v>46258</x:v>
      </x:c>
      <x:c r="K5" s="153" t="n">
        <x:f>J5+1</x:f>
        <x:v>46259</x:v>
      </x:c>
      <x:c r="L5" s="153" t="n">
        <x:f>K5+1</x:f>
        <x:v>46260</x:v>
      </x:c>
      <x:c r="M5" s="153" t="n">
        <x:f>L5+1</x:f>
        <x:v>46261</x:v>
      </x:c>
      <x:c r="N5" s="153" t="n">
        <x:f>M5+1</x:f>
        <x:v>46262</x:v>
      </x:c>
      <x:c r="O5" s="153" t="n">
        <x:f>N5+1</x:f>
        <x:v>46263</x:v>
      </x:c>
      <x:c r="P5" s="153" t="n">
        <x:f>O5+1</x:f>
        <x:v>46264</x:v>
      </x:c>
      <x:c r="Q5" s="153" t="n">
        <x:f>P5+1</x:f>
        <x:v>46265</x:v>
      </x:c>
      <x:c r="R5" s="153" t="n">
        <x:f>Q5+1</x:f>
        <x:v>46266</x:v>
      </x:c>
      <x:c r="S5" s="153" t="n">
        <x:f>R5+1</x:f>
        <x:v>46267</x:v>
      </x:c>
      <x:c r="T5" s="153" t="n">
        <x:f>S5+1</x:f>
        <x:v>46268</x:v>
      </x:c>
      <x:c r="U5" s="153" t="n">
        <x:f>T5+1</x:f>
        <x:v>46269</x:v>
      </x:c>
      <x:c r="V5" s="153" t="n">
        <x:f>U5+1</x:f>
        <x:v>46270</x:v>
      </x:c>
      <x:c r="W5" s="153" t="n">
        <x:f>V5+1</x:f>
        <x:v>46271</x:v>
      </x:c>
      <x:c r="X5" s="153" t="n">
        <x:f>W5+1</x:f>
        <x:v>46272</x:v>
      </x:c>
      <x:c r="Y5" s="153" t="n">
        <x:f>X5+1</x:f>
        <x:v>46273</x:v>
      </x:c>
      <x:c r="Z5" s="153" t="n">
        <x:f>Y5+1</x:f>
        <x:v>46274</x:v>
      </x:c>
      <x:c r="AA5" s="153" t="n">
        <x:f>Z5+1</x:f>
        <x:v>46275</x:v>
      </x:c>
      <x:c r="AB5" s="153" t="n">
        <x:f>AA5+1</x:f>
        <x:v>46276</x:v>
      </x:c>
      <x:c r="AC5" s="153" t="n">
        <x:f>AB5+1</x:f>
        <x:v>46277</x:v>
      </x:c>
      <x:c r="AD5" s="153" t="n">
        <x:f>AC5+1</x:f>
        <x:v>46278</x:v>
      </x:c>
      <x:c r="AE5" s="153" t="n">
        <x:f>AD5+1</x:f>
        <x:v>46279</x:v>
      </x:c>
      <x:c r="AF5" s="153" t="n">
        <x:f>AE5+1</x:f>
        <x:v>46280</x:v>
      </x:c>
      <x:c r="AG5" s="153" t="n">
        <x:f>AF5+1</x:f>
        <x:v>46281</x:v>
      </x:c>
      <x:c r="AH5" s="153" t="n">
        <x:f>AG5+1</x:f>
        <x:v>46282</x:v>
      </x:c>
      <x:c r="AI5" s="153" t="n">
        <x:f>AH5+1</x:f>
        <x:v>46283</x:v>
      </x:c>
      <x:c r="AJ5" s="153" t="n">
        <x:f>AI5+1</x:f>
        <x:v>46284</x:v>
      </x:c>
      <x:c r="AK5" s="153" t="n">
        <x:f>AJ5+1</x:f>
        <x:v>46285</x:v>
      </x:c>
      <x:c r="AL5" s="153" t="n">
        <x:f>AK5+1</x:f>
        <x:v>46286</x:v>
      </x:c>
      <x:c r="AM5" s="153" t="n">
        <x:f>AL5+1</x:f>
        <x:v>46287</x:v>
      </x:c>
      <x:c r="AN5" s="153" t="n">
        <x:f>AM5+1</x:f>
        <x:v>46288</x:v>
      </x:c>
      <x:c r="AO5" s="153" t="n">
        <x:f>AN5+1</x:f>
        <x:v>46289</x:v>
      </x:c>
      <x:c r="AP5" s="153" t="n">
        <x:f>AO5+1</x:f>
        <x:v>46290</x:v>
      </x:c>
      <x:c r="AQ5" s="153" t="n">
        <x:f>AP5+1</x:f>
        <x:v>46291</x:v>
      </x:c>
      <x:c r="AR5" s="153" t="n">
        <x:f>AQ5+1</x:f>
        <x:v>46292</x:v>
      </x:c>
      <x:c r="AS5" s="153" t="n">
        <x:f>AR5+1</x:f>
        <x:v>46293</x:v>
      </x:c>
      <x:c r="AT5" s="153" t="n">
        <x:f>AS5+1</x:f>
        <x:v>46294</x:v>
      </x:c>
      <x:c r="AU5" s="153" t="n">
        <x:f>AT5+1</x:f>
        <x:v>46295</x:v>
      </x:c>
      <x:c r="AV5" s="153" t="n">
        <x:f>AU5+1</x:f>
        <x:v>46296</x:v>
      </x:c>
      <x:c r="AW5" s="153" t="n">
        <x:f>AV5+1</x:f>
        <x:v>46297</x:v>
      </x:c>
      <x:c r="AX5" s="153" t="n">
        <x:f>AW5+1</x:f>
        <x:v>46298</x:v>
      </x:c>
      <x:c r="AY5" s="153" t="n">
        <x:f>AX5+1</x:f>
        <x:v>46299</x:v>
      </x:c>
      <x:c r="AZ5" s="153" t="n">
        <x:f>AY5+1</x:f>
        <x:v>46300</x:v>
      </x:c>
      <x:c r="BA5" s="153" t="n">
        <x:f>AZ5+1</x:f>
        <x:v>46301</x:v>
      </x:c>
      <x:c r="BB5" s="153" t="n">
        <x:f>BA5+1</x:f>
        <x:v>46302</x:v>
      </x:c>
      <x:c r="BC5" s="153" t="n">
        <x:f>BB5+1</x:f>
        <x:v>46303</x:v>
      </x:c>
      <x:c r="BD5" s="153" t="n">
        <x:f>BC5+1</x:f>
        <x:v>46304</x:v>
      </x:c>
      <x:c r="BE5" s="153" t="n">
        <x:f>BD5+1</x:f>
        <x:v>46305</x:v>
      </x:c>
      <x:c r="BF5" s="153" t="n">
        <x:f>BE5+1</x:f>
        <x:v>46306</x:v>
      </x:c>
      <x:c r="BG5" s="153" t="n">
        <x:f>BF5+1</x:f>
        <x:v>46307</x:v>
      </x:c>
      <x:c r="BH5" s="153" t="n">
        <x:f>BG5+1</x:f>
        <x:v>46308</x:v>
      </x:c>
      <x:c r="BI5" s="153" t="n">
        <x:f>BH5+1</x:f>
        <x:v>46309</x:v>
      </x:c>
      <x:c r="BJ5" s="153" t="n">
        <x:f>BI5+1</x:f>
        <x:v>46310</x:v>
      </x:c>
      <x:c r="BK5" s="153" t="n">
        <x:f>BJ5+1</x:f>
        <x:v>46311</x:v>
      </x:c>
      <x:c r="BL5" s="153" t="n">
        <x:f>BK5+1</x:f>
        <x:v>46312</x:v>
      </x:c>
      <x:c r="BM5" s="153" t="n">
        <x:f>BL5+1</x:f>
        <x:v>46313</x:v>
      </x:c>
      <x:c r="BN5" s="153" t="n">
        <x:f>BM5+1</x:f>
        <x:v>46314</x:v>
      </x:c>
      <x:c r="BO5" s="153" t="n">
        <x:f>BN5+1</x:f>
        <x:v>46315</x:v>
      </x:c>
      <x:c r="BP5" s="153" t="n">
        <x:f>BO5+1</x:f>
        <x:v>46316</x:v>
      </x:c>
      <x:c r="BQ5" s="153" t="n">
        <x:f>BP5+1</x:f>
        <x:v>46317</x:v>
      </x:c>
      <x:c r="BR5" s="153" t="n">
        <x:f>BQ5+1</x:f>
        <x:v>46318</x:v>
      </x:c>
      <x:c r="BS5" s="153" t="n">
        <x:f>BR5+1</x:f>
        <x:v>46319</x:v>
      </x:c>
      <x:c r="BT5" s="153" t="n">
        <x:f>BS5+1</x:f>
        <x:v>46320</x:v>
      </x:c>
      <x:c r="BU5" s="153" t="n">
        <x:f>BT5+1</x:f>
        <x:v>46321</x:v>
      </x:c>
      <x:c r="BV5" s="153" t="n">
        <x:f>BU5+1</x:f>
        <x:v>46322</x:v>
      </x:c>
      <x:c r="BW5" s="153" t="n">
        <x:f>BV5+1</x:f>
        <x:v>46323</x:v>
      </x:c>
    </x:row>
    <x:row r="6">
      <x:c r="A6" s="158" t="str">
        <x:f>IF('รายการสัญญา'!A6="","",'รายการสัญญา'!A6)</x:f>
      </x:c>
      <x:c r="B6" s="158" t="str">
        <x:f>IF('รายการสัญญา'!A6="","",'รายการสัญญา'!C6)</x:f>
      </x:c>
      <x:c r="C6" s="161" t="str">
        <x:f>IF('รายการสัญญา'!A6="","",'รายการสัญญา'!E6)</x:f>
      </x:c>
      <x:c r="D6" s="161" t="str">
        <x:f>IF('รายการสัญญา'!A6="","",'รายการสัญญา'!G6)</x:f>
      </x:c>
      <x:c r="E6" s="158" t="str">
        <x:f>IF('รายการสัญญา'!A6="","",'รายการสัญญา'!K6)</x:f>
      </x:c>
      <x:c r="F6" s="164" t="str">
        <x:f>IF(AND(F$5&gt;=$C6,F$5&lt;=$D6,$A6&lt;&gt;""),"●","")</x:f>
      </x:c>
      <x:c r="G6" s="164" t="str">
        <x:f>IF(AND(G$5&gt;=$C6,G$5&lt;=$D6,$A6&lt;&gt;""),"●","")</x:f>
      </x:c>
      <x:c r="H6" s="164" t="str">
        <x:f>IF(AND(H$5&gt;=$C6,H$5&lt;=$D6,$A6&lt;&gt;""),"●","")</x:f>
      </x:c>
      <x:c r="I6" s="164" t="str">
        <x:f>IF(AND(I$5&gt;=$C6,I$5&lt;=$D6,$A6&lt;&gt;""),"●","")</x:f>
      </x:c>
      <x:c r="J6" s="164" t="str">
        <x:f>IF(AND(J$5&gt;=$C6,J$5&lt;=$D6,$A6&lt;&gt;""),"●","")</x:f>
      </x:c>
      <x:c r="K6" s="164" t="str">
        <x:f>IF(AND(K$5&gt;=$C6,K$5&lt;=$D6,$A6&lt;&gt;""),"●","")</x:f>
      </x:c>
      <x:c r="L6" s="164" t="str">
        <x:f>IF(AND(L$5&gt;=$C6,L$5&lt;=$D6,$A6&lt;&gt;""),"●","")</x:f>
      </x:c>
      <x:c r="M6" s="164" t="str">
        <x:f>IF(AND(M$5&gt;=$C6,M$5&lt;=$D6,$A6&lt;&gt;""),"●","")</x:f>
      </x:c>
      <x:c r="N6" s="164" t="str">
        <x:f>IF(AND(N$5&gt;=$C6,N$5&lt;=$D6,$A6&lt;&gt;""),"●","")</x:f>
      </x:c>
      <x:c r="O6" s="164" t="str">
        <x:f>IF(AND(O$5&gt;=$C6,O$5&lt;=$D6,$A6&lt;&gt;""),"●","")</x:f>
      </x:c>
      <x:c r="P6" s="164" t="str">
        <x:f>IF(AND(P$5&gt;=$C6,P$5&lt;=$D6,$A6&lt;&gt;""),"●","")</x:f>
      </x:c>
      <x:c r="Q6" s="164" t="str">
        <x:f>IF(AND(Q$5&gt;=$C6,Q$5&lt;=$D6,$A6&lt;&gt;""),"●","")</x:f>
      </x:c>
      <x:c r="R6" s="164" t="str">
        <x:f>IF(AND(R$5&gt;=$C6,R$5&lt;=$D6,$A6&lt;&gt;""),"●","")</x:f>
      </x:c>
      <x:c r="S6" s="164" t="str">
        <x:f>IF(AND(S$5&gt;=$C6,S$5&lt;=$D6,$A6&lt;&gt;""),"●","")</x:f>
      </x:c>
      <x:c r="T6" s="164" t="str">
        <x:f>IF(AND(T$5&gt;=$C6,T$5&lt;=$D6,$A6&lt;&gt;""),"●","")</x:f>
      </x:c>
      <x:c r="U6" s="164" t="str">
        <x:f>IF(AND(U$5&gt;=$C6,U$5&lt;=$D6,$A6&lt;&gt;""),"●","")</x:f>
      </x:c>
      <x:c r="V6" s="164" t="str">
        <x:f>IF(AND(V$5&gt;=$C6,V$5&lt;=$D6,$A6&lt;&gt;""),"●","")</x:f>
      </x:c>
      <x:c r="W6" s="164" t="str">
        <x:f>IF(AND(W$5&gt;=$C6,W$5&lt;=$D6,$A6&lt;&gt;""),"●","")</x:f>
      </x:c>
      <x:c r="X6" s="164" t="str">
        <x:f>IF(AND(X$5&gt;=$C6,X$5&lt;=$D6,$A6&lt;&gt;""),"●","")</x:f>
      </x:c>
      <x:c r="Y6" s="164" t="str">
        <x:f>IF(AND(Y$5&gt;=$C6,Y$5&lt;=$D6,$A6&lt;&gt;""),"●","")</x:f>
      </x:c>
      <x:c r="Z6" s="164" t="str">
        <x:f>IF(AND(Z$5&gt;=$C6,Z$5&lt;=$D6,$A6&lt;&gt;""),"●","")</x:f>
      </x:c>
      <x:c r="AA6" s="164" t="str">
        <x:f>IF(AND(AA$5&gt;=$C6,AA$5&lt;=$D6,$A6&lt;&gt;""),"●","")</x:f>
      </x:c>
      <x:c r="AB6" s="164" t="str">
        <x:f>IF(AND(AB$5&gt;=$C6,AB$5&lt;=$D6,$A6&lt;&gt;""),"●","")</x:f>
      </x:c>
      <x:c r="AC6" s="164" t="str">
        <x:f>IF(AND(AC$5&gt;=$C6,AC$5&lt;=$D6,$A6&lt;&gt;""),"●","")</x:f>
      </x:c>
      <x:c r="AD6" s="164" t="str">
        <x:f>IF(AND(AD$5&gt;=$C6,AD$5&lt;=$D6,$A6&lt;&gt;""),"●","")</x:f>
      </x:c>
      <x:c r="AE6" s="164" t="str">
        <x:f>IF(AND(AE$5&gt;=$C6,AE$5&lt;=$D6,$A6&lt;&gt;""),"●","")</x:f>
      </x:c>
      <x:c r="AF6" s="164" t="str">
        <x:f>IF(AND(AF$5&gt;=$C6,AF$5&lt;=$D6,$A6&lt;&gt;""),"●","")</x:f>
      </x:c>
      <x:c r="AG6" s="164" t="str">
        <x:f>IF(AND(AG$5&gt;=$C6,AG$5&lt;=$D6,$A6&lt;&gt;""),"●","")</x:f>
      </x:c>
      <x:c r="AH6" s="164" t="str">
        <x:f>IF(AND(AH$5&gt;=$C6,AH$5&lt;=$D6,$A6&lt;&gt;""),"●","")</x:f>
      </x:c>
      <x:c r="AI6" s="164" t="str">
        <x:f>IF(AND(AI$5&gt;=$C6,AI$5&lt;=$D6,$A6&lt;&gt;""),"●","")</x:f>
      </x:c>
      <x:c r="AJ6" s="164" t="str">
        <x:f>IF(AND(AJ$5&gt;=$C6,AJ$5&lt;=$D6,$A6&lt;&gt;""),"●","")</x:f>
      </x:c>
      <x:c r="AK6" s="164" t="str">
        <x:f>IF(AND(AK$5&gt;=$C6,AK$5&lt;=$D6,$A6&lt;&gt;""),"●","")</x:f>
      </x:c>
      <x:c r="AL6" s="164" t="str">
        <x:f>IF(AND(AL$5&gt;=$C6,AL$5&lt;=$D6,$A6&lt;&gt;""),"●","")</x:f>
      </x:c>
      <x:c r="AM6" s="164" t="str">
        <x:f>IF(AND(AM$5&gt;=$C6,AM$5&lt;=$D6,$A6&lt;&gt;""),"●","")</x:f>
      </x:c>
      <x:c r="AN6" s="164" t="str">
        <x:f>IF(AND(AN$5&gt;=$C6,AN$5&lt;=$D6,$A6&lt;&gt;""),"●","")</x:f>
      </x:c>
      <x:c r="AO6" s="164" t="str">
        <x:f>IF(AND(AO$5&gt;=$C6,AO$5&lt;=$D6,$A6&lt;&gt;""),"●","")</x:f>
      </x:c>
      <x:c r="AP6" s="164" t="str">
        <x:f>IF(AND(AP$5&gt;=$C6,AP$5&lt;=$D6,$A6&lt;&gt;""),"●","")</x:f>
      </x:c>
      <x:c r="AQ6" s="164" t="str">
        <x:f>IF(AND(AQ$5&gt;=$C6,AQ$5&lt;=$D6,$A6&lt;&gt;""),"●","")</x:f>
      </x:c>
      <x:c r="AR6" s="164" t="str">
        <x:f>IF(AND(AR$5&gt;=$C6,AR$5&lt;=$D6,$A6&lt;&gt;""),"●","")</x:f>
      </x:c>
      <x:c r="AS6" s="164" t="str">
        <x:f>IF(AND(AS$5&gt;=$C6,AS$5&lt;=$D6,$A6&lt;&gt;""),"●","")</x:f>
      </x:c>
      <x:c r="AT6" s="164" t="str">
        <x:f>IF(AND(AT$5&gt;=$C6,AT$5&lt;=$D6,$A6&lt;&gt;""),"●","")</x:f>
      </x:c>
      <x:c r="AU6" s="164" t="str">
        <x:f>IF(AND(AU$5&gt;=$C6,AU$5&lt;=$D6,$A6&lt;&gt;""),"●","")</x:f>
      </x:c>
      <x:c r="AV6" s="164" t="str">
        <x:f>IF(AND(AV$5&gt;=$C6,AV$5&lt;=$D6,$A6&lt;&gt;""),"●","")</x:f>
      </x:c>
      <x:c r="AW6" s="164" t="str">
        <x:f>IF(AND(AW$5&gt;=$C6,AW$5&lt;=$D6,$A6&lt;&gt;""),"●","")</x:f>
      </x:c>
      <x:c r="AX6" s="164" t="str">
        <x:f>IF(AND(AX$5&gt;=$C6,AX$5&lt;=$D6,$A6&lt;&gt;""),"●","")</x:f>
      </x:c>
      <x:c r="AY6" s="164" t="str">
        <x:f>IF(AND(AY$5&gt;=$C6,AY$5&lt;=$D6,$A6&lt;&gt;""),"●","")</x:f>
      </x:c>
      <x:c r="AZ6" s="164" t="str">
        <x:f>IF(AND(AZ$5&gt;=$C6,AZ$5&lt;=$D6,$A6&lt;&gt;""),"●","")</x:f>
      </x:c>
      <x:c r="BA6" s="164" t="str">
        <x:f>IF(AND(BA$5&gt;=$C6,BA$5&lt;=$D6,$A6&lt;&gt;""),"●","")</x:f>
      </x:c>
      <x:c r="BB6" s="164" t="str">
        <x:f>IF(AND(BB$5&gt;=$C6,BB$5&lt;=$D6,$A6&lt;&gt;""),"●","")</x:f>
      </x:c>
      <x:c r="BC6" s="164" t="str">
        <x:f>IF(AND(BC$5&gt;=$C6,BC$5&lt;=$D6,$A6&lt;&gt;""),"●","")</x:f>
      </x:c>
      <x:c r="BD6" s="164" t="str">
        <x:f>IF(AND(BD$5&gt;=$C6,BD$5&lt;=$D6,$A6&lt;&gt;""),"●","")</x:f>
      </x:c>
      <x:c r="BE6" s="164" t="str">
        <x:f>IF(AND(BE$5&gt;=$C6,BE$5&lt;=$D6,$A6&lt;&gt;""),"●","")</x:f>
      </x:c>
      <x:c r="BF6" s="164" t="str">
        <x:f>IF(AND(BF$5&gt;=$C6,BF$5&lt;=$D6,$A6&lt;&gt;""),"●","")</x:f>
      </x:c>
      <x:c r="BG6" s="164" t="str">
        <x:f>IF(AND(BG$5&gt;=$C6,BG$5&lt;=$D6,$A6&lt;&gt;""),"●","")</x:f>
      </x:c>
      <x:c r="BH6" s="164" t="str">
        <x:f>IF(AND(BH$5&gt;=$C6,BH$5&lt;=$D6,$A6&lt;&gt;""),"●","")</x:f>
      </x:c>
      <x:c r="BI6" s="164" t="str">
        <x:f>IF(AND(BI$5&gt;=$C6,BI$5&lt;=$D6,$A6&lt;&gt;""),"●","")</x:f>
      </x:c>
      <x:c r="BJ6" s="164" t="str">
        <x:f>IF(AND(BJ$5&gt;=$C6,BJ$5&lt;=$D6,$A6&lt;&gt;""),"●","")</x:f>
      </x:c>
      <x:c r="BK6" s="164" t="str">
        <x:f>IF(AND(BK$5&gt;=$C6,BK$5&lt;=$D6,$A6&lt;&gt;""),"●","")</x:f>
      </x:c>
      <x:c r="BL6" s="164" t="str">
        <x:f>IF(AND(BL$5&gt;=$C6,BL$5&lt;=$D6,$A6&lt;&gt;""),"●","")</x:f>
      </x:c>
      <x:c r="BM6" s="164" t="str">
        <x:f>IF(AND(BM$5&gt;=$C6,BM$5&lt;=$D6,$A6&lt;&gt;""),"●","")</x:f>
      </x:c>
      <x:c r="BN6" s="164" t="str">
        <x:f>IF(AND(BN$5&gt;=$C6,BN$5&lt;=$D6,$A6&lt;&gt;""),"●","")</x:f>
      </x:c>
      <x:c r="BO6" s="164" t="str">
        <x:f>IF(AND(BO$5&gt;=$C6,BO$5&lt;=$D6,$A6&lt;&gt;""),"●","")</x:f>
      </x:c>
      <x:c r="BP6" s="164" t="str">
        <x:f>IF(AND(BP$5&gt;=$C6,BP$5&lt;=$D6,$A6&lt;&gt;""),"●","")</x:f>
      </x:c>
      <x:c r="BQ6" s="164" t="str">
        <x:f>IF(AND(BQ$5&gt;=$C6,BQ$5&lt;=$D6,$A6&lt;&gt;""),"●","")</x:f>
      </x:c>
      <x:c r="BR6" s="164" t="str">
        <x:f>IF(AND(BR$5&gt;=$C6,BR$5&lt;=$D6,$A6&lt;&gt;""),"●","")</x:f>
      </x:c>
      <x:c r="BS6" s="164" t="str">
        <x:f>IF(AND(BS$5&gt;=$C6,BS$5&lt;=$D6,$A6&lt;&gt;""),"●","")</x:f>
      </x:c>
      <x:c r="BT6" s="164" t="str">
        <x:f>IF(AND(BT$5&gt;=$C6,BT$5&lt;=$D6,$A6&lt;&gt;""),"●","")</x:f>
      </x:c>
      <x:c r="BU6" s="164" t="str">
        <x:f>IF(AND(BU$5&gt;=$C6,BU$5&lt;=$D6,$A6&lt;&gt;""),"●","")</x:f>
      </x:c>
      <x:c r="BV6" s="164" t="str">
        <x:f>IF(AND(BV$5&gt;=$C6,BV$5&lt;=$D6,$A6&lt;&gt;""),"●","")</x:f>
      </x:c>
      <x:c r="BW6" s="164" t="str">
        <x:f>IF(AND(BW$5&gt;=$C6,BW$5&lt;=$D6,$A6&lt;&gt;""),"●","")</x:f>
      </x:c>
    </x:row>
    <x:row r="7">
      <x:c r="A7" s="159" t="str">
        <x:f>IF('รายการสัญญา'!A7="","",'รายการสัญญา'!A7)</x:f>
      </x:c>
      <x:c r="B7" s="159" t="str">
        <x:f>IF('รายการสัญญา'!A7="","",'รายการสัญญา'!C7)</x:f>
      </x:c>
      <x:c r="C7" s="162" t="str">
        <x:f>IF('รายการสัญญา'!A7="","",'รายการสัญญา'!E7)</x:f>
      </x:c>
      <x:c r="D7" s="162" t="str">
        <x:f>IF('รายการสัญญา'!A7="","",'รายการสัญญา'!G7)</x:f>
      </x:c>
      <x:c r="E7" s="159" t="str">
        <x:f>IF('รายการสัญญา'!A7="","",'รายการสัญญา'!K7)</x:f>
      </x:c>
      <x:c r="F7" s="165" t="str">
        <x:f>IF(AND(F$5&gt;=$C7,F$5&lt;=$D7,$A7&lt;&gt;""),"●","")</x:f>
      </x:c>
      <x:c r="G7" s="165" t="str">
        <x:f>IF(AND(G$5&gt;=$C7,G$5&lt;=$D7,$A7&lt;&gt;""),"●","")</x:f>
      </x:c>
      <x:c r="H7" s="165" t="str">
        <x:f>IF(AND(H$5&gt;=$C7,H$5&lt;=$D7,$A7&lt;&gt;""),"●","")</x:f>
      </x:c>
      <x:c r="I7" s="165" t="str">
        <x:f>IF(AND(I$5&gt;=$C7,I$5&lt;=$D7,$A7&lt;&gt;""),"●","")</x:f>
      </x:c>
      <x:c r="J7" s="165" t="str">
        <x:f>IF(AND(J$5&gt;=$C7,J$5&lt;=$D7,$A7&lt;&gt;""),"●","")</x:f>
      </x:c>
      <x:c r="K7" s="165" t="str">
        <x:f>IF(AND(K$5&gt;=$C7,K$5&lt;=$D7,$A7&lt;&gt;""),"●","")</x:f>
      </x:c>
      <x:c r="L7" s="165" t="str">
        <x:f>IF(AND(L$5&gt;=$C7,L$5&lt;=$D7,$A7&lt;&gt;""),"●","")</x:f>
      </x:c>
      <x:c r="M7" s="165" t="str">
        <x:f>IF(AND(M$5&gt;=$C7,M$5&lt;=$D7,$A7&lt;&gt;""),"●","")</x:f>
      </x:c>
      <x:c r="N7" s="165" t="str">
        <x:f>IF(AND(N$5&gt;=$C7,N$5&lt;=$D7,$A7&lt;&gt;""),"●","")</x:f>
      </x:c>
      <x:c r="O7" s="165" t="str">
        <x:f>IF(AND(O$5&gt;=$C7,O$5&lt;=$D7,$A7&lt;&gt;""),"●","")</x:f>
      </x:c>
      <x:c r="P7" s="165" t="str">
        <x:f>IF(AND(P$5&gt;=$C7,P$5&lt;=$D7,$A7&lt;&gt;""),"●","")</x:f>
      </x:c>
      <x:c r="Q7" s="165" t="str">
        <x:f>IF(AND(Q$5&gt;=$C7,Q$5&lt;=$D7,$A7&lt;&gt;""),"●","")</x:f>
      </x:c>
      <x:c r="R7" s="165" t="str">
        <x:f>IF(AND(R$5&gt;=$C7,R$5&lt;=$D7,$A7&lt;&gt;""),"●","")</x:f>
      </x:c>
      <x:c r="S7" s="165" t="str">
        <x:f>IF(AND(S$5&gt;=$C7,S$5&lt;=$D7,$A7&lt;&gt;""),"●","")</x:f>
      </x:c>
      <x:c r="T7" s="165" t="str">
        <x:f>IF(AND(T$5&gt;=$C7,T$5&lt;=$D7,$A7&lt;&gt;""),"●","")</x:f>
      </x:c>
      <x:c r="U7" s="165" t="str">
        <x:f>IF(AND(U$5&gt;=$C7,U$5&lt;=$D7,$A7&lt;&gt;""),"●","")</x:f>
      </x:c>
      <x:c r="V7" s="165" t="str">
        <x:f>IF(AND(V$5&gt;=$C7,V$5&lt;=$D7,$A7&lt;&gt;""),"●","")</x:f>
      </x:c>
      <x:c r="W7" s="165" t="str">
        <x:f>IF(AND(W$5&gt;=$C7,W$5&lt;=$D7,$A7&lt;&gt;""),"●","")</x:f>
      </x:c>
      <x:c r="X7" s="165" t="str">
        <x:f>IF(AND(X$5&gt;=$C7,X$5&lt;=$D7,$A7&lt;&gt;""),"●","")</x:f>
      </x:c>
      <x:c r="Y7" s="165" t="str">
        <x:f>IF(AND(Y$5&gt;=$C7,Y$5&lt;=$D7,$A7&lt;&gt;""),"●","")</x:f>
      </x:c>
      <x:c r="Z7" s="165" t="str">
        <x:f>IF(AND(Z$5&gt;=$C7,Z$5&lt;=$D7,$A7&lt;&gt;""),"●","")</x:f>
      </x:c>
      <x:c r="AA7" s="165" t="str">
        <x:f>IF(AND(AA$5&gt;=$C7,AA$5&lt;=$D7,$A7&lt;&gt;""),"●","")</x:f>
      </x:c>
      <x:c r="AB7" s="165" t="str">
        <x:f>IF(AND(AB$5&gt;=$C7,AB$5&lt;=$D7,$A7&lt;&gt;""),"●","")</x:f>
      </x:c>
      <x:c r="AC7" s="165" t="str">
        <x:f>IF(AND(AC$5&gt;=$C7,AC$5&lt;=$D7,$A7&lt;&gt;""),"●","")</x:f>
      </x:c>
      <x:c r="AD7" s="165" t="str">
        <x:f>IF(AND(AD$5&gt;=$C7,AD$5&lt;=$D7,$A7&lt;&gt;""),"●","")</x:f>
      </x:c>
      <x:c r="AE7" s="165" t="str">
        <x:f>IF(AND(AE$5&gt;=$C7,AE$5&lt;=$D7,$A7&lt;&gt;""),"●","")</x:f>
      </x:c>
      <x:c r="AF7" s="165" t="str">
        <x:f>IF(AND(AF$5&gt;=$C7,AF$5&lt;=$D7,$A7&lt;&gt;""),"●","")</x:f>
      </x:c>
      <x:c r="AG7" s="165" t="str">
        <x:f>IF(AND(AG$5&gt;=$C7,AG$5&lt;=$D7,$A7&lt;&gt;""),"●","")</x:f>
      </x:c>
      <x:c r="AH7" s="165" t="str">
        <x:f>IF(AND(AH$5&gt;=$C7,AH$5&lt;=$D7,$A7&lt;&gt;""),"●","")</x:f>
      </x:c>
      <x:c r="AI7" s="165" t="str">
        <x:f>IF(AND(AI$5&gt;=$C7,AI$5&lt;=$D7,$A7&lt;&gt;""),"●","")</x:f>
      </x:c>
      <x:c r="AJ7" s="165" t="str">
        <x:f>IF(AND(AJ$5&gt;=$C7,AJ$5&lt;=$D7,$A7&lt;&gt;""),"●","")</x:f>
      </x:c>
      <x:c r="AK7" s="165" t="str">
        <x:f>IF(AND(AK$5&gt;=$C7,AK$5&lt;=$D7,$A7&lt;&gt;""),"●","")</x:f>
      </x:c>
      <x:c r="AL7" s="165" t="str">
        <x:f>IF(AND(AL$5&gt;=$C7,AL$5&lt;=$D7,$A7&lt;&gt;""),"●","")</x:f>
      </x:c>
      <x:c r="AM7" s="165" t="str">
        <x:f>IF(AND(AM$5&gt;=$C7,AM$5&lt;=$D7,$A7&lt;&gt;""),"●","")</x:f>
      </x:c>
      <x:c r="AN7" s="165" t="str">
        <x:f>IF(AND(AN$5&gt;=$C7,AN$5&lt;=$D7,$A7&lt;&gt;""),"●","")</x:f>
      </x:c>
      <x:c r="AO7" s="165" t="str">
        <x:f>IF(AND(AO$5&gt;=$C7,AO$5&lt;=$D7,$A7&lt;&gt;""),"●","")</x:f>
      </x:c>
      <x:c r="AP7" s="165" t="str">
        <x:f>IF(AND(AP$5&gt;=$C7,AP$5&lt;=$D7,$A7&lt;&gt;""),"●","")</x:f>
      </x:c>
      <x:c r="AQ7" s="165" t="str">
        <x:f>IF(AND(AQ$5&gt;=$C7,AQ$5&lt;=$D7,$A7&lt;&gt;""),"●","")</x:f>
      </x:c>
      <x:c r="AR7" s="165" t="str">
        <x:f>IF(AND(AR$5&gt;=$C7,AR$5&lt;=$D7,$A7&lt;&gt;""),"●","")</x:f>
      </x:c>
      <x:c r="AS7" s="165" t="str">
        <x:f>IF(AND(AS$5&gt;=$C7,AS$5&lt;=$D7,$A7&lt;&gt;""),"●","")</x:f>
      </x:c>
      <x:c r="AT7" s="165" t="str">
        <x:f>IF(AND(AT$5&gt;=$C7,AT$5&lt;=$D7,$A7&lt;&gt;""),"●","")</x:f>
      </x:c>
      <x:c r="AU7" s="165" t="str">
        <x:f>IF(AND(AU$5&gt;=$C7,AU$5&lt;=$D7,$A7&lt;&gt;""),"●","")</x:f>
      </x:c>
      <x:c r="AV7" s="165" t="str">
        <x:f>IF(AND(AV$5&gt;=$C7,AV$5&lt;=$D7,$A7&lt;&gt;""),"●","")</x:f>
      </x:c>
      <x:c r="AW7" s="165" t="str">
        <x:f>IF(AND(AW$5&gt;=$C7,AW$5&lt;=$D7,$A7&lt;&gt;""),"●","")</x:f>
      </x:c>
      <x:c r="AX7" s="165" t="str">
        <x:f>IF(AND(AX$5&gt;=$C7,AX$5&lt;=$D7,$A7&lt;&gt;""),"●","")</x:f>
      </x:c>
      <x:c r="AY7" s="165" t="str">
        <x:f>IF(AND(AY$5&gt;=$C7,AY$5&lt;=$D7,$A7&lt;&gt;""),"●","")</x:f>
      </x:c>
      <x:c r="AZ7" s="165" t="str">
        <x:f>IF(AND(AZ$5&gt;=$C7,AZ$5&lt;=$D7,$A7&lt;&gt;""),"●","")</x:f>
      </x:c>
      <x:c r="BA7" s="165" t="str">
        <x:f>IF(AND(BA$5&gt;=$C7,BA$5&lt;=$D7,$A7&lt;&gt;""),"●","")</x:f>
      </x:c>
      <x:c r="BB7" s="165" t="str">
        <x:f>IF(AND(BB$5&gt;=$C7,BB$5&lt;=$D7,$A7&lt;&gt;""),"●","")</x:f>
      </x:c>
      <x:c r="BC7" s="165" t="str">
        <x:f>IF(AND(BC$5&gt;=$C7,BC$5&lt;=$D7,$A7&lt;&gt;""),"●","")</x:f>
      </x:c>
      <x:c r="BD7" s="165" t="str">
        <x:f>IF(AND(BD$5&gt;=$C7,BD$5&lt;=$D7,$A7&lt;&gt;""),"●","")</x:f>
      </x:c>
      <x:c r="BE7" s="165" t="str">
        <x:f>IF(AND(BE$5&gt;=$C7,BE$5&lt;=$D7,$A7&lt;&gt;""),"●","")</x:f>
      </x:c>
      <x:c r="BF7" s="165" t="str">
        <x:f>IF(AND(BF$5&gt;=$C7,BF$5&lt;=$D7,$A7&lt;&gt;""),"●","")</x:f>
      </x:c>
      <x:c r="BG7" s="165" t="str">
        <x:f>IF(AND(BG$5&gt;=$C7,BG$5&lt;=$D7,$A7&lt;&gt;""),"●","")</x:f>
      </x:c>
      <x:c r="BH7" s="165" t="str">
        <x:f>IF(AND(BH$5&gt;=$C7,BH$5&lt;=$D7,$A7&lt;&gt;""),"●","")</x:f>
      </x:c>
      <x:c r="BI7" s="165" t="str">
        <x:f>IF(AND(BI$5&gt;=$C7,BI$5&lt;=$D7,$A7&lt;&gt;""),"●","")</x:f>
      </x:c>
      <x:c r="BJ7" s="165" t="str">
        <x:f>IF(AND(BJ$5&gt;=$C7,BJ$5&lt;=$D7,$A7&lt;&gt;""),"●","")</x:f>
      </x:c>
      <x:c r="BK7" s="165" t="str">
        <x:f>IF(AND(BK$5&gt;=$C7,BK$5&lt;=$D7,$A7&lt;&gt;""),"●","")</x:f>
      </x:c>
      <x:c r="BL7" s="165" t="str">
        <x:f>IF(AND(BL$5&gt;=$C7,BL$5&lt;=$D7,$A7&lt;&gt;""),"●","")</x:f>
      </x:c>
      <x:c r="BM7" s="165" t="str">
        <x:f>IF(AND(BM$5&gt;=$C7,BM$5&lt;=$D7,$A7&lt;&gt;""),"●","")</x:f>
      </x:c>
      <x:c r="BN7" s="165" t="str">
        <x:f>IF(AND(BN$5&gt;=$C7,BN$5&lt;=$D7,$A7&lt;&gt;""),"●","")</x:f>
      </x:c>
      <x:c r="BO7" s="165" t="str">
        <x:f>IF(AND(BO$5&gt;=$C7,BO$5&lt;=$D7,$A7&lt;&gt;""),"●","")</x:f>
      </x:c>
      <x:c r="BP7" s="165" t="str">
        <x:f>IF(AND(BP$5&gt;=$C7,BP$5&lt;=$D7,$A7&lt;&gt;""),"●","")</x:f>
      </x:c>
      <x:c r="BQ7" s="165" t="str">
        <x:f>IF(AND(BQ$5&gt;=$C7,BQ$5&lt;=$D7,$A7&lt;&gt;""),"●","")</x:f>
      </x:c>
      <x:c r="BR7" s="165" t="str">
        <x:f>IF(AND(BR$5&gt;=$C7,BR$5&lt;=$D7,$A7&lt;&gt;""),"●","")</x:f>
      </x:c>
      <x:c r="BS7" s="165" t="str">
        <x:f>IF(AND(BS$5&gt;=$C7,BS$5&lt;=$D7,$A7&lt;&gt;""),"●","")</x:f>
      </x:c>
      <x:c r="BT7" s="165" t="str">
        <x:f>IF(AND(BT$5&gt;=$C7,BT$5&lt;=$D7,$A7&lt;&gt;""),"●","")</x:f>
      </x:c>
      <x:c r="BU7" s="165" t="str">
        <x:f>IF(AND(BU$5&gt;=$C7,BU$5&lt;=$D7,$A7&lt;&gt;""),"●","")</x:f>
      </x:c>
      <x:c r="BV7" s="165" t="str">
        <x:f>IF(AND(BV$5&gt;=$C7,BV$5&lt;=$D7,$A7&lt;&gt;""),"●","")</x:f>
      </x:c>
      <x:c r="BW7" s="165" t="str">
        <x:f>IF(AND(BW$5&gt;=$C7,BW$5&lt;=$D7,$A7&lt;&gt;""),"●","")</x:f>
      </x:c>
    </x:row>
    <x:row r="8">
      <x:c r="A8" s="159" t="str">
        <x:f>IF('รายการสัญญา'!A8="","",'รายการสัญญา'!A8)</x:f>
      </x:c>
      <x:c r="B8" s="159" t="str">
        <x:f>IF('รายการสัญญา'!A8="","",'รายการสัญญา'!C8)</x:f>
      </x:c>
      <x:c r="C8" s="162" t="str">
        <x:f>IF('รายการสัญญา'!A8="","",'รายการสัญญา'!E8)</x:f>
      </x:c>
      <x:c r="D8" s="162" t="str">
        <x:f>IF('รายการสัญญา'!A8="","",'รายการสัญญา'!G8)</x:f>
      </x:c>
      <x:c r="E8" s="159" t="str">
        <x:f>IF('รายการสัญญา'!A8="","",'รายการสัญญา'!K8)</x:f>
      </x:c>
      <x:c r="F8" s="165" t="str">
        <x:f>IF(AND(F$5&gt;=$C8,F$5&lt;=$D8,$A8&lt;&gt;""),"●","")</x:f>
      </x:c>
      <x:c r="G8" s="165" t="str">
        <x:f>IF(AND(G$5&gt;=$C8,G$5&lt;=$D8,$A8&lt;&gt;""),"●","")</x:f>
      </x:c>
      <x:c r="H8" s="165" t="str">
        <x:f>IF(AND(H$5&gt;=$C8,H$5&lt;=$D8,$A8&lt;&gt;""),"●","")</x:f>
      </x:c>
      <x:c r="I8" s="165" t="str">
        <x:f>IF(AND(I$5&gt;=$C8,I$5&lt;=$D8,$A8&lt;&gt;""),"●","")</x:f>
      </x:c>
      <x:c r="J8" s="165" t="str">
        <x:f>IF(AND(J$5&gt;=$C8,J$5&lt;=$D8,$A8&lt;&gt;""),"●","")</x:f>
      </x:c>
      <x:c r="K8" s="165" t="str">
        <x:f>IF(AND(K$5&gt;=$C8,K$5&lt;=$D8,$A8&lt;&gt;""),"●","")</x:f>
      </x:c>
      <x:c r="L8" s="165" t="str">
        <x:f>IF(AND(L$5&gt;=$C8,L$5&lt;=$D8,$A8&lt;&gt;""),"●","")</x:f>
      </x:c>
      <x:c r="M8" s="165" t="str">
        <x:f>IF(AND(M$5&gt;=$C8,M$5&lt;=$D8,$A8&lt;&gt;""),"●","")</x:f>
      </x:c>
      <x:c r="N8" s="165" t="str">
        <x:f>IF(AND(N$5&gt;=$C8,N$5&lt;=$D8,$A8&lt;&gt;""),"●","")</x:f>
      </x:c>
      <x:c r="O8" s="165" t="str">
        <x:f>IF(AND(O$5&gt;=$C8,O$5&lt;=$D8,$A8&lt;&gt;""),"●","")</x:f>
      </x:c>
      <x:c r="P8" s="165" t="str">
        <x:f>IF(AND(P$5&gt;=$C8,P$5&lt;=$D8,$A8&lt;&gt;""),"●","")</x:f>
      </x:c>
      <x:c r="Q8" s="165" t="str">
        <x:f>IF(AND(Q$5&gt;=$C8,Q$5&lt;=$D8,$A8&lt;&gt;""),"●","")</x:f>
      </x:c>
      <x:c r="R8" s="165" t="str">
        <x:f>IF(AND(R$5&gt;=$C8,R$5&lt;=$D8,$A8&lt;&gt;""),"●","")</x:f>
      </x:c>
      <x:c r="S8" s="165" t="str">
        <x:f>IF(AND(S$5&gt;=$C8,S$5&lt;=$D8,$A8&lt;&gt;""),"●","")</x:f>
      </x:c>
      <x:c r="T8" s="165" t="str">
        <x:f>IF(AND(T$5&gt;=$C8,T$5&lt;=$D8,$A8&lt;&gt;""),"●","")</x:f>
      </x:c>
      <x:c r="U8" s="165" t="str">
        <x:f>IF(AND(U$5&gt;=$C8,U$5&lt;=$D8,$A8&lt;&gt;""),"●","")</x:f>
      </x:c>
      <x:c r="V8" s="165" t="str">
        <x:f>IF(AND(V$5&gt;=$C8,V$5&lt;=$D8,$A8&lt;&gt;""),"●","")</x:f>
      </x:c>
      <x:c r="W8" s="165" t="str">
        <x:f>IF(AND(W$5&gt;=$C8,W$5&lt;=$D8,$A8&lt;&gt;""),"●","")</x:f>
      </x:c>
      <x:c r="X8" s="165" t="str">
        <x:f>IF(AND(X$5&gt;=$C8,X$5&lt;=$D8,$A8&lt;&gt;""),"●","")</x:f>
      </x:c>
      <x:c r="Y8" s="165" t="str">
        <x:f>IF(AND(Y$5&gt;=$C8,Y$5&lt;=$D8,$A8&lt;&gt;""),"●","")</x:f>
      </x:c>
      <x:c r="Z8" s="165" t="str">
        <x:f>IF(AND(Z$5&gt;=$C8,Z$5&lt;=$D8,$A8&lt;&gt;""),"●","")</x:f>
      </x:c>
      <x:c r="AA8" s="165" t="str">
        <x:f>IF(AND(AA$5&gt;=$C8,AA$5&lt;=$D8,$A8&lt;&gt;""),"●","")</x:f>
      </x:c>
      <x:c r="AB8" s="165" t="str">
        <x:f>IF(AND(AB$5&gt;=$C8,AB$5&lt;=$D8,$A8&lt;&gt;""),"●","")</x:f>
      </x:c>
      <x:c r="AC8" s="165" t="str">
        <x:f>IF(AND(AC$5&gt;=$C8,AC$5&lt;=$D8,$A8&lt;&gt;""),"●","")</x:f>
      </x:c>
      <x:c r="AD8" s="165" t="str">
        <x:f>IF(AND(AD$5&gt;=$C8,AD$5&lt;=$D8,$A8&lt;&gt;""),"●","")</x:f>
      </x:c>
      <x:c r="AE8" s="165" t="str">
        <x:f>IF(AND(AE$5&gt;=$C8,AE$5&lt;=$D8,$A8&lt;&gt;""),"●","")</x:f>
      </x:c>
      <x:c r="AF8" s="165" t="str">
        <x:f>IF(AND(AF$5&gt;=$C8,AF$5&lt;=$D8,$A8&lt;&gt;""),"●","")</x:f>
      </x:c>
      <x:c r="AG8" s="165" t="str">
        <x:f>IF(AND(AG$5&gt;=$C8,AG$5&lt;=$D8,$A8&lt;&gt;""),"●","")</x:f>
      </x:c>
      <x:c r="AH8" s="165" t="str">
        <x:f>IF(AND(AH$5&gt;=$C8,AH$5&lt;=$D8,$A8&lt;&gt;""),"●","")</x:f>
      </x:c>
      <x:c r="AI8" s="165" t="str">
        <x:f>IF(AND(AI$5&gt;=$C8,AI$5&lt;=$D8,$A8&lt;&gt;""),"●","")</x:f>
      </x:c>
      <x:c r="AJ8" s="165" t="str">
        <x:f>IF(AND(AJ$5&gt;=$C8,AJ$5&lt;=$D8,$A8&lt;&gt;""),"●","")</x:f>
      </x:c>
      <x:c r="AK8" s="165" t="str">
        <x:f>IF(AND(AK$5&gt;=$C8,AK$5&lt;=$D8,$A8&lt;&gt;""),"●","")</x:f>
      </x:c>
      <x:c r="AL8" s="165" t="str">
        <x:f>IF(AND(AL$5&gt;=$C8,AL$5&lt;=$D8,$A8&lt;&gt;""),"●","")</x:f>
      </x:c>
      <x:c r="AM8" s="165" t="str">
        <x:f>IF(AND(AM$5&gt;=$C8,AM$5&lt;=$D8,$A8&lt;&gt;""),"●","")</x:f>
      </x:c>
      <x:c r="AN8" s="165" t="str">
        <x:f>IF(AND(AN$5&gt;=$C8,AN$5&lt;=$D8,$A8&lt;&gt;""),"●","")</x:f>
      </x:c>
      <x:c r="AO8" s="165" t="str">
        <x:f>IF(AND(AO$5&gt;=$C8,AO$5&lt;=$D8,$A8&lt;&gt;""),"●","")</x:f>
      </x:c>
      <x:c r="AP8" s="165" t="str">
        <x:f>IF(AND(AP$5&gt;=$C8,AP$5&lt;=$D8,$A8&lt;&gt;""),"●","")</x:f>
      </x:c>
      <x:c r="AQ8" s="165" t="str">
        <x:f>IF(AND(AQ$5&gt;=$C8,AQ$5&lt;=$D8,$A8&lt;&gt;""),"●","")</x:f>
      </x:c>
      <x:c r="AR8" s="165" t="str">
        <x:f>IF(AND(AR$5&gt;=$C8,AR$5&lt;=$D8,$A8&lt;&gt;""),"●","")</x:f>
      </x:c>
      <x:c r="AS8" s="165" t="str">
        <x:f>IF(AND(AS$5&gt;=$C8,AS$5&lt;=$D8,$A8&lt;&gt;""),"●","")</x:f>
      </x:c>
      <x:c r="AT8" s="165" t="str">
        <x:f>IF(AND(AT$5&gt;=$C8,AT$5&lt;=$D8,$A8&lt;&gt;""),"●","")</x:f>
      </x:c>
      <x:c r="AU8" s="165" t="str">
        <x:f>IF(AND(AU$5&gt;=$C8,AU$5&lt;=$D8,$A8&lt;&gt;""),"●","")</x:f>
      </x:c>
      <x:c r="AV8" s="165" t="str">
        <x:f>IF(AND(AV$5&gt;=$C8,AV$5&lt;=$D8,$A8&lt;&gt;""),"●","")</x:f>
      </x:c>
      <x:c r="AW8" s="165" t="str">
        <x:f>IF(AND(AW$5&gt;=$C8,AW$5&lt;=$D8,$A8&lt;&gt;""),"●","")</x:f>
      </x:c>
      <x:c r="AX8" s="165" t="str">
        <x:f>IF(AND(AX$5&gt;=$C8,AX$5&lt;=$D8,$A8&lt;&gt;""),"●","")</x:f>
      </x:c>
      <x:c r="AY8" s="165" t="str">
        <x:f>IF(AND(AY$5&gt;=$C8,AY$5&lt;=$D8,$A8&lt;&gt;""),"●","")</x:f>
      </x:c>
      <x:c r="AZ8" s="165" t="str">
        <x:f>IF(AND(AZ$5&gt;=$C8,AZ$5&lt;=$D8,$A8&lt;&gt;""),"●","")</x:f>
      </x:c>
      <x:c r="BA8" s="165" t="str">
        <x:f>IF(AND(BA$5&gt;=$C8,BA$5&lt;=$D8,$A8&lt;&gt;""),"●","")</x:f>
      </x:c>
      <x:c r="BB8" s="165" t="str">
        <x:f>IF(AND(BB$5&gt;=$C8,BB$5&lt;=$D8,$A8&lt;&gt;""),"●","")</x:f>
      </x:c>
      <x:c r="BC8" s="165" t="str">
        <x:f>IF(AND(BC$5&gt;=$C8,BC$5&lt;=$D8,$A8&lt;&gt;""),"●","")</x:f>
      </x:c>
      <x:c r="BD8" s="165" t="str">
        <x:f>IF(AND(BD$5&gt;=$C8,BD$5&lt;=$D8,$A8&lt;&gt;""),"●","")</x:f>
      </x:c>
      <x:c r="BE8" s="165" t="str">
        <x:f>IF(AND(BE$5&gt;=$C8,BE$5&lt;=$D8,$A8&lt;&gt;""),"●","")</x:f>
      </x:c>
      <x:c r="BF8" s="165" t="str">
        <x:f>IF(AND(BF$5&gt;=$C8,BF$5&lt;=$D8,$A8&lt;&gt;""),"●","")</x:f>
      </x:c>
      <x:c r="BG8" s="165" t="str">
        <x:f>IF(AND(BG$5&gt;=$C8,BG$5&lt;=$D8,$A8&lt;&gt;""),"●","")</x:f>
      </x:c>
      <x:c r="BH8" s="165" t="str">
        <x:f>IF(AND(BH$5&gt;=$C8,BH$5&lt;=$D8,$A8&lt;&gt;""),"●","")</x:f>
      </x:c>
      <x:c r="BI8" s="165" t="str">
        <x:f>IF(AND(BI$5&gt;=$C8,BI$5&lt;=$D8,$A8&lt;&gt;""),"●","")</x:f>
      </x:c>
      <x:c r="BJ8" s="165" t="str">
        <x:f>IF(AND(BJ$5&gt;=$C8,BJ$5&lt;=$D8,$A8&lt;&gt;""),"●","")</x:f>
      </x:c>
      <x:c r="BK8" s="165" t="str">
        <x:f>IF(AND(BK$5&gt;=$C8,BK$5&lt;=$D8,$A8&lt;&gt;""),"●","")</x:f>
      </x:c>
      <x:c r="BL8" s="165" t="str">
        <x:f>IF(AND(BL$5&gt;=$C8,BL$5&lt;=$D8,$A8&lt;&gt;""),"●","")</x:f>
      </x:c>
      <x:c r="BM8" s="165" t="str">
        <x:f>IF(AND(BM$5&gt;=$C8,BM$5&lt;=$D8,$A8&lt;&gt;""),"●","")</x:f>
      </x:c>
      <x:c r="BN8" s="165" t="str">
        <x:f>IF(AND(BN$5&gt;=$C8,BN$5&lt;=$D8,$A8&lt;&gt;""),"●","")</x:f>
      </x:c>
      <x:c r="BO8" s="165" t="str">
        <x:f>IF(AND(BO$5&gt;=$C8,BO$5&lt;=$D8,$A8&lt;&gt;""),"●","")</x:f>
      </x:c>
      <x:c r="BP8" s="165" t="str">
        <x:f>IF(AND(BP$5&gt;=$C8,BP$5&lt;=$D8,$A8&lt;&gt;""),"●","")</x:f>
      </x:c>
      <x:c r="BQ8" s="165" t="str">
        <x:f>IF(AND(BQ$5&gt;=$C8,BQ$5&lt;=$D8,$A8&lt;&gt;""),"●","")</x:f>
      </x:c>
      <x:c r="BR8" s="165" t="str">
        <x:f>IF(AND(BR$5&gt;=$C8,BR$5&lt;=$D8,$A8&lt;&gt;""),"●","")</x:f>
      </x:c>
      <x:c r="BS8" s="165" t="str">
        <x:f>IF(AND(BS$5&gt;=$C8,BS$5&lt;=$D8,$A8&lt;&gt;""),"●","")</x:f>
      </x:c>
      <x:c r="BT8" s="165" t="str">
        <x:f>IF(AND(BT$5&gt;=$C8,BT$5&lt;=$D8,$A8&lt;&gt;""),"●","")</x:f>
      </x:c>
      <x:c r="BU8" s="165" t="str">
        <x:f>IF(AND(BU$5&gt;=$C8,BU$5&lt;=$D8,$A8&lt;&gt;""),"●","")</x:f>
      </x:c>
      <x:c r="BV8" s="165" t="str">
        <x:f>IF(AND(BV$5&gt;=$C8,BV$5&lt;=$D8,$A8&lt;&gt;""),"●","")</x:f>
      </x:c>
      <x:c r="BW8" s="165" t="str">
        <x:f>IF(AND(BW$5&gt;=$C8,BW$5&lt;=$D8,$A8&lt;&gt;""),"●","")</x:f>
      </x:c>
    </x:row>
    <x:row r="9">
      <x:c r="A9" s="159" t="str">
        <x:f>IF('รายการสัญญา'!A9="","",'รายการสัญญา'!A9)</x:f>
      </x:c>
      <x:c r="B9" s="159" t="str">
        <x:f>IF('รายการสัญญา'!A9="","",'รายการสัญญา'!C9)</x:f>
      </x:c>
      <x:c r="C9" s="162" t="str">
        <x:f>IF('รายการสัญญา'!A9="","",'รายการสัญญา'!E9)</x:f>
      </x:c>
      <x:c r="D9" s="162" t="str">
        <x:f>IF('รายการสัญญา'!A9="","",'รายการสัญญา'!G9)</x:f>
      </x:c>
      <x:c r="E9" s="159" t="str">
        <x:f>IF('รายการสัญญา'!A9="","",'รายการสัญญา'!K9)</x:f>
      </x:c>
      <x:c r="F9" s="165" t="str">
        <x:f>IF(AND(F$5&gt;=$C9,F$5&lt;=$D9,$A9&lt;&gt;""),"●","")</x:f>
      </x:c>
      <x:c r="G9" s="165" t="str">
        <x:f>IF(AND(G$5&gt;=$C9,G$5&lt;=$D9,$A9&lt;&gt;""),"●","")</x:f>
      </x:c>
      <x:c r="H9" s="165" t="str">
        <x:f>IF(AND(H$5&gt;=$C9,H$5&lt;=$D9,$A9&lt;&gt;""),"●","")</x:f>
      </x:c>
      <x:c r="I9" s="165" t="str">
        <x:f>IF(AND(I$5&gt;=$C9,I$5&lt;=$D9,$A9&lt;&gt;""),"●","")</x:f>
      </x:c>
      <x:c r="J9" s="165" t="str">
        <x:f>IF(AND(J$5&gt;=$C9,J$5&lt;=$D9,$A9&lt;&gt;""),"●","")</x:f>
      </x:c>
      <x:c r="K9" s="165" t="str">
        <x:f>IF(AND(K$5&gt;=$C9,K$5&lt;=$D9,$A9&lt;&gt;""),"●","")</x:f>
      </x:c>
      <x:c r="L9" s="165" t="str">
        <x:f>IF(AND(L$5&gt;=$C9,L$5&lt;=$D9,$A9&lt;&gt;""),"●","")</x:f>
      </x:c>
      <x:c r="M9" s="165" t="str">
        <x:f>IF(AND(M$5&gt;=$C9,M$5&lt;=$D9,$A9&lt;&gt;""),"●","")</x:f>
      </x:c>
      <x:c r="N9" s="165" t="str">
        <x:f>IF(AND(N$5&gt;=$C9,N$5&lt;=$D9,$A9&lt;&gt;""),"●","")</x:f>
      </x:c>
      <x:c r="O9" s="165" t="str">
        <x:f>IF(AND(O$5&gt;=$C9,O$5&lt;=$D9,$A9&lt;&gt;""),"●","")</x:f>
      </x:c>
      <x:c r="P9" s="165" t="str">
        <x:f>IF(AND(P$5&gt;=$C9,P$5&lt;=$D9,$A9&lt;&gt;""),"●","")</x:f>
      </x:c>
      <x:c r="Q9" s="165" t="str">
        <x:f>IF(AND(Q$5&gt;=$C9,Q$5&lt;=$D9,$A9&lt;&gt;""),"●","")</x:f>
      </x:c>
      <x:c r="R9" s="165" t="str">
        <x:f>IF(AND(R$5&gt;=$C9,R$5&lt;=$D9,$A9&lt;&gt;""),"●","")</x:f>
      </x:c>
      <x:c r="S9" s="165" t="str">
        <x:f>IF(AND(S$5&gt;=$C9,S$5&lt;=$D9,$A9&lt;&gt;""),"●","")</x:f>
      </x:c>
      <x:c r="T9" s="165" t="str">
        <x:f>IF(AND(T$5&gt;=$C9,T$5&lt;=$D9,$A9&lt;&gt;""),"●","")</x:f>
      </x:c>
      <x:c r="U9" s="165" t="str">
        <x:f>IF(AND(U$5&gt;=$C9,U$5&lt;=$D9,$A9&lt;&gt;""),"●","")</x:f>
      </x:c>
      <x:c r="V9" s="165" t="str">
        <x:f>IF(AND(V$5&gt;=$C9,V$5&lt;=$D9,$A9&lt;&gt;""),"●","")</x:f>
      </x:c>
      <x:c r="W9" s="165" t="str">
        <x:f>IF(AND(W$5&gt;=$C9,W$5&lt;=$D9,$A9&lt;&gt;""),"●","")</x:f>
      </x:c>
      <x:c r="X9" s="165" t="str">
        <x:f>IF(AND(X$5&gt;=$C9,X$5&lt;=$D9,$A9&lt;&gt;""),"●","")</x:f>
      </x:c>
      <x:c r="Y9" s="165" t="str">
        <x:f>IF(AND(Y$5&gt;=$C9,Y$5&lt;=$D9,$A9&lt;&gt;""),"●","")</x:f>
      </x:c>
      <x:c r="Z9" s="165" t="str">
        <x:f>IF(AND(Z$5&gt;=$C9,Z$5&lt;=$D9,$A9&lt;&gt;""),"●","")</x:f>
      </x:c>
      <x:c r="AA9" s="165" t="str">
        <x:f>IF(AND(AA$5&gt;=$C9,AA$5&lt;=$D9,$A9&lt;&gt;""),"●","")</x:f>
      </x:c>
      <x:c r="AB9" s="165" t="str">
        <x:f>IF(AND(AB$5&gt;=$C9,AB$5&lt;=$D9,$A9&lt;&gt;""),"●","")</x:f>
      </x:c>
      <x:c r="AC9" s="165" t="str">
        <x:f>IF(AND(AC$5&gt;=$C9,AC$5&lt;=$D9,$A9&lt;&gt;""),"●","")</x:f>
      </x:c>
      <x:c r="AD9" s="165" t="str">
        <x:f>IF(AND(AD$5&gt;=$C9,AD$5&lt;=$D9,$A9&lt;&gt;""),"●","")</x:f>
      </x:c>
      <x:c r="AE9" s="165" t="str">
        <x:f>IF(AND(AE$5&gt;=$C9,AE$5&lt;=$D9,$A9&lt;&gt;""),"●","")</x:f>
      </x:c>
      <x:c r="AF9" s="165" t="str">
        <x:f>IF(AND(AF$5&gt;=$C9,AF$5&lt;=$D9,$A9&lt;&gt;""),"●","")</x:f>
      </x:c>
      <x:c r="AG9" s="165" t="str">
        <x:f>IF(AND(AG$5&gt;=$C9,AG$5&lt;=$D9,$A9&lt;&gt;""),"●","")</x:f>
      </x:c>
      <x:c r="AH9" s="165" t="str">
        <x:f>IF(AND(AH$5&gt;=$C9,AH$5&lt;=$D9,$A9&lt;&gt;""),"●","")</x:f>
      </x:c>
      <x:c r="AI9" s="165" t="str">
        <x:f>IF(AND(AI$5&gt;=$C9,AI$5&lt;=$D9,$A9&lt;&gt;""),"●","")</x:f>
      </x:c>
      <x:c r="AJ9" s="165" t="str">
        <x:f>IF(AND(AJ$5&gt;=$C9,AJ$5&lt;=$D9,$A9&lt;&gt;""),"●","")</x:f>
      </x:c>
      <x:c r="AK9" s="165" t="str">
        <x:f>IF(AND(AK$5&gt;=$C9,AK$5&lt;=$D9,$A9&lt;&gt;""),"●","")</x:f>
      </x:c>
      <x:c r="AL9" s="165" t="str">
        <x:f>IF(AND(AL$5&gt;=$C9,AL$5&lt;=$D9,$A9&lt;&gt;""),"●","")</x:f>
      </x:c>
      <x:c r="AM9" s="165" t="str">
        <x:f>IF(AND(AM$5&gt;=$C9,AM$5&lt;=$D9,$A9&lt;&gt;""),"●","")</x:f>
      </x:c>
      <x:c r="AN9" s="165" t="str">
        <x:f>IF(AND(AN$5&gt;=$C9,AN$5&lt;=$D9,$A9&lt;&gt;""),"●","")</x:f>
      </x:c>
      <x:c r="AO9" s="165" t="str">
        <x:f>IF(AND(AO$5&gt;=$C9,AO$5&lt;=$D9,$A9&lt;&gt;""),"●","")</x:f>
      </x:c>
      <x:c r="AP9" s="165" t="str">
        <x:f>IF(AND(AP$5&gt;=$C9,AP$5&lt;=$D9,$A9&lt;&gt;""),"●","")</x:f>
      </x:c>
      <x:c r="AQ9" s="165" t="str">
        <x:f>IF(AND(AQ$5&gt;=$C9,AQ$5&lt;=$D9,$A9&lt;&gt;""),"●","")</x:f>
      </x:c>
      <x:c r="AR9" s="165" t="str">
        <x:f>IF(AND(AR$5&gt;=$C9,AR$5&lt;=$D9,$A9&lt;&gt;""),"●","")</x:f>
      </x:c>
      <x:c r="AS9" s="165" t="str">
        <x:f>IF(AND(AS$5&gt;=$C9,AS$5&lt;=$D9,$A9&lt;&gt;""),"●","")</x:f>
      </x:c>
      <x:c r="AT9" s="165" t="str">
        <x:f>IF(AND(AT$5&gt;=$C9,AT$5&lt;=$D9,$A9&lt;&gt;""),"●","")</x:f>
      </x:c>
      <x:c r="AU9" s="165" t="str">
        <x:f>IF(AND(AU$5&gt;=$C9,AU$5&lt;=$D9,$A9&lt;&gt;""),"●","")</x:f>
      </x:c>
      <x:c r="AV9" s="165" t="str">
        <x:f>IF(AND(AV$5&gt;=$C9,AV$5&lt;=$D9,$A9&lt;&gt;""),"●","")</x:f>
      </x:c>
      <x:c r="AW9" s="165" t="str">
        <x:f>IF(AND(AW$5&gt;=$C9,AW$5&lt;=$D9,$A9&lt;&gt;""),"●","")</x:f>
      </x:c>
      <x:c r="AX9" s="165" t="str">
        <x:f>IF(AND(AX$5&gt;=$C9,AX$5&lt;=$D9,$A9&lt;&gt;""),"●","")</x:f>
      </x:c>
      <x:c r="AY9" s="165" t="str">
        <x:f>IF(AND(AY$5&gt;=$C9,AY$5&lt;=$D9,$A9&lt;&gt;""),"●","")</x:f>
      </x:c>
      <x:c r="AZ9" s="165" t="str">
        <x:f>IF(AND(AZ$5&gt;=$C9,AZ$5&lt;=$D9,$A9&lt;&gt;""),"●","")</x:f>
      </x:c>
      <x:c r="BA9" s="165" t="str">
        <x:f>IF(AND(BA$5&gt;=$C9,BA$5&lt;=$D9,$A9&lt;&gt;""),"●","")</x:f>
      </x:c>
      <x:c r="BB9" s="165" t="str">
        <x:f>IF(AND(BB$5&gt;=$C9,BB$5&lt;=$D9,$A9&lt;&gt;""),"●","")</x:f>
      </x:c>
      <x:c r="BC9" s="165" t="str">
        <x:f>IF(AND(BC$5&gt;=$C9,BC$5&lt;=$D9,$A9&lt;&gt;""),"●","")</x:f>
      </x:c>
      <x:c r="BD9" s="165" t="str">
        <x:f>IF(AND(BD$5&gt;=$C9,BD$5&lt;=$D9,$A9&lt;&gt;""),"●","")</x:f>
      </x:c>
      <x:c r="BE9" s="165" t="str">
        <x:f>IF(AND(BE$5&gt;=$C9,BE$5&lt;=$D9,$A9&lt;&gt;""),"●","")</x:f>
      </x:c>
      <x:c r="BF9" s="165" t="str">
        <x:f>IF(AND(BF$5&gt;=$C9,BF$5&lt;=$D9,$A9&lt;&gt;""),"●","")</x:f>
      </x:c>
      <x:c r="BG9" s="165" t="str">
        <x:f>IF(AND(BG$5&gt;=$C9,BG$5&lt;=$D9,$A9&lt;&gt;""),"●","")</x:f>
      </x:c>
      <x:c r="BH9" s="165" t="str">
        <x:f>IF(AND(BH$5&gt;=$C9,BH$5&lt;=$D9,$A9&lt;&gt;""),"●","")</x:f>
      </x:c>
      <x:c r="BI9" s="165" t="str">
        <x:f>IF(AND(BI$5&gt;=$C9,BI$5&lt;=$D9,$A9&lt;&gt;""),"●","")</x:f>
      </x:c>
      <x:c r="BJ9" s="165" t="str">
        <x:f>IF(AND(BJ$5&gt;=$C9,BJ$5&lt;=$D9,$A9&lt;&gt;""),"●","")</x:f>
      </x:c>
      <x:c r="BK9" s="165" t="str">
        <x:f>IF(AND(BK$5&gt;=$C9,BK$5&lt;=$D9,$A9&lt;&gt;""),"●","")</x:f>
      </x:c>
      <x:c r="BL9" s="165" t="str">
        <x:f>IF(AND(BL$5&gt;=$C9,BL$5&lt;=$D9,$A9&lt;&gt;""),"●","")</x:f>
      </x:c>
      <x:c r="BM9" s="165" t="str">
        <x:f>IF(AND(BM$5&gt;=$C9,BM$5&lt;=$D9,$A9&lt;&gt;""),"●","")</x:f>
      </x:c>
      <x:c r="BN9" s="165" t="str">
        <x:f>IF(AND(BN$5&gt;=$C9,BN$5&lt;=$D9,$A9&lt;&gt;""),"●","")</x:f>
      </x:c>
      <x:c r="BO9" s="165" t="str">
        <x:f>IF(AND(BO$5&gt;=$C9,BO$5&lt;=$D9,$A9&lt;&gt;""),"●","")</x:f>
      </x:c>
      <x:c r="BP9" s="165" t="str">
        <x:f>IF(AND(BP$5&gt;=$C9,BP$5&lt;=$D9,$A9&lt;&gt;""),"●","")</x:f>
      </x:c>
      <x:c r="BQ9" s="165" t="str">
        <x:f>IF(AND(BQ$5&gt;=$C9,BQ$5&lt;=$D9,$A9&lt;&gt;""),"●","")</x:f>
      </x:c>
      <x:c r="BR9" s="165" t="str">
        <x:f>IF(AND(BR$5&gt;=$C9,BR$5&lt;=$D9,$A9&lt;&gt;""),"●","")</x:f>
      </x:c>
      <x:c r="BS9" s="165" t="str">
        <x:f>IF(AND(BS$5&gt;=$C9,BS$5&lt;=$D9,$A9&lt;&gt;""),"●","")</x:f>
      </x:c>
      <x:c r="BT9" s="165" t="str">
        <x:f>IF(AND(BT$5&gt;=$C9,BT$5&lt;=$D9,$A9&lt;&gt;""),"●","")</x:f>
      </x:c>
      <x:c r="BU9" s="165" t="str">
        <x:f>IF(AND(BU$5&gt;=$C9,BU$5&lt;=$D9,$A9&lt;&gt;""),"●","")</x:f>
      </x:c>
      <x:c r="BV9" s="165" t="str">
        <x:f>IF(AND(BV$5&gt;=$C9,BV$5&lt;=$D9,$A9&lt;&gt;""),"●","")</x:f>
      </x:c>
      <x:c r="BW9" s="165" t="str">
        <x:f>IF(AND(BW$5&gt;=$C9,BW$5&lt;=$D9,$A9&lt;&gt;""),"●","")</x:f>
      </x:c>
    </x:row>
    <x:row r="10">
      <x:c r="A10" s="159" t="str">
        <x:f>IF('รายการสัญญา'!A10="","",'รายการสัญญา'!A10)</x:f>
      </x:c>
      <x:c r="B10" s="159" t="str">
        <x:f>IF('รายการสัญญา'!A10="","",'รายการสัญญา'!C10)</x:f>
      </x:c>
      <x:c r="C10" s="162" t="str">
        <x:f>IF('รายการสัญญา'!A10="","",'รายการสัญญา'!E10)</x:f>
      </x:c>
      <x:c r="D10" s="162" t="str">
        <x:f>IF('รายการสัญญา'!A10="","",'รายการสัญญา'!G10)</x:f>
      </x:c>
      <x:c r="E10" s="159" t="str">
        <x:f>IF('รายการสัญญา'!A10="","",'รายการสัญญา'!K10)</x:f>
      </x:c>
      <x:c r="F10" s="165" t="str">
        <x:f>IF(AND(F$5&gt;=$C10,F$5&lt;=$D10,$A10&lt;&gt;""),"●","")</x:f>
      </x:c>
      <x:c r="G10" s="165" t="str">
        <x:f>IF(AND(G$5&gt;=$C10,G$5&lt;=$D10,$A10&lt;&gt;""),"●","")</x:f>
      </x:c>
      <x:c r="H10" s="165" t="str">
        <x:f>IF(AND(H$5&gt;=$C10,H$5&lt;=$D10,$A10&lt;&gt;""),"●","")</x:f>
      </x:c>
      <x:c r="I10" s="165" t="str">
        <x:f>IF(AND(I$5&gt;=$C10,I$5&lt;=$D10,$A10&lt;&gt;""),"●","")</x:f>
      </x:c>
      <x:c r="J10" s="165" t="str">
        <x:f>IF(AND(J$5&gt;=$C10,J$5&lt;=$D10,$A10&lt;&gt;""),"●","")</x:f>
      </x:c>
      <x:c r="K10" s="165" t="str">
        <x:f>IF(AND(K$5&gt;=$C10,K$5&lt;=$D10,$A10&lt;&gt;""),"●","")</x:f>
      </x:c>
      <x:c r="L10" s="165" t="str">
        <x:f>IF(AND(L$5&gt;=$C10,L$5&lt;=$D10,$A10&lt;&gt;""),"●","")</x:f>
      </x:c>
      <x:c r="M10" s="165" t="str">
        <x:f>IF(AND(M$5&gt;=$C10,M$5&lt;=$D10,$A10&lt;&gt;""),"●","")</x:f>
      </x:c>
      <x:c r="N10" s="165" t="str">
        <x:f>IF(AND(N$5&gt;=$C10,N$5&lt;=$D10,$A10&lt;&gt;""),"●","")</x:f>
      </x:c>
      <x:c r="O10" s="165" t="str">
        <x:f>IF(AND(O$5&gt;=$C10,O$5&lt;=$D10,$A10&lt;&gt;""),"●","")</x:f>
      </x:c>
      <x:c r="P10" s="165" t="str">
        <x:f>IF(AND(P$5&gt;=$C10,P$5&lt;=$D10,$A10&lt;&gt;""),"●","")</x:f>
      </x:c>
      <x:c r="Q10" s="165" t="str">
        <x:f>IF(AND(Q$5&gt;=$C10,Q$5&lt;=$D10,$A10&lt;&gt;""),"●","")</x:f>
      </x:c>
      <x:c r="R10" s="165" t="str">
        <x:f>IF(AND(R$5&gt;=$C10,R$5&lt;=$D10,$A10&lt;&gt;""),"●","")</x:f>
      </x:c>
      <x:c r="S10" s="165" t="str">
        <x:f>IF(AND(S$5&gt;=$C10,S$5&lt;=$D10,$A10&lt;&gt;""),"●","")</x:f>
      </x:c>
      <x:c r="T10" s="165" t="str">
        <x:f>IF(AND(T$5&gt;=$C10,T$5&lt;=$D10,$A10&lt;&gt;""),"●","")</x:f>
      </x:c>
      <x:c r="U10" s="165" t="str">
        <x:f>IF(AND(U$5&gt;=$C10,U$5&lt;=$D10,$A10&lt;&gt;""),"●","")</x:f>
      </x:c>
      <x:c r="V10" s="165" t="str">
        <x:f>IF(AND(V$5&gt;=$C10,V$5&lt;=$D10,$A10&lt;&gt;""),"●","")</x:f>
      </x:c>
      <x:c r="W10" s="165" t="str">
        <x:f>IF(AND(W$5&gt;=$C10,W$5&lt;=$D10,$A10&lt;&gt;""),"●","")</x:f>
      </x:c>
      <x:c r="X10" s="165" t="str">
        <x:f>IF(AND(X$5&gt;=$C10,X$5&lt;=$D10,$A10&lt;&gt;""),"●","")</x:f>
      </x:c>
      <x:c r="Y10" s="165" t="str">
        <x:f>IF(AND(Y$5&gt;=$C10,Y$5&lt;=$D10,$A10&lt;&gt;""),"●","")</x:f>
      </x:c>
      <x:c r="Z10" s="165" t="str">
        <x:f>IF(AND(Z$5&gt;=$C10,Z$5&lt;=$D10,$A10&lt;&gt;""),"●","")</x:f>
      </x:c>
      <x:c r="AA10" s="165" t="str">
        <x:f>IF(AND(AA$5&gt;=$C10,AA$5&lt;=$D10,$A10&lt;&gt;""),"●","")</x:f>
      </x:c>
      <x:c r="AB10" s="165" t="str">
        <x:f>IF(AND(AB$5&gt;=$C10,AB$5&lt;=$D10,$A10&lt;&gt;""),"●","")</x:f>
      </x:c>
      <x:c r="AC10" s="165" t="str">
        <x:f>IF(AND(AC$5&gt;=$C10,AC$5&lt;=$D10,$A10&lt;&gt;""),"●","")</x:f>
      </x:c>
      <x:c r="AD10" s="165" t="str">
        <x:f>IF(AND(AD$5&gt;=$C10,AD$5&lt;=$D10,$A10&lt;&gt;""),"●","")</x:f>
      </x:c>
      <x:c r="AE10" s="165" t="str">
        <x:f>IF(AND(AE$5&gt;=$C10,AE$5&lt;=$D10,$A10&lt;&gt;""),"●","")</x:f>
      </x:c>
      <x:c r="AF10" s="165" t="str">
        <x:f>IF(AND(AF$5&gt;=$C10,AF$5&lt;=$D10,$A10&lt;&gt;""),"●","")</x:f>
      </x:c>
      <x:c r="AG10" s="165" t="str">
        <x:f>IF(AND(AG$5&gt;=$C10,AG$5&lt;=$D10,$A10&lt;&gt;""),"●","")</x:f>
      </x:c>
      <x:c r="AH10" s="165" t="str">
        <x:f>IF(AND(AH$5&gt;=$C10,AH$5&lt;=$D10,$A10&lt;&gt;""),"●","")</x:f>
      </x:c>
      <x:c r="AI10" s="165" t="str">
        <x:f>IF(AND(AI$5&gt;=$C10,AI$5&lt;=$D10,$A10&lt;&gt;""),"●","")</x:f>
      </x:c>
      <x:c r="AJ10" s="165" t="str">
        <x:f>IF(AND(AJ$5&gt;=$C10,AJ$5&lt;=$D10,$A10&lt;&gt;""),"●","")</x:f>
      </x:c>
      <x:c r="AK10" s="165" t="str">
        <x:f>IF(AND(AK$5&gt;=$C10,AK$5&lt;=$D10,$A10&lt;&gt;""),"●","")</x:f>
      </x:c>
      <x:c r="AL10" s="165" t="str">
        <x:f>IF(AND(AL$5&gt;=$C10,AL$5&lt;=$D10,$A10&lt;&gt;""),"●","")</x:f>
      </x:c>
      <x:c r="AM10" s="165" t="str">
        <x:f>IF(AND(AM$5&gt;=$C10,AM$5&lt;=$D10,$A10&lt;&gt;""),"●","")</x:f>
      </x:c>
      <x:c r="AN10" s="165" t="str">
        <x:f>IF(AND(AN$5&gt;=$C10,AN$5&lt;=$D10,$A10&lt;&gt;""),"●","")</x:f>
      </x:c>
      <x:c r="AO10" s="165" t="str">
        <x:f>IF(AND(AO$5&gt;=$C10,AO$5&lt;=$D10,$A10&lt;&gt;""),"●","")</x:f>
      </x:c>
      <x:c r="AP10" s="165" t="str">
        <x:f>IF(AND(AP$5&gt;=$C10,AP$5&lt;=$D10,$A10&lt;&gt;""),"●","")</x:f>
      </x:c>
      <x:c r="AQ10" s="165" t="str">
        <x:f>IF(AND(AQ$5&gt;=$C10,AQ$5&lt;=$D10,$A10&lt;&gt;""),"●","")</x:f>
      </x:c>
      <x:c r="AR10" s="165" t="str">
        <x:f>IF(AND(AR$5&gt;=$C10,AR$5&lt;=$D10,$A10&lt;&gt;""),"●","")</x:f>
      </x:c>
      <x:c r="AS10" s="165" t="str">
        <x:f>IF(AND(AS$5&gt;=$C10,AS$5&lt;=$D10,$A10&lt;&gt;""),"●","")</x:f>
      </x:c>
      <x:c r="AT10" s="165" t="str">
        <x:f>IF(AND(AT$5&gt;=$C10,AT$5&lt;=$D10,$A10&lt;&gt;""),"●","")</x:f>
      </x:c>
      <x:c r="AU10" s="165" t="str">
        <x:f>IF(AND(AU$5&gt;=$C10,AU$5&lt;=$D10,$A10&lt;&gt;""),"●","")</x:f>
      </x:c>
      <x:c r="AV10" s="165" t="str">
        <x:f>IF(AND(AV$5&gt;=$C10,AV$5&lt;=$D10,$A10&lt;&gt;""),"●","")</x:f>
      </x:c>
      <x:c r="AW10" s="165" t="str">
        <x:f>IF(AND(AW$5&gt;=$C10,AW$5&lt;=$D10,$A10&lt;&gt;""),"●","")</x:f>
      </x:c>
      <x:c r="AX10" s="165" t="str">
        <x:f>IF(AND(AX$5&gt;=$C10,AX$5&lt;=$D10,$A10&lt;&gt;""),"●","")</x:f>
      </x:c>
      <x:c r="AY10" s="165" t="str">
        <x:f>IF(AND(AY$5&gt;=$C10,AY$5&lt;=$D10,$A10&lt;&gt;""),"●","")</x:f>
      </x:c>
      <x:c r="AZ10" s="165" t="str">
        <x:f>IF(AND(AZ$5&gt;=$C10,AZ$5&lt;=$D10,$A10&lt;&gt;""),"●","")</x:f>
      </x:c>
      <x:c r="BA10" s="165" t="str">
        <x:f>IF(AND(BA$5&gt;=$C10,BA$5&lt;=$D10,$A10&lt;&gt;""),"●","")</x:f>
      </x:c>
      <x:c r="BB10" s="165" t="str">
        <x:f>IF(AND(BB$5&gt;=$C10,BB$5&lt;=$D10,$A10&lt;&gt;""),"●","")</x:f>
      </x:c>
      <x:c r="BC10" s="165" t="str">
        <x:f>IF(AND(BC$5&gt;=$C10,BC$5&lt;=$D10,$A10&lt;&gt;""),"●","")</x:f>
      </x:c>
      <x:c r="BD10" s="165" t="str">
        <x:f>IF(AND(BD$5&gt;=$C10,BD$5&lt;=$D10,$A10&lt;&gt;""),"●","")</x:f>
      </x:c>
      <x:c r="BE10" s="165" t="str">
        <x:f>IF(AND(BE$5&gt;=$C10,BE$5&lt;=$D10,$A10&lt;&gt;""),"●","")</x:f>
      </x:c>
      <x:c r="BF10" s="165" t="str">
        <x:f>IF(AND(BF$5&gt;=$C10,BF$5&lt;=$D10,$A10&lt;&gt;""),"●","")</x:f>
      </x:c>
      <x:c r="BG10" s="165" t="str">
        <x:f>IF(AND(BG$5&gt;=$C10,BG$5&lt;=$D10,$A10&lt;&gt;""),"●","")</x:f>
      </x:c>
      <x:c r="BH10" s="165" t="str">
        <x:f>IF(AND(BH$5&gt;=$C10,BH$5&lt;=$D10,$A10&lt;&gt;""),"●","")</x:f>
      </x:c>
      <x:c r="BI10" s="165" t="str">
        <x:f>IF(AND(BI$5&gt;=$C10,BI$5&lt;=$D10,$A10&lt;&gt;""),"●","")</x:f>
      </x:c>
      <x:c r="BJ10" s="165" t="str">
        <x:f>IF(AND(BJ$5&gt;=$C10,BJ$5&lt;=$D10,$A10&lt;&gt;""),"●","")</x:f>
      </x:c>
      <x:c r="BK10" s="165" t="str">
        <x:f>IF(AND(BK$5&gt;=$C10,BK$5&lt;=$D10,$A10&lt;&gt;""),"●","")</x:f>
      </x:c>
      <x:c r="BL10" s="165" t="str">
        <x:f>IF(AND(BL$5&gt;=$C10,BL$5&lt;=$D10,$A10&lt;&gt;""),"●","")</x:f>
      </x:c>
      <x:c r="BM10" s="165" t="str">
        <x:f>IF(AND(BM$5&gt;=$C10,BM$5&lt;=$D10,$A10&lt;&gt;""),"●","")</x:f>
      </x:c>
      <x:c r="BN10" s="165" t="str">
        <x:f>IF(AND(BN$5&gt;=$C10,BN$5&lt;=$D10,$A10&lt;&gt;""),"●","")</x:f>
      </x:c>
      <x:c r="BO10" s="165" t="str">
        <x:f>IF(AND(BO$5&gt;=$C10,BO$5&lt;=$D10,$A10&lt;&gt;""),"●","")</x:f>
      </x:c>
      <x:c r="BP10" s="165" t="str">
        <x:f>IF(AND(BP$5&gt;=$C10,BP$5&lt;=$D10,$A10&lt;&gt;""),"●","")</x:f>
      </x:c>
      <x:c r="BQ10" s="165" t="str">
        <x:f>IF(AND(BQ$5&gt;=$C10,BQ$5&lt;=$D10,$A10&lt;&gt;""),"●","")</x:f>
      </x:c>
      <x:c r="BR10" s="165" t="str">
        <x:f>IF(AND(BR$5&gt;=$C10,BR$5&lt;=$D10,$A10&lt;&gt;""),"●","")</x:f>
      </x:c>
      <x:c r="BS10" s="165" t="str">
        <x:f>IF(AND(BS$5&gt;=$C10,BS$5&lt;=$D10,$A10&lt;&gt;""),"●","")</x:f>
      </x:c>
      <x:c r="BT10" s="165" t="str">
        <x:f>IF(AND(BT$5&gt;=$C10,BT$5&lt;=$D10,$A10&lt;&gt;""),"●","")</x:f>
      </x:c>
      <x:c r="BU10" s="165" t="str">
        <x:f>IF(AND(BU$5&gt;=$C10,BU$5&lt;=$D10,$A10&lt;&gt;""),"●","")</x:f>
      </x:c>
      <x:c r="BV10" s="165" t="str">
        <x:f>IF(AND(BV$5&gt;=$C10,BV$5&lt;=$D10,$A10&lt;&gt;""),"●","")</x:f>
      </x:c>
      <x:c r="BW10" s="165" t="str">
        <x:f>IF(AND(BW$5&gt;=$C10,BW$5&lt;=$D10,$A10&lt;&gt;""),"●","")</x:f>
      </x:c>
    </x:row>
    <x:row r="11">
      <x:c r="A11" s="159" t="str">
        <x:f>IF('รายการสัญญา'!A11="","",'รายการสัญญา'!A11)</x:f>
      </x:c>
      <x:c r="B11" s="159" t="str">
        <x:f>IF('รายการสัญญา'!A11="","",'รายการสัญญา'!C11)</x:f>
      </x:c>
      <x:c r="C11" s="162" t="str">
        <x:f>IF('รายการสัญญา'!A11="","",'รายการสัญญา'!E11)</x:f>
      </x:c>
      <x:c r="D11" s="162" t="str">
        <x:f>IF('รายการสัญญา'!A11="","",'รายการสัญญา'!G11)</x:f>
      </x:c>
      <x:c r="E11" s="159" t="str">
        <x:f>IF('รายการสัญญา'!A11="","",'รายการสัญญา'!K11)</x:f>
      </x:c>
      <x:c r="F11" s="165" t="str">
        <x:f>IF(AND(F$5&gt;=$C11,F$5&lt;=$D11,$A11&lt;&gt;""),"●","")</x:f>
      </x:c>
      <x:c r="G11" s="165" t="str">
        <x:f>IF(AND(G$5&gt;=$C11,G$5&lt;=$D11,$A11&lt;&gt;""),"●","")</x:f>
      </x:c>
      <x:c r="H11" s="165" t="str">
        <x:f>IF(AND(H$5&gt;=$C11,H$5&lt;=$D11,$A11&lt;&gt;""),"●","")</x:f>
      </x:c>
      <x:c r="I11" s="165" t="str">
        <x:f>IF(AND(I$5&gt;=$C11,I$5&lt;=$D11,$A11&lt;&gt;""),"●","")</x:f>
      </x:c>
      <x:c r="J11" s="165" t="str">
        <x:f>IF(AND(J$5&gt;=$C11,J$5&lt;=$D11,$A11&lt;&gt;""),"●","")</x:f>
      </x:c>
      <x:c r="K11" s="165" t="str">
        <x:f>IF(AND(K$5&gt;=$C11,K$5&lt;=$D11,$A11&lt;&gt;""),"●","")</x:f>
      </x:c>
      <x:c r="L11" s="165" t="str">
        <x:f>IF(AND(L$5&gt;=$C11,L$5&lt;=$D11,$A11&lt;&gt;""),"●","")</x:f>
      </x:c>
      <x:c r="M11" s="165" t="str">
        <x:f>IF(AND(M$5&gt;=$C11,M$5&lt;=$D11,$A11&lt;&gt;""),"●","")</x:f>
      </x:c>
      <x:c r="N11" s="165" t="str">
        <x:f>IF(AND(N$5&gt;=$C11,N$5&lt;=$D11,$A11&lt;&gt;""),"●","")</x:f>
      </x:c>
      <x:c r="O11" s="165" t="str">
        <x:f>IF(AND(O$5&gt;=$C11,O$5&lt;=$D11,$A11&lt;&gt;""),"●","")</x:f>
      </x:c>
      <x:c r="P11" s="165" t="str">
        <x:f>IF(AND(P$5&gt;=$C11,P$5&lt;=$D11,$A11&lt;&gt;""),"●","")</x:f>
      </x:c>
      <x:c r="Q11" s="165" t="str">
        <x:f>IF(AND(Q$5&gt;=$C11,Q$5&lt;=$D11,$A11&lt;&gt;""),"●","")</x:f>
      </x:c>
      <x:c r="R11" s="165" t="str">
        <x:f>IF(AND(R$5&gt;=$C11,R$5&lt;=$D11,$A11&lt;&gt;""),"●","")</x:f>
      </x:c>
      <x:c r="S11" s="165" t="str">
        <x:f>IF(AND(S$5&gt;=$C11,S$5&lt;=$D11,$A11&lt;&gt;""),"●","")</x:f>
      </x:c>
      <x:c r="T11" s="165" t="str">
        <x:f>IF(AND(T$5&gt;=$C11,T$5&lt;=$D11,$A11&lt;&gt;""),"●","")</x:f>
      </x:c>
      <x:c r="U11" s="165" t="str">
        <x:f>IF(AND(U$5&gt;=$C11,U$5&lt;=$D11,$A11&lt;&gt;""),"●","")</x:f>
      </x:c>
      <x:c r="V11" s="165" t="str">
        <x:f>IF(AND(V$5&gt;=$C11,V$5&lt;=$D11,$A11&lt;&gt;""),"●","")</x:f>
      </x:c>
      <x:c r="W11" s="165" t="str">
        <x:f>IF(AND(W$5&gt;=$C11,W$5&lt;=$D11,$A11&lt;&gt;""),"●","")</x:f>
      </x:c>
      <x:c r="X11" s="165" t="str">
        <x:f>IF(AND(X$5&gt;=$C11,X$5&lt;=$D11,$A11&lt;&gt;""),"●","")</x:f>
      </x:c>
      <x:c r="Y11" s="165" t="str">
        <x:f>IF(AND(Y$5&gt;=$C11,Y$5&lt;=$D11,$A11&lt;&gt;""),"●","")</x:f>
      </x:c>
      <x:c r="Z11" s="165" t="str">
        <x:f>IF(AND(Z$5&gt;=$C11,Z$5&lt;=$D11,$A11&lt;&gt;""),"●","")</x:f>
      </x:c>
      <x:c r="AA11" s="165" t="str">
        <x:f>IF(AND(AA$5&gt;=$C11,AA$5&lt;=$D11,$A11&lt;&gt;""),"●","")</x:f>
      </x:c>
      <x:c r="AB11" s="165" t="str">
        <x:f>IF(AND(AB$5&gt;=$C11,AB$5&lt;=$D11,$A11&lt;&gt;""),"●","")</x:f>
      </x:c>
      <x:c r="AC11" s="165" t="str">
        <x:f>IF(AND(AC$5&gt;=$C11,AC$5&lt;=$D11,$A11&lt;&gt;""),"●","")</x:f>
      </x:c>
      <x:c r="AD11" s="165" t="str">
        <x:f>IF(AND(AD$5&gt;=$C11,AD$5&lt;=$D11,$A11&lt;&gt;""),"●","")</x:f>
      </x:c>
      <x:c r="AE11" s="165" t="str">
        <x:f>IF(AND(AE$5&gt;=$C11,AE$5&lt;=$D11,$A11&lt;&gt;""),"●","")</x:f>
      </x:c>
      <x:c r="AF11" s="165" t="str">
        <x:f>IF(AND(AF$5&gt;=$C11,AF$5&lt;=$D11,$A11&lt;&gt;""),"●","")</x:f>
      </x:c>
      <x:c r="AG11" s="165" t="str">
        <x:f>IF(AND(AG$5&gt;=$C11,AG$5&lt;=$D11,$A11&lt;&gt;""),"●","")</x:f>
      </x:c>
      <x:c r="AH11" s="165" t="str">
        <x:f>IF(AND(AH$5&gt;=$C11,AH$5&lt;=$D11,$A11&lt;&gt;""),"●","")</x:f>
      </x:c>
      <x:c r="AI11" s="165" t="str">
        <x:f>IF(AND(AI$5&gt;=$C11,AI$5&lt;=$D11,$A11&lt;&gt;""),"●","")</x:f>
      </x:c>
      <x:c r="AJ11" s="165" t="str">
        <x:f>IF(AND(AJ$5&gt;=$C11,AJ$5&lt;=$D11,$A11&lt;&gt;""),"●","")</x:f>
      </x:c>
      <x:c r="AK11" s="165" t="str">
        <x:f>IF(AND(AK$5&gt;=$C11,AK$5&lt;=$D11,$A11&lt;&gt;""),"●","")</x:f>
      </x:c>
      <x:c r="AL11" s="165" t="str">
        <x:f>IF(AND(AL$5&gt;=$C11,AL$5&lt;=$D11,$A11&lt;&gt;""),"●","")</x:f>
      </x:c>
      <x:c r="AM11" s="165" t="str">
        <x:f>IF(AND(AM$5&gt;=$C11,AM$5&lt;=$D11,$A11&lt;&gt;""),"●","")</x:f>
      </x:c>
      <x:c r="AN11" s="165" t="str">
        <x:f>IF(AND(AN$5&gt;=$C11,AN$5&lt;=$D11,$A11&lt;&gt;""),"●","")</x:f>
      </x:c>
      <x:c r="AO11" s="165" t="str">
        <x:f>IF(AND(AO$5&gt;=$C11,AO$5&lt;=$D11,$A11&lt;&gt;""),"●","")</x:f>
      </x:c>
      <x:c r="AP11" s="165" t="str">
        <x:f>IF(AND(AP$5&gt;=$C11,AP$5&lt;=$D11,$A11&lt;&gt;""),"●","")</x:f>
      </x:c>
      <x:c r="AQ11" s="165" t="str">
        <x:f>IF(AND(AQ$5&gt;=$C11,AQ$5&lt;=$D11,$A11&lt;&gt;""),"●","")</x:f>
      </x:c>
      <x:c r="AR11" s="165" t="str">
        <x:f>IF(AND(AR$5&gt;=$C11,AR$5&lt;=$D11,$A11&lt;&gt;""),"●","")</x:f>
      </x:c>
      <x:c r="AS11" s="165" t="str">
        <x:f>IF(AND(AS$5&gt;=$C11,AS$5&lt;=$D11,$A11&lt;&gt;""),"●","")</x:f>
      </x:c>
      <x:c r="AT11" s="165" t="str">
        <x:f>IF(AND(AT$5&gt;=$C11,AT$5&lt;=$D11,$A11&lt;&gt;""),"●","")</x:f>
      </x:c>
      <x:c r="AU11" s="165" t="str">
        <x:f>IF(AND(AU$5&gt;=$C11,AU$5&lt;=$D11,$A11&lt;&gt;""),"●","")</x:f>
      </x:c>
      <x:c r="AV11" s="165" t="str">
        <x:f>IF(AND(AV$5&gt;=$C11,AV$5&lt;=$D11,$A11&lt;&gt;""),"●","")</x:f>
      </x:c>
      <x:c r="AW11" s="165" t="str">
        <x:f>IF(AND(AW$5&gt;=$C11,AW$5&lt;=$D11,$A11&lt;&gt;""),"●","")</x:f>
      </x:c>
      <x:c r="AX11" s="165" t="str">
        <x:f>IF(AND(AX$5&gt;=$C11,AX$5&lt;=$D11,$A11&lt;&gt;""),"●","")</x:f>
      </x:c>
      <x:c r="AY11" s="165" t="str">
        <x:f>IF(AND(AY$5&gt;=$C11,AY$5&lt;=$D11,$A11&lt;&gt;""),"●","")</x:f>
      </x:c>
      <x:c r="AZ11" s="165" t="str">
        <x:f>IF(AND(AZ$5&gt;=$C11,AZ$5&lt;=$D11,$A11&lt;&gt;""),"●","")</x:f>
      </x:c>
      <x:c r="BA11" s="165" t="str">
        <x:f>IF(AND(BA$5&gt;=$C11,BA$5&lt;=$D11,$A11&lt;&gt;""),"●","")</x:f>
      </x:c>
      <x:c r="BB11" s="165" t="str">
        <x:f>IF(AND(BB$5&gt;=$C11,BB$5&lt;=$D11,$A11&lt;&gt;""),"●","")</x:f>
      </x:c>
      <x:c r="BC11" s="165" t="str">
        <x:f>IF(AND(BC$5&gt;=$C11,BC$5&lt;=$D11,$A11&lt;&gt;""),"●","")</x:f>
      </x:c>
      <x:c r="BD11" s="165" t="str">
        <x:f>IF(AND(BD$5&gt;=$C11,BD$5&lt;=$D11,$A11&lt;&gt;""),"●","")</x:f>
      </x:c>
      <x:c r="BE11" s="165" t="str">
        <x:f>IF(AND(BE$5&gt;=$C11,BE$5&lt;=$D11,$A11&lt;&gt;""),"●","")</x:f>
      </x:c>
      <x:c r="BF11" s="165" t="str">
        <x:f>IF(AND(BF$5&gt;=$C11,BF$5&lt;=$D11,$A11&lt;&gt;""),"●","")</x:f>
      </x:c>
      <x:c r="BG11" s="165" t="str">
        <x:f>IF(AND(BG$5&gt;=$C11,BG$5&lt;=$D11,$A11&lt;&gt;""),"●","")</x:f>
      </x:c>
      <x:c r="BH11" s="165" t="str">
        <x:f>IF(AND(BH$5&gt;=$C11,BH$5&lt;=$D11,$A11&lt;&gt;""),"●","")</x:f>
      </x:c>
      <x:c r="BI11" s="165" t="str">
        <x:f>IF(AND(BI$5&gt;=$C11,BI$5&lt;=$D11,$A11&lt;&gt;""),"●","")</x:f>
      </x:c>
      <x:c r="BJ11" s="165" t="str">
        <x:f>IF(AND(BJ$5&gt;=$C11,BJ$5&lt;=$D11,$A11&lt;&gt;""),"●","")</x:f>
      </x:c>
      <x:c r="BK11" s="165" t="str">
        <x:f>IF(AND(BK$5&gt;=$C11,BK$5&lt;=$D11,$A11&lt;&gt;""),"●","")</x:f>
      </x:c>
      <x:c r="BL11" s="165" t="str">
        <x:f>IF(AND(BL$5&gt;=$C11,BL$5&lt;=$D11,$A11&lt;&gt;""),"●","")</x:f>
      </x:c>
      <x:c r="BM11" s="165" t="str">
        <x:f>IF(AND(BM$5&gt;=$C11,BM$5&lt;=$D11,$A11&lt;&gt;""),"●","")</x:f>
      </x:c>
      <x:c r="BN11" s="165" t="str">
        <x:f>IF(AND(BN$5&gt;=$C11,BN$5&lt;=$D11,$A11&lt;&gt;""),"●","")</x:f>
      </x:c>
      <x:c r="BO11" s="165" t="str">
        <x:f>IF(AND(BO$5&gt;=$C11,BO$5&lt;=$D11,$A11&lt;&gt;""),"●","")</x:f>
      </x:c>
      <x:c r="BP11" s="165" t="str">
        <x:f>IF(AND(BP$5&gt;=$C11,BP$5&lt;=$D11,$A11&lt;&gt;""),"●","")</x:f>
      </x:c>
      <x:c r="BQ11" s="165" t="str">
        <x:f>IF(AND(BQ$5&gt;=$C11,BQ$5&lt;=$D11,$A11&lt;&gt;""),"●","")</x:f>
      </x:c>
      <x:c r="BR11" s="165" t="str">
        <x:f>IF(AND(BR$5&gt;=$C11,BR$5&lt;=$D11,$A11&lt;&gt;""),"●","")</x:f>
      </x:c>
      <x:c r="BS11" s="165" t="str">
        <x:f>IF(AND(BS$5&gt;=$C11,BS$5&lt;=$D11,$A11&lt;&gt;""),"●","")</x:f>
      </x:c>
      <x:c r="BT11" s="165" t="str">
        <x:f>IF(AND(BT$5&gt;=$C11,BT$5&lt;=$D11,$A11&lt;&gt;""),"●","")</x:f>
      </x:c>
      <x:c r="BU11" s="165" t="str">
        <x:f>IF(AND(BU$5&gt;=$C11,BU$5&lt;=$D11,$A11&lt;&gt;""),"●","")</x:f>
      </x:c>
      <x:c r="BV11" s="165" t="str">
        <x:f>IF(AND(BV$5&gt;=$C11,BV$5&lt;=$D11,$A11&lt;&gt;""),"●","")</x:f>
      </x:c>
      <x:c r="BW11" s="165" t="str">
        <x:f>IF(AND(BW$5&gt;=$C11,BW$5&lt;=$D11,$A11&lt;&gt;""),"●","")</x:f>
      </x:c>
    </x:row>
    <x:row r="12">
      <x:c r="A12" s="159" t="str">
        <x:f>IF('รายการสัญญา'!A12="","",'รายการสัญญา'!A12)</x:f>
      </x:c>
      <x:c r="B12" s="159" t="str">
        <x:f>IF('รายการสัญญา'!A12="","",'รายการสัญญา'!C12)</x:f>
      </x:c>
      <x:c r="C12" s="162" t="str">
        <x:f>IF('รายการสัญญา'!A12="","",'รายการสัญญา'!E12)</x:f>
      </x:c>
      <x:c r="D12" s="162" t="str">
        <x:f>IF('รายการสัญญา'!A12="","",'รายการสัญญา'!G12)</x:f>
      </x:c>
      <x:c r="E12" s="159" t="str">
        <x:f>IF('รายการสัญญา'!A12="","",'รายการสัญญา'!K12)</x:f>
      </x:c>
      <x:c r="F12" s="165" t="str">
        <x:f>IF(AND(F$5&gt;=$C12,F$5&lt;=$D12,$A12&lt;&gt;""),"●","")</x:f>
      </x:c>
      <x:c r="G12" s="165" t="str">
        <x:f>IF(AND(G$5&gt;=$C12,G$5&lt;=$D12,$A12&lt;&gt;""),"●","")</x:f>
      </x:c>
      <x:c r="H12" s="165" t="str">
        <x:f>IF(AND(H$5&gt;=$C12,H$5&lt;=$D12,$A12&lt;&gt;""),"●","")</x:f>
      </x:c>
      <x:c r="I12" s="165" t="str">
        <x:f>IF(AND(I$5&gt;=$C12,I$5&lt;=$D12,$A12&lt;&gt;""),"●","")</x:f>
      </x:c>
      <x:c r="J12" s="165" t="str">
        <x:f>IF(AND(J$5&gt;=$C12,J$5&lt;=$D12,$A12&lt;&gt;""),"●","")</x:f>
      </x:c>
      <x:c r="K12" s="165" t="str">
        <x:f>IF(AND(K$5&gt;=$C12,K$5&lt;=$D12,$A12&lt;&gt;""),"●","")</x:f>
      </x:c>
      <x:c r="L12" s="165" t="str">
        <x:f>IF(AND(L$5&gt;=$C12,L$5&lt;=$D12,$A12&lt;&gt;""),"●","")</x:f>
      </x:c>
      <x:c r="M12" s="165" t="str">
        <x:f>IF(AND(M$5&gt;=$C12,M$5&lt;=$D12,$A12&lt;&gt;""),"●","")</x:f>
      </x:c>
      <x:c r="N12" s="165" t="str">
        <x:f>IF(AND(N$5&gt;=$C12,N$5&lt;=$D12,$A12&lt;&gt;""),"●","")</x:f>
      </x:c>
      <x:c r="O12" s="165" t="str">
        <x:f>IF(AND(O$5&gt;=$C12,O$5&lt;=$D12,$A12&lt;&gt;""),"●","")</x:f>
      </x:c>
      <x:c r="P12" s="165" t="str">
        <x:f>IF(AND(P$5&gt;=$C12,P$5&lt;=$D12,$A12&lt;&gt;""),"●","")</x:f>
      </x:c>
      <x:c r="Q12" s="165" t="str">
        <x:f>IF(AND(Q$5&gt;=$C12,Q$5&lt;=$D12,$A12&lt;&gt;""),"●","")</x:f>
      </x:c>
      <x:c r="R12" s="165" t="str">
        <x:f>IF(AND(R$5&gt;=$C12,R$5&lt;=$D12,$A12&lt;&gt;""),"●","")</x:f>
      </x:c>
      <x:c r="S12" s="165" t="str">
        <x:f>IF(AND(S$5&gt;=$C12,S$5&lt;=$D12,$A12&lt;&gt;""),"●","")</x:f>
      </x:c>
      <x:c r="T12" s="165" t="str">
        <x:f>IF(AND(T$5&gt;=$C12,T$5&lt;=$D12,$A12&lt;&gt;""),"●","")</x:f>
      </x:c>
      <x:c r="U12" s="165" t="str">
        <x:f>IF(AND(U$5&gt;=$C12,U$5&lt;=$D12,$A12&lt;&gt;""),"●","")</x:f>
      </x:c>
      <x:c r="V12" s="165" t="str">
        <x:f>IF(AND(V$5&gt;=$C12,V$5&lt;=$D12,$A12&lt;&gt;""),"●","")</x:f>
      </x:c>
      <x:c r="W12" s="165" t="str">
        <x:f>IF(AND(W$5&gt;=$C12,W$5&lt;=$D12,$A12&lt;&gt;""),"●","")</x:f>
      </x:c>
      <x:c r="X12" s="165" t="str">
        <x:f>IF(AND(X$5&gt;=$C12,X$5&lt;=$D12,$A12&lt;&gt;""),"●","")</x:f>
      </x:c>
      <x:c r="Y12" s="165" t="str">
        <x:f>IF(AND(Y$5&gt;=$C12,Y$5&lt;=$D12,$A12&lt;&gt;""),"●","")</x:f>
      </x:c>
      <x:c r="Z12" s="165" t="str">
        <x:f>IF(AND(Z$5&gt;=$C12,Z$5&lt;=$D12,$A12&lt;&gt;""),"●","")</x:f>
      </x:c>
      <x:c r="AA12" s="165" t="str">
        <x:f>IF(AND(AA$5&gt;=$C12,AA$5&lt;=$D12,$A12&lt;&gt;""),"●","")</x:f>
      </x:c>
      <x:c r="AB12" s="165" t="str">
        <x:f>IF(AND(AB$5&gt;=$C12,AB$5&lt;=$D12,$A12&lt;&gt;""),"●","")</x:f>
      </x:c>
      <x:c r="AC12" s="165" t="str">
        <x:f>IF(AND(AC$5&gt;=$C12,AC$5&lt;=$D12,$A12&lt;&gt;""),"●","")</x:f>
      </x:c>
      <x:c r="AD12" s="165" t="str">
        <x:f>IF(AND(AD$5&gt;=$C12,AD$5&lt;=$D12,$A12&lt;&gt;""),"●","")</x:f>
      </x:c>
      <x:c r="AE12" s="165" t="str">
        <x:f>IF(AND(AE$5&gt;=$C12,AE$5&lt;=$D12,$A12&lt;&gt;""),"●","")</x:f>
      </x:c>
      <x:c r="AF12" s="165" t="str">
        <x:f>IF(AND(AF$5&gt;=$C12,AF$5&lt;=$D12,$A12&lt;&gt;""),"●","")</x:f>
      </x:c>
      <x:c r="AG12" s="165" t="str">
        <x:f>IF(AND(AG$5&gt;=$C12,AG$5&lt;=$D12,$A12&lt;&gt;""),"●","")</x:f>
      </x:c>
      <x:c r="AH12" s="165" t="str">
        <x:f>IF(AND(AH$5&gt;=$C12,AH$5&lt;=$D12,$A12&lt;&gt;""),"●","")</x:f>
      </x:c>
      <x:c r="AI12" s="165" t="str">
        <x:f>IF(AND(AI$5&gt;=$C12,AI$5&lt;=$D12,$A12&lt;&gt;""),"●","")</x:f>
      </x:c>
      <x:c r="AJ12" s="165" t="str">
        <x:f>IF(AND(AJ$5&gt;=$C12,AJ$5&lt;=$D12,$A12&lt;&gt;""),"●","")</x:f>
      </x:c>
      <x:c r="AK12" s="165" t="str">
        <x:f>IF(AND(AK$5&gt;=$C12,AK$5&lt;=$D12,$A12&lt;&gt;""),"●","")</x:f>
      </x:c>
      <x:c r="AL12" s="165" t="str">
        <x:f>IF(AND(AL$5&gt;=$C12,AL$5&lt;=$D12,$A12&lt;&gt;""),"●","")</x:f>
      </x:c>
      <x:c r="AM12" s="165" t="str">
        <x:f>IF(AND(AM$5&gt;=$C12,AM$5&lt;=$D12,$A12&lt;&gt;""),"●","")</x:f>
      </x:c>
      <x:c r="AN12" s="165" t="str">
        <x:f>IF(AND(AN$5&gt;=$C12,AN$5&lt;=$D12,$A12&lt;&gt;""),"●","")</x:f>
      </x:c>
      <x:c r="AO12" s="165" t="str">
        <x:f>IF(AND(AO$5&gt;=$C12,AO$5&lt;=$D12,$A12&lt;&gt;""),"●","")</x:f>
      </x:c>
      <x:c r="AP12" s="165" t="str">
        <x:f>IF(AND(AP$5&gt;=$C12,AP$5&lt;=$D12,$A12&lt;&gt;""),"●","")</x:f>
      </x:c>
      <x:c r="AQ12" s="165" t="str">
        <x:f>IF(AND(AQ$5&gt;=$C12,AQ$5&lt;=$D12,$A12&lt;&gt;""),"●","")</x:f>
      </x:c>
      <x:c r="AR12" s="165" t="str">
        <x:f>IF(AND(AR$5&gt;=$C12,AR$5&lt;=$D12,$A12&lt;&gt;""),"●","")</x:f>
      </x:c>
      <x:c r="AS12" s="165" t="str">
        <x:f>IF(AND(AS$5&gt;=$C12,AS$5&lt;=$D12,$A12&lt;&gt;""),"●","")</x:f>
      </x:c>
      <x:c r="AT12" s="165" t="str">
        <x:f>IF(AND(AT$5&gt;=$C12,AT$5&lt;=$D12,$A12&lt;&gt;""),"●","")</x:f>
      </x:c>
      <x:c r="AU12" s="165" t="str">
        <x:f>IF(AND(AU$5&gt;=$C12,AU$5&lt;=$D12,$A12&lt;&gt;""),"●","")</x:f>
      </x:c>
      <x:c r="AV12" s="165" t="str">
        <x:f>IF(AND(AV$5&gt;=$C12,AV$5&lt;=$D12,$A12&lt;&gt;""),"●","")</x:f>
      </x:c>
      <x:c r="AW12" s="165" t="str">
        <x:f>IF(AND(AW$5&gt;=$C12,AW$5&lt;=$D12,$A12&lt;&gt;""),"●","")</x:f>
      </x:c>
      <x:c r="AX12" s="165" t="str">
        <x:f>IF(AND(AX$5&gt;=$C12,AX$5&lt;=$D12,$A12&lt;&gt;""),"●","")</x:f>
      </x:c>
      <x:c r="AY12" s="165" t="str">
        <x:f>IF(AND(AY$5&gt;=$C12,AY$5&lt;=$D12,$A12&lt;&gt;""),"●","")</x:f>
      </x:c>
      <x:c r="AZ12" s="165" t="str">
        <x:f>IF(AND(AZ$5&gt;=$C12,AZ$5&lt;=$D12,$A12&lt;&gt;""),"●","")</x:f>
      </x:c>
      <x:c r="BA12" s="165" t="str">
        <x:f>IF(AND(BA$5&gt;=$C12,BA$5&lt;=$D12,$A12&lt;&gt;""),"●","")</x:f>
      </x:c>
      <x:c r="BB12" s="165" t="str">
        <x:f>IF(AND(BB$5&gt;=$C12,BB$5&lt;=$D12,$A12&lt;&gt;""),"●","")</x:f>
      </x:c>
      <x:c r="BC12" s="165" t="str">
        <x:f>IF(AND(BC$5&gt;=$C12,BC$5&lt;=$D12,$A12&lt;&gt;""),"●","")</x:f>
      </x:c>
      <x:c r="BD12" s="165" t="str">
        <x:f>IF(AND(BD$5&gt;=$C12,BD$5&lt;=$D12,$A12&lt;&gt;""),"●","")</x:f>
      </x:c>
      <x:c r="BE12" s="165" t="str">
        <x:f>IF(AND(BE$5&gt;=$C12,BE$5&lt;=$D12,$A12&lt;&gt;""),"●","")</x:f>
      </x:c>
      <x:c r="BF12" s="165" t="str">
        <x:f>IF(AND(BF$5&gt;=$C12,BF$5&lt;=$D12,$A12&lt;&gt;""),"●","")</x:f>
      </x:c>
      <x:c r="BG12" s="165" t="str">
        <x:f>IF(AND(BG$5&gt;=$C12,BG$5&lt;=$D12,$A12&lt;&gt;""),"●","")</x:f>
      </x:c>
      <x:c r="BH12" s="165" t="str">
        <x:f>IF(AND(BH$5&gt;=$C12,BH$5&lt;=$D12,$A12&lt;&gt;""),"●","")</x:f>
      </x:c>
      <x:c r="BI12" s="165" t="str">
        <x:f>IF(AND(BI$5&gt;=$C12,BI$5&lt;=$D12,$A12&lt;&gt;""),"●","")</x:f>
      </x:c>
      <x:c r="BJ12" s="165" t="str">
        <x:f>IF(AND(BJ$5&gt;=$C12,BJ$5&lt;=$D12,$A12&lt;&gt;""),"●","")</x:f>
      </x:c>
      <x:c r="BK12" s="165" t="str">
        <x:f>IF(AND(BK$5&gt;=$C12,BK$5&lt;=$D12,$A12&lt;&gt;""),"●","")</x:f>
      </x:c>
      <x:c r="BL12" s="165" t="str">
        <x:f>IF(AND(BL$5&gt;=$C12,BL$5&lt;=$D12,$A12&lt;&gt;""),"●","")</x:f>
      </x:c>
      <x:c r="BM12" s="165" t="str">
        <x:f>IF(AND(BM$5&gt;=$C12,BM$5&lt;=$D12,$A12&lt;&gt;""),"●","")</x:f>
      </x:c>
      <x:c r="BN12" s="165" t="str">
        <x:f>IF(AND(BN$5&gt;=$C12,BN$5&lt;=$D12,$A12&lt;&gt;""),"●","")</x:f>
      </x:c>
      <x:c r="BO12" s="165" t="str">
        <x:f>IF(AND(BO$5&gt;=$C12,BO$5&lt;=$D12,$A12&lt;&gt;""),"●","")</x:f>
      </x:c>
      <x:c r="BP12" s="165" t="str">
        <x:f>IF(AND(BP$5&gt;=$C12,BP$5&lt;=$D12,$A12&lt;&gt;""),"●","")</x:f>
      </x:c>
      <x:c r="BQ12" s="165" t="str">
        <x:f>IF(AND(BQ$5&gt;=$C12,BQ$5&lt;=$D12,$A12&lt;&gt;""),"●","")</x:f>
      </x:c>
      <x:c r="BR12" s="165" t="str">
        <x:f>IF(AND(BR$5&gt;=$C12,BR$5&lt;=$D12,$A12&lt;&gt;""),"●","")</x:f>
      </x:c>
      <x:c r="BS12" s="165" t="str">
        <x:f>IF(AND(BS$5&gt;=$C12,BS$5&lt;=$D12,$A12&lt;&gt;""),"●","")</x:f>
      </x:c>
      <x:c r="BT12" s="165" t="str">
        <x:f>IF(AND(BT$5&gt;=$C12,BT$5&lt;=$D12,$A12&lt;&gt;""),"●","")</x:f>
      </x:c>
      <x:c r="BU12" s="165" t="str">
        <x:f>IF(AND(BU$5&gt;=$C12,BU$5&lt;=$D12,$A12&lt;&gt;""),"●","")</x:f>
      </x:c>
      <x:c r="BV12" s="165" t="str">
        <x:f>IF(AND(BV$5&gt;=$C12,BV$5&lt;=$D12,$A12&lt;&gt;""),"●","")</x:f>
      </x:c>
      <x:c r="BW12" s="165" t="str">
        <x:f>IF(AND(BW$5&gt;=$C12,BW$5&lt;=$D12,$A12&lt;&gt;""),"●","")</x:f>
      </x:c>
    </x:row>
    <x:row r="13">
      <x:c r="A13" s="159" t="str">
        <x:f>IF('รายการสัญญา'!A13="","",'รายการสัญญา'!A13)</x:f>
      </x:c>
      <x:c r="B13" s="159" t="str">
        <x:f>IF('รายการสัญญา'!A13="","",'รายการสัญญา'!C13)</x:f>
      </x:c>
      <x:c r="C13" s="162" t="str">
        <x:f>IF('รายการสัญญา'!A13="","",'รายการสัญญา'!E13)</x:f>
      </x:c>
      <x:c r="D13" s="162" t="str">
        <x:f>IF('รายการสัญญา'!A13="","",'รายการสัญญา'!G13)</x:f>
      </x:c>
      <x:c r="E13" s="159" t="str">
        <x:f>IF('รายการสัญญา'!A13="","",'รายการสัญญา'!K13)</x:f>
      </x:c>
      <x:c r="F13" s="165" t="str">
        <x:f>IF(AND(F$5&gt;=$C13,F$5&lt;=$D13,$A13&lt;&gt;""),"●","")</x:f>
      </x:c>
      <x:c r="G13" s="165" t="str">
        <x:f>IF(AND(G$5&gt;=$C13,G$5&lt;=$D13,$A13&lt;&gt;""),"●","")</x:f>
      </x:c>
      <x:c r="H13" s="165" t="str">
        <x:f>IF(AND(H$5&gt;=$C13,H$5&lt;=$D13,$A13&lt;&gt;""),"●","")</x:f>
      </x:c>
      <x:c r="I13" s="165" t="str">
        <x:f>IF(AND(I$5&gt;=$C13,I$5&lt;=$D13,$A13&lt;&gt;""),"●","")</x:f>
      </x:c>
      <x:c r="J13" s="165" t="str">
        <x:f>IF(AND(J$5&gt;=$C13,J$5&lt;=$D13,$A13&lt;&gt;""),"●","")</x:f>
      </x:c>
      <x:c r="K13" s="165" t="str">
        <x:f>IF(AND(K$5&gt;=$C13,K$5&lt;=$D13,$A13&lt;&gt;""),"●","")</x:f>
      </x:c>
      <x:c r="L13" s="165" t="str">
        <x:f>IF(AND(L$5&gt;=$C13,L$5&lt;=$D13,$A13&lt;&gt;""),"●","")</x:f>
      </x:c>
      <x:c r="M13" s="165" t="str">
        <x:f>IF(AND(M$5&gt;=$C13,M$5&lt;=$D13,$A13&lt;&gt;""),"●","")</x:f>
      </x:c>
      <x:c r="N13" s="165" t="str">
        <x:f>IF(AND(N$5&gt;=$C13,N$5&lt;=$D13,$A13&lt;&gt;""),"●","")</x:f>
      </x:c>
      <x:c r="O13" s="165" t="str">
        <x:f>IF(AND(O$5&gt;=$C13,O$5&lt;=$D13,$A13&lt;&gt;""),"●","")</x:f>
      </x:c>
      <x:c r="P13" s="165" t="str">
        <x:f>IF(AND(P$5&gt;=$C13,P$5&lt;=$D13,$A13&lt;&gt;""),"●","")</x:f>
      </x:c>
      <x:c r="Q13" s="165" t="str">
        <x:f>IF(AND(Q$5&gt;=$C13,Q$5&lt;=$D13,$A13&lt;&gt;""),"●","")</x:f>
      </x:c>
      <x:c r="R13" s="165" t="str">
        <x:f>IF(AND(R$5&gt;=$C13,R$5&lt;=$D13,$A13&lt;&gt;""),"●","")</x:f>
      </x:c>
      <x:c r="S13" s="165" t="str">
        <x:f>IF(AND(S$5&gt;=$C13,S$5&lt;=$D13,$A13&lt;&gt;""),"●","")</x:f>
      </x:c>
      <x:c r="T13" s="165" t="str">
        <x:f>IF(AND(T$5&gt;=$C13,T$5&lt;=$D13,$A13&lt;&gt;""),"●","")</x:f>
      </x:c>
      <x:c r="U13" s="165" t="str">
        <x:f>IF(AND(U$5&gt;=$C13,U$5&lt;=$D13,$A13&lt;&gt;""),"●","")</x:f>
      </x:c>
      <x:c r="V13" s="165" t="str">
        <x:f>IF(AND(V$5&gt;=$C13,V$5&lt;=$D13,$A13&lt;&gt;""),"●","")</x:f>
      </x:c>
      <x:c r="W13" s="165" t="str">
        <x:f>IF(AND(W$5&gt;=$C13,W$5&lt;=$D13,$A13&lt;&gt;""),"●","")</x:f>
      </x:c>
      <x:c r="X13" s="165" t="str">
        <x:f>IF(AND(X$5&gt;=$C13,X$5&lt;=$D13,$A13&lt;&gt;""),"●","")</x:f>
      </x:c>
      <x:c r="Y13" s="165" t="str">
        <x:f>IF(AND(Y$5&gt;=$C13,Y$5&lt;=$D13,$A13&lt;&gt;""),"●","")</x:f>
      </x:c>
      <x:c r="Z13" s="165" t="str">
        <x:f>IF(AND(Z$5&gt;=$C13,Z$5&lt;=$D13,$A13&lt;&gt;""),"●","")</x:f>
      </x:c>
      <x:c r="AA13" s="165" t="str">
        <x:f>IF(AND(AA$5&gt;=$C13,AA$5&lt;=$D13,$A13&lt;&gt;""),"●","")</x:f>
      </x:c>
      <x:c r="AB13" s="165" t="str">
        <x:f>IF(AND(AB$5&gt;=$C13,AB$5&lt;=$D13,$A13&lt;&gt;""),"●","")</x:f>
      </x:c>
      <x:c r="AC13" s="165" t="str">
        <x:f>IF(AND(AC$5&gt;=$C13,AC$5&lt;=$D13,$A13&lt;&gt;""),"●","")</x:f>
      </x:c>
      <x:c r="AD13" s="165" t="str">
        <x:f>IF(AND(AD$5&gt;=$C13,AD$5&lt;=$D13,$A13&lt;&gt;""),"●","")</x:f>
      </x:c>
      <x:c r="AE13" s="165" t="str">
        <x:f>IF(AND(AE$5&gt;=$C13,AE$5&lt;=$D13,$A13&lt;&gt;""),"●","")</x:f>
      </x:c>
      <x:c r="AF13" s="165" t="str">
        <x:f>IF(AND(AF$5&gt;=$C13,AF$5&lt;=$D13,$A13&lt;&gt;""),"●","")</x:f>
      </x:c>
      <x:c r="AG13" s="165" t="str">
        <x:f>IF(AND(AG$5&gt;=$C13,AG$5&lt;=$D13,$A13&lt;&gt;""),"●","")</x:f>
      </x:c>
      <x:c r="AH13" s="165" t="str">
        <x:f>IF(AND(AH$5&gt;=$C13,AH$5&lt;=$D13,$A13&lt;&gt;""),"●","")</x:f>
      </x:c>
      <x:c r="AI13" s="165" t="str">
        <x:f>IF(AND(AI$5&gt;=$C13,AI$5&lt;=$D13,$A13&lt;&gt;""),"●","")</x:f>
      </x:c>
      <x:c r="AJ13" s="165" t="str">
        <x:f>IF(AND(AJ$5&gt;=$C13,AJ$5&lt;=$D13,$A13&lt;&gt;""),"●","")</x:f>
      </x:c>
      <x:c r="AK13" s="165" t="str">
        <x:f>IF(AND(AK$5&gt;=$C13,AK$5&lt;=$D13,$A13&lt;&gt;""),"●","")</x:f>
      </x:c>
      <x:c r="AL13" s="165" t="str">
        <x:f>IF(AND(AL$5&gt;=$C13,AL$5&lt;=$D13,$A13&lt;&gt;""),"●","")</x:f>
      </x:c>
      <x:c r="AM13" s="165" t="str">
        <x:f>IF(AND(AM$5&gt;=$C13,AM$5&lt;=$D13,$A13&lt;&gt;""),"●","")</x:f>
      </x:c>
      <x:c r="AN13" s="165" t="str">
        <x:f>IF(AND(AN$5&gt;=$C13,AN$5&lt;=$D13,$A13&lt;&gt;""),"●","")</x:f>
      </x:c>
      <x:c r="AO13" s="165" t="str">
        <x:f>IF(AND(AO$5&gt;=$C13,AO$5&lt;=$D13,$A13&lt;&gt;""),"●","")</x:f>
      </x:c>
      <x:c r="AP13" s="165" t="str">
        <x:f>IF(AND(AP$5&gt;=$C13,AP$5&lt;=$D13,$A13&lt;&gt;""),"●","")</x:f>
      </x:c>
      <x:c r="AQ13" s="165" t="str">
        <x:f>IF(AND(AQ$5&gt;=$C13,AQ$5&lt;=$D13,$A13&lt;&gt;""),"●","")</x:f>
      </x:c>
      <x:c r="AR13" s="165" t="str">
        <x:f>IF(AND(AR$5&gt;=$C13,AR$5&lt;=$D13,$A13&lt;&gt;""),"●","")</x:f>
      </x:c>
      <x:c r="AS13" s="165" t="str">
        <x:f>IF(AND(AS$5&gt;=$C13,AS$5&lt;=$D13,$A13&lt;&gt;""),"●","")</x:f>
      </x:c>
      <x:c r="AT13" s="165" t="str">
        <x:f>IF(AND(AT$5&gt;=$C13,AT$5&lt;=$D13,$A13&lt;&gt;""),"●","")</x:f>
      </x:c>
      <x:c r="AU13" s="165" t="str">
        <x:f>IF(AND(AU$5&gt;=$C13,AU$5&lt;=$D13,$A13&lt;&gt;""),"●","")</x:f>
      </x:c>
      <x:c r="AV13" s="165" t="str">
        <x:f>IF(AND(AV$5&gt;=$C13,AV$5&lt;=$D13,$A13&lt;&gt;""),"●","")</x:f>
      </x:c>
      <x:c r="AW13" s="165" t="str">
        <x:f>IF(AND(AW$5&gt;=$C13,AW$5&lt;=$D13,$A13&lt;&gt;""),"●","")</x:f>
      </x:c>
      <x:c r="AX13" s="165" t="str">
        <x:f>IF(AND(AX$5&gt;=$C13,AX$5&lt;=$D13,$A13&lt;&gt;""),"●","")</x:f>
      </x:c>
      <x:c r="AY13" s="165" t="str">
        <x:f>IF(AND(AY$5&gt;=$C13,AY$5&lt;=$D13,$A13&lt;&gt;""),"●","")</x:f>
      </x:c>
      <x:c r="AZ13" s="165" t="str">
        <x:f>IF(AND(AZ$5&gt;=$C13,AZ$5&lt;=$D13,$A13&lt;&gt;""),"●","")</x:f>
      </x:c>
      <x:c r="BA13" s="165" t="str">
        <x:f>IF(AND(BA$5&gt;=$C13,BA$5&lt;=$D13,$A13&lt;&gt;""),"●","")</x:f>
      </x:c>
      <x:c r="BB13" s="165" t="str">
        <x:f>IF(AND(BB$5&gt;=$C13,BB$5&lt;=$D13,$A13&lt;&gt;""),"●","")</x:f>
      </x:c>
      <x:c r="BC13" s="165" t="str">
        <x:f>IF(AND(BC$5&gt;=$C13,BC$5&lt;=$D13,$A13&lt;&gt;""),"●","")</x:f>
      </x:c>
      <x:c r="BD13" s="165" t="str">
        <x:f>IF(AND(BD$5&gt;=$C13,BD$5&lt;=$D13,$A13&lt;&gt;""),"●","")</x:f>
      </x:c>
      <x:c r="BE13" s="165" t="str">
        <x:f>IF(AND(BE$5&gt;=$C13,BE$5&lt;=$D13,$A13&lt;&gt;""),"●","")</x:f>
      </x:c>
      <x:c r="BF13" s="165" t="str">
        <x:f>IF(AND(BF$5&gt;=$C13,BF$5&lt;=$D13,$A13&lt;&gt;""),"●","")</x:f>
      </x:c>
      <x:c r="BG13" s="165" t="str">
        <x:f>IF(AND(BG$5&gt;=$C13,BG$5&lt;=$D13,$A13&lt;&gt;""),"●","")</x:f>
      </x:c>
      <x:c r="BH13" s="165" t="str">
        <x:f>IF(AND(BH$5&gt;=$C13,BH$5&lt;=$D13,$A13&lt;&gt;""),"●","")</x:f>
      </x:c>
      <x:c r="BI13" s="165" t="str">
        <x:f>IF(AND(BI$5&gt;=$C13,BI$5&lt;=$D13,$A13&lt;&gt;""),"●","")</x:f>
      </x:c>
      <x:c r="BJ13" s="165" t="str">
        <x:f>IF(AND(BJ$5&gt;=$C13,BJ$5&lt;=$D13,$A13&lt;&gt;""),"●","")</x:f>
      </x:c>
      <x:c r="BK13" s="165" t="str">
        <x:f>IF(AND(BK$5&gt;=$C13,BK$5&lt;=$D13,$A13&lt;&gt;""),"●","")</x:f>
      </x:c>
      <x:c r="BL13" s="165" t="str">
        <x:f>IF(AND(BL$5&gt;=$C13,BL$5&lt;=$D13,$A13&lt;&gt;""),"●","")</x:f>
      </x:c>
      <x:c r="BM13" s="165" t="str">
        <x:f>IF(AND(BM$5&gt;=$C13,BM$5&lt;=$D13,$A13&lt;&gt;""),"●","")</x:f>
      </x:c>
      <x:c r="BN13" s="165" t="str">
        <x:f>IF(AND(BN$5&gt;=$C13,BN$5&lt;=$D13,$A13&lt;&gt;""),"●","")</x:f>
      </x:c>
      <x:c r="BO13" s="165" t="str">
        <x:f>IF(AND(BO$5&gt;=$C13,BO$5&lt;=$D13,$A13&lt;&gt;""),"●","")</x:f>
      </x:c>
      <x:c r="BP13" s="165" t="str">
        <x:f>IF(AND(BP$5&gt;=$C13,BP$5&lt;=$D13,$A13&lt;&gt;""),"●","")</x:f>
      </x:c>
      <x:c r="BQ13" s="165" t="str">
        <x:f>IF(AND(BQ$5&gt;=$C13,BQ$5&lt;=$D13,$A13&lt;&gt;""),"●","")</x:f>
      </x:c>
      <x:c r="BR13" s="165" t="str">
        <x:f>IF(AND(BR$5&gt;=$C13,BR$5&lt;=$D13,$A13&lt;&gt;""),"●","")</x:f>
      </x:c>
      <x:c r="BS13" s="165" t="str">
        <x:f>IF(AND(BS$5&gt;=$C13,BS$5&lt;=$D13,$A13&lt;&gt;""),"●","")</x:f>
      </x:c>
      <x:c r="BT13" s="165" t="str">
        <x:f>IF(AND(BT$5&gt;=$C13,BT$5&lt;=$D13,$A13&lt;&gt;""),"●","")</x:f>
      </x:c>
      <x:c r="BU13" s="165" t="str">
        <x:f>IF(AND(BU$5&gt;=$C13,BU$5&lt;=$D13,$A13&lt;&gt;""),"●","")</x:f>
      </x:c>
      <x:c r="BV13" s="165" t="str">
        <x:f>IF(AND(BV$5&gt;=$C13,BV$5&lt;=$D13,$A13&lt;&gt;""),"●","")</x:f>
      </x:c>
      <x:c r="BW13" s="165" t="str">
        <x:f>IF(AND(BW$5&gt;=$C13,BW$5&lt;=$D13,$A13&lt;&gt;""),"●","")</x:f>
      </x:c>
    </x:row>
    <x:row r="14">
      <x:c r="A14" s="159" t="str">
        <x:f>IF('รายการสัญญา'!A14="","",'รายการสัญญา'!A14)</x:f>
      </x:c>
      <x:c r="B14" s="159" t="str">
        <x:f>IF('รายการสัญญา'!A14="","",'รายการสัญญา'!C14)</x:f>
      </x:c>
      <x:c r="C14" s="162" t="str">
        <x:f>IF('รายการสัญญา'!A14="","",'รายการสัญญา'!E14)</x:f>
      </x:c>
      <x:c r="D14" s="162" t="str">
        <x:f>IF('รายการสัญญา'!A14="","",'รายการสัญญา'!G14)</x:f>
      </x:c>
      <x:c r="E14" s="159" t="str">
        <x:f>IF('รายการสัญญา'!A14="","",'รายการสัญญา'!K14)</x:f>
      </x:c>
      <x:c r="F14" s="165" t="str">
        <x:f>IF(AND(F$5&gt;=$C14,F$5&lt;=$D14,$A14&lt;&gt;""),"●","")</x:f>
      </x:c>
      <x:c r="G14" s="165" t="str">
        <x:f>IF(AND(G$5&gt;=$C14,G$5&lt;=$D14,$A14&lt;&gt;""),"●","")</x:f>
      </x:c>
      <x:c r="H14" s="165" t="str">
        <x:f>IF(AND(H$5&gt;=$C14,H$5&lt;=$D14,$A14&lt;&gt;""),"●","")</x:f>
      </x:c>
      <x:c r="I14" s="165" t="str">
        <x:f>IF(AND(I$5&gt;=$C14,I$5&lt;=$D14,$A14&lt;&gt;""),"●","")</x:f>
      </x:c>
      <x:c r="J14" s="165" t="str">
        <x:f>IF(AND(J$5&gt;=$C14,J$5&lt;=$D14,$A14&lt;&gt;""),"●","")</x:f>
      </x:c>
      <x:c r="K14" s="165" t="str">
        <x:f>IF(AND(K$5&gt;=$C14,K$5&lt;=$D14,$A14&lt;&gt;""),"●","")</x:f>
      </x:c>
      <x:c r="L14" s="165" t="str">
        <x:f>IF(AND(L$5&gt;=$C14,L$5&lt;=$D14,$A14&lt;&gt;""),"●","")</x:f>
      </x:c>
      <x:c r="M14" s="165" t="str">
        <x:f>IF(AND(M$5&gt;=$C14,M$5&lt;=$D14,$A14&lt;&gt;""),"●","")</x:f>
      </x:c>
      <x:c r="N14" s="165" t="str">
        <x:f>IF(AND(N$5&gt;=$C14,N$5&lt;=$D14,$A14&lt;&gt;""),"●","")</x:f>
      </x:c>
      <x:c r="O14" s="165" t="str">
        <x:f>IF(AND(O$5&gt;=$C14,O$5&lt;=$D14,$A14&lt;&gt;""),"●","")</x:f>
      </x:c>
      <x:c r="P14" s="165" t="str">
        <x:f>IF(AND(P$5&gt;=$C14,P$5&lt;=$D14,$A14&lt;&gt;""),"●","")</x:f>
      </x:c>
      <x:c r="Q14" s="165" t="str">
        <x:f>IF(AND(Q$5&gt;=$C14,Q$5&lt;=$D14,$A14&lt;&gt;""),"●","")</x:f>
      </x:c>
      <x:c r="R14" s="165" t="str">
        <x:f>IF(AND(R$5&gt;=$C14,R$5&lt;=$D14,$A14&lt;&gt;""),"●","")</x:f>
      </x:c>
      <x:c r="S14" s="165" t="str">
        <x:f>IF(AND(S$5&gt;=$C14,S$5&lt;=$D14,$A14&lt;&gt;""),"●","")</x:f>
      </x:c>
      <x:c r="T14" s="165" t="str">
        <x:f>IF(AND(T$5&gt;=$C14,T$5&lt;=$D14,$A14&lt;&gt;""),"●","")</x:f>
      </x:c>
      <x:c r="U14" s="165" t="str">
        <x:f>IF(AND(U$5&gt;=$C14,U$5&lt;=$D14,$A14&lt;&gt;""),"●","")</x:f>
      </x:c>
      <x:c r="V14" s="165" t="str">
        <x:f>IF(AND(V$5&gt;=$C14,V$5&lt;=$D14,$A14&lt;&gt;""),"●","")</x:f>
      </x:c>
      <x:c r="W14" s="165" t="str">
        <x:f>IF(AND(W$5&gt;=$C14,W$5&lt;=$D14,$A14&lt;&gt;""),"●","")</x:f>
      </x:c>
      <x:c r="X14" s="165" t="str">
        <x:f>IF(AND(X$5&gt;=$C14,X$5&lt;=$D14,$A14&lt;&gt;""),"●","")</x:f>
      </x:c>
      <x:c r="Y14" s="165" t="str">
        <x:f>IF(AND(Y$5&gt;=$C14,Y$5&lt;=$D14,$A14&lt;&gt;""),"●","")</x:f>
      </x:c>
      <x:c r="Z14" s="165" t="str">
        <x:f>IF(AND(Z$5&gt;=$C14,Z$5&lt;=$D14,$A14&lt;&gt;""),"●","")</x:f>
      </x:c>
      <x:c r="AA14" s="165" t="str">
        <x:f>IF(AND(AA$5&gt;=$C14,AA$5&lt;=$D14,$A14&lt;&gt;""),"●","")</x:f>
      </x:c>
      <x:c r="AB14" s="165" t="str">
        <x:f>IF(AND(AB$5&gt;=$C14,AB$5&lt;=$D14,$A14&lt;&gt;""),"●","")</x:f>
      </x:c>
      <x:c r="AC14" s="165" t="str">
        <x:f>IF(AND(AC$5&gt;=$C14,AC$5&lt;=$D14,$A14&lt;&gt;""),"●","")</x:f>
      </x:c>
      <x:c r="AD14" s="165" t="str">
        <x:f>IF(AND(AD$5&gt;=$C14,AD$5&lt;=$D14,$A14&lt;&gt;""),"●","")</x:f>
      </x:c>
      <x:c r="AE14" s="165" t="str">
        <x:f>IF(AND(AE$5&gt;=$C14,AE$5&lt;=$D14,$A14&lt;&gt;""),"●","")</x:f>
      </x:c>
      <x:c r="AF14" s="165" t="str">
        <x:f>IF(AND(AF$5&gt;=$C14,AF$5&lt;=$D14,$A14&lt;&gt;""),"●","")</x:f>
      </x:c>
      <x:c r="AG14" s="165" t="str">
        <x:f>IF(AND(AG$5&gt;=$C14,AG$5&lt;=$D14,$A14&lt;&gt;""),"●","")</x:f>
      </x:c>
      <x:c r="AH14" s="165" t="str">
        <x:f>IF(AND(AH$5&gt;=$C14,AH$5&lt;=$D14,$A14&lt;&gt;""),"●","")</x:f>
      </x:c>
      <x:c r="AI14" s="165" t="str">
        <x:f>IF(AND(AI$5&gt;=$C14,AI$5&lt;=$D14,$A14&lt;&gt;""),"●","")</x:f>
      </x:c>
      <x:c r="AJ14" s="165" t="str">
        <x:f>IF(AND(AJ$5&gt;=$C14,AJ$5&lt;=$D14,$A14&lt;&gt;""),"●","")</x:f>
      </x:c>
      <x:c r="AK14" s="165" t="str">
        <x:f>IF(AND(AK$5&gt;=$C14,AK$5&lt;=$D14,$A14&lt;&gt;""),"●","")</x:f>
      </x:c>
      <x:c r="AL14" s="165" t="str">
        <x:f>IF(AND(AL$5&gt;=$C14,AL$5&lt;=$D14,$A14&lt;&gt;""),"●","")</x:f>
      </x:c>
      <x:c r="AM14" s="165" t="str">
        <x:f>IF(AND(AM$5&gt;=$C14,AM$5&lt;=$D14,$A14&lt;&gt;""),"●","")</x:f>
      </x:c>
      <x:c r="AN14" s="165" t="str">
        <x:f>IF(AND(AN$5&gt;=$C14,AN$5&lt;=$D14,$A14&lt;&gt;""),"●","")</x:f>
      </x:c>
      <x:c r="AO14" s="165" t="str">
        <x:f>IF(AND(AO$5&gt;=$C14,AO$5&lt;=$D14,$A14&lt;&gt;""),"●","")</x:f>
      </x:c>
      <x:c r="AP14" s="165" t="str">
        <x:f>IF(AND(AP$5&gt;=$C14,AP$5&lt;=$D14,$A14&lt;&gt;""),"●","")</x:f>
      </x:c>
      <x:c r="AQ14" s="165" t="str">
        <x:f>IF(AND(AQ$5&gt;=$C14,AQ$5&lt;=$D14,$A14&lt;&gt;""),"●","")</x:f>
      </x:c>
      <x:c r="AR14" s="165" t="str">
        <x:f>IF(AND(AR$5&gt;=$C14,AR$5&lt;=$D14,$A14&lt;&gt;""),"●","")</x:f>
      </x:c>
      <x:c r="AS14" s="165" t="str">
        <x:f>IF(AND(AS$5&gt;=$C14,AS$5&lt;=$D14,$A14&lt;&gt;""),"●","")</x:f>
      </x:c>
      <x:c r="AT14" s="165" t="str">
        <x:f>IF(AND(AT$5&gt;=$C14,AT$5&lt;=$D14,$A14&lt;&gt;""),"●","")</x:f>
      </x:c>
      <x:c r="AU14" s="165" t="str">
        <x:f>IF(AND(AU$5&gt;=$C14,AU$5&lt;=$D14,$A14&lt;&gt;""),"●","")</x:f>
      </x:c>
      <x:c r="AV14" s="165" t="str">
        <x:f>IF(AND(AV$5&gt;=$C14,AV$5&lt;=$D14,$A14&lt;&gt;""),"●","")</x:f>
      </x:c>
      <x:c r="AW14" s="165" t="str">
        <x:f>IF(AND(AW$5&gt;=$C14,AW$5&lt;=$D14,$A14&lt;&gt;""),"●","")</x:f>
      </x:c>
      <x:c r="AX14" s="165" t="str">
        <x:f>IF(AND(AX$5&gt;=$C14,AX$5&lt;=$D14,$A14&lt;&gt;""),"●","")</x:f>
      </x:c>
      <x:c r="AY14" s="165" t="str">
        <x:f>IF(AND(AY$5&gt;=$C14,AY$5&lt;=$D14,$A14&lt;&gt;""),"●","")</x:f>
      </x:c>
      <x:c r="AZ14" s="165" t="str">
        <x:f>IF(AND(AZ$5&gt;=$C14,AZ$5&lt;=$D14,$A14&lt;&gt;""),"●","")</x:f>
      </x:c>
      <x:c r="BA14" s="165" t="str">
        <x:f>IF(AND(BA$5&gt;=$C14,BA$5&lt;=$D14,$A14&lt;&gt;""),"●","")</x:f>
      </x:c>
      <x:c r="BB14" s="165" t="str">
        <x:f>IF(AND(BB$5&gt;=$C14,BB$5&lt;=$D14,$A14&lt;&gt;""),"●","")</x:f>
      </x:c>
      <x:c r="BC14" s="165" t="str">
        <x:f>IF(AND(BC$5&gt;=$C14,BC$5&lt;=$D14,$A14&lt;&gt;""),"●","")</x:f>
      </x:c>
      <x:c r="BD14" s="165" t="str">
        <x:f>IF(AND(BD$5&gt;=$C14,BD$5&lt;=$D14,$A14&lt;&gt;""),"●","")</x:f>
      </x:c>
      <x:c r="BE14" s="165" t="str">
        <x:f>IF(AND(BE$5&gt;=$C14,BE$5&lt;=$D14,$A14&lt;&gt;""),"●","")</x:f>
      </x:c>
      <x:c r="BF14" s="165" t="str">
        <x:f>IF(AND(BF$5&gt;=$C14,BF$5&lt;=$D14,$A14&lt;&gt;""),"●","")</x:f>
      </x:c>
      <x:c r="BG14" s="165" t="str">
        <x:f>IF(AND(BG$5&gt;=$C14,BG$5&lt;=$D14,$A14&lt;&gt;""),"●","")</x:f>
      </x:c>
      <x:c r="BH14" s="165" t="str">
        <x:f>IF(AND(BH$5&gt;=$C14,BH$5&lt;=$D14,$A14&lt;&gt;""),"●","")</x:f>
      </x:c>
      <x:c r="BI14" s="165" t="str">
        <x:f>IF(AND(BI$5&gt;=$C14,BI$5&lt;=$D14,$A14&lt;&gt;""),"●","")</x:f>
      </x:c>
      <x:c r="BJ14" s="165" t="str">
        <x:f>IF(AND(BJ$5&gt;=$C14,BJ$5&lt;=$D14,$A14&lt;&gt;""),"●","")</x:f>
      </x:c>
      <x:c r="BK14" s="165" t="str">
        <x:f>IF(AND(BK$5&gt;=$C14,BK$5&lt;=$D14,$A14&lt;&gt;""),"●","")</x:f>
      </x:c>
      <x:c r="BL14" s="165" t="str">
        <x:f>IF(AND(BL$5&gt;=$C14,BL$5&lt;=$D14,$A14&lt;&gt;""),"●","")</x:f>
      </x:c>
      <x:c r="BM14" s="165" t="str">
        <x:f>IF(AND(BM$5&gt;=$C14,BM$5&lt;=$D14,$A14&lt;&gt;""),"●","")</x:f>
      </x:c>
      <x:c r="BN14" s="165" t="str">
        <x:f>IF(AND(BN$5&gt;=$C14,BN$5&lt;=$D14,$A14&lt;&gt;""),"●","")</x:f>
      </x:c>
      <x:c r="BO14" s="165" t="str">
        <x:f>IF(AND(BO$5&gt;=$C14,BO$5&lt;=$D14,$A14&lt;&gt;""),"●","")</x:f>
      </x:c>
      <x:c r="BP14" s="165" t="str">
        <x:f>IF(AND(BP$5&gt;=$C14,BP$5&lt;=$D14,$A14&lt;&gt;""),"●","")</x:f>
      </x:c>
      <x:c r="BQ14" s="165" t="str">
        <x:f>IF(AND(BQ$5&gt;=$C14,BQ$5&lt;=$D14,$A14&lt;&gt;""),"●","")</x:f>
      </x:c>
      <x:c r="BR14" s="165" t="str">
        <x:f>IF(AND(BR$5&gt;=$C14,BR$5&lt;=$D14,$A14&lt;&gt;""),"●","")</x:f>
      </x:c>
      <x:c r="BS14" s="165" t="str">
        <x:f>IF(AND(BS$5&gt;=$C14,BS$5&lt;=$D14,$A14&lt;&gt;""),"●","")</x:f>
      </x:c>
      <x:c r="BT14" s="165" t="str">
        <x:f>IF(AND(BT$5&gt;=$C14,BT$5&lt;=$D14,$A14&lt;&gt;""),"●","")</x:f>
      </x:c>
      <x:c r="BU14" s="165" t="str">
        <x:f>IF(AND(BU$5&gt;=$C14,BU$5&lt;=$D14,$A14&lt;&gt;""),"●","")</x:f>
      </x:c>
      <x:c r="BV14" s="165" t="str">
        <x:f>IF(AND(BV$5&gt;=$C14,BV$5&lt;=$D14,$A14&lt;&gt;""),"●","")</x:f>
      </x:c>
      <x:c r="BW14" s="165" t="str">
        <x:f>IF(AND(BW$5&gt;=$C14,BW$5&lt;=$D14,$A14&lt;&gt;""),"●","")</x:f>
      </x:c>
    </x:row>
    <x:row r="15">
      <x:c r="A15" s="159" t="str">
        <x:f>IF('รายการสัญญา'!A15="","",'รายการสัญญา'!A15)</x:f>
      </x:c>
      <x:c r="B15" s="159" t="str">
        <x:f>IF('รายการสัญญา'!A15="","",'รายการสัญญา'!C15)</x:f>
      </x:c>
      <x:c r="C15" s="162" t="str">
        <x:f>IF('รายการสัญญา'!A15="","",'รายการสัญญา'!E15)</x:f>
      </x:c>
      <x:c r="D15" s="162" t="str">
        <x:f>IF('รายการสัญญา'!A15="","",'รายการสัญญา'!G15)</x:f>
      </x:c>
      <x:c r="E15" s="159" t="str">
        <x:f>IF('รายการสัญญา'!A15="","",'รายการสัญญา'!K15)</x:f>
      </x:c>
      <x:c r="F15" s="165" t="str">
        <x:f>IF(AND(F$5&gt;=$C15,F$5&lt;=$D15,$A15&lt;&gt;""),"●","")</x:f>
      </x:c>
      <x:c r="G15" s="165" t="str">
        <x:f>IF(AND(G$5&gt;=$C15,G$5&lt;=$D15,$A15&lt;&gt;""),"●","")</x:f>
      </x:c>
      <x:c r="H15" s="165" t="str">
        <x:f>IF(AND(H$5&gt;=$C15,H$5&lt;=$D15,$A15&lt;&gt;""),"●","")</x:f>
      </x:c>
      <x:c r="I15" s="165" t="str">
        <x:f>IF(AND(I$5&gt;=$C15,I$5&lt;=$D15,$A15&lt;&gt;""),"●","")</x:f>
      </x:c>
      <x:c r="J15" s="165" t="str">
        <x:f>IF(AND(J$5&gt;=$C15,J$5&lt;=$D15,$A15&lt;&gt;""),"●","")</x:f>
      </x:c>
      <x:c r="K15" s="165" t="str">
        <x:f>IF(AND(K$5&gt;=$C15,K$5&lt;=$D15,$A15&lt;&gt;""),"●","")</x:f>
      </x:c>
      <x:c r="L15" s="165" t="str">
        <x:f>IF(AND(L$5&gt;=$C15,L$5&lt;=$D15,$A15&lt;&gt;""),"●","")</x:f>
      </x:c>
      <x:c r="M15" s="165" t="str">
        <x:f>IF(AND(M$5&gt;=$C15,M$5&lt;=$D15,$A15&lt;&gt;""),"●","")</x:f>
      </x:c>
      <x:c r="N15" s="165" t="str">
        <x:f>IF(AND(N$5&gt;=$C15,N$5&lt;=$D15,$A15&lt;&gt;""),"●","")</x:f>
      </x:c>
      <x:c r="O15" s="165" t="str">
        <x:f>IF(AND(O$5&gt;=$C15,O$5&lt;=$D15,$A15&lt;&gt;""),"●","")</x:f>
      </x:c>
      <x:c r="P15" s="165" t="str">
        <x:f>IF(AND(P$5&gt;=$C15,P$5&lt;=$D15,$A15&lt;&gt;""),"●","")</x:f>
      </x:c>
      <x:c r="Q15" s="165" t="str">
        <x:f>IF(AND(Q$5&gt;=$C15,Q$5&lt;=$D15,$A15&lt;&gt;""),"●","")</x:f>
      </x:c>
      <x:c r="R15" s="165" t="str">
        <x:f>IF(AND(R$5&gt;=$C15,R$5&lt;=$D15,$A15&lt;&gt;""),"●","")</x:f>
      </x:c>
      <x:c r="S15" s="165" t="str">
        <x:f>IF(AND(S$5&gt;=$C15,S$5&lt;=$D15,$A15&lt;&gt;""),"●","")</x:f>
      </x:c>
      <x:c r="T15" s="165" t="str">
        <x:f>IF(AND(T$5&gt;=$C15,T$5&lt;=$D15,$A15&lt;&gt;""),"●","")</x:f>
      </x:c>
      <x:c r="U15" s="165" t="str">
        <x:f>IF(AND(U$5&gt;=$C15,U$5&lt;=$D15,$A15&lt;&gt;""),"●","")</x:f>
      </x:c>
      <x:c r="V15" s="165" t="str">
        <x:f>IF(AND(V$5&gt;=$C15,V$5&lt;=$D15,$A15&lt;&gt;""),"●","")</x:f>
      </x:c>
      <x:c r="W15" s="165" t="str">
        <x:f>IF(AND(W$5&gt;=$C15,W$5&lt;=$D15,$A15&lt;&gt;""),"●","")</x:f>
      </x:c>
      <x:c r="X15" s="165" t="str">
        <x:f>IF(AND(X$5&gt;=$C15,X$5&lt;=$D15,$A15&lt;&gt;""),"●","")</x:f>
      </x:c>
      <x:c r="Y15" s="165" t="str">
        <x:f>IF(AND(Y$5&gt;=$C15,Y$5&lt;=$D15,$A15&lt;&gt;""),"●","")</x:f>
      </x:c>
      <x:c r="Z15" s="165" t="str">
        <x:f>IF(AND(Z$5&gt;=$C15,Z$5&lt;=$D15,$A15&lt;&gt;""),"●","")</x:f>
      </x:c>
      <x:c r="AA15" s="165" t="str">
        <x:f>IF(AND(AA$5&gt;=$C15,AA$5&lt;=$D15,$A15&lt;&gt;""),"●","")</x:f>
      </x:c>
      <x:c r="AB15" s="165" t="str">
        <x:f>IF(AND(AB$5&gt;=$C15,AB$5&lt;=$D15,$A15&lt;&gt;""),"●","")</x:f>
      </x:c>
      <x:c r="AC15" s="165" t="str">
        <x:f>IF(AND(AC$5&gt;=$C15,AC$5&lt;=$D15,$A15&lt;&gt;""),"●","")</x:f>
      </x:c>
      <x:c r="AD15" s="165" t="str">
        <x:f>IF(AND(AD$5&gt;=$C15,AD$5&lt;=$D15,$A15&lt;&gt;""),"●","")</x:f>
      </x:c>
      <x:c r="AE15" s="165" t="str">
        <x:f>IF(AND(AE$5&gt;=$C15,AE$5&lt;=$D15,$A15&lt;&gt;""),"●","")</x:f>
      </x:c>
      <x:c r="AF15" s="165" t="str">
        <x:f>IF(AND(AF$5&gt;=$C15,AF$5&lt;=$D15,$A15&lt;&gt;""),"●","")</x:f>
      </x:c>
      <x:c r="AG15" s="165" t="str">
        <x:f>IF(AND(AG$5&gt;=$C15,AG$5&lt;=$D15,$A15&lt;&gt;""),"●","")</x:f>
      </x:c>
      <x:c r="AH15" s="165" t="str">
        <x:f>IF(AND(AH$5&gt;=$C15,AH$5&lt;=$D15,$A15&lt;&gt;""),"●","")</x:f>
      </x:c>
      <x:c r="AI15" s="165" t="str">
        <x:f>IF(AND(AI$5&gt;=$C15,AI$5&lt;=$D15,$A15&lt;&gt;""),"●","")</x:f>
      </x:c>
      <x:c r="AJ15" s="165" t="str">
        <x:f>IF(AND(AJ$5&gt;=$C15,AJ$5&lt;=$D15,$A15&lt;&gt;""),"●","")</x:f>
      </x:c>
      <x:c r="AK15" s="165" t="str">
        <x:f>IF(AND(AK$5&gt;=$C15,AK$5&lt;=$D15,$A15&lt;&gt;""),"●","")</x:f>
      </x:c>
      <x:c r="AL15" s="165" t="str">
        <x:f>IF(AND(AL$5&gt;=$C15,AL$5&lt;=$D15,$A15&lt;&gt;""),"●","")</x:f>
      </x:c>
      <x:c r="AM15" s="165" t="str">
        <x:f>IF(AND(AM$5&gt;=$C15,AM$5&lt;=$D15,$A15&lt;&gt;""),"●","")</x:f>
      </x:c>
      <x:c r="AN15" s="165" t="str">
        <x:f>IF(AND(AN$5&gt;=$C15,AN$5&lt;=$D15,$A15&lt;&gt;""),"●","")</x:f>
      </x:c>
      <x:c r="AO15" s="165" t="str">
        <x:f>IF(AND(AO$5&gt;=$C15,AO$5&lt;=$D15,$A15&lt;&gt;""),"●","")</x:f>
      </x:c>
      <x:c r="AP15" s="165" t="str">
        <x:f>IF(AND(AP$5&gt;=$C15,AP$5&lt;=$D15,$A15&lt;&gt;""),"●","")</x:f>
      </x:c>
      <x:c r="AQ15" s="165" t="str">
        <x:f>IF(AND(AQ$5&gt;=$C15,AQ$5&lt;=$D15,$A15&lt;&gt;""),"●","")</x:f>
      </x:c>
      <x:c r="AR15" s="165" t="str">
        <x:f>IF(AND(AR$5&gt;=$C15,AR$5&lt;=$D15,$A15&lt;&gt;""),"●","")</x:f>
      </x:c>
      <x:c r="AS15" s="165" t="str">
        <x:f>IF(AND(AS$5&gt;=$C15,AS$5&lt;=$D15,$A15&lt;&gt;""),"●","")</x:f>
      </x:c>
      <x:c r="AT15" s="165" t="str">
        <x:f>IF(AND(AT$5&gt;=$C15,AT$5&lt;=$D15,$A15&lt;&gt;""),"●","")</x:f>
      </x:c>
      <x:c r="AU15" s="165" t="str">
        <x:f>IF(AND(AU$5&gt;=$C15,AU$5&lt;=$D15,$A15&lt;&gt;""),"●","")</x:f>
      </x:c>
      <x:c r="AV15" s="165" t="str">
        <x:f>IF(AND(AV$5&gt;=$C15,AV$5&lt;=$D15,$A15&lt;&gt;""),"●","")</x:f>
      </x:c>
      <x:c r="AW15" s="165" t="str">
        <x:f>IF(AND(AW$5&gt;=$C15,AW$5&lt;=$D15,$A15&lt;&gt;""),"●","")</x:f>
      </x:c>
      <x:c r="AX15" s="165" t="str">
        <x:f>IF(AND(AX$5&gt;=$C15,AX$5&lt;=$D15,$A15&lt;&gt;""),"●","")</x:f>
      </x:c>
      <x:c r="AY15" s="165" t="str">
        <x:f>IF(AND(AY$5&gt;=$C15,AY$5&lt;=$D15,$A15&lt;&gt;""),"●","")</x:f>
      </x:c>
      <x:c r="AZ15" s="165" t="str">
        <x:f>IF(AND(AZ$5&gt;=$C15,AZ$5&lt;=$D15,$A15&lt;&gt;""),"●","")</x:f>
      </x:c>
      <x:c r="BA15" s="165" t="str">
        <x:f>IF(AND(BA$5&gt;=$C15,BA$5&lt;=$D15,$A15&lt;&gt;""),"●","")</x:f>
      </x:c>
      <x:c r="BB15" s="165" t="str">
        <x:f>IF(AND(BB$5&gt;=$C15,BB$5&lt;=$D15,$A15&lt;&gt;""),"●","")</x:f>
      </x:c>
      <x:c r="BC15" s="165" t="str">
        <x:f>IF(AND(BC$5&gt;=$C15,BC$5&lt;=$D15,$A15&lt;&gt;""),"●","")</x:f>
      </x:c>
      <x:c r="BD15" s="165" t="str">
        <x:f>IF(AND(BD$5&gt;=$C15,BD$5&lt;=$D15,$A15&lt;&gt;""),"●","")</x:f>
      </x:c>
      <x:c r="BE15" s="165" t="str">
        <x:f>IF(AND(BE$5&gt;=$C15,BE$5&lt;=$D15,$A15&lt;&gt;""),"●","")</x:f>
      </x:c>
      <x:c r="BF15" s="165" t="str">
        <x:f>IF(AND(BF$5&gt;=$C15,BF$5&lt;=$D15,$A15&lt;&gt;""),"●","")</x:f>
      </x:c>
      <x:c r="BG15" s="165" t="str">
        <x:f>IF(AND(BG$5&gt;=$C15,BG$5&lt;=$D15,$A15&lt;&gt;""),"●","")</x:f>
      </x:c>
      <x:c r="BH15" s="165" t="str">
        <x:f>IF(AND(BH$5&gt;=$C15,BH$5&lt;=$D15,$A15&lt;&gt;""),"●","")</x:f>
      </x:c>
      <x:c r="BI15" s="165" t="str">
        <x:f>IF(AND(BI$5&gt;=$C15,BI$5&lt;=$D15,$A15&lt;&gt;""),"●","")</x:f>
      </x:c>
      <x:c r="BJ15" s="165" t="str">
        <x:f>IF(AND(BJ$5&gt;=$C15,BJ$5&lt;=$D15,$A15&lt;&gt;""),"●","")</x:f>
      </x:c>
      <x:c r="BK15" s="165" t="str">
        <x:f>IF(AND(BK$5&gt;=$C15,BK$5&lt;=$D15,$A15&lt;&gt;""),"●","")</x:f>
      </x:c>
      <x:c r="BL15" s="165" t="str">
        <x:f>IF(AND(BL$5&gt;=$C15,BL$5&lt;=$D15,$A15&lt;&gt;""),"●","")</x:f>
      </x:c>
      <x:c r="BM15" s="165" t="str">
        <x:f>IF(AND(BM$5&gt;=$C15,BM$5&lt;=$D15,$A15&lt;&gt;""),"●","")</x:f>
      </x:c>
      <x:c r="BN15" s="165" t="str">
        <x:f>IF(AND(BN$5&gt;=$C15,BN$5&lt;=$D15,$A15&lt;&gt;""),"●","")</x:f>
      </x:c>
      <x:c r="BO15" s="165" t="str">
        <x:f>IF(AND(BO$5&gt;=$C15,BO$5&lt;=$D15,$A15&lt;&gt;""),"●","")</x:f>
      </x:c>
      <x:c r="BP15" s="165" t="str">
        <x:f>IF(AND(BP$5&gt;=$C15,BP$5&lt;=$D15,$A15&lt;&gt;""),"●","")</x:f>
      </x:c>
      <x:c r="BQ15" s="165" t="str">
        <x:f>IF(AND(BQ$5&gt;=$C15,BQ$5&lt;=$D15,$A15&lt;&gt;""),"●","")</x:f>
      </x:c>
      <x:c r="BR15" s="165" t="str">
        <x:f>IF(AND(BR$5&gt;=$C15,BR$5&lt;=$D15,$A15&lt;&gt;""),"●","")</x:f>
      </x:c>
      <x:c r="BS15" s="165" t="str">
        <x:f>IF(AND(BS$5&gt;=$C15,BS$5&lt;=$D15,$A15&lt;&gt;""),"●","")</x:f>
      </x:c>
      <x:c r="BT15" s="165" t="str">
        <x:f>IF(AND(BT$5&gt;=$C15,BT$5&lt;=$D15,$A15&lt;&gt;""),"●","")</x:f>
      </x:c>
      <x:c r="BU15" s="165" t="str">
        <x:f>IF(AND(BU$5&gt;=$C15,BU$5&lt;=$D15,$A15&lt;&gt;""),"●","")</x:f>
      </x:c>
      <x:c r="BV15" s="165" t="str">
        <x:f>IF(AND(BV$5&gt;=$C15,BV$5&lt;=$D15,$A15&lt;&gt;""),"●","")</x:f>
      </x:c>
      <x:c r="BW15" s="165" t="str">
        <x:f>IF(AND(BW$5&gt;=$C15,BW$5&lt;=$D15,$A15&lt;&gt;""),"●","")</x:f>
      </x:c>
    </x:row>
    <x:row r="16">
      <x:c r="A16" s="159" t="str">
        <x:f>IF('รายการสัญญา'!A16="","",'รายการสัญญา'!A16)</x:f>
      </x:c>
      <x:c r="B16" s="159" t="str">
        <x:f>IF('รายการสัญญา'!A16="","",'รายการสัญญา'!C16)</x:f>
      </x:c>
      <x:c r="C16" s="162" t="str">
        <x:f>IF('รายการสัญญา'!A16="","",'รายการสัญญา'!E16)</x:f>
      </x:c>
      <x:c r="D16" s="162" t="str">
        <x:f>IF('รายการสัญญา'!A16="","",'รายการสัญญา'!G16)</x:f>
      </x:c>
      <x:c r="E16" s="159" t="str">
        <x:f>IF('รายการสัญญา'!A16="","",'รายการสัญญา'!K16)</x:f>
      </x:c>
      <x:c r="F16" s="165" t="str">
        <x:f>IF(AND(F$5&gt;=$C16,F$5&lt;=$D16,$A16&lt;&gt;""),"●","")</x:f>
      </x:c>
      <x:c r="G16" s="165" t="str">
        <x:f>IF(AND(G$5&gt;=$C16,G$5&lt;=$D16,$A16&lt;&gt;""),"●","")</x:f>
      </x:c>
      <x:c r="H16" s="165" t="str">
        <x:f>IF(AND(H$5&gt;=$C16,H$5&lt;=$D16,$A16&lt;&gt;""),"●","")</x:f>
      </x:c>
      <x:c r="I16" s="165" t="str">
        <x:f>IF(AND(I$5&gt;=$C16,I$5&lt;=$D16,$A16&lt;&gt;""),"●","")</x:f>
      </x:c>
      <x:c r="J16" s="165" t="str">
        <x:f>IF(AND(J$5&gt;=$C16,J$5&lt;=$D16,$A16&lt;&gt;""),"●","")</x:f>
      </x:c>
      <x:c r="K16" s="165" t="str">
        <x:f>IF(AND(K$5&gt;=$C16,K$5&lt;=$D16,$A16&lt;&gt;""),"●","")</x:f>
      </x:c>
      <x:c r="L16" s="165" t="str">
        <x:f>IF(AND(L$5&gt;=$C16,L$5&lt;=$D16,$A16&lt;&gt;""),"●","")</x:f>
      </x:c>
      <x:c r="M16" s="165" t="str">
        <x:f>IF(AND(M$5&gt;=$C16,M$5&lt;=$D16,$A16&lt;&gt;""),"●","")</x:f>
      </x:c>
      <x:c r="N16" s="165" t="str">
        <x:f>IF(AND(N$5&gt;=$C16,N$5&lt;=$D16,$A16&lt;&gt;""),"●","")</x:f>
      </x:c>
      <x:c r="O16" s="165" t="str">
        <x:f>IF(AND(O$5&gt;=$C16,O$5&lt;=$D16,$A16&lt;&gt;""),"●","")</x:f>
      </x:c>
      <x:c r="P16" s="165" t="str">
        <x:f>IF(AND(P$5&gt;=$C16,P$5&lt;=$D16,$A16&lt;&gt;""),"●","")</x:f>
      </x:c>
      <x:c r="Q16" s="165" t="str">
        <x:f>IF(AND(Q$5&gt;=$C16,Q$5&lt;=$D16,$A16&lt;&gt;""),"●","")</x:f>
      </x:c>
      <x:c r="R16" s="165" t="str">
        <x:f>IF(AND(R$5&gt;=$C16,R$5&lt;=$D16,$A16&lt;&gt;""),"●","")</x:f>
      </x:c>
      <x:c r="S16" s="165" t="str">
        <x:f>IF(AND(S$5&gt;=$C16,S$5&lt;=$D16,$A16&lt;&gt;""),"●","")</x:f>
      </x:c>
      <x:c r="T16" s="165" t="str">
        <x:f>IF(AND(T$5&gt;=$C16,T$5&lt;=$D16,$A16&lt;&gt;""),"●","")</x:f>
      </x:c>
      <x:c r="U16" s="165" t="str">
        <x:f>IF(AND(U$5&gt;=$C16,U$5&lt;=$D16,$A16&lt;&gt;""),"●","")</x:f>
      </x:c>
      <x:c r="V16" s="165" t="str">
        <x:f>IF(AND(V$5&gt;=$C16,V$5&lt;=$D16,$A16&lt;&gt;""),"●","")</x:f>
      </x:c>
      <x:c r="W16" s="165" t="str">
        <x:f>IF(AND(W$5&gt;=$C16,W$5&lt;=$D16,$A16&lt;&gt;""),"●","")</x:f>
      </x:c>
      <x:c r="X16" s="165" t="str">
        <x:f>IF(AND(X$5&gt;=$C16,X$5&lt;=$D16,$A16&lt;&gt;""),"●","")</x:f>
      </x:c>
      <x:c r="Y16" s="165" t="str">
        <x:f>IF(AND(Y$5&gt;=$C16,Y$5&lt;=$D16,$A16&lt;&gt;""),"●","")</x:f>
      </x:c>
      <x:c r="Z16" s="165" t="str">
        <x:f>IF(AND(Z$5&gt;=$C16,Z$5&lt;=$D16,$A16&lt;&gt;""),"●","")</x:f>
      </x:c>
      <x:c r="AA16" s="165" t="str">
        <x:f>IF(AND(AA$5&gt;=$C16,AA$5&lt;=$D16,$A16&lt;&gt;""),"●","")</x:f>
      </x:c>
      <x:c r="AB16" s="165" t="str">
        <x:f>IF(AND(AB$5&gt;=$C16,AB$5&lt;=$D16,$A16&lt;&gt;""),"●","")</x:f>
      </x:c>
      <x:c r="AC16" s="165" t="str">
        <x:f>IF(AND(AC$5&gt;=$C16,AC$5&lt;=$D16,$A16&lt;&gt;""),"●","")</x:f>
      </x:c>
      <x:c r="AD16" s="165" t="str">
        <x:f>IF(AND(AD$5&gt;=$C16,AD$5&lt;=$D16,$A16&lt;&gt;""),"●","")</x:f>
      </x:c>
      <x:c r="AE16" s="165" t="str">
        <x:f>IF(AND(AE$5&gt;=$C16,AE$5&lt;=$D16,$A16&lt;&gt;""),"●","")</x:f>
      </x:c>
      <x:c r="AF16" s="165" t="str">
        <x:f>IF(AND(AF$5&gt;=$C16,AF$5&lt;=$D16,$A16&lt;&gt;""),"●","")</x:f>
      </x:c>
      <x:c r="AG16" s="165" t="str">
        <x:f>IF(AND(AG$5&gt;=$C16,AG$5&lt;=$D16,$A16&lt;&gt;""),"●","")</x:f>
      </x:c>
      <x:c r="AH16" s="165" t="str">
        <x:f>IF(AND(AH$5&gt;=$C16,AH$5&lt;=$D16,$A16&lt;&gt;""),"●","")</x:f>
      </x:c>
      <x:c r="AI16" s="165" t="str">
        <x:f>IF(AND(AI$5&gt;=$C16,AI$5&lt;=$D16,$A16&lt;&gt;""),"●","")</x:f>
      </x:c>
      <x:c r="AJ16" s="165" t="str">
        <x:f>IF(AND(AJ$5&gt;=$C16,AJ$5&lt;=$D16,$A16&lt;&gt;""),"●","")</x:f>
      </x:c>
      <x:c r="AK16" s="165" t="str">
        <x:f>IF(AND(AK$5&gt;=$C16,AK$5&lt;=$D16,$A16&lt;&gt;""),"●","")</x:f>
      </x:c>
      <x:c r="AL16" s="165" t="str">
        <x:f>IF(AND(AL$5&gt;=$C16,AL$5&lt;=$D16,$A16&lt;&gt;""),"●","")</x:f>
      </x:c>
      <x:c r="AM16" s="165" t="str">
        <x:f>IF(AND(AM$5&gt;=$C16,AM$5&lt;=$D16,$A16&lt;&gt;""),"●","")</x:f>
      </x:c>
      <x:c r="AN16" s="165" t="str">
        <x:f>IF(AND(AN$5&gt;=$C16,AN$5&lt;=$D16,$A16&lt;&gt;""),"●","")</x:f>
      </x:c>
      <x:c r="AO16" s="165" t="str">
        <x:f>IF(AND(AO$5&gt;=$C16,AO$5&lt;=$D16,$A16&lt;&gt;""),"●","")</x:f>
      </x:c>
      <x:c r="AP16" s="165" t="str">
        <x:f>IF(AND(AP$5&gt;=$C16,AP$5&lt;=$D16,$A16&lt;&gt;""),"●","")</x:f>
      </x:c>
      <x:c r="AQ16" s="165" t="str">
        <x:f>IF(AND(AQ$5&gt;=$C16,AQ$5&lt;=$D16,$A16&lt;&gt;""),"●","")</x:f>
      </x:c>
      <x:c r="AR16" s="165" t="str">
        <x:f>IF(AND(AR$5&gt;=$C16,AR$5&lt;=$D16,$A16&lt;&gt;""),"●","")</x:f>
      </x:c>
      <x:c r="AS16" s="165" t="str">
        <x:f>IF(AND(AS$5&gt;=$C16,AS$5&lt;=$D16,$A16&lt;&gt;""),"●","")</x:f>
      </x:c>
      <x:c r="AT16" s="165" t="str">
        <x:f>IF(AND(AT$5&gt;=$C16,AT$5&lt;=$D16,$A16&lt;&gt;""),"●","")</x:f>
      </x:c>
      <x:c r="AU16" s="165" t="str">
        <x:f>IF(AND(AU$5&gt;=$C16,AU$5&lt;=$D16,$A16&lt;&gt;""),"●","")</x:f>
      </x:c>
      <x:c r="AV16" s="165" t="str">
        <x:f>IF(AND(AV$5&gt;=$C16,AV$5&lt;=$D16,$A16&lt;&gt;""),"●","")</x:f>
      </x:c>
      <x:c r="AW16" s="165" t="str">
        <x:f>IF(AND(AW$5&gt;=$C16,AW$5&lt;=$D16,$A16&lt;&gt;""),"●","")</x:f>
      </x:c>
      <x:c r="AX16" s="165" t="str">
        <x:f>IF(AND(AX$5&gt;=$C16,AX$5&lt;=$D16,$A16&lt;&gt;""),"●","")</x:f>
      </x:c>
      <x:c r="AY16" s="165" t="str">
        <x:f>IF(AND(AY$5&gt;=$C16,AY$5&lt;=$D16,$A16&lt;&gt;""),"●","")</x:f>
      </x:c>
      <x:c r="AZ16" s="165" t="str">
        <x:f>IF(AND(AZ$5&gt;=$C16,AZ$5&lt;=$D16,$A16&lt;&gt;""),"●","")</x:f>
      </x:c>
      <x:c r="BA16" s="165" t="str">
        <x:f>IF(AND(BA$5&gt;=$C16,BA$5&lt;=$D16,$A16&lt;&gt;""),"●","")</x:f>
      </x:c>
      <x:c r="BB16" s="165" t="str">
        <x:f>IF(AND(BB$5&gt;=$C16,BB$5&lt;=$D16,$A16&lt;&gt;""),"●","")</x:f>
      </x:c>
      <x:c r="BC16" s="165" t="str">
        <x:f>IF(AND(BC$5&gt;=$C16,BC$5&lt;=$D16,$A16&lt;&gt;""),"●","")</x:f>
      </x:c>
      <x:c r="BD16" s="165" t="str">
        <x:f>IF(AND(BD$5&gt;=$C16,BD$5&lt;=$D16,$A16&lt;&gt;""),"●","")</x:f>
      </x:c>
      <x:c r="BE16" s="165" t="str">
        <x:f>IF(AND(BE$5&gt;=$C16,BE$5&lt;=$D16,$A16&lt;&gt;""),"●","")</x:f>
      </x:c>
      <x:c r="BF16" s="165" t="str">
        <x:f>IF(AND(BF$5&gt;=$C16,BF$5&lt;=$D16,$A16&lt;&gt;""),"●","")</x:f>
      </x:c>
      <x:c r="BG16" s="165" t="str">
        <x:f>IF(AND(BG$5&gt;=$C16,BG$5&lt;=$D16,$A16&lt;&gt;""),"●","")</x:f>
      </x:c>
      <x:c r="BH16" s="165" t="str">
        <x:f>IF(AND(BH$5&gt;=$C16,BH$5&lt;=$D16,$A16&lt;&gt;""),"●","")</x:f>
      </x:c>
      <x:c r="BI16" s="165" t="str">
        <x:f>IF(AND(BI$5&gt;=$C16,BI$5&lt;=$D16,$A16&lt;&gt;""),"●","")</x:f>
      </x:c>
      <x:c r="BJ16" s="165" t="str">
        <x:f>IF(AND(BJ$5&gt;=$C16,BJ$5&lt;=$D16,$A16&lt;&gt;""),"●","")</x:f>
      </x:c>
      <x:c r="BK16" s="165" t="str">
        <x:f>IF(AND(BK$5&gt;=$C16,BK$5&lt;=$D16,$A16&lt;&gt;""),"●","")</x:f>
      </x:c>
      <x:c r="BL16" s="165" t="str">
        <x:f>IF(AND(BL$5&gt;=$C16,BL$5&lt;=$D16,$A16&lt;&gt;""),"●","")</x:f>
      </x:c>
      <x:c r="BM16" s="165" t="str">
        <x:f>IF(AND(BM$5&gt;=$C16,BM$5&lt;=$D16,$A16&lt;&gt;""),"●","")</x:f>
      </x:c>
      <x:c r="BN16" s="165" t="str">
        <x:f>IF(AND(BN$5&gt;=$C16,BN$5&lt;=$D16,$A16&lt;&gt;""),"●","")</x:f>
      </x:c>
      <x:c r="BO16" s="165" t="str">
        <x:f>IF(AND(BO$5&gt;=$C16,BO$5&lt;=$D16,$A16&lt;&gt;""),"●","")</x:f>
      </x:c>
      <x:c r="BP16" s="165" t="str">
        <x:f>IF(AND(BP$5&gt;=$C16,BP$5&lt;=$D16,$A16&lt;&gt;""),"●","")</x:f>
      </x:c>
      <x:c r="BQ16" s="165" t="str">
        <x:f>IF(AND(BQ$5&gt;=$C16,BQ$5&lt;=$D16,$A16&lt;&gt;""),"●","")</x:f>
      </x:c>
      <x:c r="BR16" s="165" t="str">
        <x:f>IF(AND(BR$5&gt;=$C16,BR$5&lt;=$D16,$A16&lt;&gt;""),"●","")</x:f>
      </x:c>
      <x:c r="BS16" s="165" t="str">
        <x:f>IF(AND(BS$5&gt;=$C16,BS$5&lt;=$D16,$A16&lt;&gt;""),"●","")</x:f>
      </x:c>
      <x:c r="BT16" s="165" t="str">
        <x:f>IF(AND(BT$5&gt;=$C16,BT$5&lt;=$D16,$A16&lt;&gt;""),"●","")</x:f>
      </x:c>
      <x:c r="BU16" s="165" t="str">
        <x:f>IF(AND(BU$5&gt;=$C16,BU$5&lt;=$D16,$A16&lt;&gt;""),"●","")</x:f>
      </x:c>
      <x:c r="BV16" s="165" t="str">
        <x:f>IF(AND(BV$5&gt;=$C16,BV$5&lt;=$D16,$A16&lt;&gt;""),"●","")</x:f>
      </x:c>
      <x:c r="BW16" s="165" t="str">
        <x:f>IF(AND(BW$5&gt;=$C16,BW$5&lt;=$D16,$A16&lt;&gt;""),"●","")</x:f>
      </x:c>
    </x:row>
    <x:row r="17">
      <x:c r="A17" s="159" t="str">
        <x:f>IF('รายการสัญญา'!A17="","",'รายการสัญญา'!A17)</x:f>
      </x:c>
      <x:c r="B17" s="159" t="str">
        <x:f>IF('รายการสัญญา'!A17="","",'รายการสัญญา'!C17)</x:f>
      </x:c>
      <x:c r="C17" s="162" t="str">
        <x:f>IF('รายการสัญญา'!A17="","",'รายการสัญญา'!E17)</x:f>
      </x:c>
      <x:c r="D17" s="162" t="str">
        <x:f>IF('รายการสัญญา'!A17="","",'รายการสัญญา'!G17)</x:f>
      </x:c>
      <x:c r="E17" s="159" t="str">
        <x:f>IF('รายการสัญญา'!A17="","",'รายการสัญญา'!K17)</x:f>
      </x:c>
      <x:c r="F17" s="165" t="str">
        <x:f>IF(AND(F$5&gt;=$C17,F$5&lt;=$D17,$A17&lt;&gt;""),"●","")</x:f>
      </x:c>
      <x:c r="G17" s="165" t="str">
        <x:f>IF(AND(G$5&gt;=$C17,G$5&lt;=$D17,$A17&lt;&gt;""),"●","")</x:f>
      </x:c>
      <x:c r="H17" s="165" t="str">
        <x:f>IF(AND(H$5&gt;=$C17,H$5&lt;=$D17,$A17&lt;&gt;""),"●","")</x:f>
      </x:c>
      <x:c r="I17" s="165" t="str">
        <x:f>IF(AND(I$5&gt;=$C17,I$5&lt;=$D17,$A17&lt;&gt;""),"●","")</x:f>
      </x:c>
      <x:c r="J17" s="165" t="str">
        <x:f>IF(AND(J$5&gt;=$C17,J$5&lt;=$D17,$A17&lt;&gt;""),"●","")</x:f>
      </x:c>
      <x:c r="K17" s="165" t="str">
        <x:f>IF(AND(K$5&gt;=$C17,K$5&lt;=$D17,$A17&lt;&gt;""),"●","")</x:f>
      </x:c>
      <x:c r="L17" s="165" t="str">
        <x:f>IF(AND(L$5&gt;=$C17,L$5&lt;=$D17,$A17&lt;&gt;""),"●","")</x:f>
      </x:c>
      <x:c r="M17" s="165" t="str">
        <x:f>IF(AND(M$5&gt;=$C17,M$5&lt;=$D17,$A17&lt;&gt;""),"●","")</x:f>
      </x:c>
      <x:c r="N17" s="165" t="str">
        <x:f>IF(AND(N$5&gt;=$C17,N$5&lt;=$D17,$A17&lt;&gt;""),"●","")</x:f>
      </x:c>
      <x:c r="O17" s="165" t="str">
        <x:f>IF(AND(O$5&gt;=$C17,O$5&lt;=$D17,$A17&lt;&gt;""),"●","")</x:f>
      </x:c>
      <x:c r="P17" s="165" t="str">
        <x:f>IF(AND(P$5&gt;=$C17,P$5&lt;=$D17,$A17&lt;&gt;""),"●","")</x:f>
      </x:c>
      <x:c r="Q17" s="165" t="str">
        <x:f>IF(AND(Q$5&gt;=$C17,Q$5&lt;=$D17,$A17&lt;&gt;""),"●","")</x:f>
      </x:c>
      <x:c r="R17" s="165" t="str">
        <x:f>IF(AND(R$5&gt;=$C17,R$5&lt;=$D17,$A17&lt;&gt;""),"●","")</x:f>
      </x:c>
      <x:c r="S17" s="165" t="str">
        <x:f>IF(AND(S$5&gt;=$C17,S$5&lt;=$D17,$A17&lt;&gt;""),"●","")</x:f>
      </x:c>
      <x:c r="T17" s="165" t="str">
        <x:f>IF(AND(T$5&gt;=$C17,T$5&lt;=$D17,$A17&lt;&gt;""),"●","")</x:f>
      </x:c>
      <x:c r="U17" s="165" t="str">
        <x:f>IF(AND(U$5&gt;=$C17,U$5&lt;=$D17,$A17&lt;&gt;""),"●","")</x:f>
      </x:c>
      <x:c r="V17" s="165" t="str">
        <x:f>IF(AND(V$5&gt;=$C17,V$5&lt;=$D17,$A17&lt;&gt;""),"●","")</x:f>
      </x:c>
      <x:c r="W17" s="165" t="str">
        <x:f>IF(AND(W$5&gt;=$C17,W$5&lt;=$D17,$A17&lt;&gt;""),"●","")</x:f>
      </x:c>
      <x:c r="X17" s="165" t="str">
        <x:f>IF(AND(X$5&gt;=$C17,X$5&lt;=$D17,$A17&lt;&gt;""),"●","")</x:f>
      </x:c>
      <x:c r="Y17" s="165" t="str">
        <x:f>IF(AND(Y$5&gt;=$C17,Y$5&lt;=$D17,$A17&lt;&gt;""),"●","")</x:f>
      </x:c>
      <x:c r="Z17" s="165" t="str">
        <x:f>IF(AND(Z$5&gt;=$C17,Z$5&lt;=$D17,$A17&lt;&gt;""),"●","")</x:f>
      </x:c>
      <x:c r="AA17" s="165" t="str">
        <x:f>IF(AND(AA$5&gt;=$C17,AA$5&lt;=$D17,$A17&lt;&gt;""),"●","")</x:f>
      </x:c>
      <x:c r="AB17" s="165" t="str">
        <x:f>IF(AND(AB$5&gt;=$C17,AB$5&lt;=$D17,$A17&lt;&gt;""),"●","")</x:f>
      </x:c>
      <x:c r="AC17" s="165" t="str">
        <x:f>IF(AND(AC$5&gt;=$C17,AC$5&lt;=$D17,$A17&lt;&gt;""),"●","")</x:f>
      </x:c>
      <x:c r="AD17" s="165" t="str">
        <x:f>IF(AND(AD$5&gt;=$C17,AD$5&lt;=$D17,$A17&lt;&gt;""),"●","")</x:f>
      </x:c>
      <x:c r="AE17" s="165" t="str">
        <x:f>IF(AND(AE$5&gt;=$C17,AE$5&lt;=$D17,$A17&lt;&gt;""),"●","")</x:f>
      </x:c>
      <x:c r="AF17" s="165" t="str">
        <x:f>IF(AND(AF$5&gt;=$C17,AF$5&lt;=$D17,$A17&lt;&gt;""),"●","")</x:f>
      </x:c>
      <x:c r="AG17" s="165" t="str">
        <x:f>IF(AND(AG$5&gt;=$C17,AG$5&lt;=$D17,$A17&lt;&gt;""),"●","")</x:f>
      </x:c>
      <x:c r="AH17" s="165" t="str">
        <x:f>IF(AND(AH$5&gt;=$C17,AH$5&lt;=$D17,$A17&lt;&gt;""),"●","")</x:f>
      </x:c>
      <x:c r="AI17" s="165" t="str">
        <x:f>IF(AND(AI$5&gt;=$C17,AI$5&lt;=$D17,$A17&lt;&gt;""),"●","")</x:f>
      </x:c>
      <x:c r="AJ17" s="165" t="str">
        <x:f>IF(AND(AJ$5&gt;=$C17,AJ$5&lt;=$D17,$A17&lt;&gt;""),"●","")</x:f>
      </x:c>
      <x:c r="AK17" s="165" t="str">
        <x:f>IF(AND(AK$5&gt;=$C17,AK$5&lt;=$D17,$A17&lt;&gt;""),"●","")</x:f>
      </x:c>
      <x:c r="AL17" s="165" t="str">
        <x:f>IF(AND(AL$5&gt;=$C17,AL$5&lt;=$D17,$A17&lt;&gt;""),"●","")</x:f>
      </x:c>
      <x:c r="AM17" s="165" t="str">
        <x:f>IF(AND(AM$5&gt;=$C17,AM$5&lt;=$D17,$A17&lt;&gt;""),"●","")</x:f>
      </x:c>
      <x:c r="AN17" s="165" t="str">
        <x:f>IF(AND(AN$5&gt;=$C17,AN$5&lt;=$D17,$A17&lt;&gt;""),"●","")</x:f>
      </x:c>
      <x:c r="AO17" s="165" t="str">
        <x:f>IF(AND(AO$5&gt;=$C17,AO$5&lt;=$D17,$A17&lt;&gt;""),"●","")</x:f>
      </x:c>
      <x:c r="AP17" s="165" t="str">
        <x:f>IF(AND(AP$5&gt;=$C17,AP$5&lt;=$D17,$A17&lt;&gt;""),"●","")</x:f>
      </x:c>
      <x:c r="AQ17" s="165" t="str">
        <x:f>IF(AND(AQ$5&gt;=$C17,AQ$5&lt;=$D17,$A17&lt;&gt;""),"●","")</x:f>
      </x:c>
      <x:c r="AR17" s="165" t="str">
        <x:f>IF(AND(AR$5&gt;=$C17,AR$5&lt;=$D17,$A17&lt;&gt;""),"●","")</x:f>
      </x:c>
      <x:c r="AS17" s="165" t="str">
        <x:f>IF(AND(AS$5&gt;=$C17,AS$5&lt;=$D17,$A17&lt;&gt;""),"●","")</x:f>
      </x:c>
      <x:c r="AT17" s="165" t="str">
        <x:f>IF(AND(AT$5&gt;=$C17,AT$5&lt;=$D17,$A17&lt;&gt;""),"●","")</x:f>
      </x:c>
      <x:c r="AU17" s="165" t="str">
        <x:f>IF(AND(AU$5&gt;=$C17,AU$5&lt;=$D17,$A17&lt;&gt;""),"●","")</x:f>
      </x:c>
      <x:c r="AV17" s="165" t="str">
        <x:f>IF(AND(AV$5&gt;=$C17,AV$5&lt;=$D17,$A17&lt;&gt;""),"●","")</x:f>
      </x:c>
      <x:c r="AW17" s="165" t="str">
        <x:f>IF(AND(AW$5&gt;=$C17,AW$5&lt;=$D17,$A17&lt;&gt;""),"●","")</x:f>
      </x:c>
      <x:c r="AX17" s="165" t="str">
        <x:f>IF(AND(AX$5&gt;=$C17,AX$5&lt;=$D17,$A17&lt;&gt;""),"●","")</x:f>
      </x:c>
      <x:c r="AY17" s="165" t="str">
        <x:f>IF(AND(AY$5&gt;=$C17,AY$5&lt;=$D17,$A17&lt;&gt;""),"●","")</x:f>
      </x:c>
      <x:c r="AZ17" s="165" t="str">
        <x:f>IF(AND(AZ$5&gt;=$C17,AZ$5&lt;=$D17,$A17&lt;&gt;""),"●","")</x:f>
      </x:c>
      <x:c r="BA17" s="165" t="str">
        <x:f>IF(AND(BA$5&gt;=$C17,BA$5&lt;=$D17,$A17&lt;&gt;""),"●","")</x:f>
      </x:c>
      <x:c r="BB17" s="165" t="str">
        <x:f>IF(AND(BB$5&gt;=$C17,BB$5&lt;=$D17,$A17&lt;&gt;""),"●","")</x:f>
      </x:c>
      <x:c r="BC17" s="165" t="str">
        <x:f>IF(AND(BC$5&gt;=$C17,BC$5&lt;=$D17,$A17&lt;&gt;""),"●","")</x:f>
      </x:c>
      <x:c r="BD17" s="165" t="str">
        <x:f>IF(AND(BD$5&gt;=$C17,BD$5&lt;=$D17,$A17&lt;&gt;""),"●","")</x:f>
      </x:c>
      <x:c r="BE17" s="165" t="str">
        <x:f>IF(AND(BE$5&gt;=$C17,BE$5&lt;=$D17,$A17&lt;&gt;""),"●","")</x:f>
      </x:c>
      <x:c r="BF17" s="165" t="str">
        <x:f>IF(AND(BF$5&gt;=$C17,BF$5&lt;=$D17,$A17&lt;&gt;""),"●","")</x:f>
      </x:c>
      <x:c r="BG17" s="165" t="str">
        <x:f>IF(AND(BG$5&gt;=$C17,BG$5&lt;=$D17,$A17&lt;&gt;""),"●","")</x:f>
      </x:c>
      <x:c r="BH17" s="165" t="str">
        <x:f>IF(AND(BH$5&gt;=$C17,BH$5&lt;=$D17,$A17&lt;&gt;""),"●","")</x:f>
      </x:c>
      <x:c r="BI17" s="165" t="str">
        <x:f>IF(AND(BI$5&gt;=$C17,BI$5&lt;=$D17,$A17&lt;&gt;""),"●","")</x:f>
      </x:c>
      <x:c r="BJ17" s="165" t="str">
        <x:f>IF(AND(BJ$5&gt;=$C17,BJ$5&lt;=$D17,$A17&lt;&gt;""),"●","")</x:f>
      </x:c>
      <x:c r="BK17" s="165" t="str">
        <x:f>IF(AND(BK$5&gt;=$C17,BK$5&lt;=$D17,$A17&lt;&gt;""),"●","")</x:f>
      </x:c>
      <x:c r="BL17" s="165" t="str">
        <x:f>IF(AND(BL$5&gt;=$C17,BL$5&lt;=$D17,$A17&lt;&gt;""),"●","")</x:f>
      </x:c>
      <x:c r="BM17" s="165" t="str">
        <x:f>IF(AND(BM$5&gt;=$C17,BM$5&lt;=$D17,$A17&lt;&gt;""),"●","")</x:f>
      </x:c>
      <x:c r="BN17" s="165" t="str">
        <x:f>IF(AND(BN$5&gt;=$C17,BN$5&lt;=$D17,$A17&lt;&gt;""),"●","")</x:f>
      </x:c>
      <x:c r="BO17" s="165" t="str">
        <x:f>IF(AND(BO$5&gt;=$C17,BO$5&lt;=$D17,$A17&lt;&gt;""),"●","")</x:f>
      </x:c>
      <x:c r="BP17" s="165" t="str">
        <x:f>IF(AND(BP$5&gt;=$C17,BP$5&lt;=$D17,$A17&lt;&gt;""),"●","")</x:f>
      </x:c>
      <x:c r="BQ17" s="165" t="str">
        <x:f>IF(AND(BQ$5&gt;=$C17,BQ$5&lt;=$D17,$A17&lt;&gt;""),"●","")</x:f>
      </x:c>
      <x:c r="BR17" s="165" t="str">
        <x:f>IF(AND(BR$5&gt;=$C17,BR$5&lt;=$D17,$A17&lt;&gt;""),"●","")</x:f>
      </x:c>
      <x:c r="BS17" s="165" t="str">
        <x:f>IF(AND(BS$5&gt;=$C17,BS$5&lt;=$D17,$A17&lt;&gt;""),"●","")</x:f>
      </x:c>
      <x:c r="BT17" s="165" t="str">
        <x:f>IF(AND(BT$5&gt;=$C17,BT$5&lt;=$D17,$A17&lt;&gt;""),"●","")</x:f>
      </x:c>
      <x:c r="BU17" s="165" t="str">
        <x:f>IF(AND(BU$5&gt;=$C17,BU$5&lt;=$D17,$A17&lt;&gt;""),"●","")</x:f>
      </x:c>
      <x:c r="BV17" s="165" t="str">
        <x:f>IF(AND(BV$5&gt;=$C17,BV$5&lt;=$D17,$A17&lt;&gt;""),"●","")</x:f>
      </x:c>
      <x:c r="BW17" s="165" t="str">
        <x:f>IF(AND(BW$5&gt;=$C17,BW$5&lt;=$D17,$A17&lt;&gt;""),"●","")</x:f>
      </x:c>
    </x:row>
    <x:row r="18">
      <x:c r="A18" s="159" t="str">
        <x:f>IF('รายการสัญญา'!A18="","",'รายการสัญญา'!A18)</x:f>
      </x:c>
      <x:c r="B18" s="159" t="str">
        <x:f>IF('รายการสัญญา'!A18="","",'รายการสัญญา'!C18)</x:f>
      </x:c>
      <x:c r="C18" s="162" t="str">
        <x:f>IF('รายการสัญญา'!A18="","",'รายการสัญญา'!E18)</x:f>
      </x:c>
      <x:c r="D18" s="162" t="str">
        <x:f>IF('รายการสัญญา'!A18="","",'รายการสัญญา'!G18)</x:f>
      </x:c>
      <x:c r="E18" s="159" t="str">
        <x:f>IF('รายการสัญญา'!A18="","",'รายการสัญญา'!K18)</x:f>
      </x:c>
      <x:c r="F18" s="165" t="str">
        <x:f>IF(AND(F$5&gt;=$C18,F$5&lt;=$D18,$A18&lt;&gt;""),"●","")</x:f>
      </x:c>
      <x:c r="G18" s="165" t="str">
        <x:f>IF(AND(G$5&gt;=$C18,G$5&lt;=$D18,$A18&lt;&gt;""),"●","")</x:f>
      </x:c>
      <x:c r="H18" s="165" t="str">
        <x:f>IF(AND(H$5&gt;=$C18,H$5&lt;=$D18,$A18&lt;&gt;""),"●","")</x:f>
      </x:c>
      <x:c r="I18" s="165" t="str">
        <x:f>IF(AND(I$5&gt;=$C18,I$5&lt;=$D18,$A18&lt;&gt;""),"●","")</x:f>
      </x:c>
      <x:c r="J18" s="165" t="str">
        <x:f>IF(AND(J$5&gt;=$C18,J$5&lt;=$D18,$A18&lt;&gt;""),"●","")</x:f>
      </x:c>
      <x:c r="K18" s="165" t="str">
        <x:f>IF(AND(K$5&gt;=$C18,K$5&lt;=$D18,$A18&lt;&gt;""),"●","")</x:f>
      </x:c>
      <x:c r="L18" s="165" t="str">
        <x:f>IF(AND(L$5&gt;=$C18,L$5&lt;=$D18,$A18&lt;&gt;""),"●","")</x:f>
      </x:c>
      <x:c r="M18" s="165" t="str">
        <x:f>IF(AND(M$5&gt;=$C18,M$5&lt;=$D18,$A18&lt;&gt;""),"●","")</x:f>
      </x:c>
      <x:c r="N18" s="165" t="str">
        <x:f>IF(AND(N$5&gt;=$C18,N$5&lt;=$D18,$A18&lt;&gt;""),"●","")</x:f>
      </x:c>
      <x:c r="O18" s="165" t="str">
        <x:f>IF(AND(O$5&gt;=$C18,O$5&lt;=$D18,$A18&lt;&gt;""),"●","")</x:f>
      </x:c>
      <x:c r="P18" s="165" t="str">
        <x:f>IF(AND(P$5&gt;=$C18,P$5&lt;=$D18,$A18&lt;&gt;""),"●","")</x:f>
      </x:c>
      <x:c r="Q18" s="165" t="str">
        <x:f>IF(AND(Q$5&gt;=$C18,Q$5&lt;=$D18,$A18&lt;&gt;""),"●","")</x:f>
      </x:c>
      <x:c r="R18" s="165" t="str">
        <x:f>IF(AND(R$5&gt;=$C18,R$5&lt;=$D18,$A18&lt;&gt;""),"●","")</x:f>
      </x:c>
      <x:c r="S18" s="165" t="str">
        <x:f>IF(AND(S$5&gt;=$C18,S$5&lt;=$D18,$A18&lt;&gt;""),"●","")</x:f>
      </x:c>
      <x:c r="T18" s="165" t="str">
        <x:f>IF(AND(T$5&gt;=$C18,T$5&lt;=$D18,$A18&lt;&gt;""),"●","")</x:f>
      </x:c>
      <x:c r="U18" s="165" t="str">
        <x:f>IF(AND(U$5&gt;=$C18,U$5&lt;=$D18,$A18&lt;&gt;""),"●","")</x:f>
      </x:c>
      <x:c r="V18" s="165" t="str">
        <x:f>IF(AND(V$5&gt;=$C18,V$5&lt;=$D18,$A18&lt;&gt;""),"●","")</x:f>
      </x:c>
      <x:c r="W18" s="165" t="str">
        <x:f>IF(AND(W$5&gt;=$C18,W$5&lt;=$D18,$A18&lt;&gt;""),"●","")</x:f>
      </x:c>
      <x:c r="X18" s="165" t="str">
        <x:f>IF(AND(X$5&gt;=$C18,X$5&lt;=$D18,$A18&lt;&gt;""),"●","")</x:f>
      </x:c>
      <x:c r="Y18" s="165" t="str">
        <x:f>IF(AND(Y$5&gt;=$C18,Y$5&lt;=$D18,$A18&lt;&gt;""),"●","")</x:f>
      </x:c>
      <x:c r="Z18" s="165" t="str">
        <x:f>IF(AND(Z$5&gt;=$C18,Z$5&lt;=$D18,$A18&lt;&gt;""),"●","")</x:f>
      </x:c>
      <x:c r="AA18" s="165" t="str">
        <x:f>IF(AND(AA$5&gt;=$C18,AA$5&lt;=$D18,$A18&lt;&gt;""),"●","")</x:f>
      </x:c>
      <x:c r="AB18" s="165" t="str">
        <x:f>IF(AND(AB$5&gt;=$C18,AB$5&lt;=$D18,$A18&lt;&gt;""),"●","")</x:f>
      </x:c>
      <x:c r="AC18" s="165" t="str">
        <x:f>IF(AND(AC$5&gt;=$C18,AC$5&lt;=$D18,$A18&lt;&gt;""),"●","")</x:f>
      </x:c>
      <x:c r="AD18" s="165" t="str">
        <x:f>IF(AND(AD$5&gt;=$C18,AD$5&lt;=$D18,$A18&lt;&gt;""),"●","")</x:f>
      </x:c>
      <x:c r="AE18" s="165" t="str">
        <x:f>IF(AND(AE$5&gt;=$C18,AE$5&lt;=$D18,$A18&lt;&gt;""),"●","")</x:f>
      </x:c>
      <x:c r="AF18" s="165" t="str">
        <x:f>IF(AND(AF$5&gt;=$C18,AF$5&lt;=$D18,$A18&lt;&gt;""),"●","")</x:f>
      </x:c>
      <x:c r="AG18" s="165" t="str">
        <x:f>IF(AND(AG$5&gt;=$C18,AG$5&lt;=$D18,$A18&lt;&gt;""),"●","")</x:f>
      </x:c>
      <x:c r="AH18" s="165" t="str">
        <x:f>IF(AND(AH$5&gt;=$C18,AH$5&lt;=$D18,$A18&lt;&gt;""),"●","")</x:f>
      </x:c>
      <x:c r="AI18" s="165" t="str">
        <x:f>IF(AND(AI$5&gt;=$C18,AI$5&lt;=$D18,$A18&lt;&gt;""),"●","")</x:f>
      </x:c>
      <x:c r="AJ18" s="165" t="str">
        <x:f>IF(AND(AJ$5&gt;=$C18,AJ$5&lt;=$D18,$A18&lt;&gt;""),"●","")</x:f>
      </x:c>
      <x:c r="AK18" s="165" t="str">
        <x:f>IF(AND(AK$5&gt;=$C18,AK$5&lt;=$D18,$A18&lt;&gt;""),"●","")</x:f>
      </x:c>
      <x:c r="AL18" s="165" t="str">
        <x:f>IF(AND(AL$5&gt;=$C18,AL$5&lt;=$D18,$A18&lt;&gt;""),"●","")</x:f>
      </x:c>
      <x:c r="AM18" s="165" t="str">
        <x:f>IF(AND(AM$5&gt;=$C18,AM$5&lt;=$D18,$A18&lt;&gt;""),"●","")</x:f>
      </x:c>
      <x:c r="AN18" s="165" t="str">
        <x:f>IF(AND(AN$5&gt;=$C18,AN$5&lt;=$D18,$A18&lt;&gt;""),"●","")</x:f>
      </x:c>
      <x:c r="AO18" s="165" t="str">
        <x:f>IF(AND(AO$5&gt;=$C18,AO$5&lt;=$D18,$A18&lt;&gt;""),"●","")</x:f>
      </x:c>
      <x:c r="AP18" s="165" t="str">
        <x:f>IF(AND(AP$5&gt;=$C18,AP$5&lt;=$D18,$A18&lt;&gt;""),"●","")</x:f>
      </x:c>
      <x:c r="AQ18" s="165" t="str">
        <x:f>IF(AND(AQ$5&gt;=$C18,AQ$5&lt;=$D18,$A18&lt;&gt;""),"●","")</x:f>
      </x:c>
      <x:c r="AR18" s="165" t="str">
        <x:f>IF(AND(AR$5&gt;=$C18,AR$5&lt;=$D18,$A18&lt;&gt;""),"●","")</x:f>
      </x:c>
      <x:c r="AS18" s="165" t="str">
        <x:f>IF(AND(AS$5&gt;=$C18,AS$5&lt;=$D18,$A18&lt;&gt;""),"●","")</x:f>
      </x:c>
      <x:c r="AT18" s="165" t="str">
        <x:f>IF(AND(AT$5&gt;=$C18,AT$5&lt;=$D18,$A18&lt;&gt;""),"●","")</x:f>
      </x:c>
      <x:c r="AU18" s="165" t="str">
        <x:f>IF(AND(AU$5&gt;=$C18,AU$5&lt;=$D18,$A18&lt;&gt;""),"●","")</x:f>
      </x:c>
      <x:c r="AV18" s="165" t="str">
        <x:f>IF(AND(AV$5&gt;=$C18,AV$5&lt;=$D18,$A18&lt;&gt;""),"●","")</x:f>
      </x:c>
      <x:c r="AW18" s="165" t="str">
        <x:f>IF(AND(AW$5&gt;=$C18,AW$5&lt;=$D18,$A18&lt;&gt;""),"●","")</x:f>
      </x:c>
      <x:c r="AX18" s="165" t="str">
        <x:f>IF(AND(AX$5&gt;=$C18,AX$5&lt;=$D18,$A18&lt;&gt;""),"●","")</x:f>
      </x:c>
      <x:c r="AY18" s="165" t="str">
        <x:f>IF(AND(AY$5&gt;=$C18,AY$5&lt;=$D18,$A18&lt;&gt;""),"●","")</x:f>
      </x:c>
      <x:c r="AZ18" s="165" t="str">
        <x:f>IF(AND(AZ$5&gt;=$C18,AZ$5&lt;=$D18,$A18&lt;&gt;""),"●","")</x:f>
      </x:c>
      <x:c r="BA18" s="165" t="str">
        <x:f>IF(AND(BA$5&gt;=$C18,BA$5&lt;=$D18,$A18&lt;&gt;""),"●","")</x:f>
      </x:c>
      <x:c r="BB18" s="165" t="str">
        <x:f>IF(AND(BB$5&gt;=$C18,BB$5&lt;=$D18,$A18&lt;&gt;""),"●","")</x:f>
      </x:c>
      <x:c r="BC18" s="165" t="str">
        <x:f>IF(AND(BC$5&gt;=$C18,BC$5&lt;=$D18,$A18&lt;&gt;""),"●","")</x:f>
      </x:c>
      <x:c r="BD18" s="165" t="str">
        <x:f>IF(AND(BD$5&gt;=$C18,BD$5&lt;=$D18,$A18&lt;&gt;""),"●","")</x:f>
      </x:c>
      <x:c r="BE18" s="165" t="str">
        <x:f>IF(AND(BE$5&gt;=$C18,BE$5&lt;=$D18,$A18&lt;&gt;""),"●","")</x:f>
      </x:c>
      <x:c r="BF18" s="165" t="str">
        <x:f>IF(AND(BF$5&gt;=$C18,BF$5&lt;=$D18,$A18&lt;&gt;""),"●","")</x:f>
      </x:c>
      <x:c r="BG18" s="165" t="str">
        <x:f>IF(AND(BG$5&gt;=$C18,BG$5&lt;=$D18,$A18&lt;&gt;""),"●","")</x:f>
      </x:c>
      <x:c r="BH18" s="165" t="str">
        <x:f>IF(AND(BH$5&gt;=$C18,BH$5&lt;=$D18,$A18&lt;&gt;""),"●","")</x:f>
      </x:c>
      <x:c r="BI18" s="165" t="str">
        <x:f>IF(AND(BI$5&gt;=$C18,BI$5&lt;=$D18,$A18&lt;&gt;""),"●","")</x:f>
      </x:c>
      <x:c r="BJ18" s="165" t="str">
        <x:f>IF(AND(BJ$5&gt;=$C18,BJ$5&lt;=$D18,$A18&lt;&gt;""),"●","")</x:f>
      </x:c>
      <x:c r="BK18" s="165" t="str">
        <x:f>IF(AND(BK$5&gt;=$C18,BK$5&lt;=$D18,$A18&lt;&gt;""),"●","")</x:f>
      </x:c>
      <x:c r="BL18" s="165" t="str">
        <x:f>IF(AND(BL$5&gt;=$C18,BL$5&lt;=$D18,$A18&lt;&gt;""),"●","")</x:f>
      </x:c>
      <x:c r="BM18" s="165" t="str">
        <x:f>IF(AND(BM$5&gt;=$C18,BM$5&lt;=$D18,$A18&lt;&gt;""),"●","")</x:f>
      </x:c>
      <x:c r="BN18" s="165" t="str">
        <x:f>IF(AND(BN$5&gt;=$C18,BN$5&lt;=$D18,$A18&lt;&gt;""),"●","")</x:f>
      </x:c>
      <x:c r="BO18" s="165" t="str">
        <x:f>IF(AND(BO$5&gt;=$C18,BO$5&lt;=$D18,$A18&lt;&gt;""),"●","")</x:f>
      </x:c>
      <x:c r="BP18" s="165" t="str">
        <x:f>IF(AND(BP$5&gt;=$C18,BP$5&lt;=$D18,$A18&lt;&gt;""),"●","")</x:f>
      </x:c>
      <x:c r="BQ18" s="165" t="str">
        <x:f>IF(AND(BQ$5&gt;=$C18,BQ$5&lt;=$D18,$A18&lt;&gt;""),"●","")</x:f>
      </x:c>
      <x:c r="BR18" s="165" t="str">
        <x:f>IF(AND(BR$5&gt;=$C18,BR$5&lt;=$D18,$A18&lt;&gt;""),"●","")</x:f>
      </x:c>
      <x:c r="BS18" s="165" t="str">
        <x:f>IF(AND(BS$5&gt;=$C18,BS$5&lt;=$D18,$A18&lt;&gt;""),"●","")</x:f>
      </x:c>
      <x:c r="BT18" s="165" t="str">
        <x:f>IF(AND(BT$5&gt;=$C18,BT$5&lt;=$D18,$A18&lt;&gt;""),"●","")</x:f>
      </x:c>
      <x:c r="BU18" s="165" t="str">
        <x:f>IF(AND(BU$5&gt;=$C18,BU$5&lt;=$D18,$A18&lt;&gt;""),"●","")</x:f>
      </x:c>
      <x:c r="BV18" s="165" t="str">
        <x:f>IF(AND(BV$5&gt;=$C18,BV$5&lt;=$D18,$A18&lt;&gt;""),"●","")</x:f>
      </x:c>
      <x:c r="BW18" s="165" t="str">
        <x:f>IF(AND(BW$5&gt;=$C18,BW$5&lt;=$D18,$A18&lt;&gt;""),"●","")</x:f>
      </x:c>
    </x:row>
    <x:row r="19">
      <x:c r="A19" s="159" t="str">
        <x:f>IF('รายการสัญญา'!A19="","",'รายการสัญญา'!A19)</x:f>
      </x:c>
      <x:c r="B19" s="159" t="str">
        <x:f>IF('รายการสัญญา'!A19="","",'รายการสัญญา'!C19)</x:f>
      </x:c>
      <x:c r="C19" s="162" t="str">
        <x:f>IF('รายการสัญญา'!A19="","",'รายการสัญญา'!E19)</x:f>
      </x:c>
      <x:c r="D19" s="162" t="str">
        <x:f>IF('รายการสัญญา'!A19="","",'รายการสัญญา'!G19)</x:f>
      </x:c>
      <x:c r="E19" s="159" t="str">
        <x:f>IF('รายการสัญญา'!A19="","",'รายการสัญญา'!K19)</x:f>
      </x:c>
      <x:c r="F19" s="165" t="str">
        <x:f>IF(AND(F$5&gt;=$C19,F$5&lt;=$D19,$A19&lt;&gt;""),"●","")</x:f>
      </x:c>
      <x:c r="G19" s="165" t="str">
        <x:f>IF(AND(G$5&gt;=$C19,G$5&lt;=$D19,$A19&lt;&gt;""),"●","")</x:f>
      </x:c>
      <x:c r="H19" s="165" t="str">
        <x:f>IF(AND(H$5&gt;=$C19,H$5&lt;=$D19,$A19&lt;&gt;""),"●","")</x:f>
      </x:c>
      <x:c r="I19" s="165" t="str">
        <x:f>IF(AND(I$5&gt;=$C19,I$5&lt;=$D19,$A19&lt;&gt;""),"●","")</x:f>
      </x:c>
      <x:c r="J19" s="165" t="str">
        <x:f>IF(AND(J$5&gt;=$C19,J$5&lt;=$D19,$A19&lt;&gt;""),"●","")</x:f>
      </x:c>
      <x:c r="K19" s="165" t="str">
        <x:f>IF(AND(K$5&gt;=$C19,K$5&lt;=$D19,$A19&lt;&gt;""),"●","")</x:f>
      </x:c>
      <x:c r="L19" s="165" t="str">
        <x:f>IF(AND(L$5&gt;=$C19,L$5&lt;=$D19,$A19&lt;&gt;""),"●","")</x:f>
      </x:c>
      <x:c r="M19" s="165" t="str">
        <x:f>IF(AND(M$5&gt;=$C19,M$5&lt;=$D19,$A19&lt;&gt;""),"●","")</x:f>
      </x:c>
      <x:c r="N19" s="165" t="str">
        <x:f>IF(AND(N$5&gt;=$C19,N$5&lt;=$D19,$A19&lt;&gt;""),"●","")</x:f>
      </x:c>
      <x:c r="O19" s="165" t="str">
        <x:f>IF(AND(O$5&gt;=$C19,O$5&lt;=$D19,$A19&lt;&gt;""),"●","")</x:f>
      </x:c>
      <x:c r="P19" s="165" t="str">
        <x:f>IF(AND(P$5&gt;=$C19,P$5&lt;=$D19,$A19&lt;&gt;""),"●","")</x:f>
      </x:c>
      <x:c r="Q19" s="165" t="str">
        <x:f>IF(AND(Q$5&gt;=$C19,Q$5&lt;=$D19,$A19&lt;&gt;""),"●","")</x:f>
      </x:c>
      <x:c r="R19" s="165" t="str">
        <x:f>IF(AND(R$5&gt;=$C19,R$5&lt;=$D19,$A19&lt;&gt;""),"●","")</x:f>
      </x:c>
      <x:c r="S19" s="165" t="str">
        <x:f>IF(AND(S$5&gt;=$C19,S$5&lt;=$D19,$A19&lt;&gt;""),"●","")</x:f>
      </x:c>
      <x:c r="T19" s="165" t="str">
        <x:f>IF(AND(T$5&gt;=$C19,T$5&lt;=$D19,$A19&lt;&gt;""),"●","")</x:f>
      </x:c>
      <x:c r="U19" s="165" t="str">
        <x:f>IF(AND(U$5&gt;=$C19,U$5&lt;=$D19,$A19&lt;&gt;""),"●","")</x:f>
      </x:c>
      <x:c r="V19" s="165" t="str">
        <x:f>IF(AND(V$5&gt;=$C19,V$5&lt;=$D19,$A19&lt;&gt;""),"●","")</x:f>
      </x:c>
      <x:c r="W19" s="165" t="str">
        <x:f>IF(AND(W$5&gt;=$C19,W$5&lt;=$D19,$A19&lt;&gt;""),"●","")</x:f>
      </x:c>
      <x:c r="X19" s="165" t="str">
        <x:f>IF(AND(X$5&gt;=$C19,X$5&lt;=$D19,$A19&lt;&gt;""),"●","")</x:f>
      </x:c>
      <x:c r="Y19" s="165" t="str">
        <x:f>IF(AND(Y$5&gt;=$C19,Y$5&lt;=$D19,$A19&lt;&gt;""),"●","")</x:f>
      </x:c>
      <x:c r="Z19" s="165" t="str">
        <x:f>IF(AND(Z$5&gt;=$C19,Z$5&lt;=$D19,$A19&lt;&gt;""),"●","")</x:f>
      </x:c>
      <x:c r="AA19" s="165" t="str">
        <x:f>IF(AND(AA$5&gt;=$C19,AA$5&lt;=$D19,$A19&lt;&gt;""),"●","")</x:f>
      </x:c>
      <x:c r="AB19" s="165" t="str">
        <x:f>IF(AND(AB$5&gt;=$C19,AB$5&lt;=$D19,$A19&lt;&gt;""),"●","")</x:f>
      </x:c>
      <x:c r="AC19" s="165" t="str">
        <x:f>IF(AND(AC$5&gt;=$C19,AC$5&lt;=$D19,$A19&lt;&gt;""),"●","")</x:f>
      </x:c>
      <x:c r="AD19" s="165" t="str">
        <x:f>IF(AND(AD$5&gt;=$C19,AD$5&lt;=$D19,$A19&lt;&gt;""),"●","")</x:f>
      </x:c>
      <x:c r="AE19" s="165" t="str">
        <x:f>IF(AND(AE$5&gt;=$C19,AE$5&lt;=$D19,$A19&lt;&gt;""),"●","")</x:f>
      </x:c>
      <x:c r="AF19" s="165" t="str">
        <x:f>IF(AND(AF$5&gt;=$C19,AF$5&lt;=$D19,$A19&lt;&gt;""),"●","")</x:f>
      </x:c>
      <x:c r="AG19" s="165" t="str">
        <x:f>IF(AND(AG$5&gt;=$C19,AG$5&lt;=$D19,$A19&lt;&gt;""),"●","")</x:f>
      </x:c>
      <x:c r="AH19" s="165" t="str">
        <x:f>IF(AND(AH$5&gt;=$C19,AH$5&lt;=$D19,$A19&lt;&gt;""),"●","")</x:f>
      </x:c>
      <x:c r="AI19" s="165" t="str">
        <x:f>IF(AND(AI$5&gt;=$C19,AI$5&lt;=$D19,$A19&lt;&gt;""),"●","")</x:f>
      </x:c>
      <x:c r="AJ19" s="165" t="str">
        <x:f>IF(AND(AJ$5&gt;=$C19,AJ$5&lt;=$D19,$A19&lt;&gt;""),"●","")</x:f>
      </x:c>
      <x:c r="AK19" s="165" t="str">
        <x:f>IF(AND(AK$5&gt;=$C19,AK$5&lt;=$D19,$A19&lt;&gt;""),"●","")</x:f>
      </x:c>
      <x:c r="AL19" s="165" t="str">
        <x:f>IF(AND(AL$5&gt;=$C19,AL$5&lt;=$D19,$A19&lt;&gt;""),"●","")</x:f>
      </x:c>
      <x:c r="AM19" s="165" t="str">
        <x:f>IF(AND(AM$5&gt;=$C19,AM$5&lt;=$D19,$A19&lt;&gt;""),"●","")</x:f>
      </x:c>
      <x:c r="AN19" s="165" t="str">
        <x:f>IF(AND(AN$5&gt;=$C19,AN$5&lt;=$D19,$A19&lt;&gt;""),"●","")</x:f>
      </x:c>
      <x:c r="AO19" s="165" t="str">
        <x:f>IF(AND(AO$5&gt;=$C19,AO$5&lt;=$D19,$A19&lt;&gt;""),"●","")</x:f>
      </x:c>
      <x:c r="AP19" s="165" t="str">
        <x:f>IF(AND(AP$5&gt;=$C19,AP$5&lt;=$D19,$A19&lt;&gt;""),"●","")</x:f>
      </x:c>
      <x:c r="AQ19" s="165" t="str">
        <x:f>IF(AND(AQ$5&gt;=$C19,AQ$5&lt;=$D19,$A19&lt;&gt;""),"●","")</x:f>
      </x:c>
      <x:c r="AR19" s="165" t="str">
        <x:f>IF(AND(AR$5&gt;=$C19,AR$5&lt;=$D19,$A19&lt;&gt;""),"●","")</x:f>
      </x:c>
      <x:c r="AS19" s="165" t="str">
        <x:f>IF(AND(AS$5&gt;=$C19,AS$5&lt;=$D19,$A19&lt;&gt;""),"●","")</x:f>
      </x:c>
      <x:c r="AT19" s="165" t="str">
        <x:f>IF(AND(AT$5&gt;=$C19,AT$5&lt;=$D19,$A19&lt;&gt;""),"●","")</x:f>
      </x:c>
      <x:c r="AU19" s="165" t="str">
        <x:f>IF(AND(AU$5&gt;=$C19,AU$5&lt;=$D19,$A19&lt;&gt;""),"●","")</x:f>
      </x:c>
      <x:c r="AV19" s="165" t="str">
        <x:f>IF(AND(AV$5&gt;=$C19,AV$5&lt;=$D19,$A19&lt;&gt;""),"●","")</x:f>
      </x:c>
      <x:c r="AW19" s="165" t="str">
        <x:f>IF(AND(AW$5&gt;=$C19,AW$5&lt;=$D19,$A19&lt;&gt;""),"●","")</x:f>
      </x:c>
      <x:c r="AX19" s="165" t="str">
        <x:f>IF(AND(AX$5&gt;=$C19,AX$5&lt;=$D19,$A19&lt;&gt;""),"●","")</x:f>
      </x:c>
      <x:c r="AY19" s="165" t="str">
        <x:f>IF(AND(AY$5&gt;=$C19,AY$5&lt;=$D19,$A19&lt;&gt;""),"●","")</x:f>
      </x:c>
      <x:c r="AZ19" s="165" t="str">
        <x:f>IF(AND(AZ$5&gt;=$C19,AZ$5&lt;=$D19,$A19&lt;&gt;""),"●","")</x:f>
      </x:c>
      <x:c r="BA19" s="165" t="str">
        <x:f>IF(AND(BA$5&gt;=$C19,BA$5&lt;=$D19,$A19&lt;&gt;""),"●","")</x:f>
      </x:c>
      <x:c r="BB19" s="165" t="str">
        <x:f>IF(AND(BB$5&gt;=$C19,BB$5&lt;=$D19,$A19&lt;&gt;""),"●","")</x:f>
      </x:c>
      <x:c r="BC19" s="165" t="str">
        <x:f>IF(AND(BC$5&gt;=$C19,BC$5&lt;=$D19,$A19&lt;&gt;""),"●","")</x:f>
      </x:c>
      <x:c r="BD19" s="165" t="str">
        <x:f>IF(AND(BD$5&gt;=$C19,BD$5&lt;=$D19,$A19&lt;&gt;""),"●","")</x:f>
      </x:c>
      <x:c r="BE19" s="165" t="str">
        <x:f>IF(AND(BE$5&gt;=$C19,BE$5&lt;=$D19,$A19&lt;&gt;""),"●","")</x:f>
      </x:c>
      <x:c r="BF19" s="165" t="str">
        <x:f>IF(AND(BF$5&gt;=$C19,BF$5&lt;=$D19,$A19&lt;&gt;""),"●","")</x:f>
      </x:c>
      <x:c r="BG19" s="165" t="str">
        <x:f>IF(AND(BG$5&gt;=$C19,BG$5&lt;=$D19,$A19&lt;&gt;""),"●","")</x:f>
      </x:c>
      <x:c r="BH19" s="165" t="str">
        <x:f>IF(AND(BH$5&gt;=$C19,BH$5&lt;=$D19,$A19&lt;&gt;""),"●","")</x:f>
      </x:c>
      <x:c r="BI19" s="165" t="str">
        <x:f>IF(AND(BI$5&gt;=$C19,BI$5&lt;=$D19,$A19&lt;&gt;""),"●","")</x:f>
      </x:c>
      <x:c r="BJ19" s="165" t="str">
        <x:f>IF(AND(BJ$5&gt;=$C19,BJ$5&lt;=$D19,$A19&lt;&gt;""),"●","")</x:f>
      </x:c>
      <x:c r="BK19" s="165" t="str">
        <x:f>IF(AND(BK$5&gt;=$C19,BK$5&lt;=$D19,$A19&lt;&gt;""),"●","")</x:f>
      </x:c>
      <x:c r="BL19" s="165" t="str">
        <x:f>IF(AND(BL$5&gt;=$C19,BL$5&lt;=$D19,$A19&lt;&gt;""),"●","")</x:f>
      </x:c>
      <x:c r="BM19" s="165" t="str">
        <x:f>IF(AND(BM$5&gt;=$C19,BM$5&lt;=$D19,$A19&lt;&gt;""),"●","")</x:f>
      </x:c>
      <x:c r="BN19" s="165" t="str">
        <x:f>IF(AND(BN$5&gt;=$C19,BN$5&lt;=$D19,$A19&lt;&gt;""),"●","")</x:f>
      </x:c>
      <x:c r="BO19" s="165" t="str">
        <x:f>IF(AND(BO$5&gt;=$C19,BO$5&lt;=$D19,$A19&lt;&gt;""),"●","")</x:f>
      </x:c>
      <x:c r="BP19" s="165" t="str">
        <x:f>IF(AND(BP$5&gt;=$C19,BP$5&lt;=$D19,$A19&lt;&gt;""),"●","")</x:f>
      </x:c>
      <x:c r="BQ19" s="165" t="str">
        <x:f>IF(AND(BQ$5&gt;=$C19,BQ$5&lt;=$D19,$A19&lt;&gt;""),"●","")</x:f>
      </x:c>
      <x:c r="BR19" s="165" t="str">
        <x:f>IF(AND(BR$5&gt;=$C19,BR$5&lt;=$D19,$A19&lt;&gt;""),"●","")</x:f>
      </x:c>
      <x:c r="BS19" s="165" t="str">
        <x:f>IF(AND(BS$5&gt;=$C19,BS$5&lt;=$D19,$A19&lt;&gt;""),"●","")</x:f>
      </x:c>
      <x:c r="BT19" s="165" t="str">
        <x:f>IF(AND(BT$5&gt;=$C19,BT$5&lt;=$D19,$A19&lt;&gt;""),"●","")</x:f>
      </x:c>
      <x:c r="BU19" s="165" t="str">
        <x:f>IF(AND(BU$5&gt;=$C19,BU$5&lt;=$D19,$A19&lt;&gt;""),"●","")</x:f>
      </x:c>
      <x:c r="BV19" s="165" t="str">
        <x:f>IF(AND(BV$5&gt;=$C19,BV$5&lt;=$D19,$A19&lt;&gt;""),"●","")</x:f>
      </x:c>
      <x:c r="BW19" s="165" t="str">
        <x:f>IF(AND(BW$5&gt;=$C19,BW$5&lt;=$D19,$A19&lt;&gt;""),"●","")</x:f>
      </x:c>
    </x:row>
    <x:row r="20">
      <x:c r="A20" s="159" t="str">
        <x:f>IF('รายการสัญญา'!A20="","",'รายการสัญญา'!A20)</x:f>
      </x:c>
      <x:c r="B20" s="159" t="str">
        <x:f>IF('รายการสัญญา'!A20="","",'รายการสัญญา'!C20)</x:f>
      </x:c>
      <x:c r="C20" s="162" t="str">
        <x:f>IF('รายการสัญญา'!A20="","",'รายการสัญญา'!E20)</x:f>
      </x:c>
      <x:c r="D20" s="162" t="str">
        <x:f>IF('รายการสัญญา'!A20="","",'รายการสัญญา'!G20)</x:f>
      </x:c>
      <x:c r="E20" s="159" t="str">
        <x:f>IF('รายการสัญญา'!A20="","",'รายการสัญญา'!K20)</x:f>
      </x:c>
      <x:c r="F20" s="165" t="str">
        <x:f>IF(AND(F$5&gt;=$C20,F$5&lt;=$D20,$A20&lt;&gt;""),"●","")</x:f>
      </x:c>
      <x:c r="G20" s="165" t="str">
        <x:f>IF(AND(G$5&gt;=$C20,G$5&lt;=$D20,$A20&lt;&gt;""),"●","")</x:f>
      </x:c>
      <x:c r="H20" s="165" t="str">
        <x:f>IF(AND(H$5&gt;=$C20,H$5&lt;=$D20,$A20&lt;&gt;""),"●","")</x:f>
      </x:c>
      <x:c r="I20" s="165" t="str">
        <x:f>IF(AND(I$5&gt;=$C20,I$5&lt;=$D20,$A20&lt;&gt;""),"●","")</x:f>
      </x:c>
      <x:c r="J20" s="165" t="str">
        <x:f>IF(AND(J$5&gt;=$C20,J$5&lt;=$D20,$A20&lt;&gt;""),"●","")</x:f>
      </x:c>
      <x:c r="K20" s="165" t="str">
        <x:f>IF(AND(K$5&gt;=$C20,K$5&lt;=$D20,$A20&lt;&gt;""),"●","")</x:f>
      </x:c>
      <x:c r="L20" s="165" t="str">
        <x:f>IF(AND(L$5&gt;=$C20,L$5&lt;=$D20,$A20&lt;&gt;""),"●","")</x:f>
      </x:c>
      <x:c r="M20" s="165" t="str">
        <x:f>IF(AND(M$5&gt;=$C20,M$5&lt;=$D20,$A20&lt;&gt;""),"●","")</x:f>
      </x:c>
      <x:c r="N20" s="165" t="str">
        <x:f>IF(AND(N$5&gt;=$C20,N$5&lt;=$D20,$A20&lt;&gt;""),"●","")</x:f>
      </x:c>
      <x:c r="O20" s="165" t="str">
        <x:f>IF(AND(O$5&gt;=$C20,O$5&lt;=$D20,$A20&lt;&gt;""),"●","")</x:f>
      </x:c>
      <x:c r="P20" s="165" t="str">
        <x:f>IF(AND(P$5&gt;=$C20,P$5&lt;=$D20,$A20&lt;&gt;""),"●","")</x:f>
      </x:c>
      <x:c r="Q20" s="165" t="str">
        <x:f>IF(AND(Q$5&gt;=$C20,Q$5&lt;=$D20,$A20&lt;&gt;""),"●","")</x:f>
      </x:c>
      <x:c r="R20" s="165" t="str">
        <x:f>IF(AND(R$5&gt;=$C20,R$5&lt;=$D20,$A20&lt;&gt;""),"●","")</x:f>
      </x:c>
      <x:c r="S20" s="165" t="str">
        <x:f>IF(AND(S$5&gt;=$C20,S$5&lt;=$D20,$A20&lt;&gt;""),"●","")</x:f>
      </x:c>
      <x:c r="T20" s="165" t="str">
        <x:f>IF(AND(T$5&gt;=$C20,T$5&lt;=$D20,$A20&lt;&gt;""),"●","")</x:f>
      </x:c>
      <x:c r="U20" s="165" t="str">
        <x:f>IF(AND(U$5&gt;=$C20,U$5&lt;=$D20,$A20&lt;&gt;""),"●","")</x:f>
      </x:c>
      <x:c r="V20" s="165" t="str">
        <x:f>IF(AND(V$5&gt;=$C20,V$5&lt;=$D20,$A20&lt;&gt;""),"●","")</x:f>
      </x:c>
      <x:c r="W20" s="165" t="str">
        <x:f>IF(AND(W$5&gt;=$C20,W$5&lt;=$D20,$A20&lt;&gt;""),"●","")</x:f>
      </x:c>
      <x:c r="X20" s="165" t="str">
        <x:f>IF(AND(X$5&gt;=$C20,X$5&lt;=$D20,$A20&lt;&gt;""),"●","")</x:f>
      </x:c>
      <x:c r="Y20" s="165" t="str">
        <x:f>IF(AND(Y$5&gt;=$C20,Y$5&lt;=$D20,$A20&lt;&gt;""),"●","")</x:f>
      </x:c>
      <x:c r="Z20" s="165" t="str">
        <x:f>IF(AND(Z$5&gt;=$C20,Z$5&lt;=$D20,$A20&lt;&gt;""),"●","")</x:f>
      </x:c>
      <x:c r="AA20" s="165" t="str">
        <x:f>IF(AND(AA$5&gt;=$C20,AA$5&lt;=$D20,$A20&lt;&gt;""),"●","")</x:f>
      </x:c>
      <x:c r="AB20" s="165" t="str">
        <x:f>IF(AND(AB$5&gt;=$C20,AB$5&lt;=$D20,$A20&lt;&gt;""),"●","")</x:f>
      </x:c>
      <x:c r="AC20" s="165" t="str">
        <x:f>IF(AND(AC$5&gt;=$C20,AC$5&lt;=$D20,$A20&lt;&gt;""),"●","")</x:f>
      </x:c>
      <x:c r="AD20" s="165" t="str">
        <x:f>IF(AND(AD$5&gt;=$C20,AD$5&lt;=$D20,$A20&lt;&gt;""),"●","")</x:f>
      </x:c>
      <x:c r="AE20" s="165" t="str">
        <x:f>IF(AND(AE$5&gt;=$C20,AE$5&lt;=$D20,$A20&lt;&gt;""),"●","")</x:f>
      </x:c>
      <x:c r="AF20" s="165" t="str">
        <x:f>IF(AND(AF$5&gt;=$C20,AF$5&lt;=$D20,$A20&lt;&gt;""),"●","")</x:f>
      </x:c>
      <x:c r="AG20" s="165" t="str">
        <x:f>IF(AND(AG$5&gt;=$C20,AG$5&lt;=$D20,$A20&lt;&gt;""),"●","")</x:f>
      </x:c>
      <x:c r="AH20" s="165" t="str">
        <x:f>IF(AND(AH$5&gt;=$C20,AH$5&lt;=$D20,$A20&lt;&gt;""),"●","")</x:f>
      </x:c>
      <x:c r="AI20" s="165" t="str">
        <x:f>IF(AND(AI$5&gt;=$C20,AI$5&lt;=$D20,$A20&lt;&gt;""),"●","")</x:f>
      </x:c>
      <x:c r="AJ20" s="165" t="str">
        <x:f>IF(AND(AJ$5&gt;=$C20,AJ$5&lt;=$D20,$A20&lt;&gt;""),"●","")</x:f>
      </x:c>
      <x:c r="AK20" s="165" t="str">
        <x:f>IF(AND(AK$5&gt;=$C20,AK$5&lt;=$D20,$A20&lt;&gt;""),"●","")</x:f>
      </x:c>
      <x:c r="AL20" s="165" t="str">
        <x:f>IF(AND(AL$5&gt;=$C20,AL$5&lt;=$D20,$A20&lt;&gt;""),"●","")</x:f>
      </x:c>
      <x:c r="AM20" s="165" t="str">
        <x:f>IF(AND(AM$5&gt;=$C20,AM$5&lt;=$D20,$A20&lt;&gt;""),"●","")</x:f>
      </x:c>
      <x:c r="AN20" s="165" t="str">
        <x:f>IF(AND(AN$5&gt;=$C20,AN$5&lt;=$D20,$A20&lt;&gt;""),"●","")</x:f>
      </x:c>
      <x:c r="AO20" s="165" t="str">
        <x:f>IF(AND(AO$5&gt;=$C20,AO$5&lt;=$D20,$A20&lt;&gt;""),"●","")</x:f>
      </x:c>
      <x:c r="AP20" s="165" t="str">
        <x:f>IF(AND(AP$5&gt;=$C20,AP$5&lt;=$D20,$A20&lt;&gt;""),"●","")</x:f>
      </x:c>
      <x:c r="AQ20" s="165" t="str">
        <x:f>IF(AND(AQ$5&gt;=$C20,AQ$5&lt;=$D20,$A20&lt;&gt;""),"●","")</x:f>
      </x:c>
      <x:c r="AR20" s="165" t="str">
        <x:f>IF(AND(AR$5&gt;=$C20,AR$5&lt;=$D20,$A20&lt;&gt;""),"●","")</x:f>
      </x:c>
      <x:c r="AS20" s="165" t="str">
        <x:f>IF(AND(AS$5&gt;=$C20,AS$5&lt;=$D20,$A20&lt;&gt;""),"●","")</x:f>
      </x:c>
      <x:c r="AT20" s="165" t="str">
        <x:f>IF(AND(AT$5&gt;=$C20,AT$5&lt;=$D20,$A20&lt;&gt;""),"●","")</x:f>
      </x:c>
      <x:c r="AU20" s="165" t="str">
        <x:f>IF(AND(AU$5&gt;=$C20,AU$5&lt;=$D20,$A20&lt;&gt;""),"●","")</x:f>
      </x:c>
      <x:c r="AV20" s="165" t="str">
        <x:f>IF(AND(AV$5&gt;=$C20,AV$5&lt;=$D20,$A20&lt;&gt;""),"●","")</x:f>
      </x:c>
      <x:c r="AW20" s="165" t="str">
        <x:f>IF(AND(AW$5&gt;=$C20,AW$5&lt;=$D20,$A20&lt;&gt;""),"●","")</x:f>
      </x:c>
      <x:c r="AX20" s="165" t="str">
        <x:f>IF(AND(AX$5&gt;=$C20,AX$5&lt;=$D20,$A20&lt;&gt;""),"●","")</x:f>
      </x:c>
      <x:c r="AY20" s="165" t="str">
        <x:f>IF(AND(AY$5&gt;=$C20,AY$5&lt;=$D20,$A20&lt;&gt;""),"●","")</x:f>
      </x:c>
      <x:c r="AZ20" s="165" t="str">
        <x:f>IF(AND(AZ$5&gt;=$C20,AZ$5&lt;=$D20,$A20&lt;&gt;""),"●","")</x:f>
      </x:c>
      <x:c r="BA20" s="165" t="str">
        <x:f>IF(AND(BA$5&gt;=$C20,BA$5&lt;=$D20,$A20&lt;&gt;""),"●","")</x:f>
      </x:c>
      <x:c r="BB20" s="165" t="str">
        <x:f>IF(AND(BB$5&gt;=$C20,BB$5&lt;=$D20,$A20&lt;&gt;""),"●","")</x:f>
      </x:c>
      <x:c r="BC20" s="165" t="str">
        <x:f>IF(AND(BC$5&gt;=$C20,BC$5&lt;=$D20,$A20&lt;&gt;""),"●","")</x:f>
      </x:c>
      <x:c r="BD20" s="165" t="str">
        <x:f>IF(AND(BD$5&gt;=$C20,BD$5&lt;=$D20,$A20&lt;&gt;""),"●","")</x:f>
      </x:c>
      <x:c r="BE20" s="165" t="str">
        <x:f>IF(AND(BE$5&gt;=$C20,BE$5&lt;=$D20,$A20&lt;&gt;""),"●","")</x:f>
      </x:c>
      <x:c r="BF20" s="165" t="str">
        <x:f>IF(AND(BF$5&gt;=$C20,BF$5&lt;=$D20,$A20&lt;&gt;""),"●","")</x:f>
      </x:c>
      <x:c r="BG20" s="165" t="str">
        <x:f>IF(AND(BG$5&gt;=$C20,BG$5&lt;=$D20,$A20&lt;&gt;""),"●","")</x:f>
      </x:c>
      <x:c r="BH20" s="165" t="str">
        <x:f>IF(AND(BH$5&gt;=$C20,BH$5&lt;=$D20,$A20&lt;&gt;""),"●","")</x:f>
      </x:c>
      <x:c r="BI20" s="165" t="str">
        <x:f>IF(AND(BI$5&gt;=$C20,BI$5&lt;=$D20,$A20&lt;&gt;""),"●","")</x:f>
      </x:c>
      <x:c r="BJ20" s="165" t="str">
        <x:f>IF(AND(BJ$5&gt;=$C20,BJ$5&lt;=$D20,$A20&lt;&gt;""),"●","")</x:f>
      </x:c>
      <x:c r="BK20" s="165" t="str">
        <x:f>IF(AND(BK$5&gt;=$C20,BK$5&lt;=$D20,$A20&lt;&gt;""),"●","")</x:f>
      </x:c>
      <x:c r="BL20" s="165" t="str">
        <x:f>IF(AND(BL$5&gt;=$C20,BL$5&lt;=$D20,$A20&lt;&gt;""),"●","")</x:f>
      </x:c>
      <x:c r="BM20" s="165" t="str">
        <x:f>IF(AND(BM$5&gt;=$C20,BM$5&lt;=$D20,$A20&lt;&gt;""),"●","")</x:f>
      </x:c>
      <x:c r="BN20" s="165" t="str">
        <x:f>IF(AND(BN$5&gt;=$C20,BN$5&lt;=$D20,$A20&lt;&gt;""),"●","")</x:f>
      </x:c>
      <x:c r="BO20" s="165" t="str">
        <x:f>IF(AND(BO$5&gt;=$C20,BO$5&lt;=$D20,$A20&lt;&gt;""),"●","")</x:f>
      </x:c>
      <x:c r="BP20" s="165" t="str">
        <x:f>IF(AND(BP$5&gt;=$C20,BP$5&lt;=$D20,$A20&lt;&gt;""),"●","")</x:f>
      </x:c>
      <x:c r="BQ20" s="165" t="str">
        <x:f>IF(AND(BQ$5&gt;=$C20,BQ$5&lt;=$D20,$A20&lt;&gt;""),"●","")</x:f>
      </x:c>
      <x:c r="BR20" s="165" t="str">
        <x:f>IF(AND(BR$5&gt;=$C20,BR$5&lt;=$D20,$A20&lt;&gt;""),"●","")</x:f>
      </x:c>
      <x:c r="BS20" s="165" t="str">
        <x:f>IF(AND(BS$5&gt;=$C20,BS$5&lt;=$D20,$A20&lt;&gt;""),"●","")</x:f>
      </x:c>
      <x:c r="BT20" s="165" t="str">
        <x:f>IF(AND(BT$5&gt;=$C20,BT$5&lt;=$D20,$A20&lt;&gt;""),"●","")</x:f>
      </x:c>
      <x:c r="BU20" s="165" t="str">
        <x:f>IF(AND(BU$5&gt;=$C20,BU$5&lt;=$D20,$A20&lt;&gt;""),"●","")</x:f>
      </x:c>
      <x:c r="BV20" s="165" t="str">
        <x:f>IF(AND(BV$5&gt;=$C20,BV$5&lt;=$D20,$A20&lt;&gt;""),"●","")</x:f>
      </x:c>
      <x:c r="BW20" s="165" t="str">
        <x:f>IF(AND(BW$5&gt;=$C20,BW$5&lt;=$D20,$A20&lt;&gt;""),"●","")</x:f>
      </x:c>
    </x:row>
    <x:row r="21">
      <x:c r="A21" s="159" t="str">
        <x:f>IF('รายการสัญญา'!A21="","",'รายการสัญญา'!A21)</x:f>
      </x:c>
      <x:c r="B21" s="159" t="str">
        <x:f>IF('รายการสัญญา'!A21="","",'รายการสัญญา'!C21)</x:f>
      </x:c>
      <x:c r="C21" s="162" t="str">
        <x:f>IF('รายการสัญญา'!A21="","",'รายการสัญญา'!E21)</x:f>
      </x:c>
      <x:c r="D21" s="162" t="str">
        <x:f>IF('รายการสัญญา'!A21="","",'รายการสัญญา'!G21)</x:f>
      </x:c>
      <x:c r="E21" s="159" t="str">
        <x:f>IF('รายการสัญญา'!A21="","",'รายการสัญญา'!K21)</x:f>
      </x:c>
      <x:c r="F21" s="165" t="str">
        <x:f>IF(AND(F$5&gt;=$C21,F$5&lt;=$D21,$A21&lt;&gt;""),"●","")</x:f>
      </x:c>
      <x:c r="G21" s="165" t="str">
        <x:f>IF(AND(G$5&gt;=$C21,G$5&lt;=$D21,$A21&lt;&gt;""),"●","")</x:f>
      </x:c>
      <x:c r="H21" s="165" t="str">
        <x:f>IF(AND(H$5&gt;=$C21,H$5&lt;=$D21,$A21&lt;&gt;""),"●","")</x:f>
      </x:c>
      <x:c r="I21" s="165" t="str">
        <x:f>IF(AND(I$5&gt;=$C21,I$5&lt;=$D21,$A21&lt;&gt;""),"●","")</x:f>
      </x:c>
      <x:c r="J21" s="165" t="str">
        <x:f>IF(AND(J$5&gt;=$C21,J$5&lt;=$D21,$A21&lt;&gt;""),"●","")</x:f>
      </x:c>
      <x:c r="K21" s="165" t="str">
        <x:f>IF(AND(K$5&gt;=$C21,K$5&lt;=$D21,$A21&lt;&gt;""),"●","")</x:f>
      </x:c>
      <x:c r="L21" s="165" t="str">
        <x:f>IF(AND(L$5&gt;=$C21,L$5&lt;=$D21,$A21&lt;&gt;""),"●","")</x:f>
      </x:c>
      <x:c r="M21" s="165" t="str">
        <x:f>IF(AND(M$5&gt;=$C21,M$5&lt;=$D21,$A21&lt;&gt;""),"●","")</x:f>
      </x:c>
      <x:c r="N21" s="165" t="str">
        <x:f>IF(AND(N$5&gt;=$C21,N$5&lt;=$D21,$A21&lt;&gt;""),"●","")</x:f>
      </x:c>
      <x:c r="O21" s="165" t="str">
        <x:f>IF(AND(O$5&gt;=$C21,O$5&lt;=$D21,$A21&lt;&gt;""),"●","")</x:f>
      </x:c>
      <x:c r="P21" s="165" t="str">
        <x:f>IF(AND(P$5&gt;=$C21,P$5&lt;=$D21,$A21&lt;&gt;""),"●","")</x:f>
      </x:c>
      <x:c r="Q21" s="165" t="str">
        <x:f>IF(AND(Q$5&gt;=$C21,Q$5&lt;=$D21,$A21&lt;&gt;""),"●","")</x:f>
      </x:c>
      <x:c r="R21" s="165" t="str">
        <x:f>IF(AND(R$5&gt;=$C21,R$5&lt;=$D21,$A21&lt;&gt;""),"●","")</x:f>
      </x:c>
      <x:c r="S21" s="165" t="str">
        <x:f>IF(AND(S$5&gt;=$C21,S$5&lt;=$D21,$A21&lt;&gt;""),"●","")</x:f>
      </x:c>
      <x:c r="T21" s="165" t="str">
        <x:f>IF(AND(T$5&gt;=$C21,T$5&lt;=$D21,$A21&lt;&gt;""),"●","")</x:f>
      </x:c>
      <x:c r="U21" s="165" t="str">
        <x:f>IF(AND(U$5&gt;=$C21,U$5&lt;=$D21,$A21&lt;&gt;""),"●","")</x:f>
      </x:c>
      <x:c r="V21" s="165" t="str">
        <x:f>IF(AND(V$5&gt;=$C21,V$5&lt;=$D21,$A21&lt;&gt;""),"●","")</x:f>
      </x:c>
      <x:c r="W21" s="165" t="str">
        <x:f>IF(AND(W$5&gt;=$C21,W$5&lt;=$D21,$A21&lt;&gt;""),"●","")</x:f>
      </x:c>
      <x:c r="X21" s="165" t="str">
        <x:f>IF(AND(X$5&gt;=$C21,X$5&lt;=$D21,$A21&lt;&gt;""),"●","")</x:f>
      </x:c>
      <x:c r="Y21" s="165" t="str">
        <x:f>IF(AND(Y$5&gt;=$C21,Y$5&lt;=$D21,$A21&lt;&gt;""),"●","")</x:f>
      </x:c>
      <x:c r="Z21" s="165" t="str">
        <x:f>IF(AND(Z$5&gt;=$C21,Z$5&lt;=$D21,$A21&lt;&gt;""),"●","")</x:f>
      </x:c>
      <x:c r="AA21" s="165" t="str">
        <x:f>IF(AND(AA$5&gt;=$C21,AA$5&lt;=$D21,$A21&lt;&gt;""),"●","")</x:f>
      </x:c>
      <x:c r="AB21" s="165" t="str">
        <x:f>IF(AND(AB$5&gt;=$C21,AB$5&lt;=$D21,$A21&lt;&gt;""),"●","")</x:f>
      </x:c>
      <x:c r="AC21" s="165" t="str">
        <x:f>IF(AND(AC$5&gt;=$C21,AC$5&lt;=$D21,$A21&lt;&gt;""),"●","")</x:f>
      </x:c>
      <x:c r="AD21" s="165" t="str">
        <x:f>IF(AND(AD$5&gt;=$C21,AD$5&lt;=$D21,$A21&lt;&gt;""),"●","")</x:f>
      </x:c>
      <x:c r="AE21" s="165" t="str">
        <x:f>IF(AND(AE$5&gt;=$C21,AE$5&lt;=$D21,$A21&lt;&gt;""),"●","")</x:f>
      </x:c>
      <x:c r="AF21" s="165" t="str">
        <x:f>IF(AND(AF$5&gt;=$C21,AF$5&lt;=$D21,$A21&lt;&gt;""),"●","")</x:f>
      </x:c>
      <x:c r="AG21" s="165" t="str">
        <x:f>IF(AND(AG$5&gt;=$C21,AG$5&lt;=$D21,$A21&lt;&gt;""),"●","")</x:f>
      </x:c>
      <x:c r="AH21" s="165" t="str">
        <x:f>IF(AND(AH$5&gt;=$C21,AH$5&lt;=$D21,$A21&lt;&gt;""),"●","")</x:f>
      </x:c>
      <x:c r="AI21" s="165" t="str">
        <x:f>IF(AND(AI$5&gt;=$C21,AI$5&lt;=$D21,$A21&lt;&gt;""),"●","")</x:f>
      </x:c>
      <x:c r="AJ21" s="165" t="str">
        <x:f>IF(AND(AJ$5&gt;=$C21,AJ$5&lt;=$D21,$A21&lt;&gt;""),"●","")</x:f>
      </x:c>
      <x:c r="AK21" s="165" t="str">
        <x:f>IF(AND(AK$5&gt;=$C21,AK$5&lt;=$D21,$A21&lt;&gt;""),"●","")</x:f>
      </x:c>
      <x:c r="AL21" s="165" t="str">
        <x:f>IF(AND(AL$5&gt;=$C21,AL$5&lt;=$D21,$A21&lt;&gt;""),"●","")</x:f>
      </x:c>
      <x:c r="AM21" s="165" t="str">
        <x:f>IF(AND(AM$5&gt;=$C21,AM$5&lt;=$D21,$A21&lt;&gt;""),"●","")</x:f>
      </x:c>
      <x:c r="AN21" s="165" t="str">
        <x:f>IF(AND(AN$5&gt;=$C21,AN$5&lt;=$D21,$A21&lt;&gt;""),"●","")</x:f>
      </x:c>
      <x:c r="AO21" s="165" t="str">
        <x:f>IF(AND(AO$5&gt;=$C21,AO$5&lt;=$D21,$A21&lt;&gt;""),"●","")</x:f>
      </x:c>
      <x:c r="AP21" s="165" t="str">
        <x:f>IF(AND(AP$5&gt;=$C21,AP$5&lt;=$D21,$A21&lt;&gt;""),"●","")</x:f>
      </x:c>
      <x:c r="AQ21" s="165" t="str">
        <x:f>IF(AND(AQ$5&gt;=$C21,AQ$5&lt;=$D21,$A21&lt;&gt;""),"●","")</x:f>
      </x:c>
      <x:c r="AR21" s="165" t="str">
        <x:f>IF(AND(AR$5&gt;=$C21,AR$5&lt;=$D21,$A21&lt;&gt;""),"●","")</x:f>
      </x:c>
      <x:c r="AS21" s="165" t="str">
        <x:f>IF(AND(AS$5&gt;=$C21,AS$5&lt;=$D21,$A21&lt;&gt;""),"●","")</x:f>
      </x:c>
      <x:c r="AT21" s="165" t="str">
        <x:f>IF(AND(AT$5&gt;=$C21,AT$5&lt;=$D21,$A21&lt;&gt;""),"●","")</x:f>
      </x:c>
      <x:c r="AU21" s="165" t="str">
        <x:f>IF(AND(AU$5&gt;=$C21,AU$5&lt;=$D21,$A21&lt;&gt;""),"●","")</x:f>
      </x:c>
      <x:c r="AV21" s="165" t="str">
        <x:f>IF(AND(AV$5&gt;=$C21,AV$5&lt;=$D21,$A21&lt;&gt;""),"●","")</x:f>
      </x:c>
      <x:c r="AW21" s="165" t="str">
        <x:f>IF(AND(AW$5&gt;=$C21,AW$5&lt;=$D21,$A21&lt;&gt;""),"●","")</x:f>
      </x:c>
      <x:c r="AX21" s="165" t="str">
        <x:f>IF(AND(AX$5&gt;=$C21,AX$5&lt;=$D21,$A21&lt;&gt;""),"●","")</x:f>
      </x:c>
      <x:c r="AY21" s="165" t="str">
        <x:f>IF(AND(AY$5&gt;=$C21,AY$5&lt;=$D21,$A21&lt;&gt;""),"●","")</x:f>
      </x:c>
      <x:c r="AZ21" s="165" t="str">
        <x:f>IF(AND(AZ$5&gt;=$C21,AZ$5&lt;=$D21,$A21&lt;&gt;""),"●","")</x:f>
      </x:c>
      <x:c r="BA21" s="165" t="str">
        <x:f>IF(AND(BA$5&gt;=$C21,BA$5&lt;=$D21,$A21&lt;&gt;""),"●","")</x:f>
      </x:c>
      <x:c r="BB21" s="165" t="str">
        <x:f>IF(AND(BB$5&gt;=$C21,BB$5&lt;=$D21,$A21&lt;&gt;""),"●","")</x:f>
      </x:c>
      <x:c r="BC21" s="165" t="str">
        <x:f>IF(AND(BC$5&gt;=$C21,BC$5&lt;=$D21,$A21&lt;&gt;""),"●","")</x:f>
      </x:c>
      <x:c r="BD21" s="165" t="str">
        <x:f>IF(AND(BD$5&gt;=$C21,BD$5&lt;=$D21,$A21&lt;&gt;""),"●","")</x:f>
      </x:c>
      <x:c r="BE21" s="165" t="str">
        <x:f>IF(AND(BE$5&gt;=$C21,BE$5&lt;=$D21,$A21&lt;&gt;""),"●","")</x:f>
      </x:c>
      <x:c r="BF21" s="165" t="str">
        <x:f>IF(AND(BF$5&gt;=$C21,BF$5&lt;=$D21,$A21&lt;&gt;""),"●","")</x:f>
      </x:c>
      <x:c r="BG21" s="165" t="str">
        <x:f>IF(AND(BG$5&gt;=$C21,BG$5&lt;=$D21,$A21&lt;&gt;""),"●","")</x:f>
      </x:c>
      <x:c r="BH21" s="165" t="str">
        <x:f>IF(AND(BH$5&gt;=$C21,BH$5&lt;=$D21,$A21&lt;&gt;""),"●","")</x:f>
      </x:c>
      <x:c r="BI21" s="165" t="str">
        <x:f>IF(AND(BI$5&gt;=$C21,BI$5&lt;=$D21,$A21&lt;&gt;""),"●","")</x:f>
      </x:c>
      <x:c r="BJ21" s="165" t="str">
        <x:f>IF(AND(BJ$5&gt;=$C21,BJ$5&lt;=$D21,$A21&lt;&gt;""),"●","")</x:f>
      </x:c>
      <x:c r="BK21" s="165" t="str">
        <x:f>IF(AND(BK$5&gt;=$C21,BK$5&lt;=$D21,$A21&lt;&gt;""),"●","")</x:f>
      </x:c>
      <x:c r="BL21" s="165" t="str">
        <x:f>IF(AND(BL$5&gt;=$C21,BL$5&lt;=$D21,$A21&lt;&gt;""),"●","")</x:f>
      </x:c>
      <x:c r="BM21" s="165" t="str">
        <x:f>IF(AND(BM$5&gt;=$C21,BM$5&lt;=$D21,$A21&lt;&gt;""),"●","")</x:f>
      </x:c>
      <x:c r="BN21" s="165" t="str">
        <x:f>IF(AND(BN$5&gt;=$C21,BN$5&lt;=$D21,$A21&lt;&gt;""),"●","")</x:f>
      </x:c>
      <x:c r="BO21" s="165" t="str">
        <x:f>IF(AND(BO$5&gt;=$C21,BO$5&lt;=$D21,$A21&lt;&gt;""),"●","")</x:f>
      </x:c>
      <x:c r="BP21" s="165" t="str">
        <x:f>IF(AND(BP$5&gt;=$C21,BP$5&lt;=$D21,$A21&lt;&gt;""),"●","")</x:f>
      </x:c>
      <x:c r="BQ21" s="165" t="str">
        <x:f>IF(AND(BQ$5&gt;=$C21,BQ$5&lt;=$D21,$A21&lt;&gt;""),"●","")</x:f>
      </x:c>
      <x:c r="BR21" s="165" t="str">
        <x:f>IF(AND(BR$5&gt;=$C21,BR$5&lt;=$D21,$A21&lt;&gt;""),"●","")</x:f>
      </x:c>
      <x:c r="BS21" s="165" t="str">
        <x:f>IF(AND(BS$5&gt;=$C21,BS$5&lt;=$D21,$A21&lt;&gt;""),"●","")</x:f>
      </x:c>
      <x:c r="BT21" s="165" t="str">
        <x:f>IF(AND(BT$5&gt;=$C21,BT$5&lt;=$D21,$A21&lt;&gt;""),"●","")</x:f>
      </x:c>
      <x:c r="BU21" s="165" t="str">
        <x:f>IF(AND(BU$5&gt;=$C21,BU$5&lt;=$D21,$A21&lt;&gt;""),"●","")</x:f>
      </x:c>
      <x:c r="BV21" s="165" t="str">
        <x:f>IF(AND(BV$5&gt;=$C21,BV$5&lt;=$D21,$A21&lt;&gt;""),"●","")</x:f>
      </x:c>
      <x:c r="BW21" s="165" t="str">
        <x:f>IF(AND(BW$5&gt;=$C21,BW$5&lt;=$D21,$A21&lt;&gt;""),"●","")</x:f>
      </x:c>
    </x:row>
    <x:row r="22">
      <x:c r="A22" s="159" t="str">
        <x:f>IF('รายการสัญญา'!A22="","",'รายการสัญญา'!A22)</x:f>
      </x:c>
      <x:c r="B22" s="159" t="str">
        <x:f>IF('รายการสัญญา'!A22="","",'รายการสัญญา'!C22)</x:f>
      </x:c>
      <x:c r="C22" s="162" t="str">
        <x:f>IF('รายการสัญญา'!A22="","",'รายการสัญญา'!E22)</x:f>
      </x:c>
      <x:c r="D22" s="162" t="str">
        <x:f>IF('รายการสัญญา'!A22="","",'รายการสัญญา'!G22)</x:f>
      </x:c>
      <x:c r="E22" s="159" t="str">
        <x:f>IF('รายการสัญญา'!A22="","",'รายการสัญญา'!K22)</x:f>
      </x:c>
      <x:c r="F22" s="165" t="str">
        <x:f>IF(AND(F$5&gt;=$C22,F$5&lt;=$D22,$A22&lt;&gt;""),"●","")</x:f>
      </x:c>
      <x:c r="G22" s="165" t="str">
        <x:f>IF(AND(G$5&gt;=$C22,G$5&lt;=$D22,$A22&lt;&gt;""),"●","")</x:f>
      </x:c>
      <x:c r="H22" s="165" t="str">
        <x:f>IF(AND(H$5&gt;=$C22,H$5&lt;=$D22,$A22&lt;&gt;""),"●","")</x:f>
      </x:c>
      <x:c r="I22" s="165" t="str">
        <x:f>IF(AND(I$5&gt;=$C22,I$5&lt;=$D22,$A22&lt;&gt;""),"●","")</x:f>
      </x:c>
      <x:c r="J22" s="165" t="str">
        <x:f>IF(AND(J$5&gt;=$C22,J$5&lt;=$D22,$A22&lt;&gt;""),"●","")</x:f>
      </x:c>
      <x:c r="K22" s="165" t="str">
        <x:f>IF(AND(K$5&gt;=$C22,K$5&lt;=$D22,$A22&lt;&gt;""),"●","")</x:f>
      </x:c>
      <x:c r="L22" s="165" t="str">
        <x:f>IF(AND(L$5&gt;=$C22,L$5&lt;=$D22,$A22&lt;&gt;""),"●","")</x:f>
      </x:c>
      <x:c r="M22" s="165" t="str">
        <x:f>IF(AND(M$5&gt;=$C22,M$5&lt;=$D22,$A22&lt;&gt;""),"●","")</x:f>
      </x:c>
      <x:c r="N22" s="165" t="str">
        <x:f>IF(AND(N$5&gt;=$C22,N$5&lt;=$D22,$A22&lt;&gt;""),"●","")</x:f>
      </x:c>
      <x:c r="O22" s="165" t="str">
        <x:f>IF(AND(O$5&gt;=$C22,O$5&lt;=$D22,$A22&lt;&gt;""),"●","")</x:f>
      </x:c>
      <x:c r="P22" s="165" t="str">
        <x:f>IF(AND(P$5&gt;=$C22,P$5&lt;=$D22,$A22&lt;&gt;""),"●","")</x:f>
      </x:c>
      <x:c r="Q22" s="165" t="str">
        <x:f>IF(AND(Q$5&gt;=$C22,Q$5&lt;=$D22,$A22&lt;&gt;""),"●","")</x:f>
      </x:c>
      <x:c r="R22" s="165" t="str">
        <x:f>IF(AND(R$5&gt;=$C22,R$5&lt;=$D22,$A22&lt;&gt;""),"●","")</x:f>
      </x:c>
      <x:c r="S22" s="165" t="str">
        <x:f>IF(AND(S$5&gt;=$C22,S$5&lt;=$D22,$A22&lt;&gt;""),"●","")</x:f>
      </x:c>
      <x:c r="T22" s="165" t="str">
        <x:f>IF(AND(T$5&gt;=$C22,T$5&lt;=$D22,$A22&lt;&gt;""),"●","")</x:f>
      </x:c>
      <x:c r="U22" s="165" t="str">
        <x:f>IF(AND(U$5&gt;=$C22,U$5&lt;=$D22,$A22&lt;&gt;""),"●","")</x:f>
      </x:c>
      <x:c r="V22" s="165" t="str">
        <x:f>IF(AND(V$5&gt;=$C22,V$5&lt;=$D22,$A22&lt;&gt;""),"●","")</x:f>
      </x:c>
      <x:c r="W22" s="165" t="str">
        <x:f>IF(AND(W$5&gt;=$C22,W$5&lt;=$D22,$A22&lt;&gt;""),"●","")</x:f>
      </x:c>
      <x:c r="X22" s="165" t="str">
        <x:f>IF(AND(X$5&gt;=$C22,X$5&lt;=$D22,$A22&lt;&gt;""),"●","")</x:f>
      </x:c>
      <x:c r="Y22" s="165" t="str">
        <x:f>IF(AND(Y$5&gt;=$C22,Y$5&lt;=$D22,$A22&lt;&gt;""),"●","")</x:f>
      </x:c>
      <x:c r="Z22" s="165" t="str">
        <x:f>IF(AND(Z$5&gt;=$C22,Z$5&lt;=$D22,$A22&lt;&gt;""),"●","")</x:f>
      </x:c>
      <x:c r="AA22" s="165" t="str">
        <x:f>IF(AND(AA$5&gt;=$C22,AA$5&lt;=$D22,$A22&lt;&gt;""),"●","")</x:f>
      </x:c>
      <x:c r="AB22" s="165" t="str">
        <x:f>IF(AND(AB$5&gt;=$C22,AB$5&lt;=$D22,$A22&lt;&gt;""),"●","")</x:f>
      </x:c>
      <x:c r="AC22" s="165" t="str">
        <x:f>IF(AND(AC$5&gt;=$C22,AC$5&lt;=$D22,$A22&lt;&gt;""),"●","")</x:f>
      </x:c>
      <x:c r="AD22" s="165" t="str">
        <x:f>IF(AND(AD$5&gt;=$C22,AD$5&lt;=$D22,$A22&lt;&gt;""),"●","")</x:f>
      </x:c>
      <x:c r="AE22" s="165" t="str">
        <x:f>IF(AND(AE$5&gt;=$C22,AE$5&lt;=$D22,$A22&lt;&gt;""),"●","")</x:f>
      </x:c>
      <x:c r="AF22" s="165" t="str">
        <x:f>IF(AND(AF$5&gt;=$C22,AF$5&lt;=$D22,$A22&lt;&gt;""),"●","")</x:f>
      </x:c>
      <x:c r="AG22" s="165" t="str">
        <x:f>IF(AND(AG$5&gt;=$C22,AG$5&lt;=$D22,$A22&lt;&gt;""),"●","")</x:f>
      </x:c>
      <x:c r="AH22" s="165" t="str">
        <x:f>IF(AND(AH$5&gt;=$C22,AH$5&lt;=$D22,$A22&lt;&gt;""),"●","")</x:f>
      </x:c>
      <x:c r="AI22" s="165" t="str">
        <x:f>IF(AND(AI$5&gt;=$C22,AI$5&lt;=$D22,$A22&lt;&gt;""),"●","")</x:f>
      </x:c>
      <x:c r="AJ22" s="165" t="str">
        <x:f>IF(AND(AJ$5&gt;=$C22,AJ$5&lt;=$D22,$A22&lt;&gt;""),"●","")</x:f>
      </x:c>
      <x:c r="AK22" s="165" t="str">
        <x:f>IF(AND(AK$5&gt;=$C22,AK$5&lt;=$D22,$A22&lt;&gt;""),"●","")</x:f>
      </x:c>
      <x:c r="AL22" s="165" t="str">
        <x:f>IF(AND(AL$5&gt;=$C22,AL$5&lt;=$D22,$A22&lt;&gt;""),"●","")</x:f>
      </x:c>
      <x:c r="AM22" s="165" t="str">
        <x:f>IF(AND(AM$5&gt;=$C22,AM$5&lt;=$D22,$A22&lt;&gt;""),"●","")</x:f>
      </x:c>
      <x:c r="AN22" s="165" t="str">
        <x:f>IF(AND(AN$5&gt;=$C22,AN$5&lt;=$D22,$A22&lt;&gt;""),"●","")</x:f>
      </x:c>
      <x:c r="AO22" s="165" t="str">
        <x:f>IF(AND(AO$5&gt;=$C22,AO$5&lt;=$D22,$A22&lt;&gt;""),"●","")</x:f>
      </x:c>
      <x:c r="AP22" s="165" t="str">
        <x:f>IF(AND(AP$5&gt;=$C22,AP$5&lt;=$D22,$A22&lt;&gt;""),"●","")</x:f>
      </x:c>
      <x:c r="AQ22" s="165" t="str">
        <x:f>IF(AND(AQ$5&gt;=$C22,AQ$5&lt;=$D22,$A22&lt;&gt;""),"●","")</x:f>
      </x:c>
      <x:c r="AR22" s="165" t="str">
        <x:f>IF(AND(AR$5&gt;=$C22,AR$5&lt;=$D22,$A22&lt;&gt;""),"●","")</x:f>
      </x:c>
      <x:c r="AS22" s="165" t="str">
        <x:f>IF(AND(AS$5&gt;=$C22,AS$5&lt;=$D22,$A22&lt;&gt;""),"●","")</x:f>
      </x:c>
      <x:c r="AT22" s="165" t="str">
        <x:f>IF(AND(AT$5&gt;=$C22,AT$5&lt;=$D22,$A22&lt;&gt;""),"●","")</x:f>
      </x:c>
      <x:c r="AU22" s="165" t="str">
        <x:f>IF(AND(AU$5&gt;=$C22,AU$5&lt;=$D22,$A22&lt;&gt;""),"●","")</x:f>
      </x:c>
      <x:c r="AV22" s="165" t="str">
        <x:f>IF(AND(AV$5&gt;=$C22,AV$5&lt;=$D22,$A22&lt;&gt;""),"●","")</x:f>
      </x:c>
      <x:c r="AW22" s="165" t="str">
        <x:f>IF(AND(AW$5&gt;=$C22,AW$5&lt;=$D22,$A22&lt;&gt;""),"●","")</x:f>
      </x:c>
      <x:c r="AX22" s="165" t="str">
        <x:f>IF(AND(AX$5&gt;=$C22,AX$5&lt;=$D22,$A22&lt;&gt;""),"●","")</x:f>
      </x:c>
      <x:c r="AY22" s="165" t="str">
        <x:f>IF(AND(AY$5&gt;=$C22,AY$5&lt;=$D22,$A22&lt;&gt;""),"●","")</x:f>
      </x:c>
      <x:c r="AZ22" s="165" t="str">
        <x:f>IF(AND(AZ$5&gt;=$C22,AZ$5&lt;=$D22,$A22&lt;&gt;""),"●","")</x:f>
      </x:c>
      <x:c r="BA22" s="165" t="str">
        <x:f>IF(AND(BA$5&gt;=$C22,BA$5&lt;=$D22,$A22&lt;&gt;""),"●","")</x:f>
      </x:c>
      <x:c r="BB22" s="165" t="str">
        <x:f>IF(AND(BB$5&gt;=$C22,BB$5&lt;=$D22,$A22&lt;&gt;""),"●","")</x:f>
      </x:c>
      <x:c r="BC22" s="165" t="str">
        <x:f>IF(AND(BC$5&gt;=$C22,BC$5&lt;=$D22,$A22&lt;&gt;""),"●","")</x:f>
      </x:c>
      <x:c r="BD22" s="165" t="str">
        <x:f>IF(AND(BD$5&gt;=$C22,BD$5&lt;=$D22,$A22&lt;&gt;""),"●","")</x:f>
      </x:c>
      <x:c r="BE22" s="165" t="str">
        <x:f>IF(AND(BE$5&gt;=$C22,BE$5&lt;=$D22,$A22&lt;&gt;""),"●","")</x:f>
      </x:c>
      <x:c r="BF22" s="165" t="str">
        <x:f>IF(AND(BF$5&gt;=$C22,BF$5&lt;=$D22,$A22&lt;&gt;""),"●","")</x:f>
      </x:c>
      <x:c r="BG22" s="165" t="str">
        <x:f>IF(AND(BG$5&gt;=$C22,BG$5&lt;=$D22,$A22&lt;&gt;""),"●","")</x:f>
      </x:c>
      <x:c r="BH22" s="165" t="str">
        <x:f>IF(AND(BH$5&gt;=$C22,BH$5&lt;=$D22,$A22&lt;&gt;""),"●","")</x:f>
      </x:c>
      <x:c r="BI22" s="165" t="str">
        <x:f>IF(AND(BI$5&gt;=$C22,BI$5&lt;=$D22,$A22&lt;&gt;""),"●","")</x:f>
      </x:c>
      <x:c r="BJ22" s="165" t="str">
        <x:f>IF(AND(BJ$5&gt;=$C22,BJ$5&lt;=$D22,$A22&lt;&gt;""),"●","")</x:f>
      </x:c>
      <x:c r="BK22" s="165" t="str">
        <x:f>IF(AND(BK$5&gt;=$C22,BK$5&lt;=$D22,$A22&lt;&gt;""),"●","")</x:f>
      </x:c>
      <x:c r="BL22" s="165" t="str">
        <x:f>IF(AND(BL$5&gt;=$C22,BL$5&lt;=$D22,$A22&lt;&gt;""),"●","")</x:f>
      </x:c>
      <x:c r="BM22" s="165" t="str">
        <x:f>IF(AND(BM$5&gt;=$C22,BM$5&lt;=$D22,$A22&lt;&gt;""),"●","")</x:f>
      </x:c>
      <x:c r="BN22" s="165" t="str">
        <x:f>IF(AND(BN$5&gt;=$C22,BN$5&lt;=$D22,$A22&lt;&gt;""),"●","")</x:f>
      </x:c>
      <x:c r="BO22" s="165" t="str">
        <x:f>IF(AND(BO$5&gt;=$C22,BO$5&lt;=$D22,$A22&lt;&gt;""),"●","")</x:f>
      </x:c>
      <x:c r="BP22" s="165" t="str">
        <x:f>IF(AND(BP$5&gt;=$C22,BP$5&lt;=$D22,$A22&lt;&gt;""),"●","")</x:f>
      </x:c>
      <x:c r="BQ22" s="165" t="str">
        <x:f>IF(AND(BQ$5&gt;=$C22,BQ$5&lt;=$D22,$A22&lt;&gt;""),"●","")</x:f>
      </x:c>
      <x:c r="BR22" s="165" t="str">
        <x:f>IF(AND(BR$5&gt;=$C22,BR$5&lt;=$D22,$A22&lt;&gt;""),"●","")</x:f>
      </x:c>
      <x:c r="BS22" s="165" t="str">
        <x:f>IF(AND(BS$5&gt;=$C22,BS$5&lt;=$D22,$A22&lt;&gt;""),"●","")</x:f>
      </x:c>
      <x:c r="BT22" s="165" t="str">
        <x:f>IF(AND(BT$5&gt;=$C22,BT$5&lt;=$D22,$A22&lt;&gt;""),"●","")</x:f>
      </x:c>
      <x:c r="BU22" s="165" t="str">
        <x:f>IF(AND(BU$5&gt;=$C22,BU$5&lt;=$D22,$A22&lt;&gt;""),"●","")</x:f>
      </x:c>
      <x:c r="BV22" s="165" t="str">
        <x:f>IF(AND(BV$5&gt;=$C22,BV$5&lt;=$D22,$A22&lt;&gt;""),"●","")</x:f>
      </x:c>
      <x:c r="BW22" s="165" t="str">
        <x:f>IF(AND(BW$5&gt;=$C22,BW$5&lt;=$D22,$A22&lt;&gt;""),"●","")</x:f>
      </x:c>
    </x:row>
    <x:row r="23">
      <x:c r="A23" s="159" t="str">
        <x:f>IF('รายการสัญญา'!A23="","",'รายการสัญญา'!A23)</x:f>
      </x:c>
      <x:c r="B23" s="159" t="str">
        <x:f>IF('รายการสัญญา'!A23="","",'รายการสัญญา'!C23)</x:f>
      </x:c>
      <x:c r="C23" s="162" t="str">
        <x:f>IF('รายการสัญญา'!A23="","",'รายการสัญญา'!E23)</x:f>
      </x:c>
      <x:c r="D23" s="162" t="str">
        <x:f>IF('รายการสัญญา'!A23="","",'รายการสัญญา'!G23)</x:f>
      </x:c>
      <x:c r="E23" s="159" t="str">
        <x:f>IF('รายการสัญญา'!A23="","",'รายการสัญญา'!K23)</x:f>
      </x:c>
      <x:c r="F23" s="165" t="str">
        <x:f>IF(AND(F$5&gt;=$C23,F$5&lt;=$D23,$A23&lt;&gt;""),"●","")</x:f>
      </x:c>
      <x:c r="G23" s="165" t="str">
        <x:f>IF(AND(G$5&gt;=$C23,G$5&lt;=$D23,$A23&lt;&gt;""),"●","")</x:f>
      </x:c>
      <x:c r="H23" s="165" t="str">
        <x:f>IF(AND(H$5&gt;=$C23,H$5&lt;=$D23,$A23&lt;&gt;""),"●","")</x:f>
      </x:c>
      <x:c r="I23" s="165" t="str">
        <x:f>IF(AND(I$5&gt;=$C23,I$5&lt;=$D23,$A23&lt;&gt;""),"●","")</x:f>
      </x:c>
      <x:c r="J23" s="165" t="str">
        <x:f>IF(AND(J$5&gt;=$C23,J$5&lt;=$D23,$A23&lt;&gt;""),"●","")</x:f>
      </x:c>
      <x:c r="K23" s="165" t="str">
        <x:f>IF(AND(K$5&gt;=$C23,K$5&lt;=$D23,$A23&lt;&gt;""),"●","")</x:f>
      </x:c>
      <x:c r="L23" s="165" t="str">
        <x:f>IF(AND(L$5&gt;=$C23,L$5&lt;=$D23,$A23&lt;&gt;""),"●","")</x:f>
      </x:c>
      <x:c r="M23" s="165" t="str">
        <x:f>IF(AND(M$5&gt;=$C23,M$5&lt;=$D23,$A23&lt;&gt;""),"●","")</x:f>
      </x:c>
      <x:c r="N23" s="165" t="str">
        <x:f>IF(AND(N$5&gt;=$C23,N$5&lt;=$D23,$A23&lt;&gt;""),"●","")</x:f>
      </x:c>
      <x:c r="O23" s="165" t="str">
        <x:f>IF(AND(O$5&gt;=$C23,O$5&lt;=$D23,$A23&lt;&gt;""),"●","")</x:f>
      </x:c>
      <x:c r="P23" s="165" t="str">
        <x:f>IF(AND(P$5&gt;=$C23,P$5&lt;=$D23,$A23&lt;&gt;""),"●","")</x:f>
      </x:c>
      <x:c r="Q23" s="165" t="str">
        <x:f>IF(AND(Q$5&gt;=$C23,Q$5&lt;=$D23,$A23&lt;&gt;""),"●","")</x:f>
      </x:c>
      <x:c r="R23" s="165" t="str">
        <x:f>IF(AND(R$5&gt;=$C23,R$5&lt;=$D23,$A23&lt;&gt;""),"●","")</x:f>
      </x:c>
      <x:c r="S23" s="165" t="str">
        <x:f>IF(AND(S$5&gt;=$C23,S$5&lt;=$D23,$A23&lt;&gt;""),"●","")</x:f>
      </x:c>
      <x:c r="T23" s="165" t="str">
        <x:f>IF(AND(T$5&gt;=$C23,T$5&lt;=$D23,$A23&lt;&gt;""),"●","")</x:f>
      </x:c>
      <x:c r="U23" s="165" t="str">
        <x:f>IF(AND(U$5&gt;=$C23,U$5&lt;=$D23,$A23&lt;&gt;""),"●","")</x:f>
      </x:c>
      <x:c r="V23" s="165" t="str">
        <x:f>IF(AND(V$5&gt;=$C23,V$5&lt;=$D23,$A23&lt;&gt;""),"●","")</x:f>
      </x:c>
      <x:c r="W23" s="165" t="str">
        <x:f>IF(AND(W$5&gt;=$C23,W$5&lt;=$D23,$A23&lt;&gt;""),"●","")</x:f>
      </x:c>
      <x:c r="X23" s="165" t="str">
        <x:f>IF(AND(X$5&gt;=$C23,X$5&lt;=$D23,$A23&lt;&gt;""),"●","")</x:f>
      </x:c>
      <x:c r="Y23" s="165" t="str">
        <x:f>IF(AND(Y$5&gt;=$C23,Y$5&lt;=$D23,$A23&lt;&gt;""),"●","")</x:f>
      </x:c>
      <x:c r="Z23" s="165" t="str">
        <x:f>IF(AND(Z$5&gt;=$C23,Z$5&lt;=$D23,$A23&lt;&gt;""),"●","")</x:f>
      </x:c>
      <x:c r="AA23" s="165" t="str">
        <x:f>IF(AND(AA$5&gt;=$C23,AA$5&lt;=$D23,$A23&lt;&gt;""),"●","")</x:f>
      </x:c>
      <x:c r="AB23" s="165" t="str">
        <x:f>IF(AND(AB$5&gt;=$C23,AB$5&lt;=$D23,$A23&lt;&gt;""),"●","")</x:f>
      </x:c>
      <x:c r="AC23" s="165" t="str">
        <x:f>IF(AND(AC$5&gt;=$C23,AC$5&lt;=$D23,$A23&lt;&gt;""),"●","")</x:f>
      </x:c>
      <x:c r="AD23" s="165" t="str">
        <x:f>IF(AND(AD$5&gt;=$C23,AD$5&lt;=$D23,$A23&lt;&gt;""),"●","")</x:f>
      </x:c>
      <x:c r="AE23" s="165" t="str">
        <x:f>IF(AND(AE$5&gt;=$C23,AE$5&lt;=$D23,$A23&lt;&gt;""),"●","")</x:f>
      </x:c>
      <x:c r="AF23" s="165" t="str">
        <x:f>IF(AND(AF$5&gt;=$C23,AF$5&lt;=$D23,$A23&lt;&gt;""),"●","")</x:f>
      </x:c>
      <x:c r="AG23" s="165" t="str">
        <x:f>IF(AND(AG$5&gt;=$C23,AG$5&lt;=$D23,$A23&lt;&gt;""),"●","")</x:f>
      </x:c>
      <x:c r="AH23" s="165" t="str">
        <x:f>IF(AND(AH$5&gt;=$C23,AH$5&lt;=$D23,$A23&lt;&gt;""),"●","")</x:f>
      </x:c>
      <x:c r="AI23" s="165" t="str">
        <x:f>IF(AND(AI$5&gt;=$C23,AI$5&lt;=$D23,$A23&lt;&gt;""),"●","")</x:f>
      </x:c>
      <x:c r="AJ23" s="165" t="str">
        <x:f>IF(AND(AJ$5&gt;=$C23,AJ$5&lt;=$D23,$A23&lt;&gt;""),"●","")</x:f>
      </x:c>
      <x:c r="AK23" s="165" t="str">
        <x:f>IF(AND(AK$5&gt;=$C23,AK$5&lt;=$D23,$A23&lt;&gt;""),"●","")</x:f>
      </x:c>
      <x:c r="AL23" s="165" t="str">
        <x:f>IF(AND(AL$5&gt;=$C23,AL$5&lt;=$D23,$A23&lt;&gt;""),"●","")</x:f>
      </x:c>
      <x:c r="AM23" s="165" t="str">
        <x:f>IF(AND(AM$5&gt;=$C23,AM$5&lt;=$D23,$A23&lt;&gt;""),"●","")</x:f>
      </x:c>
      <x:c r="AN23" s="165" t="str">
        <x:f>IF(AND(AN$5&gt;=$C23,AN$5&lt;=$D23,$A23&lt;&gt;""),"●","")</x:f>
      </x:c>
      <x:c r="AO23" s="165" t="str">
        <x:f>IF(AND(AO$5&gt;=$C23,AO$5&lt;=$D23,$A23&lt;&gt;""),"●","")</x:f>
      </x:c>
      <x:c r="AP23" s="165" t="str">
        <x:f>IF(AND(AP$5&gt;=$C23,AP$5&lt;=$D23,$A23&lt;&gt;""),"●","")</x:f>
      </x:c>
      <x:c r="AQ23" s="165" t="str">
        <x:f>IF(AND(AQ$5&gt;=$C23,AQ$5&lt;=$D23,$A23&lt;&gt;""),"●","")</x:f>
      </x:c>
      <x:c r="AR23" s="165" t="str">
        <x:f>IF(AND(AR$5&gt;=$C23,AR$5&lt;=$D23,$A23&lt;&gt;""),"●","")</x:f>
      </x:c>
      <x:c r="AS23" s="165" t="str">
        <x:f>IF(AND(AS$5&gt;=$C23,AS$5&lt;=$D23,$A23&lt;&gt;""),"●","")</x:f>
      </x:c>
      <x:c r="AT23" s="165" t="str">
        <x:f>IF(AND(AT$5&gt;=$C23,AT$5&lt;=$D23,$A23&lt;&gt;""),"●","")</x:f>
      </x:c>
      <x:c r="AU23" s="165" t="str">
        <x:f>IF(AND(AU$5&gt;=$C23,AU$5&lt;=$D23,$A23&lt;&gt;""),"●","")</x:f>
      </x:c>
      <x:c r="AV23" s="165" t="str">
        <x:f>IF(AND(AV$5&gt;=$C23,AV$5&lt;=$D23,$A23&lt;&gt;""),"●","")</x:f>
      </x:c>
      <x:c r="AW23" s="165" t="str">
        <x:f>IF(AND(AW$5&gt;=$C23,AW$5&lt;=$D23,$A23&lt;&gt;""),"●","")</x:f>
      </x:c>
      <x:c r="AX23" s="165" t="str">
        <x:f>IF(AND(AX$5&gt;=$C23,AX$5&lt;=$D23,$A23&lt;&gt;""),"●","")</x:f>
      </x:c>
      <x:c r="AY23" s="165" t="str">
        <x:f>IF(AND(AY$5&gt;=$C23,AY$5&lt;=$D23,$A23&lt;&gt;""),"●","")</x:f>
      </x:c>
      <x:c r="AZ23" s="165" t="str">
        <x:f>IF(AND(AZ$5&gt;=$C23,AZ$5&lt;=$D23,$A23&lt;&gt;""),"●","")</x:f>
      </x:c>
      <x:c r="BA23" s="165" t="str">
        <x:f>IF(AND(BA$5&gt;=$C23,BA$5&lt;=$D23,$A23&lt;&gt;""),"●","")</x:f>
      </x:c>
      <x:c r="BB23" s="165" t="str">
        <x:f>IF(AND(BB$5&gt;=$C23,BB$5&lt;=$D23,$A23&lt;&gt;""),"●","")</x:f>
      </x:c>
      <x:c r="BC23" s="165" t="str">
        <x:f>IF(AND(BC$5&gt;=$C23,BC$5&lt;=$D23,$A23&lt;&gt;""),"●","")</x:f>
      </x:c>
      <x:c r="BD23" s="165" t="str">
        <x:f>IF(AND(BD$5&gt;=$C23,BD$5&lt;=$D23,$A23&lt;&gt;""),"●","")</x:f>
      </x:c>
      <x:c r="BE23" s="165" t="str">
        <x:f>IF(AND(BE$5&gt;=$C23,BE$5&lt;=$D23,$A23&lt;&gt;""),"●","")</x:f>
      </x:c>
      <x:c r="BF23" s="165" t="str">
        <x:f>IF(AND(BF$5&gt;=$C23,BF$5&lt;=$D23,$A23&lt;&gt;""),"●","")</x:f>
      </x:c>
      <x:c r="BG23" s="165" t="str">
        <x:f>IF(AND(BG$5&gt;=$C23,BG$5&lt;=$D23,$A23&lt;&gt;""),"●","")</x:f>
      </x:c>
      <x:c r="BH23" s="165" t="str">
        <x:f>IF(AND(BH$5&gt;=$C23,BH$5&lt;=$D23,$A23&lt;&gt;""),"●","")</x:f>
      </x:c>
      <x:c r="BI23" s="165" t="str">
        <x:f>IF(AND(BI$5&gt;=$C23,BI$5&lt;=$D23,$A23&lt;&gt;""),"●","")</x:f>
      </x:c>
      <x:c r="BJ23" s="165" t="str">
        <x:f>IF(AND(BJ$5&gt;=$C23,BJ$5&lt;=$D23,$A23&lt;&gt;""),"●","")</x:f>
      </x:c>
      <x:c r="BK23" s="165" t="str">
        <x:f>IF(AND(BK$5&gt;=$C23,BK$5&lt;=$D23,$A23&lt;&gt;""),"●","")</x:f>
      </x:c>
      <x:c r="BL23" s="165" t="str">
        <x:f>IF(AND(BL$5&gt;=$C23,BL$5&lt;=$D23,$A23&lt;&gt;""),"●","")</x:f>
      </x:c>
      <x:c r="BM23" s="165" t="str">
        <x:f>IF(AND(BM$5&gt;=$C23,BM$5&lt;=$D23,$A23&lt;&gt;""),"●","")</x:f>
      </x:c>
      <x:c r="BN23" s="165" t="str">
        <x:f>IF(AND(BN$5&gt;=$C23,BN$5&lt;=$D23,$A23&lt;&gt;""),"●","")</x:f>
      </x:c>
      <x:c r="BO23" s="165" t="str">
        <x:f>IF(AND(BO$5&gt;=$C23,BO$5&lt;=$D23,$A23&lt;&gt;""),"●","")</x:f>
      </x:c>
      <x:c r="BP23" s="165" t="str">
        <x:f>IF(AND(BP$5&gt;=$C23,BP$5&lt;=$D23,$A23&lt;&gt;""),"●","")</x:f>
      </x:c>
      <x:c r="BQ23" s="165" t="str">
        <x:f>IF(AND(BQ$5&gt;=$C23,BQ$5&lt;=$D23,$A23&lt;&gt;""),"●","")</x:f>
      </x:c>
      <x:c r="BR23" s="165" t="str">
        <x:f>IF(AND(BR$5&gt;=$C23,BR$5&lt;=$D23,$A23&lt;&gt;""),"●","")</x:f>
      </x:c>
      <x:c r="BS23" s="165" t="str">
        <x:f>IF(AND(BS$5&gt;=$C23,BS$5&lt;=$D23,$A23&lt;&gt;""),"●","")</x:f>
      </x:c>
      <x:c r="BT23" s="165" t="str">
        <x:f>IF(AND(BT$5&gt;=$C23,BT$5&lt;=$D23,$A23&lt;&gt;""),"●","")</x:f>
      </x:c>
      <x:c r="BU23" s="165" t="str">
        <x:f>IF(AND(BU$5&gt;=$C23,BU$5&lt;=$D23,$A23&lt;&gt;""),"●","")</x:f>
      </x:c>
      <x:c r="BV23" s="165" t="str">
        <x:f>IF(AND(BV$5&gt;=$C23,BV$5&lt;=$D23,$A23&lt;&gt;""),"●","")</x:f>
      </x:c>
      <x:c r="BW23" s="165" t="str">
        <x:f>IF(AND(BW$5&gt;=$C23,BW$5&lt;=$D23,$A23&lt;&gt;""),"●","")</x:f>
      </x:c>
    </x:row>
    <x:row r="24">
      <x:c r="A24" s="159" t="str">
        <x:f>IF('รายการสัญญา'!A24="","",'รายการสัญญา'!A24)</x:f>
      </x:c>
      <x:c r="B24" s="159" t="str">
        <x:f>IF('รายการสัญญา'!A24="","",'รายการสัญญา'!C24)</x:f>
      </x:c>
      <x:c r="C24" s="162" t="str">
        <x:f>IF('รายการสัญญา'!A24="","",'รายการสัญญา'!E24)</x:f>
      </x:c>
      <x:c r="D24" s="162" t="str">
        <x:f>IF('รายการสัญญา'!A24="","",'รายการสัญญา'!G24)</x:f>
      </x:c>
      <x:c r="E24" s="159" t="str">
        <x:f>IF('รายการสัญญา'!A24="","",'รายการสัญญา'!K24)</x:f>
      </x:c>
      <x:c r="F24" s="165" t="str">
        <x:f>IF(AND(F$5&gt;=$C24,F$5&lt;=$D24,$A24&lt;&gt;""),"●","")</x:f>
      </x:c>
      <x:c r="G24" s="165" t="str">
        <x:f>IF(AND(G$5&gt;=$C24,G$5&lt;=$D24,$A24&lt;&gt;""),"●","")</x:f>
      </x:c>
      <x:c r="H24" s="165" t="str">
        <x:f>IF(AND(H$5&gt;=$C24,H$5&lt;=$D24,$A24&lt;&gt;""),"●","")</x:f>
      </x:c>
      <x:c r="I24" s="165" t="str">
        <x:f>IF(AND(I$5&gt;=$C24,I$5&lt;=$D24,$A24&lt;&gt;""),"●","")</x:f>
      </x:c>
      <x:c r="J24" s="165" t="str">
        <x:f>IF(AND(J$5&gt;=$C24,J$5&lt;=$D24,$A24&lt;&gt;""),"●","")</x:f>
      </x:c>
      <x:c r="K24" s="165" t="str">
        <x:f>IF(AND(K$5&gt;=$C24,K$5&lt;=$D24,$A24&lt;&gt;""),"●","")</x:f>
      </x:c>
      <x:c r="L24" s="165" t="str">
        <x:f>IF(AND(L$5&gt;=$C24,L$5&lt;=$D24,$A24&lt;&gt;""),"●","")</x:f>
      </x:c>
      <x:c r="M24" s="165" t="str">
        <x:f>IF(AND(M$5&gt;=$C24,M$5&lt;=$D24,$A24&lt;&gt;""),"●","")</x:f>
      </x:c>
      <x:c r="N24" s="165" t="str">
        <x:f>IF(AND(N$5&gt;=$C24,N$5&lt;=$D24,$A24&lt;&gt;""),"●","")</x:f>
      </x:c>
      <x:c r="O24" s="165" t="str">
        <x:f>IF(AND(O$5&gt;=$C24,O$5&lt;=$D24,$A24&lt;&gt;""),"●","")</x:f>
      </x:c>
      <x:c r="P24" s="165" t="str">
        <x:f>IF(AND(P$5&gt;=$C24,P$5&lt;=$D24,$A24&lt;&gt;""),"●","")</x:f>
      </x:c>
      <x:c r="Q24" s="165" t="str">
        <x:f>IF(AND(Q$5&gt;=$C24,Q$5&lt;=$D24,$A24&lt;&gt;""),"●","")</x:f>
      </x:c>
      <x:c r="R24" s="165" t="str">
        <x:f>IF(AND(R$5&gt;=$C24,R$5&lt;=$D24,$A24&lt;&gt;""),"●","")</x:f>
      </x:c>
      <x:c r="S24" s="165" t="str">
        <x:f>IF(AND(S$5&gt;=$C24,S$5&lt;=$D24,$A24&lt;&gt;""),"●","")</x:f>
      </x:c>
      <x:c r="T24" s="165" t="str">
        <x:f>IF(AND(T$5&gt;=$C24,T$5&lt;=$D24,$A24&lt;&gt;""),"●","")</x:f>
      </x:c>
      <x:c r="U24" s="165" t="str">
        <x:f>IF(AND(U$5&gt;=$C24,U$5&lt;=$D24,$A24&lt;&gt;""),"●","")</x:f>
      </x:c>
      <x:c r="V24" s="165" t="str">
        <x:f>IF(AND(V$5&gt;=$C24,V$5&lt;=$D24,$A24&lt;&gt;""),"●","")</x:f>
      </x:c>
      <x:c r="W24" s="165" t="str">
        <x:f>IF(AND(W$5&gt;=$C24,W$5&lt;=$D24,$A24&lt;&gt;""),"●","")</x:f>
      </x:c>
      <x:c r="X24" s="165" t="str">
        <x:f>IF(AND(X$5&gt;=$C24,X$5&lt;=$D24,$A24&lt;&gt;""),"●","")</x:f>
      </x:c>
      <x:c r="Y24" s="165" t="str">
        <x:f>IF(AND(Y$5&gt;=$C24,Y$5&lt;=$D24,$A24&lt;&gt;""),"●","")</x:f>
      </x:c>
      <x:c r="Z24" s="165" t="str">
        <x:f>IF(AND(Z$5&gt;=$C24,Z$5&lt;=$D24,$A24&lt;&gt;""),"●","")</x:f>
      </x:c>
      <x:c r="AA24" s="165" t="str">
        <x:f>IF(AND(AA$5&gt;=$C24,AA$5&lt;=$D24,$A24&lt;&gt;""),"●","")</x:f>
      </x:c>
      <x:c r="AB24" s="165" t="str">
        <x:f>IF(AND(AB$5&gt;=$C24,AB$5&lt;=$D24,$A24&lt;&gt;""),"●","")</x:f>
      </x:c>
      <x:c r="AC24" s="165" t="str">
        <x:f>IF(AND(AC$5&gt;=$C24,AC$5&lt;=$D24,$A24&lt;&gt;""),"●","")</x:f>
      </x:c>
      <x:c r="AD24" s="165" t="str">
        <x:f>IF(AND(AD$5&gt;=$C24,AD$5&lt;=$D24,$A24&lt;&gt;""),"●","")</x:f>
      </x:c>
      <x:c r="AE24" s="165" t="str">
        <x:f>IF(AND(AE$5&gt;=$C24,AE$5&lt;=$D24,$A24&lt;&gt;""),"●","")</x:f>
      </x:c>
      <x:c r="AF24" s="165" t="str">
        <x:f>IF(AND(AF$5&gt;=$C24,AF$5&lt;=$D24,$A24&lt;&gt;""),"●","")</x:f>
      </x:c>
      <x:c r="AG24" s="165" t="str">
        <x:f>IF(AND(AG$5&gt;=$C24,AG$5&lt;=$D24,$A24&lt;&gt;""),"●","")</x:f>
      </x:c>
      <x:c r="AH24" s="165" t="str">
        <x:f>IF(AND(AH$5&gt;=$C24,AH$5&lt;=$D24,$A24&lt;&gt;""),"●","")</x:f>
      </x:c>
      <x:c r="AI24" s="165" t="str">
        <x:f>IF(AND(AI$5&gt;=$C24,AI$5&lt;=$D24,$A24&lt;&gt;""),"●","")</x:f>
      </x:c>
      <x:c r="AJ24" s="165" t="str">
        <x:f>IF(AND(AJ$5&gt;=$C24,AJ$5&lt;=$D24,$A24&lt;&gt;""),"●","")</x:f>
      </x:c>
      <x:c r="AK24" s="165" t="str">
        <x:f>IF(AND(AK$5&gt;=$C24,AK$5&lt;=$D24,$A24&lt;&gt;""),"●","")</x:f>
      </x:c>
      <x:c r="AL24" s="165" t="str">
        <x:f>IF(AND(AL$5&gt;=$C24,AL$5&lt;=$D24,$A24&lt;&gt;""),"●","")</x:f>
      </x:c>
      <x:c r="AM24" s="165" t="str">
        <x:f>IF(AND(AM$5&gt;=$C24,AM$5&lt;=$D24,$A24&lt;&gt;""),"●","")</x:f>
      </x:c>
      <x:c r="AN24" s="165" t="str">
        <x:f>IF(AND(AN$5&gt;=$C24,AN$5&lt;=$D24,$A24&lt;&gt;""),"●","")</x:f>
      </x:c>
      <x:c r="AO24" s="165" t="str">
        <x:f>IF(AND(AO$5&gt;=$C24,AO$5&lt;=$D24,$A24&lt;&gt;""),"●","")</x:f>
      </x:c>
      <x:c r="AP24" s="165" t="str">
        <x:f>IF(AND(AP$5&gt;=$C24,AP$5&lt;=$D24,$A24&lt;&gt;""),"●","")</x:f>
      </x:c>
      <x:c r="AQ24" s="165" t="str">
        <x:f>IF(AND(AQ$5&gt;=$C24,AQ$5&lt;=$D24,$A24&lt;&gt;""),"●","")</x:f>
      </x:c>
      <x:c r="AR24" s="165" t="str">
        <x:f>IF(AND(AR$5&gt;=$C24,AR$5&lt;=$D24,$A24&lt;&gt;""),"●","")</x:f>
      </x:c>
      <x:c r="AS24" s="165" t="str">
        <x:f>IF(AND(AS$5&gt;=$C24,AS$5&lt;=$D24,$A24&lt;&gt;""),"●","")</x:f>
      </x:c>
      <x:c r="AT24" s="165" t="str">
        <x:f>IF(AND(AT$5&gt;=$C24,AT$5&lt;=$D24,$A24&lt;&gt;""),"●","")</x:f>
      </x:c>
      <x:c r="AU24" s="165" t="str">
        <x:f>IF(AND(AU$5&gt;=$C24,AU$5&lt;=$D24,$A24&lt;&gt;""),"●","")</x:f>
      </x:c>
      <x:c r="AV24" s="165" t="str">
        <x:f>IF(AND(AV$5&gt;=$C24,AV$5&lt;=$D24,$A24&lt;&gt;""),"●","")</x:f>
      </x:c>
      <x:c r="AW24" s="165" t="str">
        <x:f>IF(AND(AW$5&gt;=$C24,AW$5&lt;=$D24,$A24&lt;&gt;""),"●","")</x:f>
      </x:c>
      <x:c r="AX24" s="165" t="str">
        <x:f>IF(AND(AX$5&gt;=$C24,AX$5&lt;=$D24,$A24&lt;&gt;""),"●","")</x:f>
      </x:c>
      <x:c r="AY24" s="165" t="str">
        <x:f>IF(AND(AY$5&gt;=$C24,AY$5&lt;=$D24,$A24&lt;&gt;""),"●","")</x:f>
      </x:c>
      <x:c r="AZ24" s="165" t="str">
        <x:f>IF(AND(AZ$5&gt;=$C24,AZ$5&lt;=$D24,$A24&lt;&gt;""),"●","")</x:f>
      </x:c>
      <x:c r="BA24" s="165" t="str">
        <x:f>IF(AND(BA$5&gt;=$C24,BA$5&lt;=$D24,$A24&lt;&gt;""),"●","")</x:f>
      </x:c>
      <x:c r="BB24" s="165" t="str">
        <x:f>IF(AND(BB$5&gt;=$C24,BB$5&lt;=$D24,$A24&lt;&gt;""),"●","")</x:f>
      </x:c>
      <x:c r="BC24" s="165" t="str">
        <x:f>IF(AND(BC$5&gt;=$C24,BC$5&lt;=$D24,$A24&lt;&gt;""),"●","")</x:f>
      </x:c>
      <x:c r="BD24" s="165" t="str">
        <x:f>IF(AND(BD$5&gt;=$C24,BD$5&lt;=$D24,$A24&lt;&gt;""),"●","")</x:f>
      </x:c>
      <x:c r="BE24" s="165" t="str">
        <x:f>IF(AND(BE$5&gt;=$C24,BE$5&lt;=$D24,$A24&lt;&gt;""),"●","")</x:f>
      </x:c>
      <x:c r="BF24" s="165" t="str">
        <x:f>IF(AND(BF$5&gt;=$C24,BF$5&lt;=$D24,$A24&lt;&gt;""),"●","")</x:f>
      </x:c>
      <x:c r="BG24" s="165" t="str">
        <x:f>IF(AND(BG$5&gt;=$C24,BG$5&lt;=$D24,$A24&lt;&gt;""),"●","")</x:f>
      </x:c>
      <x:c r="BH24" s="165" t="str">
        <x:f>IF(AND(BH$5&gt;=$C24,BH$5&lt;=$D24,$A24&lt;&gt;""),"●","")</x:f>
      </x:c>
      <x:c r="BI24" s="165" t="str">
        <x:f>IF(AND(BI$5&gt;=$C24,BI$5&lt;=$D24,$A24&lt;&gt;""),"●","")</x:f>
      </x:c>
      <x:c r="BJ24" s="165" t="str">
        <x:f>IF(AND(BJ$5&gt;=$C24,BJ$5&lt;=$D24,$A24&lt;&gt;""),"●","")</x:f>
      </x:c>
      <x:c r="BK24" s="165" t="str">
        <x:f>IF(AND(BK$5&gt;=$C24,BK$5&lt;=$D24,$A24&lt;&gt;""),"●","")</x:f>
      </x:c>
      <x:c r="BL24" s="165" t="str">
        <x:f>IF(AND(BL$5&gt;=$C24,BL$5&lt;=$D24,$A24&lt;&gt;""),"●","")</x:f>
      </x:c>
      <x:c r="BM24" s="165" t="str">
        <x:f>IF(AND(BM$5&gt;=$C24,BM$5&lt;=$D24,$A24&lt;&gt;""),"●","")</x:f>
      </x:c>
      <x:c r="BN24" s="165" t="str">
        <x:f>IF(AND(BN$5&gt;=$C24,BN$5&lt;=$D24,$A24&lt;&gt;""),"●","")</x:f>
      </x:c>
      <x:c r="BO24" s="165" t="str">
        <x:f>IF(AND(BO$5&gt;=$C24,BO$5&lt;=$D24,$A24&lt;&gt;""),"●","")</x:f>
      </x:c>
      <x:c r="BP24" s="165" t="str">
        <x:f>IF(AND(BP$5&gt;=$C24,BP$5&lt;=$D24,$A24&lt;&gt;""),"●","")</x:f>
      </x:c>
      <x:c r="BQ24" s="165" t="str">
        <x:f>IF(AND(BQ$5&gt;=$C24,BQ$5&lt;=$D24,$A24&lt;&gt;""),"●","")</x:f>
      </x:c>
      <x:c r="BR24" s="165" t="str">
        <x:f>IF(AND(BR$5&gt;=$C24,BR$5&lt;=$D24,$A24&lt;&gt;""),"●","")</x:f>
      </x:c>
      <x:c r="BS24" s="165" t="str">
        <x:f>IF(AND(BS$5&gt;=$C24,BS$5&lt;=$D24,$A24&lt;&gt;""),"●","")</x:f>
      </x:c>
      <x:c r="BT24" s="165" t="str">
        <x:f>IF(AND(BT$5&gt;=$C24,BT$5&lt;=$D24,$A24&lt;&gt;""),"●","")</x:f>
      </x:c>
      <x:c r="BU24" s="165" t="str">
        <x:f>IF(AND(BU$5&gt;=$C24,BU$5&lt;=$D24,$A24&lt;&gt;""),"●","")</x:f>
      </x:c>
      <x:c r="BV24" s="165" t="str">
        <x:f>IF(AND(BV$5&gt;=$C24,BV$5&lt;=$D24,$A24&lt;&gt;""),"●","")</x:f>
      </x:c>
      <x:c r="BW24" s="165" t="str">
        <x:f>IF(AND(BW$5&gt;=$C24,BW$5&lt;=$D24,$A24&lt;&gt;""),"●","")</x:f>
      </x:c>
    </x:row>
    <x:row r="25">
      <x:c r="A25" s="159" t="str">
        <x:f>IF('รายการสัญญา'!A25="","",'รายการสัญญา'!A25)</x:f>
      </x:c>
      <x:c r="B25" s="159" t="str">
        <x:f>IF('รายการสัญญา'!A25="","",'รายการสัญญา'!C25)</x:f>
      </x:c>
      <x:c r="C25" s="162" t="str">
        <x:f>IF('รายการสัญญา'!A25="","",'รายการสัญญา'!E25)</x:f>
      </x:c>
      <x:c r="D25" s="162" t="str">
        <x:f>IF('รายการสัญญา'!A25="","",'รายการสัญญา'!G25)</x:f>
      </x:c>
      <x:c r="E25" s="159" t="str">
        <x:f>IF('รายการสัญญา'!A25="","",'รายการสัญญา'!K25)</x:f>
      </x:c>
      <x:c r="F25" s="165" t="str">
        <x:f>IF(AND(F$5&gt;=$C25,F$5&lt;=$D25,$A25&lt;&gt;""),"●","")</x:f>
      </x:c>
      <x:c r="G25" s="165" t="str">
        <x:f>IF(AND(G$5&gt;=$C25,G$5&lt;=$D25,$A25&lt;&gt;""),"●","")</x:f>
      </x:c>
      <x:c r="H25" s="165" t="str">
        <x:f>IF(AND(H$5&gt;=$C25,H$5&lt;=$D25,$A25&lt;&gt;""),"●","")</x:f>
      </x:c>
      <x:c r="I25" s="165" t="str">
        <x:f>IF(AND(I$5&gt;=$C25,I$5&lt;=$D25,$A25&lt;&gt;""),"●","")</x:f>
      </x:c>
      <x:c r="J25" s="165" t="str">
        <x:f>IF(AND(J$5&gt;=$C25,J$5&lt;=$D25,$A25&lt;&gt;""),"●","")</x:f>
      </x:c>
      <x:c r="K25" s="165" t="str">
        <x:f>IF(AND(K$5&gt;=$C25,K$5&lt;=$D25,$A25&lt;&gt;""),"●","")</x:f>
      </x:c>
      <x:c r="L25" s="165" t="str">
        <x:f>IF(AND(L$5&gt;=$C25,L$5&lt;=$D25,$A25&lt;&gt;""),"●","")</x:f>
      </x:c>
      <x:c r="M25" s="165" t="str">
        <x:f>IF(AND(M$5&gt;=$C25,M$5&lt;=$D25,$A25&lt;&gt;""),"●","")</x:f>
      </x:c>
      <x:c r="N25" s="165" t="str">
        <x:f>IF(AND(N$5&gt;=$C25,N$5&lt;=$D25,$A25&lt;&gt;""),"●","")</x:f>
      </x:c>
      <x:c r="O25" s="165" t="str">
        <x:f>IF(AND(O$5&gt;=$C25,O$5&lt;=$D25,$A25&lt;&gt;""),"●","")</x:f>
      </x:c>
      <x:c r="P25" s="165" t="str">
        <x:f>IF(AND(P$5&gt;=$C25,P$5&lt;=$D25,$A25&lt;&gt;""),"●","")</x:f>
      </x:c>
      <x:c r="Q25" s="165" t="str">
        <x:f>IF(AND(Q$5&gt;=$C25,Q$5&lt;=$D25,$A25&lt;&gt;""),"●","")</x:f>
      </x:c>
      <x:c r="R25" s="165" t="str">
        <x:f>IF(AND(R$5&gt;=$C25,R$5&lt;=$D25,$A25&lt;&gt;""),"●","")</x:f>
      </x:c>
      <x:c r="S25" s="165" t="str">
        <x:f>IF(AND(S$5&gt;=$C25,S$5&lt;=$D25,$A25&lt;&gt;""),"●","")</x:f>
      </x:c>
      <x:c r="T25" s="165" t="str">
        <x:f>IF(AND(T$5&gt;=$C25,T$5&lt;=$D25,$A25&lt;&gt;""),"●","")</x:f>
      </x:c>
      <x:c r="U25" s="165" t="str">
        <x:f>IF(AND(U$5&gt;=$C25,U$5&lt;=$D25,$A25&lt;&gt;""),"●","")</x:f>
      </x:c>
      <x:c r="V25" s="165" t="str">
        <x:f>IF(AND(V$5&gt;=$C25,V$5&lt;=$D25,$A25&lt;&gt;""),"●","")</x:f>
      </x:c>
      <x:c r="W25" s="165" t="str">
        <x:f>IF(AND(W$5&gt;=$C25,W$5&lt;=$D25,$A25&lt;&gt;""),"●","")</x:f>
      </x:c>
      <x:c r="X25" s="165" t="str">
        <x:f>IF(AND(X$5&gt;=$C25,X$5&lt;=$D25,$A25&lt;&gt;""),"●","")</x:f>
      </x:c>
      <x:c r="Y25" s="165" t="str">
        <x:f>IF(AND(Y$5&gt;=$C25,Y$5&lt;=$D25,$A25&lt;&gt;""),"●","")</x:f>
      </x:c>
      <x:c r="Z25" s="165" t="str">
        <x:f>IF(AND(Z$5&gt;=$C25,Z$5&lt;=$D25,$A25&lt;&gt;""),"●","")</x:f>
      </x:c>
      <x:c r="AA25" s="165" t="str">
        <x:f>IF(AND(AA$5&gt;=$C25,AA$5&lt;=$D25,$A25&lt;&gt;""),"●","")</x:f>
      </x:c>
      <x:c r="AB25" s="165" t="str">
        <x:f>IF(AND(AB$5&gt;=$C25,AB$5&lt;=$D25,$A25&lt;&gt;""),"●","")</x:f>
      </x:c>
      <x:c r="AC25" s="165" t="str">
        <x:f>IF(AND(AC$5&gt;=$C25,AC$5&lt;=$D25,$A25&lt;&gt;""),"●","")</x:f>
      </x:c>
      <x:c r="AD25" s="165" t="str">
        <x:f>IF(AND(AD$5&gt;=$C25,AD$5&lt;=$D25,$A25&lt;&gt;""),"●","")</x:f>
      </x:c>
      <x:c r="AE25" s="165" t="str">
        <x:f>IF(AND(AE$5&gt;=$C25,AE$5&lt;=$D25,$A25&lt;&gt;""),"●","")</x:f>
      </x:c>
      <x:c r="AF25" s="165" t="str">
        <x:f>IF(AND(AF$5&gt;=$C25,AF$5&lt;=$D25,$A25&lt;&gt;""),"●","")</x:f>
      </x:c>
      <x:c r="AG25" s="165" t="str">
        <x:f>IF(AND(AG$5&gt;=$C25,AG$5&lt;=$D25,$A25&lt;&gt;""),"●","")</x:f>
      </x:c>
      <x:c r="AH25" s="165" t="str">
        <x:f>IF(AND(AH$5&gt;=$C25,AH$5&lt;=$D25,$A25&lt;&gt;""),"●","")</x:f>
      </x:c>
      <x:c r="AI25" s="165" t="str">
        <x:f>IF(AND(AI$5&gt;=$C25,AI$5&lt;=$D25,$A25&lt;&gt;""),"●","")</x:f>
      </x:c>
      <x:c r="AJ25" s="165" t="str">
        <x:f>IF(AND(AJ$5&gt;=$C25,AJ$5&lt;=$D25,$A25&lt;&gt;""),"●","")</x:f>
      </x:c>
      <x:c r="AK25" s="165" t="str">
        <x:f>IF(AND(AK$5&gt;=$C25,AK$5&lt;=$D25,$A25&lt;&gt;""),"●","")</x:f>
      </x:c>
      <x:c r="AL25" s="165" t="str">
        <x:f>IF(AND(AL$5&gt;=$C25,AL$5&lt;=$D25,$A25&lt;&gt;""),"●","")</x:f>
      </x:c>
      <x:c r="AM25" s="165" t="str">
        <x:f>IF(AND(AM$5&gt;=$C25,AM$5&lt;=$D25,$A25&lt;&gt;""),"●","")</x:f>
      </x:c>
      <x:c r="AN25" s="165" t="str">
        <x:f>IF(AND(AN$5&gt;=$C25,AN$5&lt;=$D25,$A25&lt;&gt;""),"●","")</x:f>
      </x:c>
      <x:c r="AO25" s="165" t="str">
        <x:f>IF(AND(AO$5&gt;=$C25,AO$5&lt;=$D25,$A25&lt;&gt;""),"●","")</x:f>
      </x:c>
      <x:c r="AP25" s="165" t="str">
        <x:f>IF(AND(AP$5&gt;=$C25,AP$5&lt;=$D25,$A25&lt;&gt;""),"●","")</x:f>
      </x:c>
      <x:c r="AQ25" s="165" t="str">
        <x:f>IF(AND(AQ$5&gt;=$C25,AQ$5&lt;=$D25,$A25&lt;&gt;""),"●","")</x:f>
      </x:c>
      <x:c r="AR25" s="165" t="str">
        <x:f>IF(AND(AR$5&gt;=$C25,AR$5&lt;=$D25,$A25&lt;&gt;""),"●","")</x:f>
      </x:c>
      <x:c r="AS25" s="165" t="str">
        <x:f>IF(AND(AS$5&gt;=$C25,AS$5&lt;=$D25,$A25&lt;&gt;""),"●","")</x:f>
      </x:c>
      <x:c r="AT25" s="165" t="str">
        <x:f>IF(AND(AT$5&gt;=$C25,AT$5&lt;=$D25,$A25&lt;&gt;""),"●","")</x:f>
      </x:c>
      <x:c r="AU25" s="165" t="str">
        <x:f>IF(AND(AU$5&gt;=$C25,AU$5&lt;=$D25,$A25&lt;&gt;""),"●","")</x:f>
      </x:c>
      <x:c r="AV25" s="165" t="str">
        <x:f>IF(AND(AV$5&gt;=$C25,AV$5&lt;=$D25,$A25&lt;&gt;""),"●","")</x:f>
      </x:c>
      <x:c r="AW25" s="165" t="str">
        <x:f>IF(AND(AW$5&gt;=$C25,AW$5&lt;=$D25,$A25&lt;&gt;""),"●","")</x:f>
      </x:c>
      <x:c r="AX25" s="165" t="str">
        <x:f>IF(AND(AX$5&gt;=$C25,AX$5&lt;=$D25,$A25&lt;&gt;""),"●","")</x:f>
      </x:c>
      <x:c r="AY25" s="165" t="str">
        <x:f>IF(AND(AY$5&gt;=$C25,AY$5&lt;=$D25,$A25&lt;&gt;""),"●","")</x:f>
      </x:c>
      <x:c r="AZ25" s="165" t="str">
        <x:f>IF(AND(AZ$5&gt;=$C25,AZ$5&lt;=$D25,$A25&lt;&gt;""),"●","")</x:f>
      </x:c>
      <x:c r="BA25" s="165" t="str">
        <x:f>IF(AND(BA$5&gt;=$C25,BA$5&lt;=$D25,$A25&lt;&gt;""),"●","")</x:f>
      </x:c>
      <x:c r="BB25" s="165" t="str">
        <x:f>IF(AND(BB$5&gt;=$C25,BB$5&lt;=$D25,$A25&lt;&gt;""),"●","")</x:f>
      </x:c>
      <x:c r="BC25" s="165" t="str">
        <x:f>IF(AND(BC$5&gt;=$C25,BC$5&lt;=$D25,$A25&lt;&gt;""),"●","")</x:f>
      </x:c>
      <x:c r="BD25" s="165" t="str">
        <x:f>IF(AND(BD$5&gt;=$C25,BD$5&lt;=$D25,$A25&lt;&gt;""),"●","")</x:f>
      </x:c>
      <x:c r="BE25" s="165" t="str">
        <x:f>IF(AND(BE$5&gt;=$C25,BE$5&lt;=$D25,$A25&lt;&gt;""),"●","")</x:f>
      </x:c>
      <x:c r="BF25" s="165" t="str">
        <x:f>IF(AND(BF$5&gt;=$C25,BF$5&lt;=$D25,$A25&lt;&gt;""),"●","")</x:f>
      </x:c>
      <x:c r="BG25" s="165" t="str">
        <x:f>IF(AND(BG$5&gt;=$C25,BG$5&lt;=$D25,$A25&lt;&gt;""),"●","")</x:f>
      </x:c>
      <x:c r="BH25" s="165" t="str">
        <x:f>IF(AND(BH$5&gt;=$C25,BH$5&lt;=$D25,$A25&lt;&gt;""),"●","")</x:f>
      </x:c>
      <x:c r="BI25" s="165" t="str">
        <x:f>IF(AND(BI$5&gt;=$C25,BI$5&lt;=$D25,$A25&lt;&gt;""),"●","")</x:f>
      </x:c>
      <x:c r="BJ25" s="165" t="str">
        <x:f>IF(AND(BJ$5&gt;=$C25,BJ$5&lt;=$D25,$A25&lt;&gt;""),"●","")</x:f>
      </x:c>
      <x:c r="BK25" s="165" t="str">
        <x:f>IF(AND(BK$5&gt;=$C25,BK$5&lt;=$D25,$A25&lt;&gt;""),"●","")</x:f>
      </x:c>
      <x:c r="BL25" s="165" t="str">
        <x:f>IF(AND(BL$5&gt;=$C25,BL$5&lt;=$D25,$A25&lt;&gt;""),"●","")</x:f>
      </x:c>
      <x:c r="BM25" s="165" t="str">
        <x:f>IF(AND(BM$5&gt;=$C25,BM$5&lt;=$D25,$A25&lt;&gt;""),"●","")</x:f>
      </x:c>
      <x:c r="BN25" s="165" t="str">
        <x:f>IF(AND(BN$5&gt;=$C25,BN$5&lt;=$D25,$A25&lt;&gt;""),"●","")</x:f>
      </x:c>
      <x:c r="BO25" s="165" t="str">
        <x:f>IF(AND(BO$5&gt;=$C25,BO$5&lt;=$D25,$A25&lt;&gt;""),"●","")</x:f>
      </x:c>
      <x:c r="BP25" s="165" t="str">
        <x:f>IF(AND(BP$5&gt;=$C25,BP$5&lt;=$D25,$A25&lt;&gt;""),"●","")</x:f>
      </x:c>
      <x:c r="BQ25" s="165" t="str">
        <x:f>IF(AND(BQ$5&gt;=$C25,BQ$5&lt;=$D25,$A25&lt;&gt;""),"●","")</x:f>
      </x:c>
      <x:c r="BR25" s="165" t="str">
        <x:f>IF(AND(BR$5&gt;=$C25,BR$5&lt;=$D25,$A25&lt;&gt;""),"●","")</x:f>
      </x:c>
      <x:c r="BS25" s="165" t="str">
        <x:f>IF(AND(BS$5&gt;=$C25,BS$5&lt;=$D25,$A25&lt;&gt;""),"●","")</x:f>
      </x:c>
      <x:c r="BT25" s="165" t="str">
        <x:f>IF(AND(BT$5&gt;=$C25,BT$5&lt;=$D25,$A25&lt;&gt;""),"●","")</x:f>
      </x:c>
      <x:c r="BU25" s="165" t="str">
        <x:f>IF(AND(BU$5&gt;=$C25,BU$5&lt;=$D25,$A25&lt;&gt;""),"●","")</x:f>
      </x:c>
      <x:c r="BV25" s="165" t="str">
        <x:f>IF(AND(BV$5&gt;=$C25,BV$5&lt;=$D25,$A25&lt;&gt;""),"●","")</x:f>
      </x:c>
      <x:c r="BW25" s="165" t="str">
        <x:f>IF(AND(BW$5&gt;=$C25,BW$5&lt;=$D25,$A25&lt;&gt;""),"●","")</x:f>
      </x:c>
    </x:row>
    <x:row r="26">
      <x:c r="A26" s="159" t="str">
        <x:f>IF('รายการสัญญา'!A26="","",'รายการสัญญา'!A26)</x:f>
      </x:c>
      <x:c r="B26" s="159" t="str">
        <x:f>IF('รายการสัญญา'!A26="","",'รายการสัญญา'!C26)</x:f>
      </x:c>
      <x:c r="C26" s="162" t="str">
        <x:f>IF('รายการสัญญา'!A26="","",'รายการสัญญา'!E26)</x:f>
      </x:c>
      <x:c r="D26" s="162" t="str">
        <x:f>IF('รายการสัญญา'!A26="","",'รายการสัญญา'!G26)</x:f>
      </x:c>
      <x:c r="E26" s="159" t="str">
        <x:f>IF('รายการสัญญา'!A26="","",'รายการสัญญา'!K26)</x:f>
      </x:c>
      <x:c r="F26" s="165" t="str">
        <x:f>IF(AND(F$5&gt;=$C26,F$5&lt;=$D26,$A26&lt;&gt;""),"●","")</x:f>
      </x:c>
      <x:c r="G26" s="165" t="str">
        <x:f>IF(AND(G$5&gt;=$C26,G$5&lt;=$D26,$A26&lt;&gt;""),"●","")</x:f>
      </x:c>
      <x:c r="H26" s="165" t="str">
        <x:f>IF(AND(H$5&gt;=$C26,H$5&lt;=$D26,$A26&lt;&gt;""),"●","")</x:f>
      </x:c>
      <x:c r="I26" s="165" t="str">
        <x:f>IF(AND(I$5&gt;=$C26,I$5&lt;=$D26,$A26&lt;&gt;""),"●","")</x:f>
      </x:c>
      <x:c r="J26" s="165" t="str">
        <x:f>IF(AND(J$5&gt;=$C26,J$5&lt;=$D26,$A26&lt;&gt;""),"●","")</x:f>
      </x:c>
      <x:c r="K26" s="165" t="str">
        <x:f>IF(AND(K$5&gt;=$C26,K$5&lt;=$D26,$A26&lt;&gt;""),"●","")</x:f>
      </x:c>
      <x:c r="L26" s="165" t="str">
        <x:f>IF(AND(L$5&gt;=$C26,L$5&lt;=$D26,$A26&lt;&gt;""),"●","")</x:f>
      </x:c>
      <x:c r="M26" s="165" t="str">
        <x:f>IF(AND(M$5&gt;=$C26,M$5&lt;=$D26,$A26&lt;&gt;""),"●","")</x:f>
      </x:c>
      <x:c r="N26" s="165" t="str">
        <x:f>IF(AND(N$5&gt;=$C26,N$5&lt;=$D26,$A26&lt;&gt;""),"●","")</x:f>
      </x:c>
      <x:c r="O26" s="165" t="str">
        <x:f>IF(AND(O$5&gt;=$C26,O$5&lt;=$D26,$A26&lt;&gt;""),"●","")</x:f>
      </x:c>
      <x:c r="P26" s="165" t="str">
        <x:f>IF(AND(P$5&gt;=$C26,P$5&lt;=$D26,$A26&lt;&gt;""),"●","")</x:f>
      </x:c>
      <x:c r="Q26" s="165" t="str">
        <x:f>IF(AND(Q$5&gt;=$C26,Q$5&lt;=$D26,$A26&lt;&gt;""),"●","")</x:f>
      </x:c>
      <x:c r="R26" s="165" t="str">
        <x:f>IF(AND(R$5&gt;=$C26,R$5&lt;=$D26,$A26&lt;&gt;""),"●","")</x:f>
      </x:c>
      <x:c r="S26" s="165" t="str">
        <x:f>IF(AND(S$5&gt;=$C26,S$5&lt;=$D26,$A26&lt;&gt;""),"●","")</x:f>
      </x:c>
      <x:c r="T26" s="165" t="str">
        <x:f>IF(AND(T$5&gt;=$C26,T$5&lt;=$D26,$A26&lt;&gt;""),"●","")</x:f>
      </x:c>
      <x:c r="U26" s="165" t="str">
        <x:f>IF(AND(U$5&gt;=$C26,U$5&lt;=$D26,$A26&lt;&gt;""),"●","")</x:f>
      </x:c>
      <x:c r="V26" s="165" t="str">
        <x:f>IF(AND(V$5&gt;=$C26,V$5&lt;=$D26,$A26&lt;&gt;""),"●","")</x:f>
      </x:c>
      <x:c r="W26" s="165" t="str">
        <x:f>IF(AND(W$5&gt;=$C26,W$5&lt;=$D26,$A26&lt;&gt;""),"●","")</x:f>
      </x:c>
      <x:c r="X26" s="165" t="str">
        <x:f>IF(AND(X$5&gt;=$C26,X$5&lt;=$D26,$A26&lt;&gt;""),"●","")</x:f>
      </x:c>
      <x:c r="Y26" s="165" t="str">
        <x:f>IF(AND(Y$5&gt;=$C26,Y$5&lt;=$D26,$A26&lt;&gt;""),"●","")</x:f>
      </x:c>
      <x:c r="Z26" s="165" t="str">
        <x:f>IF(AND(Z$5&gt;=$C26,Z$5&lt;=$D26,$A26&lt;&gt;""),"●","")</x:f>
      </x:c>
      <x:c r="AA26" s="165" t="str">
        <x:f>IF(AND(AA$5&gt;=$C26,AA$5&lt;=$D26,$A26&lt;&gt;""),"●","")</x:f>
      </x:c>
      <x:c r="AB26" s="165" t="str">
        <x:f>IF(AND(AB$5&gt;=$C26,AB$5&lt;=$D26,$A26&lt;&gt;""),"●","")</x:f>
      </x:c>
      <x:c r="AC26" s="165" t="str">
        <x:f>IF(AND(AC$5&gt;=$C26,AC$5&lt;=$D26,$A26&lt;&gt;""),"●","")</x:f>
      </x:c>
      <x:c r="AD26" s="165" t="str">
        <x:f>IF(AND(AD$5&gt;=$C26,AD$5&lt;=$D26,$A26&lt;&gt;""),"●","")</x:f>
      </x:c>
      <x:c r="AE26" s="165" t="str">
        <x:f>IF(AND(AE$5&gt;=$C26,AE$5&lt;=$D26,$A26&lt;&gt;""),"●","")</x:f>
      </x:c>
      <x:c r="AF26" s="165" t="str">
        <x:f>IF(AND(AF$5&gt;=$C26,AF$5&lt;=$D26,$A26&lt;&gt;""),"●","")</x:f>
      </x:c>
      <x:c r="AG26" s="165" t="str">
        <x:f>IF(AND(AG$5&gt;=$C26,AG$5&lt;=$D26,$A26&lt;&gt;""),"●","")</x:f>
      </x:c>
      <x:c r="AH26" s="165" t="str">
        <x:f>IF(AND(AH$5&gt;=$C26,AH$5&lt;=$D26,$A26&lt;&gt;""),"●","")</x:f>
      </x:c>
      <x:c r="AI26" s="165" t="str">
        <x:f>IF(AND(AI$5&gt;=$C26,AI$5&lt;=$D26,$A26&lt;&gt;""),"●","")</x:f>
      </x:c>
      <x:c r="AJ26" s="165" t="str">
        <x:f>IF(AND(AJ$5&gt;=$C26,AJ$5&lt;=$D26,$A26&lt;&gt;""),"●","")</x:f>
      </x:c>
      <x:c r="AK26" s="165" t="str">
        <x:f>IF(AND(AK$5&gt;=$C26,AK$5&lt;=$D26,$A26&lt;&gt;""),"●","")</x:f>
      </x:c>
      <x:c r="AL26" s="165" t="str">
        <x:f>IF(AND(AL$5&gt;=$C26,AL$5&lt;=$D26,$A26&lt;&gt;""),"●","")</x:f>
      </x:c>
      <x:c r="AM26" s="165" t="str">
        <x:f>IF(AND(AM$5&gt;=$C26,AM$5&lt;=$D26,$A26&lt;&gt;""),"●","")</x:f>
      </x:c>
      <x:c r="AN26" s="165" t="str">
        <x:f>IF(AND(AN$5&gt;=$C26,AN$5&lt;=$D26,$A26&lt;&gt;""),"●","")</x:f>
      </x:c>
      <x:c r="AO26" s="165" t="str">
        <x:f>IF(AND(AO$5&gt;=$C26,AO$5&lt;=$D26,$A26&lt;&gt;""),"●","")</x:f>
      </x:c>
      <x:c r="AP26" s="165" t="str">
        <x:f>IF(AND(AP$5&gt;=$C26,AP$5&lt;=$D26,$A26&lt;&gt;""),"●","")</x:f>
      </x:c>
      <x:c r="AQ26" s="165" t="str">
        <x:f>IF(AND(AQ$5&gt;=$C26,AQ$5&lt;=$D26,$A26&lt;&gt;""),"●","")</x:f>
      </x:c>
      <x:c r="AR26" s="165" t="str">
        <x:f>IF(AND(AR$5&gt;=$C26,AR$5&lt;=$D26,$A26&lt;&gt;""),"●","")</x:f>
      </x:c>
      <x:c r="AS26" s="165" t="str">
        <x:f>IF(AND(AS$5&gt;=$C26,AS$5&lt;=$D26,$A26&lt;&gt;""),"●","")</x:f>
      </x:c>
      <x:c r="AT26" s="165" t="str">
        <x:f>IF(AND(AT$5&gt;=$C26,AT$5&lt;=$D26,$A26&lt;&gt;""),"●","")</x:f>
      </x:c>
      <x:c r="AU26" s="165" t="str">
        <x:f>IF(AND(AU$5&gt;=$C26,AU$5&lt;=$D26,$A26&lt;&gt;""),"●","")</x:f>
      </x:c>
      <x:c r="AV26" s="165" t="str">
        <x:f>IF(AND(AV$5&gt;=$C26,AV$5&lt;=$D26,$A26&lt;&gt;""),"●","")</x:f>
      </x:c>
      <x:c r="AW26" s="165" t="str">
        <x:f>IF(AND(AW$5&gt;=$C26,AW$5&lt;=$D26,$A26&lt;&gt;""),"●","")</x:f>
      </x:c>
      <x:c r="AX26" s="165" t="str">
        <x:f>IF(AND(AX$5&gt;=$C26,AX$5&lt;=$D26,$A26&lt;&gt;""),"●","")</x:f>
      </x:c>
      <x:c r="AY26" s="165" t="str">
        <x:f>IF(AND(AY$5&gt;=$C26,AY$5&lt;=$D26,$A26&lt;&gt;""),"●","")</x:f>
      </x:c>
      <x:c r="AZ26" s="165" t="str">
        <x:f>IF(AND(AZ$5&gt;=$C26,AZ$5&lt;=$D26,$A26&lt;&gt;""),"●","")</x:f>
      </x:c>
      <x:c r="BA26" s="165" t="str">
        <x:f>IF(AND(BA$5&gt;=$C26,BA$5&lt;=$D26,$A26&lt;&gt;""),"●","")</x:f>
      </x:c>
      <x:c r="BB26" s="165" t="str">
        <x:f>IF(AND(BB$5&gt;=$C26,BB$5&lt;=$D26,$A26&lt;&gt;""),"●","")</x:f>
      </x:c>
      <x:c r="BC26" s="165" t="str">
        <x:f>IF(AND(BC$5&gt;=$C26,BC$5&lt;=$D26,$A26&lt;&gt;""),"●","")</x:f>
      </x:c>
      <x:c r="BD26" s="165" t="str">
        <x:f>IF(AND(BD$5&gt;=$C26,BD$5&lt;=$D26,$A26&lt;&gt;""),"●","")</x:f>
      </x:c>
      <x:c r="BE26" s="165" t="str">
        <x:f>IF(AND(BE$5&gt;=$C26,BE$5&lt;=$D26,$A26&lt;&gt;""),"●","")</x:f>
      </x:c>
      <x:c r="BF26" s="165" t="str">
        <x:f>IF(AND(BF$5&gt;=$C26,BF$5&lt;=$D26,$A26&lt;&gt;""),"●","")</x:f>
      </x:c>
      <x:c r="BG26" s="165" t="str">
        <x:f>IF(AND(BG$5&gt;=$C26,BG$5&lt;=$D26,$A26&lt;&gt;""),"●","")</x:f>
      </x:c>
      <x:c r="BH26" s="165" t="str">
        <x:f>IF(AND(BH$5&gt;=$C26,BH$5&lt;=$D26,$A26&lt;&gt;""),"●","")</x:f>
      </x:c>
      <x:c r="BI26" s="165" t="str">
        <x:f>IF(AND(BI$5&gt;=$C26,BI$5&lt;=$D26,$A26&lt;&gt;""),"●","")</x:f>
      </x:c>
      <x:c r="BJ26" s="165" t="str">
        <x:f>IF(AND(BJ$5&gt;=$C26,BJ$5&lt;=$D26,$A26&lt;&gt;""),"●","")</x:f>
      </x:c>
      <x:c r="BK26" s="165" t="str">
        <x:f>IF(AND(BK$5&gt;=$C26,BK$5&lt;=$D26,$A26&lt;&gt;""),"●","")</x:f>
      </x:c>
      <x:c r="BL26" s="165" t="str">
        <x:f>IF(AND(BL$5&gt;=$C26,BL$5&lt;=$D26,$A26&lt;&gt;""),"●","")</x:f>
      </x:c>
      <x:c r="BM26" s="165" t="str">
        <x:f>IF(AND(BM$5&gt;=$C26,BM$5&lt;=$D26,$A26&lt;&gt;""),"●","")</x:f>
      </x:c>
      <x:c r="BN26" s="165" t="str">
        <x:f>IF(AND(BN$5&gt;=$C26,BN$5&lt;=$D26,$A26&lt;&gt;""),"●","")</x:f>
      </x:c>
      <x:c r="BO26" s="165" t="str">
        <x:f>IF(AND(BO$5&gt;=$C26,BO$5&lt;=$D26,$A26&lt;&gt;""),"●","")</x:f>
      </x:c>
      <x:c r="BP26" s="165" t="str">
        <x:f>IF(AND(BP$5&gt;=$C26,BP$5&lt;=$D26,$A26&lt;&gt;""),"●","")</x:f>
      </x:c>
      <x:c r="BQ26" s="165" t="str">
        <x:f>IF(AND(BQ$5&gt;=$C26,BQ$5&lt;=$D26,$A26&lt;&gt;""),"●","")</x:f>
      </x:c>
      <x:c r="BR26" s="165" t="str">
        <x:f>IF(AND(BR$5&gt;=$C26,BR$5&lt;=$D26,$A26&lt;&gt;""),"●","")</x:f>
      </x:c>
      <x:c r="BS26" s="165" t="str">
        <x:f>IF(AND(BS$5&gt;=$C26,BS$5&lt;=$D26,$A26&lt;&gt;""),"●","")</x:f>
      </x:c>
      <x:c r="BT26" s="165" t="str">
        <x:f>IF(AND(BT$5&gt;=$C26,BT$5&lt;=$D26,$A26&lt;&gt;""),"●","")</x:f>
      </x:c>
      <x:c r="BU26" s="165" t="str">
        <x:f>IF(AND(BU$5&gt;=$C26,BU$5&lt;=$D26,$A26&lt;&gt;""),"●","")</x:f>
      </x:c>
      <x:c r="BV26" s="165" t="str">
        <x:f>IF(AND(BV$5&gt;=$C26,BV$5&lt;=$D26,$A26&lt;&gt;""),"●","")</x:f>
      </x:c>
      <x:c r="BW26" s="165" t="str">
        <x:f>IF(AND(BW$5&gt;=$C26,BW$5&lt;=$D26,$A26&lt;&gt;""),"●","")</x:f>
      </x:c>
    </x:row>
    <x:row r="27">
      <x:c r="A27" s="159" t="str">
        <x:f>IF('รายการสัญญา'!A27="","",'รายการสัญญา'!A27)</x:f>
      </x:c>
      <x:c r="B27" s="159" t="str">
        <x:f>IF('รายการสัญญา'!A27="","",'รายการสัญญา'!C27)</x:f>
      </x:c>
      <x:c r="C27" s="162" t="str">
        <x:f>IF('รายการสัญญา'!A27="","",'รายการสัญญา'!E27)</x:f>
      </x:c>
      <x:c r="D27" s="162" t="str">
        <x:f>IF('รายการสัญญา'!A27="","",'รายการสัญญา'!G27)</x:f>
      </x:c>
      <x:c r="E27" s="159" t="str">
        <x:f>IF('รายการสัญญา'!A27="","",'รายการสัญญา'!K27)</x:f>
      </x:c>
      <x:c r="F27" s="165" t="str">
        <x:f>IF(AND(F$5&gt;=$C27,F$5&lt;=$D27,$A27&lt;&gt;""),"●","")</x:f>
      </x:c>
      <x:c r="G27" s="165" t="str">
        <x:f>IF(AND(G$5&gt;=$C27,G$5&lt;=$D27,$A27&lt;&gt;""),"●","")</x:f>
      </x:c>
      <x:c r="H27" s="165" t="str">
        <x:f>IF(AND(H$5&gt;=$C27,H$5&lt;=$D27,$A27&lt;&gt;""),"●","")</x:f>
      </x:c>
      <x:c r="I27" s="165" t="str">
        <x:f>IF(AND(I$5&gt;=$C27,I$5&lt;=$D27,$A27&lt;&gt;""),"●","")</x:f>
      </x:c>
      <x:c r="J27" s="165" t="str">
        <x:f>IF(AND(J$5&gt;=$C27,J$5&lt;=$D27,$A27&lt;&gt;""),"●","")</x:f>
      </x:c>
      <x:c r="K27" s="165" t="str">
        <x:f>IF(AND(K$5&gt;=$C27,K$5&lt;=$D27,$A27&lt;&gt;""),"●","")</x:f>
      </x:c>
      <x:c r="L27" s="165" t="str">
        <x:f>IF(AND(L$5&gt;=$C27,L$5&lt;=$D27,$A27&lt;&gt;""),"●","")</x:f>
      </x:c>
      <x:c r="M27" s="165" t="str">
        <x:f>IF(AND(M$5&gt;=$C27,M$5&lt;=$D27,$A27&lt;&gt;""),"●","")</x:f>
      </x:c>
      <x:c r="N27" s="165" t="str">
        <x:f>IF(AND(N$5&gt;=$C27,N$5&lt;=$D27,$A27&lt;&gt;""),"●","")</x:f>
      </x:c>
      <x:c r="O27" s="165" t="str">
        <x:f>IF(AND(O$5&gt;=$C27,O$5&lt;=$D27,$A27&lt;&gt;""),"●","")</x:f>
      </x:c>
      <x:c r="P27" s="165" t="str">
        <x:f>IF(AND(P$5&gt;=$C27,P$5&lt;=$D27,$A27&lt;&gt;""),"●","")</x:f>
      </x:c>
      <x:c r="Q27" s="165" t="str">
        <x:f>IF(AND(Q$5&gt;=$C27,Q$5&lt;=$D27,$A27&lt;&gt;""),"●","")</x:f>
      </x:c>
      <x:c r="R27" s="165" t="str">
        <x:f>IF(AND(R$5&gt;=$C27,R$5&lt;=$D27,$A27&lt;&gt;""),"●","")</x:f>
      </x:c>
      <x:c r="S27" s="165" t="str">
        <x:f>IF(AND(S$5&gt;=$C27,S$5&lt;=$D27,$A27&lt;&gt;""),"●","")</x:f>
      </x:c>
      <x:c r="T27" s="165" t="str">
        <x:f>IF(AND(T$5&gt;=$C27,T$5&lt;=$D27,$A27&lt;&gt;""),"●","")</x:f>
      </x:c>
      <x:c r="U27" s="165" t="str">
        <x:f>IF(AND(U$5&gt;=$C27,U$5&lt;=$D27,$A27&lt;&gt;""),"●","")</x:f>
      </x:c>
      <x:c r="V27" s="165" t="str">
        <x:f>IF(AND(V$5&gt;=$C27,V$5&lt;=$D27,$A27&lt;&gt;""),"●","")</x:f>
      </x:c>
      <x:c r="W27" s="165" t="str">
        <x:f>IF(AND(W$5&gt;=$C27,W$5&lt;=$D27,$A27&lt;&gt;""),"●","")</x:f>
      </x:c>
      <x:c r="X27" s="165" t="str">
        <x:f>IF(AND(X$5&gt;=$C27,X$5&lt;=$D27,$A27&lt;&gt;""),"●","")</x:f>
      </x:c>
      <x:c r="Y27" s="165" t="str">
        <x:f>IF(AND(Y$5&gt;=$C27,Y$5&lt;=$D27,$A27&lt;&gt;""),"●","")</x:f>
      </x:c>
      <x:c r="Z27" s="165" t="str">
        <x:f>IF(AND(Z$5&gt;=$C27,Z$5&lt;=$D27,$A27&lt;&gt;""),"●","")</x:f>
      </x:c>
      <x:c r="AA27" s="165" t="str">
        <x:f>IF(AND(AA$5&gt;=$C27,AA$5&lt;=$D27,$A27&lt;&gt;""),"●","")</x:f>
      </x:c>
      <x:c r="AB27" s="165" t="str">
        <x:f>IF(AND(AB$5&gt;=$C27,AB$5&lt;=$D27,$A27&lt;&gt;""),"●","")</x:f>
      </x:c>
      <x:c r="AC27" s="165" t="str">
        <x:f>IF(AND(AC$5&gt;=$C27,AC$5&lt;=$D27,$A27&lt;&gt;""),"●","")</x:f>
      </x:c>
      <x:c r="AD27" s="165" t="str">
        <x:f>IF(AND(AD$5&gt;=$C27,AD$5&lt;=$D27,$A27&lt;&gt;""),"●","")</x:f>
      </x:c>
      <x:c r="AE27" s="165" t="str">
        <x:f>IF(AND(AE$5&gt;=$C27,AE$5&lt;=$D27,$A27&lt;&gt;""),"●","")</x:f>
      </x:c>
      <x:c r="AF27" s="165" t="str">
        <x:f>IF(AND(AF$5&gt;=$C27,AF$5&lt;=$D27,$A27&lt;&gt;""),"●","")</x:f>
      </x:c>
      <x:c r="AG27" s="165" t="str">
        <x:f>IF(AND(AG$5&gt;=$C27,AG$5&lt;=$D27,$A27&lt;&gt;""),"●","")</x:f>
      </x:c>
      <x:c r="AH27" s="165" t="str">
        <x:f>IF(AND(AH$5&gt;=$C27,AH$5&lt;=$D27,$A27&lt;&gt;""),"●","")</x:f>
      </x:c>
      <x:c r="AI27" s="165" t="str">
        <x:f>IF(AND(AI$5&gt;=$C27,AI$5&lt;=$D27,$A27&lt;&gt;""),"●","")</x:f>
      </x:c>
      <x:c r="AJ27" s="165" t="str">
        <x:f>IF(AND(AJ$5&gt;=$C27,AJ$5&lt;=$D27,$A27&lt;&gt;""),"●","")</x:f>
      </x:c>
      <x:c r="AK27" s="165" t="str">
        <x:f>IF(AND(AK$5&gt;=$C27,AK$5&lt;=$D27,$A27&lt;&gt;""),"●","")</x:f>
      </x:c>
      <x:c r="AL27" s="165" t="str">
        <x:f>IF(AND(AL$5&gt;=$C27,AL$5&lt;=$D27,$A27&lt;&gt;""),"●","")</x:f>
      </x:c>
      <x:c r="AM27" s="165" t="str">
        <x:f>IF(AND(AM$5&gt;=$C27,AM$5&lt;=$D27,$A27&lt;&gt;""),"●","")</x:f>
      </x:c>
      <x:c r="AN27" s="165" t="str">
        <x:f>IF(AND(AN$5&gt;=$C27,AN$5&lt;=$D27,$A27&lt;&gt;""),"●","")</x:f>
      </x:c>
      <x:c r="AO27" s="165" t="str">
        <x:f>IF(AND(AO$5&gt;=$C27,AO$5&lt;=$D27,$A27&lt;&gt;""),"●","")</x:f>
      </x:c>
      <x:c r="AP27" s="165" t="str">
        <x:f>IF(AND(AP$5&gt;=$C27,AP$5&lt;=$D27,$A27&lt;&gt;""),"●","")</x:f>
      </x:c>
      <x:c r="AQ27" s="165" t="str">
        <x:f>IF(AND(AQ$5&gt;=$C27,AQ$5&lt;=$D27,$A27&lt;&gt;""),"●","")</x:f>
      </x:c>
      <x:c r="AR27" s="165" t="str">
        <x:f>IF(AND(AR$5&gt;=$C27,AR$5&lt;=$D27,$A27&lt;&gt;""),"●","")</x:f>
      </x:c>
      <x:c r="AS27" s="165" t="str">
        <x:f>IF(AND(AS$5&gt;=$C27,AS$5&lt;=$D27,$A27&lt;&gt;""),"●","")</x:f>
      </x:c>
      <x:c r="AT27" s="165" t="str">
        <x:f>IF(AND(AT$5&gt;=$C27,AT$5&lt;=$D27,$A27&lt;&gt;""),"●","")</x:f>
      </x:c>
      <x:c r="AU27" s="165" t="str">
        <x:f>IF(AND(AU$5&gt;=$C27,AU$5&lt;=$D27,$A27&lt;&gt;""),"●","")</x:f>
      </x:c>
      <x:c r="AV27" s="165" t="str">
        <x:f>IF(AND(AV$5&gt;=$C27,AV$5&lt;=$D27,$A27&lt;&gt;""),"●","")</x:f>
      </x:c>
      <x:c r="AW27" s="165" t="str">
        <x:f>IF(AND(AW$5&gt;=$C27,AW$5&lt;=$D27,$A27&lt;&gt;""),"●","")</x:f>
      </x:c>
      <x:c r="AX27" s="165" t="str">
        <x:f>IF(AND(AX$5&gt;=$C27,AX$5&lt;=$D27,$A27&lt;&gt;""),"●","")</x:f>
      </x:c>
      <x:c r="AY27" s="165" t="str">
        <x:f>IF(AND(AY$5&gt;=$C27,AY$5&lt;=$D27,$A27&lt;&gt;""),"●","")</x:f>
      </x:c>
      <x:c r="AZ27" s="165" t="str">
        <x:f>IF(AND(AZ$5&gt;=$C27,AZ$5&lt;=$D27,$A27&lt;&gt;""),"●","")</x:f>
      </x:c>
      <x:c r="BA27" s="165" t="str">
        <x:f>IF(AND(BA$5&gt;=$C27,BA$5&lt;=$D27,$A27&lt;&gt;""),"●","")</x:f>
      </x:c>
      <x:c r="BB27" s="165" t="str">
        <x:f>IF(AND(BB$5&gt;=$C27,BB$5&lt;=$D27,$A27&lt;&gt;""),"●","")</x:f>
      </x:c>
      <x:c r="BC27" s="165" t="str">
        <x:f>IF(AND(BC$5&gt;=$C27,BC$5&lt;=$D27,$A27&lt;&gt;""),"●","")</x:f>
      </x:c>
      <x:c r="BD27" s="165" t="str">
        <x:f>IF(AND(BD$5&gt;=$C27,BD$5&lt;=$D27,$A27&lt;&gt;""),"●","")</x:f>
      </x:c>
      <x:c r="BE27" s="165" t="str">
        <x:f>IF(AND(BE$5&gt;=$C27,BE$5&lt;=$D27,$A27&lt;&gt;""),"●","")</x:f>
      </x:c>
      <x:c r="BF27" s="165" t="str">
        <x:f>IF(AND(BF$5&gt;=$C27,BF$5&lt;=$D27,$A27&lt;&gt;""),"●","")</x:f>
      </x:c>
      <x:c r="BG27" s="165" t="str">
        <x:f>IF(AND(BG$5&gt;=$C27,BG$5&lt;=$D27,$A27&lt;&gt;""),"●","")</x:f>
      </x:c>
      <x:c r="BH27" s="165" t="str">
        <x:f>IF(AND(BH$5&gt;=$C27,BH$5&lt;=$D27,$A27&lt;&gt;""),"●","")</x:f>
      </x:c>
      <x:c r="BI27" s="165" t="str">
        <x:f>IF(AND(BI$5&gt;=$C27,BI$5&lt;=$D27,$A27&lt;&gt;""),"●","")</x:f>
      </x:c>
      <x:c r="BJ27" s="165" t="str">
        <x:f>IF(AND(BJ$5&gt;=$C27,BJ$5&lt;=$D27,$A27&lt;&gt;""),"●","")</x:f>
      </x:c>
      <x:c r="BK27" s="165" t="str">
        <x:f>IF(AND(BK$5&gt;=$C27,BK$5&lt;=$D27,$A27&lt;&gt;""),"●","")</x:f>
      </x:c>
      <x:c r="BL27" s="165" t="str">
        <x:f>IF(AND(BL$5&gt;=$C27,BL$5&lt;=$D27,$A27&lt;&gt;""),"●","")</x:f>
      </x:c>
      <x:c r="BM27" s="165" t="str">
        <x:f>IF(AND(BM$5&gt;=$C27,BM$5&lt;=$D27,$A27&lt;&gt;""),"●","")</x:f>
      </x:c>
      <x:c r="BN27" s="165" t="str">
        <x:f>IF(AND(BN$5&gt;=$C27,BN$5&lt;=$D27,$A27&lt;&gt;""),"●","")</x:f>
      </x:c>
      <x:c r="BO27" s="165" t="str">
        <x:f>IF(AND(BO$5&gt;=$C27,BO$5&lt;=$D27,$A27&lt;&gt;""),"●","")</x:f>
      </x:c>
      <x:c r="BP27" s="165" t="str">
        <x:f>IF(AND(BP$5&gt;=$C27,BP$5&lt;=$D27,$A27&lt;&gt;""),"●","")</x:f>
      </x:c>
      <x:c r="BQ27" s="165" t="str">
        <x:f>IF(AND(BQ$5&gt;=$C27,BQ$5&lt;=$D27,$A27&lt;&gt;""),"●","")</x:f>
      </x:c>
      <x:c r="BR27" s="165" t="str">
        <x:f>IF(AND(BR$5&gt;=$C27,BR$5&lt;=$D27,$A27&lt;&gt;""),"●","")</x:f>
      </x:c>
      <x:c r="BS27" s="165" t="str">
        <x:f>IF(AND(BS$5&gt;=$C27,BS$5&lt;=$D27,$A27&lt;&gt;""),"●","")</x:f>
      </x:c>
      <x:c r="BT27" s="165" t="str">
        <x:f>IF(AND(BT$5&gt;=$C27,BT$5&lt;=$D27,$A27&lt;&gt;""),"●","")</x:f>
      </x:c>
      <x:c r="BU27" s="165" t="str">
        <x:f>IF(AND(BU$5&gt;=$C27,BU$5&lt;=$D27,$A27&lt;&gt;""),"●","")</x:f>
      </x:c>
      <x:c r="BV27" s="165" t="str">
        <x:f>IF(AND(BV$5&gt;=$C27,BV$5&lt;=$D27,$A27&lt;&gt;""),"●","")</x:f>
      </x:c>
      <x:c r="BW27" s="165" t="str">
        <x:f>IF(AND(BW$5&gt;=$C27,BW$5&lt;=$D27,$A27&lt;&gt;""),"●","")</x:f>
      </x:c>
    </x:row>
    <x:row r="28">
      <x:c r="A28" s="159" t="str">
        <x:f>IF('รายการสัญญา'!A28="","",'รายการสัญญา'!A28)</x:f>
      </x:c>
      <x:c r="B28" s="159" t="str">
        <x:f>IF('รายการสัญญา'!A28="","",'รายการสัญญา'!C28)</x:f>
      </x:c>
      <x:c r="C28" s="162" t="str">
        <x:f>IF('รายการสัญญา'!A28="","",'รายการสัญญา'!E28)</x:f>
      </x:c>
      <x:c r="D28" s="162" t="str">
        <x:f>IF('รายการสัญญา'!A28="","",'รายการสัญญา'!G28)</x:f>
      </x:c>
      <x:c r="E28" s="159" t="str">
        <x:f>IF('รายการสัญญา'!A28="","",'รายการสัญญา'!K28)</x:f>
      </x:c>
      <x:c r="F28" s="165" t="str">
        <x:f>IF(AND(F$5&gt;=$C28,F$5&lt;=$D28,$A28&lt;&gt;""),"●","")</x:f>
      </x:c>
      <x:c r="G28" s="165" t="str">
        <x:f>IF(AND(G$5&gt;=$C28,G$5&lt;=$D28,$A28&lt;&gt;""),"●","")</x:f>
      </x:c>
      <x:c r="H28" s="165" t="str">
        <x:f>IF(AND(H$5&gt;=$C28,H$5&lt;=$D28,$A28&lt;&gt;""),"●","")</x:f>
      </x:c>
      <x:c r="I28" s="165" t="str">
        <x:f>IF(AND(I$5&gt;=$C28,I$5&lt;=$D28,$A28&lt;&gt;""),"●","")</x:f>
      </x:c>
      <x:c r="J28" s="165" t="str">
        <x:f>IF(AND(J$5&gt;=$C28,J$5&lt;=$D28,$A28&lt;&gt;""),"●","")</x:f>
      </x:c>
      <x:c r="K28" s="165" t="str">
        <x:f>IF(AND(K$5&gt;=$C28,K$5&lt;=$D28,$A28&lt;&gt;""),"●","")</x:f>
      </x:c>
      <x:c r="L28" s="165" t="str">
        <x:f>IF(AND(L$5&gt;=$C28,L$5&lt;=$D28,$A28&lt;&gt;""),"●","")</x:f>
      </x:c>
      <x:c r="M28" s="165" t="str">
        <x:f>IF(AND(M$5&gt;=$C28,M$5&lt;=$D28,$A28&lt;&gt;""),"●","")</x:f>
      </x:c>
      <x:c r="N28" s="165" t="str">
        <x:f>IF(AND(N$5&gt;=$C28,N$5&lt;=$D28,$A28&lt;&gt;""),"●","")</x:f>
      </x:c>
      <x:c r="O28" s="165" t="str">
        <x:f>IF(AND(O$5&gt;=$C28,O$5&lt;=$D28,$A28&lt;&gt;""),"●","")</x:f>
      </x:c>
      <x:c r="P28" s="165" t="str">
        <x:f>IF(AND(P$5&gt;=$C28,P$5&lt;=$D28,$A28&lt;&gt;""),"●","")</x:f>
      </x:c>
      <x:c r="Q28" s="165" t="str">
        <x:f>IF(AND(Q$5&gt;=$C28,Q$5&lt;=$D28,$A28&lt;&gt;""),"●","")</x:f>
      </x:c>
      <x:c r="R28" s="165" t="str">
        <x:f>IF(AND(R$5&gt;=$C28,R$5&lt;=$D28,$A28&lt;&gt;""),"●","")</x:f>
      </x:c>
      <x:c r="S28" s="165" t="str">
        <x:f>IF(AND(S$5&gt;=$C28,S$5&lt;=$D28,$A28&lt;&gt;""),"●","")</x:f>
      </x:c>
      <x:c r="T28" s="165" t="str">
        <x:f>IF(AND(T$5&gt;=$C28,T$5&lt;=$D28,$A28&lt;&gt;""),"●","")</x:f>
      </x:c>
      <x:c r="U28" s="165" t="str">
        <x:f>IF(AND(U$5&gt;=$C28,U$5&lt;=$D28,$A28&lt;&gt;""),"●","")</x:f>
      </x:c>
      <x:c r="V28" s="165" t="str">
        <x:f>IF(AND(V$5&gt;=$C28,V$5&lt;=$D28,$A28&lt;&gt;""),"●","")</x:f>
      </x:c>
      <x:c r="W28" s="165" t="str">
        <x:f>IF(AND(W$5&gt;=$C28,W$5&lt;=$D28,$A28&lt;&gt;""),"●","")</x:f>
      </x:c>
      <x:c r="X28" s="165" t="str">
        <x:f>IF(AND(X$5&gt;=$C28,X$5&lt;=$D28,$A28&lt;&gt;""),"●","")</x:f>
      </x:c>
      <x:c r="Y28" s="165" t="str">
        <x:f>IF(AND(Y$5&gt;=$C28,Y$5&lt;=$D28,$A28&lt;&gt;""),"●","")</x:f>
      </x:c>
      <x:c r="Z28" s="165" t="str">
        <x:f>IF(AND(Z$5&gt;=$C28,Z$5&lt;=$D28,$A28&lt;&gt;""),"●","")</x:f>
      </x:c>
      <x:c r="AA28" s="165" t="str">
        <x:f>IF(AND(AA$5&gt;=$C28,AA$5&lt;=$D28,$A28&lt;&gt;""),"●","")</x:f>
      </x:c>
      <x:c r="AB28" s="165" t="str">
        <x:f>IF(AND(AB$5&gt;=$C28,AB$5&lt;=$D28,$A28&lt;&gt;""),"●","")</x:f>
      </x:c>
      <x:c r="AC28" s="165" t="str">
        <x:f>IF(AND(AC$5&gt;=$C28,AC$5&lt;=$D28,$A28&lt;&gt;""),"●","")</x:f>
      </x:c>
      <x:c r="AD28" s="165" t="str">
        <x:f>IF(AND(AD$5&gt;=$C28,AD$5&lt;=$D28,$A28&lt;&gt;""),"●","")</x:f>
      </x:c>
      <x:c r="AE28" s="165" t="str">
        <x:f>IF(AND(AE$5&gt;=$C28,AE$5&lt;=$D28,$A28&lt;&gt;""),"●","")</x:f>
      </x:c>
      <x:c r="AF28" s="165" t="str">
        <x:f>IF(AND(AF$5&gt;=$C28,AF$5&lt;=$D28,$A28&lt;&gt;""),"●","")</x:f>
      </x:c>
      <x:c r="AG28" s="165" t="str">
        <x:f>IF(AND(AG$5&gt;=$C28,AG$5&lt;=$D28,$A28&lt;&gt;""),"●","")</x:f>
      </x:c>
      <x:c r="AH28" s="165" t="str">
        <x:f>IF(AND(AH$5&gt;=$C28,AH$5&lt;=$D28,$A28&lt;&gt;""),"●","")</x:f>
      </x:c>
      <x:c r="AI28" s="165" t="str">
        <x:f>IF(AND(AI$5&gt;=$C28,AI$5&lt;=$D28,$A28&lt;&gt;""),"●","")</x:f>
      </x:c>
      <x:c r="AJ28" s="165" t="str">
        <x:f>IF(AND(AJ$5&gt;=$C28,AJ$5&lt;=$D28,$A28&lt;&gt;""),"●","")</x:f>
      </x:c>
      <x:c r="AK28" s="165" t="str">
        <x:f>IF(AND(AK$5&gt;=$C28,AK$5&lt;=$D28,$A28&lt;&gt;""),"●","")</x:f>
      </x:c>
      <x:c r="AL28" s="165" t="str">
        <x:f>IF(AND(AL$5&gt;=$C28,AL$5&lt;=$D28,$A28&lt;&gt;""),"●","")</x:f>
      </x:c>
      <x:c r="AM28" s="165" t="str">
        <x:f>IF(AND(AM$5&gt;=$C28,AM$5&lt;=$D28,$A28&lt;&gt;""),"●","")</x:f>
      </x:c>
      <x:c r="AN28" s="165" t="str">
        <x:f>IF(AND(AN$5&gt;=$C28,AN$5&lt;=$D28,$A28&lt;&gt;""),"●","")</x:f>
      </x:c>
      <x:c r="AO28" s="165" t="str">
        <x:f>IF(AND(AO$5&gt;=$C28,AO$5&lt;=$D28,$A28&lt;&gt;""),"●","")</x:f>
      </x:c>
      <x:c r="AP28" s="165" t="str">
        <x:f>IF(AND(AP$5&gt;=$C28,AP$5&lt;=$D28,$A28&lt;&gt;""),"●","")</x:f>
      </x:c>
      <x:c r="AQ28" s="165" t="str">
        <x:f>IF(AND(AQ$5&gt;=$C28,AQ$5&lt;=$D28,$A28&lt;&gt;""),"●","")</x:f>
      </x:c>
      <x:c r="AR28" s="165" t="str">
        <x:f>IF(AND(AR$5&gt;=$C28,AR$5&lt;=$D28,$A28&lt;&gt;""),"●","")</x:f>
      </x:c>
      <x:c r="AS28" s="165" t="str">
        <x:f>IF(AND(AS$5&gt;=$C28,AS$5&lt;=$D28,$A28&lt;&gt;""),"●","")</x:f>
      </x:c>
      <x:c r="AT28" s="165" t="str">
        <x:f>IF(AND(AT$5&gt;=$C28,AT$5&lt;=$D28,$A28&lt;&gt;""),"●","")</x:f>
      </x:c>
      <x:c r="AU28" s="165" t="str">
        <x:f>IF(AND(AU$5&gt;=$C28,AU$5&lt;=$D28,$A28&lt;&gt;""),"●","")</x:f>
      </x:c>
      <x:c r="AV28" s="165" t="str">
        <x:f>IF(AND(AV$5&gt;=$C28,AV$5&lt;=$D28,$A28&lt;&gt;""),"●","")</x:f>
      </x:c>
      <x:c r="AW28" s="165" t="str">
        <x:f>IF(AND(AW$5&gt;=$C28,AW$5&lt;=$D28,$A28&lt;&gt;""),"●","")</x:f>
      </x:c>
      <x:c r="AX28" s="165" t="str">
        <x:f>IF(AND(AX$5&gt;=$C28,AX$5&lt;=$D28,$A28&lt;&gt;""),"●","")</x:f>
      </x:c>
      <x:c r="AY28" s="165" t="str">
        <x:f>IF(AND(AY$5&gt;=$C28,AY$5&lt;=$D28,$A28&lt;&gt;""),"●","")</x:f>
      </x:c>
      <x:c r="AZ28" s="165" t="str">
        <x:f>IF(AND(AZ$5&gt;=$C28,AZ$5&lt;=$D28,$A28&lt;&gt;""),"●","")</x:f>
      </x:c>
      <x:c r="BA28" s="165" t="str">
        <x:f>IF(AND(BA$5&gt;=$C28,BA$5&lt;=$D28,$A28&lt;&gt;""),"●","")</x:f>
      </x:c>
      <x:c r="BB28" s="165" t="str">
        <x:f>IF(AND(BB$5&gt;=$C28,BB$5&lt;=$D28,$A28&lt;&gt;""),"●","")</x:f>
      </x:c>
      <x:c r="BC28" s="165" t="str">
        <x:f>IF(AND(BC$5&gt;=$C28,BC$5&lt;=$D28,$A28&lt;&gt;""),"●","")</x:f>
      </x:c>
      <x:c r="BD28" s="165" t="str">
        <x:f>IF(AND(BD$5&gt;=$C28,BD$5&lt;=$D28,$A28&lt;&gt;""),"●","")</x:f>
      </x:c>
      <x:c r="BE28" s="165" t="str">
        <x:f>IF(AND(BE$5&gt;=$C28,BE$5&lt;=$D28,$A28&lt;&gt;""),"●","")</x:f>
      </x:c>
      <x:c r="BF28" s="165" t="str">
        <x:f>IF(AND(BF$5&gt;=$C28,BF$5&lt;=$D28,$A28&lt;&gt;""),"●","")</x:f>
      </x:c>
      <x:c r="BG28" s="165" t="str">
        <x:f>IF(AND(BG$5&gt;=$C28,BG$5&lt;=$D28,$A28&lt;&gt;""),"●","")</x:f>
      </x:c>
      <x:c r="BH28" s="165" t="str">
        <x:f>IF(AND(BH$5&gt;=$C28,BH$5&lt;=$D28,$A28&lt;&gt;""),"●","")</x:f>
      </x:c>
      <x:c r="BI28" s="165" t="str">
        <x:f>IF(AND(BI$5&gt;=$C28,BI$5&lt;=$D28,$A28&lt;&gt;""),"●","")</x:f>
      </x:c>
      <x:c r="BJ28" s="165" t="str">
        <x:f>IF(AND(BJ$5&gt;=$C28,BJ$5&lt;=$D28,$A28&lt;&gt;""),"●","")</x:f>
      </x:c>
      <x:c r="BK28" s="165" t="str">
        <x:f>IF(AND(BK$5&gt;=$C28,BK$5&lt;=$D28,$A28&lt;&gt;""),"●","")</x:f>
      </x:c>
      <x:c r="BL28" s="165" t="str">
        <x:f>IF(AND(BL$5&gt;=$C28,BL$5&lt;=$D28,$A28&lt;&gt;""),"●","")</x:f>
      </x:c>
      <x:c r="BM28" s="165" t="str">
        <x:f>IF(AND(BM$5&gt;=$C28,BM$5&lt;=$D28,$A28&lt;&gt;""),"●","")</x:f>
      </x:c>
      <x:c r="BN28" s="165" t="str">
        <x:f>IF(AND(BN$5&gt;=$C28,BN$5&lt;=$D28,$A28&lt;&gt;""),"●","")</x:f>
      </x:c>
      <x:c r="BO28" s="165" t="str">
        <x:f>IF(AND(BO$5&gt;=$C28,BO$5&lt;=$D28,$A28&lt;&gt;""),"●","")</x:f>
      </x:c>
      <x:c r="BP28" s="165" t="str">
        <x:f>IF(AND(BP$5&gt;=$C28,BP$5&lt;=$D28,$A28&lt;&gt;""),"●","")</x:f>
      </x:c>
      <x:c r="BQ28" s="165" t="str">
        <x:f>IF(AND(BQ$5&gt;=$C28,BQ$5&lt;=$D28,$A28&lt;&gt;""),"●","")</x:f>
      </x:c>
      <x:c r="BR28" s="165" t="str">
        <x:f>IF(AND(BR$5&gt;=$C28,BR$5&lt;=$D28,$A28&lt;&gt;""),"●","")</x:f>
      </x:c>
      <x:c r="BS28" s="165" t="str">
        <x:f>IF(AND(BS$5&gt;=$C28,BS$5&lt;=$D28,$A28&lt;&gt;""),"●","")</x:f>
      </x:c>
      <x:c r="BT28" s="165" t="str">
        <x:f>IF(AND(BT$5&gt;=$C28,BT$5&lt;=$D28,$A28&lt;&gt;""),"●","")</x:f>
      </x:c>
      <x:c r="BU28" s="165" t="str">
        <x:f>IF(AND(BU$5&gt;=$C28,BU$5&lt;=$D28,$A28&lt;&gt;""),"●","")</x:f>
      </x:c>
      <x:c r="BV28" s="165" t="str">
        <x:f>IF(AND(BV$5&gt;=$C28,BV$5&lt;=$D28,$A28&lt;&gt;""),"●","")</x:f>
      </x:c>
      <x:c r="BW28" s="165" t="str">
        <x:f>IF(AND(BW$5&gt;=$C28,BW$5&lt;=$D28,$A28&lt;&gt;""),"●","")</x:f>
      </x:c>
    </x:row>
    <x:row r="29">
      <x:c r="A29" s="159" t="str">
        <x:f>IF('รายการสัญญา'!A29="","",'รายการสัญญา'!A29)</x:f>
      </x:c>
      <x:c r="B29" s="159" t="str">
        <x:f>IF('รายการสัญญา'!A29="","",'รายการสัญญา'!C29)</x:f>
      </x:c>
      <x:c r="C29" s="162" t="str">
        <x:f>IF('รายการสัญญา'!A29="","",'รายการสัญญา'!E29)</x:f>
      </x:c>
      <x:c r="D29" s="162" t="str">
        <x:f>IF('รายการสัญญา'!A29="","",'รายการสัญญา'!G29)</x:f>
      </x:c>
      <x:c r="E29" s="159" t="str">
        <x:f>IF('รายการสัญญา'!A29="","",'รายการสัญญา'!K29)</x:f>
      </x:c>
      <x:c r="F29" s="165" t="str">
        <x:f>IF(AND(F$5&gt;=$C29,F$5&lt;=$D29,$A29&lt;&gt;""),"●","")</x:f>
      </x:c>
      <x:c r="G29" s="165" t="str">
        <x:f>IF(AND(G$5&gt;=$C29,G$5&lt;=$D29,$A29&lt;&gt;""),"●","")</x:f>
      </x:c>
      <x:c r="H29" s="165" t="str">
        <x:f>IF(AND(H$5&gt;=$C29,H$5&lt;=$D29,$A29&lt;&gt;""),"●","")</x:f>
      </x:c>
      <x:c r="I29" s="165" t="str">
        <x:f>IF(AND(I$5&gt;=$C29,I$5&lt;=$D29,$A29&lt;&gt;""),"●","")</x:f>
      </x:c>
      <x:c r="J29" s="165" t="str">
        <x:f>IF(AND(J$5&gt;=$C29,J$5&lt;=$D29,$A29&lt;&gt;""),"●","")</x:f>
      </x:c>
      <x:c r="K29" s="165" t="str">
        <x:f>IF(AND(K$5&gt;=$C29,K$5&lt;=$D29,$A29&lt;&gt;""),"●","")</x:f>
      </x:c>
      <x:c r="L29" s="165" t="str">
        <x:f>IF(AND(L$5&gt;=$C29,L$5&lt;=$D29,$A29&lt;&gt;""),"●","")</x:f>
      </x:c>
      <x:c r="M29" s="165" t="str">
        <x:f>IF(AND(M$5&gt;=$C29,M$5&lt;=$D29,$A29&lt;&gt;""),"●","")</x:f>
      </x:c>
      <x:c r="N29" s="165" t="str">
        <x:f>IF(AND(N$5&gt;=$C29,N$5&lt;=$D29,$A29&lt;&gt;""),"●","")</x:f>
      </x:c>
      <x:c r="O29" s="165" t="str">
        <x:f>IF(AND(O$5&gt;=$C29,O$5&lt;=$D29,$A29&lt;&gt;""),"●","")</x:f>
      </x:c>
      <x:c r="P29" s="165" t="str">
        <x:f>IF(AND(P$5&gt;=$C29,P$5&lt;=$D29,$A29&lt;&gt;""),"●","")</x:f>
      </x:c>
      <x:c r="Q29" s="165" t="str">
        <x:f>IF(AND(Q$5&gt;=$C29,Q$5&lt;=$D29,$A29&lt;&gt;""),"●","")</x:f>
      </x:c>
      <x:c r="R29" s="165" t="str">
        <x:f>IF(AND(R$5&gt;=$C29,R$5&lt;=$D29,$A29&lt;&gt;""),"●","")</x:f>
      </x:c>
      <x:c r="S29" s="165" t="str">
        <x:f>IF(AND(S$5&gt;=$C29,S$5&lt;=$D29,$A29&lt;&gt;""),"●","")</x:f>
      </x:c>
      <x:c r="T29" s="165" t="str">
        <x:f>IF(AND(T$5&gt;=$C29,T$5&lt;=$D29,$A29&lt;&gt;""),"●","")</x:f>
      </x:c>
      <x:c r="U29" s="165" t="str">
        <x:f>IF(AND(U$5&gt;=$C29,U$5&lt;=$D29,$A29&lt;&gt;""),"●","")</x:f>
      </x:c>
      <x:c r="V29" s="165" t="str">
        <x:f>IF(AND(V$5&gt;=$C29,V$5&lt;=$D29,$A29&lt;&gt;""),"●","")</x:f>
      </x:c>
      <x:c r="W29" s="165" t="str">
        <x:f>IF(AND(W$5&gt;=$C29,W$5&lt;=$D29,$A29&lt;&gt;""),"●","")</x:f>
      </x:c>
      <x:c r="X29" s="165" t="str">
        <x:f>IF(AND(X$5&gt;=$C29,X$5&lt;=$D29,$A29&lt;&gt;""),"●","")</x:f>
      </x:c>
      <x:c r="Y29" s="165" t="str">
        <x:f>IF(AND(Y$5&gt;=$C29,Y$5&lt;=$D29,$A29&lt;&gt;""),"●","")</x:f>
      </x:c>
      <x:c r="Z29" s="165" t="str">
        <x:f>IF(AND(Z$5&gt;=$C29,Z$5&lt;=$D29,$A29&lt;&gt;""),"●","")</x:f>
      </x:c>
      <x:c r="AA29" s="165" t="str">
        <x:f>IF(AND(AA$5&gt;=$C29,AA$5&lt;=$D29,$A29&lt;&gt;""),"●","")</x:f>
      </x:c>
      <x:c r="AB29" s="165" t="str">
        <x:f>IF(AND(AB$5&gt;=$C29,AB$5&lt;=$D29,$A29&lt;&gt;""),"●","")</x:f>
      </x:c>
      <x:c r="AC29" s="165" t="str">
        <x:f>IF(AND(AC$5&gt;=$C29,AC$5&lt;=$D29,$A29&lt;&gt;""),"●","")</x:f>
      </x:c>
      <x:c r="AD29" s="165" t="str">
        <x:f>IF(AND(AD$5&gt;=$C29,AD$5&lt;=$D29,$A29&lt;&gt;""),"●","")</x:f>
      </x:c>
      <x:c r="AE29" s="165" t="str">
        <x:f>IF(AND(AE$5&gt;=$C29,AE$5&lt;=$D29,$A29&lt;&gt;""),"●","")</x:f>
      </x:c>
      <x:c r="AF29" s="165" t="str">
        <x:f>IF(AND(AF$5&gt;=$C29,AF$5&lt;=$D29,$A29&lt;&gt;""),"●","")</x:f>
      </x:c>
      <x:c r="AG29" s="165" t="str">
        <x:f>IF(AND(AG$5&gt;=$C29,AG$5&lt;=$D29,$A29&lt;&gt;""),"●","")</x:f>
      </x:c>
      <x:c r="AH29" s="165" t="str">
        <x:f>IF(AND(AH$5&gt;=$C29,AH$5&lt;=$D29,$A29&lt;&gt;""),"●","")</x:f>
      </x:c>
      <x:c r="AI29" s="165" t="str">
        <x:f>IF(AND(AI$5&gt;=$C29,AI$5&lt;=$D29,$A29&lt;&gt;""),"●","")</x:f>
      </x:c>
      <x:c r="AJ29" s="165" t="str">
        <x:f>IF(AND(AJ$5&gt;=$C29,AJ$5&lt;=$D29,$A29&lt;&gt;""),"●","")</x:f>
      </x:c>
      <x:c r="AK29" s="165" t="str">
        <x:f>IF(AND(AK$5&gt;=$C29,AK$5&lt;=$D29,$A29&lt;&gt;""),"●","")</x:f>
      </x:c>
      <x:c r="AL29" s="165" t="str">
        <x:f>IF(AND(AL$5&gt;=$C29,AL$5&lt;=$D29,$A29&lt;&gt;""),"●","")</x:f>
      </x:c>
      <x:c r="AM29" s="165" t="str">
        <x:f>IF(AND(AM$5&gt;=$C29,AM$5&lt;=$D29,$A29&lt;&gt;""),"●","")</x:f>
      </x:c>
      <x:c r="AN29" s="165" t="str">
        <x:f>IF(AND(AN$5&gt;=$C29,AN$5&lt;=$D29,$A29&lt;&gt;""),"●","")</x:f>
      </x:c>
      <x:c r="AO29" s="165" t="str">
        <x:f>IF(AND(AO$5&gt;=$C29,AO$5&lt;=$D29,$A29&lt;&gt;""),"●","")</x:f>
      </x:c>
      <x:c r="AP29" s="165" t="str">
        <x:f>IF(AND(AP$5&gt;=$C29,AP$5&lt;=$D29,$A29&lt;&gt;""),"●","")</x:f>
      </x:c>
      <x:c r="AQ29" s="165" t="str">
        <x:f>IF(AND(AQ$5&gt;=$C29,AQ$5&lt;=$D29,$A29&lt;&gt;""),"●","")</x:f>
      </x:c>
      <x:c r="AR29" s="165" t="str">
        <x:f>IF(AND(AR$5&gt;=$C29,AR$5&lt;=$D29,$A29&lt;&gt;""),"●","")</x:f>
      </x:c>
      <x:c r="AS29" s="165" t="str">
        <x:f>IF(AND(AS$5&gt;=$C29,AS$5&lt;=$D29,$A29&lt;&gt;""),"●","")</x:f>
      </x:c>
      <x:c r="AT29" s="165" t="str">
        <x:f>IF(AND(AT$5&gt;=$C29,AT$5&lt;=$D29,$A29&lt;&gt;""),"●","")</x:f>
      </x:c>
      <x:c r="AU29" s="165" t="str">
        <x:f>IF(AND(AU$5&gt;=$C29,AU$5&lt;=$D29,$A29&lt;&gt;""),"●","")</x:f>
      </x:c>
      <x:c r="AV29" s="165" t="str">
        <x:f>IF(AND(AV$5&gt;=$C29,AV$5&lt;=$D29,$A29&lt;&gt;""),"●","")</x:f>
      </x:c>
      <x:c r="AW29" s="165" t="str">
        <x:f>IF(AND(AW$5&gt;=$C29,AW$5&lt;=$D29,$A29&lt;&gt;""),"●","")</x:f>
      </x:c>
      <x:c r="AX29" s="165" t="str">
        <x:f>IF(AND(AX$5&gt;=$C29,AX$5&lt;=$D29,$A29&lt;&gt;""),"●","")</x:f>
      </x:c>
      <x:c r="AY29" s="165" t="str">
        <x:f>IF(AND(AY$5&gt;=$C29,AY$5&lt;=$D29,$A29&lt;&gt;""),"●","")</x:f>
      </x:c>
      <x:c r="AZ29" s="165" t="str">
        <x:f>IF(AND(AZ$5&gt;=$C29,AZ$5&lt;=$D29,$A29&lt;&gt;""),"●","")</x:f>
      </x:c>
      <x:c r="BA29" s="165" t="str">
        <x:f>IF(AND(BA$5&gt;=$C29,BA$5&lt;=$D29,$A29&lt;&gt;""),"●","")</x:f>
      </x:c>
      <x:c r="BB29" s="165" t="str">
        <x:f>IF(AND(BB$5&gt;=$C29,BB$5&lt;=$D29,$A29&lt;&gt;""),"●","")</x:f>
      </x:c>
      <x:c r="BC29" s="165" t="str">
        <x:f>IF(AND(BC$5&gt;=$C29,BC$5&lt;=$D29,$A29&lt;&gt;""),"●","")</x:f>
      </x:c>
      <x:c r="BD29" s="165" t="str">
        <x:f>IF(AND(BD$5&gt;=$C29,BD$5&lt;=$D29,$A29&lt;&gt;""),"●","")</x:f>
      </x:c>
      <x:c r="BE29" s="165" t="str">
        <x:f>IF(AND(BE$5&gt;=$C29,BE$5&lt;=$D29,$A29&lt;&gt;""),"●","")</x:f>
      </x:c>
      <x:c r="BF29" s="165" t="str">
        <x:f>IF(AND(BF$5&gt;=$C29,BF$5&lt;=$D29,$A29&lt;&gt;""),"●","")</x:f>
      </x:c>
      <x:c r="BG29" s="165" t="str">
        <x:f>IF(AND(BG$5&gt;=$C29,BG$5&lt;=$D29,$A29&lt;&gt;""),"●","")</x:f>
      </x:c>
      <x:c r="BH29" s="165" t="str">
        <x:f>IF(AND(BH$5&gt;=$C29,BH$5&lt;=$D29,$A29&lt;&gt;""),"●","")</x:f>
      </x:c>
      <x:c r="BI29" s="165" t="str">
        <x:f>IF(AND(BI$5&gt;=$C29,BI$5&lt;=$D29,$A29&lt;&gt;""),"●","")</x:f>
      </x:c>
      <x:c r="BJ29" s="165" t="str">
        <x:f>IF(AND(BJ$5&gt;=$C29,BJ$5&lt;=$D29,$A29&lt;&gt;""),"●","")</x:f>
      </x:c>
      <x:c r="BK29" s="165" t="str">
        <x:f>IF(AND(BK$5&gt;=$C29,BK$5&lt;=$D29,$A29&lt;&gt;""),"●","")</x:f>
      </x:c>
      <x:c r="BL29" s="165" t="str">
        <x:f>IF(AND(BL$5&gt;=$C29,BL$5&lt;=$D29,$A29&lt;&gt;""),"●","")</x:f>
      </x:c>
      <x:c r="BM29" s="165" t="str">
        <x:f>IF(AND(BM$5&gt;=$C29,BM$5&lt;=$D29,$A29&lt;&gt;""),"●","")</x:f>
      </x:c>
      <x:c r="BN29" s="165" t="str">
        <x:f>IF(AND(BN$5&gt;=$C29,BN$5&lt;=$D29,$A29&lt;&gt;""),"●","")</x:f>
      </x:c>
      <x:c r="BO29" s="165" t="str">
        <x:f>IF(AND(BO$5&gt;=$C29,BO$5&lt;=$D29,$A29&lt;&gt;""),"●","")</x:f>
      </x:c>
      <x:c r="BP29" s="165" t="str">
        <x:f>IF(AND(BP$5&gt;=$C29,BP$5&lt;=$D29,$A29&lt;&gt;""),"●","")</x:f>
      </x:c>
      <x:c r="BQ29" s="165" t="str">
        <x:f>IF(AND(BQ$5&gt;=$C29,BQ$5&lt;=$D29,$A29&lt;&gt;""),"●","")</x:f>
      </x:c>
      <x:c r="BR29" s="165" t="str">
        <x:f>IF(AND(BR$5&gt;=$C29,BR$5&lt;=$D29,$A29&lt;&gt;""),"●","")</x:f>
      </x:c>
      <x:c r="BS29" s="165" t="str">
        <x:f>IF(AND(BS$5&gt;=$C29,BS$5&lt;=$D29,$A29&lt;&gt;""),"●","")</x:f>
      </x:c>
      <x:c r="BT29" s="165" t="str">
        <x:f>IF(AND(BT$5&gt;=$C29,BT$5&lt;=$D29,$A29&lt;&gt;""),"●","")</x:f>
      </x:c>
      <x:c r="BU29" s="165" t="str">
        <x:f>IF(AND(BU$5&gt;=$C29,BU$5&lt;=$D29,$A29&lt;&gt;""),"●","")</x:f>
      </x:c>
      <x:c r="BV29" s="165" t="str">
        <x:f>IF(AND(BV$5&gt;=$C29,BV$5&lt;=$D29,$A29&lt;&gt;""),"●","")</x:f>
      </x:c>
      <x:c r="BW29" s="165" t="str">
        <x:f>IF(AND(BW$5&gt;=$C29,BW$5&lt;=$D29,$A29&lt;&gt;""),"●","")</x:f>
      </x:c>
    </x:row>
    <x:row r="30">
      <x:c r="A30" s="159" t="str">
        <x:f>IF('รายการสัญญา'!A30="","",'รายการสัญญา'!A30)</x:f>
      </x:c>
      <x:c r="B30" s="159" t="str">
        <x:f>IF('รายการสัญญา'!A30="","",'รายการสัญญา'!C30)</x:f>
      </x:c>
      <x:c r="C30" s="162" t="str">
        <x:f>IF('รายการสัญญา'!A30="","",'รายการสัญญา'!E30)</x:f>
      </x:c>
      <x:c r="D30" s="162" t="str">
        <x:f>IF('รายการสัญญา'!A30="","",'รายการสัญญา'!G30)</x:f>
      </x:c>
      <x:c r="E30" s="159" t="str">
        <x:f>IF('รายการสัญญา'!A30="","",'รายการสัญญา'!K30)</x:f>
      </x:c>
      <x:c r="F30" s="165" t="str">
        <x:f>IF(AND(F$5&gt;=$C30,F$5&lt;=$D30,$A30&lt;&gt;""),"●","")</x:f>
      </x:c>
      <x:c r="G30" s="165" t="str">
        <x:f>IF(AND(G$5&gt;=$C30,G$5&lt;=$D30,$A30&lt;&gt;""),"●","")</x:f>
      </x:c>
      <x:c r="H30" s="165" t="str">
        <x:f>IF(AND(H$5&gt;=$C30,H$5&lt;=$D30,$A30&lt;&gt;""),"●","")</x:f>
      </x:c>
      <x:c r="I30" s="165" t="str">
        <x:f>IF(AND(I$5&gt;=$C30,I$5&lt;=$D30,$A30&lt;&gt;""),"●","")</x:f>
      </x:c>
      <x:c r="J30" s="165" t="str">
        <x:f>IF(AND(J$5&gt;=$C30,J$5&lt;=$D30,$A30&lt;&gt;""),"●","")</x:f>
      </x:c>
      <x:c r="K30" s="165" t="str">
        <x:f>IF(AND(K$5&gt;=$C30,K$5&lt;=$D30,$A30&lt;&gt;""),"●","")</x:f>
      </x:c>
      <x:c r="L30" s="165" t="str">
        <x:f>IF(AND(L$5&gt;=$C30,L$5&lt;=$D30,$A30&lt;&gt;""),"●","")</x:f>
      </x:c>
      <x:c r="M30" s="165" t="str">
        <x:f>IF(AND(M$5&gt;=$C30,M$5&lt;=$D30,$A30&lt;&gt;""),"●","")</x:f>
      </x:c>
      <x:c r="N30" s="165" t="str">
        <x:f>IF(AND(N$5&gt;=$C30,N$5&lt;=$D30,$A30&lt;&gt;""),"●","")</x:f>
      </x:c>
      <x:c r="O30" s="165" t="str">
        <x:f>IF(AND(O$5&gt;=$C30,O$5&lt;=$D30,$A30&lt;&gt;""),"●","")</x:f>
      </x:c>
      <x:c r="P30" s="165" t="str">
        <x:f>IF(AND(P$5&gt;=$C30,P$5&lt;=$D30,$A30&lt;&gt;""),"●","")</x:f>
      </x:c>
      <x:c r="Q30" s="165" t="str">
        <x:f>IF(AND(Q$5&gt;=$C30,Q$5&lt;=$D30,$A30&lt;&gt;""),"●","")</x:f>
      </x:c>
      <x:c r="R30" s="165" t="str">
        <x:f>IF(AND(R$5&gt;=$C30,R$5&lt;=$D30,$A30&lt;&gt;""),"●","")</x:f>
      </x:c>
      <x:c r="S30" s="165" t="str">
        <x:f>IF(AND(S$5&gt;=$C30,S$5&lt;=$D30,$A30&lt;&gt;""),"●","")</x:f>
      </x:c>
      <x:c r="T30" s="165" t="str">
        <x:f>IF(AND(T$5&gt;=$C30,T$5&lt;=$D30,$A30&lt;&gt;""),"●","")</x:f>
      </x:c>
      <x:c r="U30" s="165" t="str">
        <x:f>IF(AND(U$5&gt;=$C30,U$5&lt;=$D30,$A30&lt;&gt;""),"●","")</x:f>
      </x:c>
      <x:c r="V30" s="165" t="str">
        <x:f>IF(AND(V$5&gt;=$C30,V$5&lt;=$D30,$A30&lt;&gt;""),"●","")</x:f>
      </x:c>
      <x:c r="W30" s="165" t="str">
        <x:f>IF(AND(W$5&gt;=$C30,W$5&lt;=$D30,$A30&lt;&gt;""),"●","")</x:f>
      </x:c>
      <x:c r="X30" s="165" t="str">
        <x:f>IF(AND(X$5&gt;=$C30,X$5&lt;=$D30,$A30&lt;&gt;""),"●","")</x:f>
      </x:c>
      <x:c r="Y30" s="165" t="str">
        <x:f>IF(AND(Y$5&gt;=$C30,Y$5&lt;=$D30,$A30&lt;&gt;""),"●","")</x:f>
      </x:c>
      <x:c r="Z30" s="165" t="str">
        <x:f>IF(AND(Z$5&gt;=$C30,Z$5&lt;=$D30,$A30&lt;&gt;""),"●","")</x:f>
      </x:c>
      <x:c r="AA30" s="165" t="str">
        <x:f>IF(AND(AA$5&gt;=$C30,AA$5&lt;=$D30,$A30&lt;&gt;""),"●","")</x:f>
      </x:c>
      <x:c r="AB30" s="165" t="str">
        <x:f>IF(AND(AB$5&gt;=$C30,AB$5&lt;=$D30,$A30&lt;&gt;""),"●","")</x:f>
      </x:c>
      <x:c r="AC30" s="165" t="str">
        <x:f>IF(AND(AC$5&gt;=$C30,AC$5&lt;=$D30,$A30&lt;&gt;""),"●","")</x:f>
      </x:c>
      <x:c r="AD30" s="165" t="str">
        <x:f>IF(AND(AD$5&gt;=$C30,AD$5&lt;=$D30,$A30&lt;&gt;""),"●","")</x:f>
      </x:c>
      <x:c r="AE30" s="165" t="str">
        <x:f>IF(AND(AE$5&gt;=$C30,AE$5&lt;=$D30,$A30&lt;&gt;""),"●","")</x:f>
      </x:c>
      <x:c r="AF30" s="165" t="str">
        <x:f>IF(AND(AF$5&gt;=$C30,AF$5&lt;=$D30,$A30&lt;&gt;""),"●","")</x:f>
      </x:c>
      <x:c r="AG30" s="165" t="str">
        <x:f>IF(AND(AG$5&gt;=$C30,AG$5&lt;=$D30,$A30&lt;&gt;""),"●","")</x:f>
      </x:c>
      <x:c r="AH30" s="165" t="str">
        <x:f>IF(AND(AH$5&gt;=$C30,AH$5&lt;=$D30,$A30&lt;&gt;""),"●","")</x:f>
      </x:c>
      <x:c r="AI30" s="165" t="str">
        <x:f>IF(AND(AI$5&gt;=$C30,AI$5&lt;=$D30,$A30&lt;&gt;""),"●","")</x:f>
      </x:c>
      <x:c r="AJ30" s="165" t="str">
        <x:f>IF(AND(AJ$5&gt;=$C30,AJ$5&lt;=$D30,$A30&lt;&gt;""),"●","")</x:f>
      </x:c>
      <x:c r="AK30" s="165" t="str">
        <x:f>IF(AND(AK$5&gt;=$C30,AK$5&lt;=$D30,$A30&lt;&gt;""),"●","")</x:f>
      </x:c>
      <x:c r="AL30" s="165" t="str">
        <x:f>IF(AND(AL$5&gt;=$C30,AL$5&lt;=$D30,$A30&lt;&gt;""),"●","")</x:f>
      </x:c>
      <x:c r="AM30" s="165" t="str">
        <x:f>IF(AND(AM$5&gt;=$C30,AM$5&lt;=$D30,$A30&lt;&gt;""),"●","")</x:f>
      </x:c>
      <x:c r="AN30" s="165" t="str">
        <x:f>IF(AND(AN$5&gt;=$C30,AN$5&lt;=$D30,$A30&lt;&gt;""),"●","")</x:f>
      </x:c>
      <x:c r="AO30" s="165" t="str">
        <x:f>IF(AND(AO$5&gt;=$C30,AO$5&lt;=$D30,$A30&lt;&gt;""),"●","")</x:f>
      </x:c>
      <x:c r="AP30" s="165" t="str">
        <x:f>IF(AND(AP$5&gt;=$C30,AP$5&lt;=$D30,$A30&lt;&gt;""),"●","")</x:f>
      </x:c>
      <x:c r="AQ30" s="165" t="str">
        <x:f>IF(AND(AQ$5&gt;=$C30,AQ$5&lt;=$D30,$A30&lt;&gt;""),"●","")</x:f>
      </x:c>
      <x:c r="AR30" s="165" t="str">
        <x:f>IF(AND(AR$5&gt;=$C30,AR$5&lt;=$D30,$A30&lt;&gt;""),"●","")</x:f>
      </x:c>
      <x:c r="AS30" s="165" t="str">
        <x:f>IF(AND(AS$5&gt;=$C30,AS$5&lt;=$D30,$A30&lt;&gt;""),"●","")</x:f>
      </x:c>
      <x:c r="AT30" s="165" t="str">
        <x:f>IF(AND(AT$5&gt;=$C30,AT$5&lt;=$D30,$A30&lt;&gt;""),"●","")</x:f>
      </x:c>
      <x:c r="AU30" s="165" t="str">
        <x:f>IF(AND(AU$5&gt;=$C30,AU$5&lt;=$D30,$A30&lt;&gt;""),"●","")</x:f>
      </x:c>
      <x:c r="AV30" s="165" t="str">
        <x:f>IF(AND(AV$5&gt;=$C30,AV$5&lt;=$D30,$A30&lt;&gt;""),"●","")</x:f>
      </x:c>
      <x:c r="AW30" s="165" t="str">
        <x:f>IF(AND(AW$5&gt;=$C30,AW$5&lt;=$D30,$A30&lt;&gt;""),"●","")</x:f>
      </x:c>
      <x:c r="AX30" s="165" t="str">
        <x:f>IF(AND(AX$5&gt;=$C30,AX$5&lt;=$D30,$A30&lt;&gt;""),"●","")</x:f>
      </x:c>
      <x:c r="AY30" s="165" t="str">
        <x:f>IF(AND(AY$5&gt;=$C30,AY$5&lt;=$D30,$A30&lt;&gt;""),"●","")</x:f>
      </x:c>
      <x:c r="AZ30" s="165" t="str">
        <x:f>IF(AND(AZ$5&gt;=$C30,AZ$5&lt;=$D30,$A30&lt;&gt;""),"●","")</x:f>
      </x:c>
      <x:c r="BA30" s="165" t="str">
        <x:f>IF(AND(BA$5&gt;=$C30,BA$5&lt;=$D30,$A30&lt;&gt;""),"●","")</x:f>
      </x:c>
      <x:c r="BB30" s="165" t="str">
        <x:f>IF(AND(BB$5&gt;=$C30,BB$5&lt;=$D30,$A30&lt;&gt;""),"●","")</x:f>
      </x:c>
      <x:c r="BC30" s="165" t="str">
        <x:f>IF(AND(BC$5&gt;=$C30,BC$5&lt;=$D30,$A30&lt;&gt;""),"●","")</x:f>
      </x:c>
      <x:c r="BD30" s="165" t="str">
        <x:f>IF(AND(BD$5&gt;=$C30,BD$5&lt;=$D30,$A30&lt;&gt;""),"●","")</x:f>
      </x:c>
      <x:c r="BE30" s="165" t="str">
        <x:f>IF(AND(BE$5&gt;=$C30,BE$5&lt;=$D30,$A30&lt;&gt;""),"●","")</x:f>
      </x:c>
      <x:c r="BF30" s="165" t="str">
        <x:f>IF(AND(BF$5&gt;=$C30,BF$5&lt;=$D30,$A30&lt;&gt;""),"●","")</x:f>
      </x:c>
      <x:c r="BG30" s="165" t="str">
        <x:f>IF(AND(BG$5&gt;=$C30,BG$5&lt;=$D30,$A30&lt;&gt;""),"●","")</x:f>
      </x:c>
      <x:c r="BH30" s="165" t="str">
        <x:f>IF(AND(BH$5&gt;=$C30,BH$5&lt;=$D30,$A30&lt;&gt;""),"●","")</x:f>
      </x:c>
      <x:c r="BI30" s="165" t="str">
        <x:f>IF(AND(BI$5&gt;=$C30,BI$5&lt;=$D30,$A30&lt;&gt;""),"●","")</x:f>
      </x:c>
      <x:c r="BJ30" s="165" t="str">
        <x:f>IF(AND(BJ$5&gt;=$C30,BJ$5&lt;=$D30,$A30&lt;&gt;""),"●","")</x:f>
      </x:c>
      <x:c r="BK30" s="165" t="str">
        <x:f>IF(AND(BK$5&gt;=$C30,BK$5&lt;=$D30,$A30&lt;&gt;""),"●","")</x:f>
      </x:c>
      <x:c r="BL30" s="165" t="str">
        <x:f>IF(AND(BL$5&gt;=$C30,BL$5&lt;=$D30,$A30&lt;&gt;""),"●","")</x:f>
      </x:c>
      <x:c r="BM30" s="165" t="str">
        <x:f>IF(AND(BM$5&gt;=$C30,BM$5&lt;=$D30,$A30&lt;&gt;""),"●","")</x:f>
      </x:c>
      <x:c r="BN30" s="165" t="str">
        <x:f>IF(AND(BN$5&gt;=$C30,BN$5&lt;=$D30,$A30&lt;&gt;""),"●","")</x:f>
      </x:c>
      <x:c r="BO30" s="165" t="str">
        <x:f>IF(AND(BO$5&gt;=$C30,BO$5&lt;=$D30,$A30&lt;&gt;""),"●","")</x:f>
      </x:c>
      <x:c r="BP30" s="165" t="str">
        <x:f>IF(AND(BP$5&gt;=$C30,BP$5&lt;=$D30,$A30&lt;&gt;""),"●","")</x:f>
      </x:c>
      <x:c r="BQ30" s="165" t="str">
        <x:f>IF(AND(BQ$5&gt;=$C30,BQ$5&lt;=$D30,$A30&lt;&gt;""),"●","")</x:f>
      </x:c>
      <x:c r="BR30" s="165" t="str">
        <x:f>IF(AND(BR$5&gt;=$C30,BR$5&lt;=$D30,$A30&lt;&gt;""),"●","")</x:f>
      </x:c>
      <x:c r="BS30" s="165" t="str">
        <x:f>IF(AND(BS$5&gt;=$C30,BS$5&lt;=$D30,$A30&lt;&gt;""),"●","")</x:f>
      </x:c>
      <x:c r="BT30" s="165" t="str">
        <x:f>IF(AND(BT$5&gt;=$C30,BT$5&lt;=$D30,$A30&lt;&gt;""),"●","")</x:f>
      </x:c>
      <x:c r="BU30" s="165" t="str">
        <x:f>IF(AND(BU$5&gt;=$C30,BU$5&lt;=$D30,$A30&lt;&gt;""),"●","")</x:f>
      </x:c>
      <x:c r="BV30" s="165" t="str">
        <x:f>IF(AND(BV$5&gt;=$C30,BV$5&lt;=$D30,$A30&lt;&gt;""),"●","")</x:f>
      </x:c>
      <x:c r="BW30" s="165" t="str">
        <x:f>IF(AND(BW$5&gt;=$C30,BW$5&lt;=$D30,$A30&lt;&gt;""),"●","")</x:f>
      </x:c>
    </x:row>
    <x:row r="31">
      <x:c r="A31" s="159" t="str">
        <x:f>IF('รายการสัญญา'!A31="","",'รายการสัญญา'!A31)</x:f>
      </x:c>
      <x:c r="B31" s="159" t="str">
        <x:f>IF('รายการสัญญา'!A31="","",'รายการสัญญา'!C31)</x:f>
      </x:c>
      <x:c r="C31" s="162" t="str">
        <x:f>IF('รายการสัญญา'!A31="","",'รายการสัญญา'!E31)</x:f>
      </x:c>
      <x:c r="D31" s="162" t="str">
        <x:f>IF('รายการสัญญา'!A31="","",'รายการสัญญา'!G31)</x:f>
      </x:c>
      <x:c r="E31" s="159" t="str">
        <x:f>IF('รายการสัญญา'!A31="","",'รายการสัญญา'!K31)</x:f>
      </x:c>
      <x:c r="F31" s="165" t="str">
        <x:f>IF(AND(F$5&gt;=$C31,F$5&lt;=$D31,$A31&lt;&gt;""),"●","")</x:f>
      </x:c>
      <x:c r="G31" s="165" t="str">
        <x:f>IF(AND(G$5&gt;=$C31,G$5&lt;=$D31,$A31&lt;&gt;""),"●","")</x:f>
      </x:c>
      <x:c r="H31" s="165" t="str">
        <x:f>IF(AND(H$5&gt;=$C31,H$5&lt;=$D31,$A31&lt;&gt;""),"●","")</x:f>
      </x:c>
      <x:c r="I31" s="165" t="str">
        <x:f>IF(AND(I$5&gt;=$C31,I$5&lt;=$D31,$A31&lt;&gt;""),"●","")</x:f>
      </x:c>
      <x:c r="J31" s="165" t="str">
        <x:f>IF(AND(J$5&gt;=$C31,J$5&lt;=$D31,$A31&lt;&gt;""),"●","")</x:f>
      </x:c>
      <x:c r="K31" s="165" t="str">
        <x:f>IF(AND(K$5&gt;=$C31,K$5&lt;=$D31,$A31&lt;&gt;""),"●","")</x:f>
      </x:c>
      <x:c r="L31" s="165" t="str">
        <x:f>IF(AND(L$5&gt;=$C31,L$5&lt;=$D31,$A31&lt;&gt;""),"●","")</x:f>
      </x:c>
      <x:c r="M31" s="165" t="str">
        <x:f>IF(AND(M$5&gt;=$C31,M$5&lt;=$D31,$A31&lt;&gt;""),"●","")</x:f>
      </x:c>
      <x:c r="N31" s="165" t="str">
        <x:f>IF(AND(N$5&gt;=$C31,N$5&lt;=$D31,$A31&lt;&gt;""),"●","")</x:f>
      </x:c>
      <x:c r="O31" s="165" t="str">
        <x:f>IF(AND(O$5&gt;=$C31,O$5&lt;=$D31,$A31&lt;&gt;""),"●","")</x:f>
      </x:c>
      <x:c r="P31" s="165" t="str">
        <x:f>IF(AND(P$5&gt;=$C31,P$5&lt;=$D31,$A31&lt;&gt;""),"●","")</x:f>
      </x:c>
      <x:c r="Q31" s="165" t="str">
        <x:f>IF(AND(Q$5&gt;=$C31,Q$5&lt;=$D31,$A31&lt;&gt;""),"●","")</x:f>
      </x:c>
      <x:c r="R31" s="165" t="str">
        <x:f>IF(AND(R$5&gt;=$C31,R$5&lt;=$D31,$A31&lt;&gt;""),"●","")</x:f>
      </x:c>
      <x:c r="S31" s="165" t="str">
        <x:f>IF(AND(S$5&gt;=$C31,S$5&lt;=$D31,$A31&lt;&gt;""),"●","")</x:f>
      </x:c>
      <x:c r="T31" s="165" t="str">
        <x:f>IF(AND(T$5&gt;=$C31,T$5&lt;=$D31,$A31&lt;&gt;""),"●","")</x:f>
      </x:c>
      <x:c r="U31" s="165" t="str">
        <x:f>IF(AND(U$5&gt;=$C31,U$5&lt;=$D31,$A31&lt;&gt;""),"●","")</x:f>
      </x:c>
      <x:c r="V31" s="165" t="str">
        <x:f>IF(AND(V$5&gt;=$C31,V$5&lt;=$D31,$A31&lt;&gt;""),"●","")</x:f>
      </x:c>
      <x:c r="W31" s="165" t="str">
        <x:f>IF(AND(W$5&gt;=$C31,W$5&lt;=$D31,$A31&lt;&gt;""),"●","")</x:f>
      </x:c>
      <x:c r="X31" s="165" t="str">
        <x:f>IF(AND(X$5&gt;=$C31,X$5&lt;=$D31,$A31&lt;&gt;""),"●","")</x:f>
      </x:c>
      <x:c r="Y31" s="165" t="str">
        <x:f>IF(AND(Y$5&gt;=$C31,Y$5&lt;=$D31,$A31&lt;&gt;""),"●","")</x:f>
      </x:c>
      <x:c r="Z31" s="165" t="str">
        <x:f>IF(AND(Z$5&gt;=$C31,Z$5&lt;=$D31,$A31&lt;&gt;""),"●","")</x:f>
      </x:c>
      <x:c r="AA31" s="165" t="str">
        <x:f>IF(AND(AA$5&gt;=$C31,AA$5&lt;=$D31,$A31&lt;&gt;""),"●","")</x:f>
      </x:c>
      <x:c r="AB31" s="165" t="str">
        <x:f>IF(AND(AB$5&gt;=$C31,AB$5&lt;=$D31,$A31&lt;&gt;""),"●","")</x:f>
      </x:c>
      <x:c r="AC31" s="165" t="str">
        <x:f>IF(AND(AC$5&gt;=$C31,AC$5&lt;=$D31,$A31&lt;&gt;""),"●","")</x:f>
      </x:c>
      <x:c r="AD31" s="165" t="str">
        <x:f>IF(AND(AD$5&gt;=$C31,AD$5&lt;=$D31,$A31&lt;&gt;""),"●","")</x:f>
      </x:c>
      <x:c r="AE31" s="165" t="str">
        <x:f>IF(AND(AE$5&gt;=$C31,AE$5&lt;=$D31,$A31&lt;&gt;""),"●","")</x:f>
      </x:c>
      <x:c r="AF31" s="165" t="str">
        <x:f>IF(AND(AF$5&gt;=$C31,AF$5&lt;=$D31,$A31&lt;&gt;""),"●","")</x:f>
      </x:c>
      <x:c r="AG31" s="165" t="str">
        <x:f>IF(AND(AG$5&gt;=$C31,AG$5&lt;=$D31,$A31&lt;&gt;""),"●","")</x:f>
      </x:c>
      <x:c r="AH31" s="165" t="str">
        <x:f>IF(AND(AH$5&gt;=$C31,AH$5&lt;=$D31,$A31&lt;&gt;""),"●","")</x:f>
      </x:c>
      <x:c r="AI31" s="165" t="str">
        <x:f>IF(AND(AI$5&gt;=$C31,AI$5&lt;=$D31,$A31&lt;&gt;""),"●","")</x:f>
      </x:c>
      <x:c r="AJ31" s="165" t="str">
        <x:f>IF(AND(AJ$5&gt;=$C31,AJ$5&lt;=$D31,$A31&lt;&gt;""),"●","")</x:f>
      </x:c>
      <x:c r="AK31" s="165" t="str">
        <x:f>IF(AND(AK$5&gt;=$C31,AK$5&lt;=$D31,$A31&lt;&gt;""),"●","")</x:f>
      </x:c>
      <x:c r="AL31" s="165" t="str">
        <x:f>IF(AND(AL$5&gt;=$C31,AL$5&lt;=$D31,$A31&lt;&gt;""),"●","")</x:f>
      </x:c>
      <x:c r="AM31" s="165" t="str">
        <x:f>IF(AND(AM$5&gt;=$C31,AM$5&lt;=$D31,$A31&lt;&gt;""),"●","")</x:f>
      </x:c>
      <x:c r="AN31" s="165" t="str">
        <x:f>IF(AND(AN$5&gt;=$C31,AN$5&lt;=$D31,$A31&lt;&gt;""),"●","")</x:f>
      </x:c>
      <x:c r="AO31" s="165" t="str">
        <x:f>IF(AND(AO$5&gt;=$C31,AO$5&lt;=$D31,$A31&lt;&gt;""),"●","")</x:f>
      </x:c>
      <x:c r="AP31" s="165" t="str">
        <x:f>IF(AND(AP$5&gt;=$C31,AP$5&lt;=$D31,$A31&lt;&gt;""),"●","")</x:f>
      </x:c>
      <x:c r="AQ31" s="165" t="str">
        <x:f>IF(AND(AQ$5&gt;=$C31,AQ$5&lt;=$D31,$A31&lt;&gt;""),"●","")</x:f>
      </x:c>
      <x:c r="AR31" s="165" t="str">
        <x:f>IF(AND(AR$5&gt;=$C31,AR$5&lt;=$D31,$A31&lt;&gt;""),"●","")</x:f>
      </x:c>
      <x:c r="AS31" s="165" t="str">
        <x:f>IF(AND(AS$5&gt;=$C31,AS$5&lt;=$D31,$A31&lt;&gt;""),"●","")</x:f>
      </x:c>
      <x:c r="AT31" s="165" t="str">
        <x:f>IF(AND(AT$5&gt;=$C31,AT$5&lt;=$D31,$A31&lt;&gt;""),"●","")</x:f>
      </x:c>
      <x:c r="AU31" s="165" t="str">
        <x:f>IF(AND(AU$5&gt;=$C31,AU$5&lt;=$D31,$A31&lt;&gt;""),"●","")</x:f>
      </x:c>
      <x:c r="AV31" s="165" t="str">
        <x:f>IF(AND(AV$5&gt;=$C31,AV$5&lt;=$D31,$A31&lt;&gt;""),"●","")</x:f>
      </x:c>
      <x:c r="AW31" s="165" t="str">
        <x:f>IF(AND(AW$5&gt;=$C31,AW$5&lt;=$D31,$A31&lt;&gt;""),"●","")</x:f>
      </x:c>
      <x:c r="AX31" s="165" t="str">
        <x:f>IF(AND(AX$5&gt;=$C31,AX$5&lt;=$D31,$A31&lt;&gt;""),"●","")</x:f>
      </x:c>
      <x:c r="AY31" s="165" t="str">
        <x:f>IF(AND(AY$5&gt;=$C31,AY$5&lt;=$D31,$A31&lt;&gt;""),"●","")</x:f>
      </x:c>
      <x:c r="AZ31" s="165" t="str">
        <x:f>IF(AND(AZ$5&gt;=$C31,AZ$5&lt;=$D31,$A31&lt;&gt;""),"●","")</x:f>
      </x:c>
      <x:c r="BA31" s="165" t="str">
        <x:f>IF(AND(BA$5&gt;=$C31,BA$5&lt;=$D31,$A31&lt;&gt;""),"●","")</x:f>
      </x:c>
      <x:c r="BB31" s="165" t="str">
        <x:f>IF(AND(BB$5&gt;=$C31,BB$5&lt;=$D31,$A31&lt;&gt;""),"●","")</x:f>
      </x:c>
      <x:c r="BC31" s="165" t="str">
        <x:f>IF(AND(BC$5&gt;=$C31,BC$5&lt;=$D31,$A31&lt;&gt;""),"●","")</x:f>
      </x:c>
      <x:c r="BD31" s="165" t="str">
        <x:f>IF(AND(BD$5&gt;=$C31,BD$5&lt;=$D31,$A31&lt;&gt;""),"●","")</x:f>
      </x:c>
      <x:c r="BE31" s="165" t="str">
        <x:f>IF(AND(BE$5&gt;=$C31,BE$5&lt;=$D31,$A31&lt;&gt;""),"●","")</x:f>
      </x:c>
      <x:c r="BF31" s="165" t="str">
        <x:f>IF(AND(BF$5&gt;=$C31,BF$5&lt;=$D31,$A31&lt;&gt;""),"●","")</x:f>
      </x:c>
      <x:c r="BG31" s="165" t="str">
        <x:f>IF(AND(BG$5&gt;=$C31,BG$5&lt;=$D31,$A31&lt;&gt;""),"●","")</x:f>
      </x:c>
      <x:c r="BH31" s="165" t="str">
        <x:f>IF(AND(BH$5&gt;=$C31,BH$5&lt;=$D31,$A31&lt;&gt;""),"●","")</x:f>
      </x:c>
      <x:c r="BI31" s="165" t="str">
        <x:f>IF(AND(BI$5&gt;=$C31,BI$5&lt;=$D31,$A31&lt;&gt;""),"●","")</x:f>
      </x:c>
      <x:c r="BJ31" s="165" t="str">
        <x:f>IF(AND(BJ$5&gt;=$C31,BJ$5&lt;=$D31,$A31&lt;&gt;""),"●","")</x:f>
      </x:c>
      <x:c r="BK31" s="165" t="str">
        <x:f>IF(AND(BK$5&gt;=$C31,BK$5&lt;=$D31,$A31&lt;&gt;""),"●","")</x:f>
      </x:c>
      <x:c r="BL31" s="165" t="str">
        <x:f>IF(AND(BL$5&gt;=$C31,BL$5&lt;=$D31,$A31&lt;&gt;""),"●","")</x:f>
      </x:c>
      <x:c r="BM31" s="165" t="str">
        <x:f>IF(AND(BM$5&gt;=$C31,BM$5&lt;=$D31,$A31&lt;&gt;""),"●","")</x:f>
      </x:c>
      <x:c r="BN31" s="165" t="str">
        <x:f>IF(AND(BN$5&gt;=$C31,BN$5&lt;=$D31,$A31&lt;&gt;""),"●","")</x:f>
      </x:c>
      <x:c r="BO31" s="165" t="str">
        <x:f>IF(AND(BO$5&gt;=$C31,BO$5&lt;=$D31,$A31&lt;&gt;""),"●","")</x:f>
      </x:c>
      <x:c r="BP31" s="165" t="str">
        <x:f>IF(AND(BP$5&gt;=$C31,BP$5&lt;=$D31,$A31&lt;&gt;""),"●","")</x:f>
      </x:c>
      <x:c r="BQ31" s="165" t="str">
        <x:f>IF(AND(BQ$5&gt;=$C31,BQ$5&lt;=$D31,$A31&lt;&gt;""),"●","")</x:f>
      </x:c>
      <x:c r="BR31" s="165" t="str">
        <x:f>IF(AND(BR$5&gt;=$C31,BR$5&lt;=$D31,$A31&lt;&gt;""),"●","")</x:f>
      </x:c>
      <x:c r="BS31" s="165" t="str">
        <x:f>IF(AND(BS$5&gt;=$C31,BS$5&lt;=$D31,$A31&lt;&gt;""),"●","")</x:f>
      </x:c>
      <x:c r="BT31" s="165" t="str">
        <x:f>IF(AND(BT$5&gt;=$C31,BT$5&lt;=$D31,$A31&lt;&gt;""),"●","")</x:f>
      </x:c>
      <x:c r="BU31" s="165" t="str">
        <x:f>IF(AND(BU$5&gt;=$C31,BU$5&lt;=$D31,$A31&lt;&gt;""),"●","")</x:f>
      </x:c>
      <x:c r="BV31" s="165" t="str">
        <x:f>IF(AND(BV$5&gt;=$C31,BV$5&lt;=$D31,$A31&lt;&gt;""),"●","")</x:f>
      </x:c>
      <x:c r="BW31" s="165" t="str">
        <x:f>IF(AND(BW$5&gt;=$C31,BW$5&lt;=$D31,$A31&lt;&gt;""),"●","")</x:f>
      </x:c>
    </x:row>
    <x:row r="32">
      <x:c r="A32" s="159" t="str">
        <x:f>IF('รายการสัญญา'!A32="","",'รายการสัญญา'!A32)</x:f>
      </x:c>
      <x:c r="B32" s="159" t="str">
        <x:f>IF('รายการสัญญา'!A32="","",'รายการสัญญา'!C32)</x:f>
      </x:c>
      <x:c r="C32" s="162" t="str">
        <x:f>IF('รายการสัญญา'!A32="","",'รายการสัญญา'!E32)</x:f>
      </x:c>
      <x:c r="D32" s="162" t="str">
        <x:f>IF('รายการสัญญา'!A32="","",'รายการสัญญา'!G32)</x:f>
      </x:c>
      <x:c r="E32" s="159" t="str">
        <x:f>IF('รายการสัญญา'!A32="","",'รายการสัญญา'!K32)</x:f>
      </x:c>
      <x:c r="F32" s="165" t="str">
        <x:f>IF(AND(F$5&gt;=$C32,F$5&lt;=$D32,$A32&lt;&gt;""),"●","")</x:f>
      </x:c>
      <x:c r="G32" s="165" t="str">
        <x:f>IF(AND(G$5&gt;=$C32,G$5&lt;=$D32,$A32&lt;&gt;""),"●","")</x:f>
      </x:c>
      <x:c r="H32" s="165" t="str">
        <x:f>IF(AND(H$5&gt;=$C32,H$5&lt;=$D32,$A32&lt;&gt;""),"●","")</x:f>
      </x:c>
      <x:c r="I32" s="165" t="str">
        <x:f>IF(AND(I$5&gt;=$C32,I$5&lt;=$D32,$A32&lt;&gt;""),"●","")</x:f>
      </x:c>
      <x:c r="J32" s="165" t="str">
        <x:f>IF(AND(J$5&gt;=$C32,J$5&lt;=$D32,$A32&lt;&gt;""),"●","")</x:f>
      </x:c>
      <x:c r="K32" s="165" t="str">
        <x:f>IF(AND(K$5&gt;=$C32,K$5&lt;=$D32,$A32&lt;&gt;""),"●","")</x:f>
      </x:c>
      <x:c r="L32" s="165" t="str">
        <x:f>IF(AND(L$5&gt;=$C32,L$5&lt;=$D32,$A32&lt;&gt;""),"●","")</x:f>
      </x:c>
      <x:c r="M32" s="165" t="str">
        <x:f>IF(AND(M$5&gt;=$C32,M$5&lt;=$D32,$A32&lt;&gt;""),"●","")</x:f>
      </x:c>
      <x:c r="N32" s="165" t="str">
        <x:f>IF(AND(N$5&gt;=$C32,N$5&lt;=$D32,$A32&lt;&gt;""),"●","")</x:f>
      </x:c>
      <x:c r="O32" s="165" t="str">
        <x:f>IF(AND(O$5&gt;=$C32,O$5&lt;=$D32,$A32&lt;&gt;""),"●","")</x:f>
      </x:c>
      <x:c r="P32" s="165" t="str">
        <x:f>IF(AND(P$5&gt;=$C32,P$5&lt;=$D32,$A32&lt;&gt;""),"●","")</x:f>
      </x:c>
      <x:c r="Q32" s="165" t="str">
        <x:f>IF(AND(Q$5&gt;=$C32,Q$5&lt;=$D32,$A32&lt;&gt;""),"●","")</x:f>
      </x:c>
      <x:c r="R32" s="165" t="str">
        <x:f>IF(AND(R$5&gt;=$C32,R$5&lt;=$D32,$A32&lt;&gt;""),"●","")</x:f>
      </x:c>
      <x:c r="S32" s="165" t="str">
        <x:f>IF(AND(S$5&gt;=$C32,S$5&lt;=$D32,$A32&lt;&gt;""),"●","")</x:f>
      </x:c>
      <x:c r="T32" s="165" t="str">
        <x:f>IF(AND(T$5&gt;=$C32,T$5&lt;=$D32,$A32&lt;&gt;""),"●","")</x:f>
      </x:c>
      <x:c r="U32" s="165" t="str">
        <x:f>IF(AND(U$5&gt;=$C32,U$5&lt;=$D32,$A32&lt;&gt;""),"●","")</x:f>
      </x:c>
      <x:c r="V32" s="165" t="str">
        <x:f>IF(AND(V$5&gt;=$C32,V$5&lt;=$D32,$A32&lt;&gt;""),"●","")</x:f>
      </x:c>
      <x:c r="W32" s="165" t="str">
        <x:f>IF(AND(W$5&gt;=$C32,W$5&lt;=$D32,$A32&lt;&gt;""),"●","")</x:f>
      </x:c>
      <x:c r="X32" s="165" t="str">
        <x:f>IF(AND(X$5&gt;=$C32,X$5&lt;=$D32,$A32&lt;&gt;""),"●","")</x:f>
      </x:c>
      <x:c r="Y32" s="165" t="str">
        <x:f>IF(AND(Y$5&gt;=$C32,Y$5&lt;=$D32,$A32&lt;&gt;""),"●","")</x:f>
      </x:c>
      <x:c r="Z32" s="165" t="str">
        <x:f>IF(AND(Z$5&gt;=$C32,Z$5&lt;=$D32,$A32&lt;&gt;""),"●","")</x:f>
      </x:c>
      <x:c r="AA32" s="165" t="str">
        <x:f>IF(AND(AA$5&gt;=$C32,AA$5&lt;=$D32,$A32&lt;&gt;""),"●","")</x:f>
      </x:c>
      <x:c r="AB32" s="165" t="str">
        <x:f>IF(AND(AB$5&gt;=$C32,AB$5&lt;=$D32,$A32&lt;&gt;""),"●","")</x:f>
      </x:c>
      <x:c r="AC32" s="165" t="str">
        <x:f>IF(AND(AC$5&gt;=$C32,AC$5&lt;=$D32,$A32&lt;&gt;""),"●","")</x:f>
      </x:c>
      <x:c r="AD32" s="165" t="str">
        <x:f>IF(AND(AD$5&gt;=$C32,AD$5&lt;=$D32,$A32&lt;&gt;""),"●","")</x:f>
      </x:c>
      <x:c r="AE32" s="165" t="str">
        <x:f>IF(AND(AE$5&gt;=$C32,AE$5&lt;=$D32,$A32&lt;&gt;""),"●","")</x:f>
      </x:c>
      <x:c r="AF32" s="165" t="str">
        <x:f>IF(AND(AF$5&gt;=$C32,AF$5&lt;=$D32,$A32&lt;&gt;""),"●","")</x:f>
      </x:c>
      <x:c r="AG32" s="165" t="str">
        <x:f>IF(AND(AG$5&gt;=$C32,AG$5&lt;=$D32,$A32&lt;&gt;""),"●","")</x:f>
      </x:c>
      <x:c r="AH32" s="165" t="str">
        <x:f>IF(AND(AH$5&gt;=$C32,AH$5&lt;=$D32,$A32&lt;&gt;""),"●","")</x:f>
      </x:c>
      <x:c r="AI32" s="165" t="str">
        <x:f>IF(AND(AI$5&gt;=$C32,AI$5&lt;=$D32,$A32&lt;&gt;""),"●","")</x:f>
      </x:c>
      <x:c r="AJ32" s="165" t="str">
        <x:f>IF(AND(AJ$5&gt;=$C32,AJ$5&lt;=$D32,$A32&lt;&gt;""),"●","")</x:f>
      </x:c>
      <x:c r="AK32" s="165" t="str">
        <x:f>IF(AND(AK$5&gt;=$C32,AK$5&lt;=$D32,$A32&lt;&gt;""),"●","")</x:f>
      </x:c>
      <x:c r="AL32" s="165" t="str">
        <x:f>IF(AND(AL$5&gt;=$C32,AL$5&lt;=$D32,$A32&lt;&gt;""),"●","")</x:f>
      </x:c>
      <x:c r="AM32" s="165" t="str">
        <x:f>IF(AND(AM$5&gt;=$C32,AM$5&lt;=$D32,$A32&lt;&gt;""),"●","")</x:f>
      </x:c>
      <x:c r="AN32" s="165" t="str">
        <x:f>IF(AND(AN$5&gt;=$C32,AN$5&lt;=$D32,$A32&lt;&gt;""),"●","")</x:f>
      </x:c>
      <x:c r="AO32" s="165" t="str">
        <x:f>IF(AND(AO$5&gt;=$C32,AO$5&lt;=$D32,$A32&lt;&gt;""),"●","")</x:f>
      </x:c>
      <x:c r="AP32" s="165" t="str">
        <x:f>IF(AND(AP$5&gt;=$C32,AP$5&lt;=$D32,$A32&lt;&gt;""),"●","")</x:f>
      </x:c>
      <x:c r="AQ32" s="165" t="str">
        <x:f>IF(AND(AQ$5&gt;=$C32,AQ$5&lt;=$D32,$A32&lt;&gt;""),"●","")</x:f>
      </x:c>
      <x:c r="AR32" s="165" t="str">
        <x:f>IF(AND(AR$5&gt;=$C32,AR$5&lt;=$D32,$A32&lt;&gt;""),"●","")</x:f>
      </x:c>
      <x:c r="AS32" s="165" t="str">
        <x:f>IF(AND(AS$5&gt;=$C32,AS$5&lt;=$D32,$A32&lt;&gt;""),"●","")</x:f>
      </x:c>
      <x:c r="AT32" s="165" t="str">
        <x:f>IF(AND(AT$5&gt;=$C32,AT$5&lt;=$D32,$A32&lt;&gt;""),"●","")</x:f>
      </x:c>
      <x:c r="AU32" s="165" t="str">
        <x:f>IF(AND(AU$5&gt;=$C32,AU$5&lt;=$D32,$A32&lt;&gt;""),"●","")</x:f>
      </x:c>
      <x:c r="AV32" s="165" t="str">
        <x:f>IF(AND(AV$5&gt;=$C32,AV$5&lt;=$D32,$A32&lt;&gt;""),"●","")</x:f>
      </x:c>
      <x:c r="AW32" s="165" t="str">
        <x:f>IF(AND(AW$5&gt;=$C32,AW$5&lt;=$D32,$A32&lt;&gt;""),"●","")</x:f>
      </x:c>
      <x:c r="AX32" s="165" t="str">
        <x:f>IF(AND(AX$5&gt;=$C32,AX$5&lt;=$D32,$A32&lt;&gt;""),"●","")</x:f>
      </x:c>
      <x:c r="AY32" s="165" t="str">
        <x:f>IF(AND(AY$5&gt;=$C32,AY$5&lt;=$D32,$A32&lt;&gt;""),"●","")</x:f>
      </x:c>
      <x:c r="AZ32" s="165" t="str">
        <x:f>IF(AND(AZ$5&gt;=$C32,AZ$5&lt;=$D32,$A32&lt;&gt;""),"●","")</x:f>
      </x:c>
      <x:c r="BA32" s="165" t="str">
        <x:f>IF(AND(BA$5&gt;=$C32,BA$5&lt;=$D32,$A32&lt;&gt;""),"●","")</x:f>
      </x:c>
      <x:c r="BB32" s="165" t="str">
        <x:f>IF(AND(BB$5&gt;=$C32,BB$5&lt;=$D32,$A32&lt;&gt;""),"●","")</x:f>
      </x:c>
      <x:c r="BC32" s="165" t="str">
        <x:f>IF(AND(BC$5&gt;=$C32,BC$5&lt;=$D32,$A32&lt;&gt;""),"●","")</x:f>
      </x:c>
      <x:c r="BD32" s="165" t="str">
        <x:f>IF(AND(BD$5&gt;=$C32,BD$5&lt;=$D32,$A32&lt;&gt;""),"●","")</x:f>
      </x:c>
      <x:c r="BE32" s="165" t="str">
        <x:f>IF(AND(BE$5&gt;=$C32,BE$5&lt;=$D32,$A32&lt;&gt;""),"●","")</x:f>
      </x:c>
      <x:c r="BF32" s="165" t="str">
        <x:f>IF(AND(BF$5&gt;=$C32,BF$5&lt;=$D32,$A32&lt;&gt;""),"●","")</x:f>
      </x:c>
      <x:c r="BG32" s="165" t="str">
        <x:f>IF(AND(BG$5&gt;=$C32,BG$5&lt;=$D32,$A32&lt;&gt;""),"●","")</x:f>
      </x:c>
      <x:c r="BH32" s="165" t="str">
        <x:f>IF(AND(BH$5&gt;=$C32,BH$5&lt;=$D32,$A32&lt;&gt;""),"●","")</x:f>
      </x:c>
      <x:c r="BI32" s="165" t="str">
        <x:f>IF(AND(BI$5&gt;=$C32,BI$5&lt;=$D32,$A32&lt;&gt;""),"●","")</x:f>
      </x:c>
      <x:c r="BJ32" s="165" t="str">
        <x:f>IF(AND(BJ$5&gt;=$C32,BJ$5&lt;=$D32,$A32&lt;&gt;""),"●","")</x:f>
      </x:c>
      <x:c r="BK32" s="165" t="str">
        <x:f>IF(AND(BK$5&gt;=$C32,BK$5&lt;=$D32,$A32&lt;&gt;""),"●","")</x:f>
      </x:c>
      <x:c r="BL32" s="165" t="str">
        <x:f>IF(AND(BL$5&gt;=$C32,BL$5&lt;=$D32,$A32&lt;&gt;""),"●","")</x:f>
      </x:c>
      <x:c r="BM32" s="165" t="str">
        <x:f>IF(AND(BM$5&gt;=$C32,BM$5&lt;=$D32,$A32&lt;&gt;""),"●","")</x:f>
      </x:c>
      <x:c r="BN32" s="165" t="str">
        <x:f>IF(AND(BN$5&gt;=$C32,BN$5&lt;=$D32,$A32&lt;&gt;""),"●","")</x:f>
      </x:c>
      <x:c r="BO32" s="165" t="str">
        <x:f>IF(AND(BO$5&gt;=$C32,BO$5&lt;=$D32,$A32&lt;&gt;""),"●","")</x:f>
      </x:c>
      <x:c r="BP32" s="165" t="str">
        <x:f>IF(AND(BP$5&gt;=$C32,BP$5&lt;=$D32,$A32&lt;&gt;""),"●","")</x:f>
      </x:c>
      <x:c r="BQ32" s="165" t="str">
        <x:f>IF(AND(BQ$5&gt;=$C32,BQ$5&lt;=$D32,$A32&lt;&gt;""),"●","")</x:f>
      </x:c>
      <x:c r="BR32" s="165" t="str">
        <x:f>IF(AND(BR$5&gt;=$C32,BR$5&lt;=$D32,$A32&lt;&gt;""),"●","")</x:f>
      </x:c>
      <x:c r="BS32" s="165" t="str">
        <x:f>IF(AND(BS$5&gt;=$C32,BS$5&lt;=$D32,$A32&lt;&gt;""),"●","")</x:f>
      </x:c>
      <x:c r="BT32" s="165" t="str">
        <x:f>IF(AND(BT$5&gt;=$C32,BT$5&lt;=$D32,$A32&lt;&gt;""),"●","")</x:f>
      </x:c>
      <x:c r="BU32" s="165" t="str">
        <x:f>IF(AND(BU$5&gt;=$C32,BU$5&lt;=$D32,$A32&lt;&gt;""),"●","")</x:f>
      </x:c>
      <x:c r="BV32" s="165" t="str">
        <x:f>IF(AND(BV$5&gt;=$C32,BV$5&lt;=$D32,$A32&lt;&gt;""),"●","")</x:f>
      </x:c>
      <x:c r="BW32" s="165" t="str">
        <x:f>IF(AND(BW$5&gt;=$C32,BW$5&lt;=$D32,$A32&lt;&gt;""),"●","")</x:f>
      </x:c>
    </x:row>
    <x:row r="33">
      <x:c r="A33" s="159" t="str">
        <x:f>IF('รายการสัญญา'!A33="","",'รายการสัญญา'!A33)</x:f>
      </x:c>
      <x:c r="B33" s="159" t="str">
        <x:f>IF('รายการสัญญา'!A33="","",'รายการสัญญา'!C33)</x:f>
      </x:c>
      <x:c r="C33" s="162" t="str">
        <x:f>IF('รายการสัญญา'!A33="","",'รายการสัญญา'!E33)</x:f>
      </x:c>
      <x:c r="D33" s="162" t="str">
        <x:f>IF('รายการสัญญา'!A33="","",'รายการสัญญา'!G33)</x:f>
      </x:c>
      <x:c r="E33" s="159" t="str">
        <x:f>IF('รายการสัญญา'!A33="","",'รายการสัญญา'!K33)</x:f>
      </x:c>
      <x:c r="F33" s="165" t="str">
        <x:f>IF(AND(F$5&gt;=$C33,F$5&lt;=$D33,$A33&lt;&gt;""),"●","")</x:f>
      </x:c>
      <x:c r="G33" s="165" t="str">
        <x:f>IF(AND(G$5&gt;=$C33,G$5&lt;=$D33,$A33&lt;&gt;""),"●","")</x:f>
      </x:c>
      <x:c r="H33" s="165" t="str">
        <x:f>IF(AND(H$5&gt;=$C33,H$5&lt;=$D33,$A33&lt;&gt;""),"●","")</x:f>
      </x:c>
      <x:c r="I33" s="165" t="str">
        <x:f>IF(AND(I$5&gt;=$C33,I$5&lt;=$D33,$A33&lt;&gt;""),"●","")</x:f>
      </x:c>
      <x:c r="J33" s="165" t="str">
        <x:f>IF(AND(J$5&gt;=$C33,J$5&lt;=$D33,$A33&lt;&gt;""),"●","")</x:f>
      </x:c>
      <x:c r="K33" s="165" t="str">
        <x:f>IF(AND(K$5&gt;=$C33,K$5&lt;=$D33,$A33&lt;&gt;""),"●","")</x:f>
      </x:c>
      <x:c r="L33" s="165" t="str">
        <x:f>IF(AND(L$5&gt;=$C33,L$5&lt;=$D33,$A33&lt;&gt;""),"●","")</x:f>
      </x:c>
      <x:c r="M33" s="165" t="str">
        <x:f>IF(AND(M$5&gt;=$C33,M$5&lt;=$D33,$A33&lt;&gt;""),"●","")</x:f>
      </x:c>
      <x:c r="N33" s="165" t="str">
        <x:f>IF(AND(N$5&gt;=$C33,N$5&lt;=$D33,$A33&lt;&gt;""),"●","")</x:f>
      </x:c>
      <x:c r="O33" s="165" t="str">
        <x:f>IF(AND(O$5&gt;=$C33,O$5&lt;=$D33,$A33&lt;&gt;""),"●","")</x:f>
      </x:c>
      <x:c r="P33" s="165" t="str">
        <x:f>IF(AND(P$5&gt;=$C33,P$5&lt;=$D33,$A33&lt;&gt;""),"●","")</x:f>
      </x:c>
      <x:c r="Q33" s="165" t="str">
        <x:f>IF(AND(Q$5&gt;=$C33,Q$5&lt;=$D33,$A33&lt;&gt;""),"●","")</x:f>
      </x:c>
      <x:c r="R33" s="165" t="str">
        <x:f>IF(AND(R$5&gt;=$C33,R$5&lt;=$D33,$A33&lt;&gt;""),"●","")</x:f>
      </x:c>
      <x:c r="S33" s="165" t="str">
        <x:f>IF(AND(S$5&gt;=$C33,S$5&lt;=$D33,$A33&lt;&gt;""),"●","")</x:f>
      </x:c>
      <x:c r="T33" s="165" t="str">
        <x:f>IF(AND(T$5&gt;=$C33,T$5&lt;=$D33,$A33&lt;&gt;""),"●","")</x:f>
      </x:c>
      <x:c r="U33" s="165" t="str">
        <x:f>IF(AND(U$5&gt;=$C33,U$5&lt;=$D33,$A33&lt;&gt;""),"●","")</x:f>
      </x:c>
      <x:c r="V33" s="165" t="str">
        <x:f>IF(AND(V$5&gt;=$C33,V$5&lt;=$D33,$A33&lt;&gt;""),"●","")</x:f>
      </x:c>
      <x:c r="W33" s="165" t="str">
        <x:f>IF(AND(W$5&gt;=$C33,W$5&lt;=$D33,$A33&lt;&gt;""),"●","")</x:f>
      </x:c>
      <x:c r="X33" s="165" t="str">
        <x:f>IF(AND(X$5&gt;=$C33,X$5&lt;=$D33,$A33&lt;&gt;""),"●","")</x:f>
      </x:c>
      <x:c r="Y33" s="165" t="str">
        <x:f>IF(AND(Y$5&gt;=$C33,Y$5&lt;=$D33,$A33&lt;&gt;""),"●","")</x:f>
      </x:c>
      <x:c r="Z33" s="165" t="str">
        <x:f>IF(AND(Z$5&gt;=$C33,Z$5&lt;=$D33,$A33&lt;&gt;""),"●","")</x:f>
      </x:c>
      <x:c r="AA33" s="165" t="str">
        <x:f>IF(AND(AA$5&gt;=$C33,AA$5&lt;=$D33,$A33&lt;&gt;""),"●","")</x:f>
      </x:c>
      <x:c r="AB33" s="165" t="str">
        <x:f>IF(AND(AB$5&gt;=$C33,AB$5&lt;=$D33,$A33&lt;&gt;""),"●","")</x:f>
      </x:c>
      <x:c r="AC33" s="165" t="str">
        <x:f>IF(AND(AC$5&gt;=$C33,AC$5&lt;=$D33,$A33&lt;&gt;""),"●","")</x:f>
      </x:c>
      <x:c r="AD33" s="165" t="str">
        <x:f>IF(AND(AD$5&gt;=$C33,AD$5&lt;=$D33,$A33&lt;&gt;""),"●","")</x:f>
      </x:c>
      <x:c r="AE33" s="165" t="str">
        <x:f>IF(AND(AE$5&gt;=$C33,AE$5&lt;=$D33,$A33&lt;&gt;""),"●","")</x:f>
      </x:c>
      <x:c r="AF33" s="165" t="str">
        <x:f>IF(AND(AF$5&gt;=$C33,AF$5&lt;=$D33,$A33&lt;&gt;""),"●","")</x:f>
      </x:c>
      <x:c r="AG33" s="165" t="str">
        <x:f>IF(AND(AG$5&gt;=$C33,AG$5&lt;=$D33,$A33&lt;&gt;""),"●","")</x:f>
      </x:c>
      <x:c r="AH33" s="165" t="str">
        <x:f>IF(AND(AH$5&gt;=$C33,AH$5&lt;=$D33,$A33&lt;&gt;""),"●","")</x:f>
      </x:c>
      <x:c r="AI33" s="165" t="str">
        <x:f>IF(AND(AI$5&gt;=$C33,AI$5&lt;=$D33,$A33&lt;&gt;""),"●","")</x:f>
      </x:c>
      <x:c r="AJ33" s="165" t="str">
        <x:f>IF(AND(AJ$5&gt;=$C33,AJ$5&lt;=$D33,$A33&lt;&gt;""),"●","")</x:f>
      </x:c>
      <x:c r="AK33" s="165" t="str">
        <x:f>IF(AND(AK$5&gt;=$C33,AK$5&lt;=$D33,$A33&lt;&gt;""),"●","")</x:f>
      </x:c>
      <x:c r="AL33" s="165" t="str">
        <x:f>IF(AND(AL$5&gt;=$C33,AL$5&lt;=$D33,$A33&lt;&gt;""),"●","")</x:f>
      </x:c>
      <x:c r="AM33" s="165" t="str">
        <x:f>IF(AND(AM$5&gt;=$C33,AM$5&lt;=$D33,$A33&lt;&gt;""),"●","")</x:f>
      </x:c>
      <x:c r="AN33" s="165" t="str">
        <x:f>IF(AND(AN$5&gt;=$C33,AN$5&lt;=$D33,$A33&lt;&gt;""),"●","")</x:f>
      </x:c>
      <x:c r="AO33" s="165" t="str">
        <x:f>IF(AND(AO$5&gt;=$C33,AO$5&lt;=$D33,$A33&lt;&gt;""),"●","")</x:f>
      </x:c>
      <x:c r="AP33" s="165" t="str">
        <x:f>IF(AND(AP$5&gt;=$C33,AP$5&lt;=$D33,$A33&lt;&gt;""),"●","")</x:f>
      </x:c>
      <x:c r="AQ33" s="165" t="str">
        <x:f>IF(AND(AQ$5&gt;=$C33,AQ$5&lt;=$D33,$A33&lt;&gt;""),"●","")</x:f>
      </x:c>
      <x:c r="AR33" s="165" t="str">
        <x:f>IF(AND(AR$5&gt;=$C33,AR$5&lt;=$D33,$A33&lt;&gt;""),"●","")</x:f>
      </x:c>
      <x:c r="AS33" s="165" t="str">
        <x:f>IF(AND(AS$5&gt;=$C33,AS$5&lt;=$D33,$A33&lt;&gt;""),"●","")</x:f>
      </x:c>
      <x:c r="AT33" s="165" t="str">
        <x:f>IF(AND(AT$5&gt;=$C33,AT$5&lt;=$D33,$A33&lt;&gt;""),"●","")</x:f>
      </x:c>
      <x:c r="AU33" s="165" t="str">
        <x:f>IF(AND(AU$5&gt;=$C33,AU$5&lt;=$D33,$A33&lt;&gt;""),"●","")</x:f>
      </x:c>
      <x:c r="AV33" s="165" t="str">
        <x:f>IF(AND(AV$5&gt;=$C33,AV$5&lt;=$D33,$A33&lt;&gt;""),"●","")</x:f>
      </x:c>
      <x:c r="AW33" s="165" t="str">
        <x:f>IF(AND(AW$5&gt;=$C33,AW$5&lt;=$D33,$A33&lt;&gt;""),"●","")</x:f>
      </x:c>
      <x:c r="AX33" s="165" t="str">
        <x:f>IF(AND(AX$5&gt;=$C33,AX$5&lt;=$D33,$A33&lt;&gt;""),"●","")</x:f>
      </x:c>
      <x:c r="AY33" s="165" t="str">
        <x:f>IF(AND(AY$5&gt;=$C33,AY$5&lt;=$D33,$A33&lt;&gt;""),"●","")</x:f>
      </x:c>
      <x:c r="AZ33" s="165" t="str">
        <x:f>IF(AND(AZ$5&gt;=$C33,AZ$5&lt;=$D33,$A33&lt;&gt;""),"●","")</x:f>
      </x:c>
      <x:c r="BA33" s="165" t="str">
        <x:f>IF(AND(BA$5&gt;=$C33,BA$5&lt;=$D33,$A33&lt;&gt;""),"●","")</x:f>
      </x:c>
      <x:c r="BB33" s="165" t="str">
        <x:f>IF(AND(BB$5&gt;=$C33,BB$5&lt;=$D33,$A33&lt;&gt;""),"●","")</x:f>
      </x:c>
      <x:c r="BC33" s="165" t="str">
        <x:f>IF(AND(BC$5&gt;=$C33,BC$5&lt;=$D33,$A33&lt;&gt;""),"●","")</x:f>
      </x:c>
      <x:c r="BD33" s="165" t="str">
        <x:f>IF(AND(BD$5&gt;=$C33,BD$5&lt;=$D33,$A33&lt;&gt;""),"●","")</x:f>
      </x:c>
      <x:c r="BE33" s="165" t="str">
        <x:f>IF(AND(BE$5&gt;=$C33,BE$5&lt;=$D33,$A33&lt;&gt;""),"●","")</x:f>
      </x:c>
      <x:c r="BF33" s="165" t="str">
        <x:f>IF(AND(BF$5&gt;=$C33,BF$5&lt;=$D33,$A33&lt;&gt;""),"●","")</x:f>
      </x:c>
      <x:c r="BG33" s="165" t="str">
        <x:f>IF(AND(BG$5&gt;=$C33,BG$5&lt;=$D33,$A33&lt;&gt;""),"●","")</x:f>
      </x:c>
      <x:c r="BH33" s="165" t="str">
        <x:f>IF(AND(BH$5&gt;=$C33,BH$5&lt;=$D33,$A33&lt;&gt;""),"●","")</x:f>
      </x:c>
      <x:c r="BI33" s="165" t="str">
        <x:f>IF(AND(BI$5&gt;=$C33,BI$5&lt;=$D33,$A33&lt;&gt;""),"●","")</x:f>
      </x:c>
      <x:c r="BJ33" s="165" t="str">
        <x:f>IF(AND(BJ$5&gt;=$C33,BJ$5&lt;=$D33,$A33&lt;&gt;""),"●","")</x:f>
      </x:c>
      <x:c r="BK33" s="165" t="str">
        <x:f>IF(AND(BK$5&gt;=$C33,BK$5&lt;=$D33,$A33&lt;&gt;""),"●","")</x:f>
      </x:c>
      <x:c r="BL33" s="165" t="str">
        <x:f>IF(AND(BL$5&gt;=$C33,BL$5&lt;=$D33,$A33&lt;&gt;""),"●","")</x:f>
      </x:c>
      <x:c r="BM33" s="165" t="str">
        <x:f>IF(AND(BM$5&gt;=$C33,BM$5&lt;=$D33,$A33&lt;&gt;""),"●","")</x:f>
      </x:c>
      <x:c r="BN33" s="165" t="str">
        <x:f>IF(AND(BN$5&gt;=$C33,BN$5&lt;=$D33,$A33&lt;&gt;""),"●","")</x:f>
      </x:c>
      <x:c r="BO33" s="165" t="str">
        <x:f>IF(AND(BO$5&gt;=$C33,BO$5&lt;=$D33,$A33&lt;&gt;""),"●","")</x:f>
      </x:c>
      <x:c r="BP33" s="165" t="str">
        <x:f>IF(AND(BP$5&gt;=$C33,BP$5&lt;=$D33,$A33&lt;&gt;""),"●","")</x:f>
      </x:c>
      <x:c r="BQ33" s="165" t="str">
        <x:f>IF(AND(BQ$5&gt;=$C33,BQ$5&lt;=$D33,$A33&lt;&gt;""),"●","")</x:f>
      </x:c>
      <x:c r="BR33" s="165" t="str">
        <x:f>IF(AND(BR$5&gt;=$C33,BR$5&lt;=$D33,$A33&lt;&gt;""),"●","")</x:f>
      </x:c>
      <x:c r="BS33" s="165" t="str">
        <x:f>IF(AND(BS$5&gt;=$C33,BS$5&lt;=$D33,$A33&lt;&gt;""),"●","")</x:f>
      </x:c>
      <x:c r="BT33" s="165" t="str">
        <x:f>IF(AND(BT$5&gt;=$C33,BT$5&lt;=$D33,$A33&lt;&gt;""),"●","")</x:f>
      </x:c>
      <x:c r="BU33" s="165" t="str">
        <x:f>IF(AND(BU$5&gt;=$C33,BU$5&lt;=$D33,$A33&lt;&gt;""),"●","")</x:f>
      </x:c>
      <x:c r="BV33" s="165" t="str">
        <x:f>IF(AND(BV$5&gt;=$C33,BV$5&lt;=$D33,$A33&lt;&gt;""),"●","")</x:f>
      </x:c>
      <x:c r="BW33" s="165" t="str">
        <x:f>IF(AND(BW$5&gt;=$C33,BW$5&lt;=$D33,$A33&lt;&gt;""),"●","")</x:f>
      </x:c>
    </x:row>
    <x:row r="34">
      <x:c r="A34" s="159" t="str">
        <x:f>IF('รายการสัญญา'!A34="","",'รายการสัญญา'!A34)</x:f>
      </x:c>
      <x:c r="B34" s="159" t="str">
        <x:f>IF('รายการสัญญา'!A34="","",'รายการสัญญา'!C34)</x:f>
      </x:c>
      <x:c r="C34" s="162" t="str">
        <x:f>IF('รายการสัญญา'!A34="","",'รายการสัญญา'!E34)</x:f>
      </x:c>
      <x:c r="D34" s="162" t="str">
        <x:f>IF('รายการสัญญา'!A34="","",'รายการสัญญา'!G34)</x:f>
      </x:c>
      <x:c r="E34" s="159" t="str">
        <x:f>IF('รายการสัญญา'!A34="","",'รายการสัญญา'!K34)</x:f>
      </x:c>
      <x:c r="F34" s="165" t="str">
        <x:f>IF(AND(F$5&gt;=$C34,F$5&lt;=$D34,$A34&lt;&gt;""),"●","")</x:f>
      </x:c>
      <x:c r="G34" s="165" t="str">
        <x:f>IF(AND(G$5&gt;=$C34,G$5&lt;=$D34,$A34&lt;&gt;""),"●","")</x:f>
      </x:c>
      <x:c r="H34" s="165" t="str">
        <x:f>IF(AND(H$5&gt;=$C34,H$5&lt;=$D34,$A34&lt;&gt;""),"●","")</x:f>
      </x:c>
      <x:c r="I34" s="165" t="str">
        <x:f>IF(AND(I$5&gt;=$C34,I$5&lt;=$D34,$A34&lt;&gt;""),"●","")</x:f>
      </x:c>
      <x:c r="J34" s="165" t="str">
        <x:f>IF(AND(J$5&gt;=$C34,J$5&lt;=$D34,$A34&lt;&gt;""),"●","")</x:f>
      </x:c>
      <x:c r="K34" s="165" t="str">
        <x:f>IF(AND(K$5&gt;=$C34,K$5&lt;=$D34,$A34&lt;&gt;""),"●","")</x:f>
      </x:c>
      <x:c r="L34" s="165" t="str">
        <x:f>IF(AND(L$5&gt;=$C34,L$5&lt;=$D34,$A34&lt;&gt;""),"●","")</x:f>
      </x:c>
      <x:c r="M34" s="165" t="str">
        <x:f>IF(AND(M$5&gt;=$C34,M$5&lt;=$D34,$A34&lt;&gt;""),"●","")</x:f>
      </x:c>
      <x:c r="N34" s="165" t="str">
        <x:f>IF(AND(N$5&gt;=$C34,N$5&lt;=$D34,$A34&lt;&gt;""),"●","")</x:f>
      </x:c>
      <x:c r="O34" s="165" t="str">
        <x:f>IF(AND(O$5&gt;=$C34,O$5&lt;=$D34,$A34&lt;&gt;""),"●","")</x:f>
      </x:c>
      <x:c r="P34" s="165" t="str">
        <x:f>IF(AND(P$5&gt;=$C34,P$5&lt;=$D34,$A34&lt;&gt;""),"●","")</x:f>
      </x:c>
      <x:c r="Q34" s="165" t="str">
        <x:f>IF(AND(Q$5&gt;=$C34,Q$5&lt;=$D34,$A34&lt;&gt;""),"●","")</x:f>
      </x:c>
      <x:c r="R34" s="165" t="str">
        <x:f>IF(AND(R$5&gt;=$C34,R$5&lt;=$D34,$A34&lt;&gt;""),"●","")</x:f>
      </x:c>
      <x:c r="S34" s="165" t="str">
        <x:f>IF(AND(S$5&gt;=$C34,S$5&lt;=$D34,$A34&lt;&gt;""),"●","")</x:f>
      </x:c>
      <x:c r="T34" s="165" t="str">
        <x:f>IF(AND(T$5&gt;=$C34,T$5&lt;=$D34,$A34&lt;&gt;""),"●","")</x:f>
      </x:c>
      <x:c r="U34" s="165" t="str">
        <x:f>IF(AND(U$5&gt;=$C34,U$5&lt;=$D34,$A34&lt;&gt;""),"●","")</x:f>
      </x:c>
      <x:c r="V34" s="165" t="str">
        <x:f>IF(AND(V$5&gt;=$C34,V$5&lt;=$D34,$A34&lt;&gt;""),"●","")</x:f>
      </x:c>
      <x:c r="W34" s="165" t="str">
        <x:f>IF(AND(W$5&gt;=$C34,W$5&lt;=$D34,$A34&lt;&gt;""),"●","")</x:f>
      </x:c>
      <x:c r="X34" s="165" t="str">
        <x:f>IF(AND(X$5&gt;=$C34,X$5&lt;=$D34,$A34&lt;&gt;""),"●","")</x:f>
      </x:c>
      <x:c r="Y34" s="165" t="str">
        <x:f>IF(AND(Y$5&gt;=$C34,Y$5&lt;=$D34,$A34&lt;&gt;""),"●","")</x:f>
      </x:c>
      <x:c r="Z34" s="165" t="str">
        <x:f>IF(AND(Z$5&gt;=$C34,Z$5&lt;=$D34,$A34&lt;&gt;""),"●","")</x:f>
      </x:c>
      <x:c r="AA34" s="165" t="str">
        <x:f>IF(AND(AA$5&gt;=$C34,AA$5&lt;=$D34,$A34&lt;&gt;""),"●","")</x:f>
      </x:c>
      <x:c r="AB34" s="165" t="str">
        <x:f>IF(AND(AB$5&gt;=$C34,AB$5&lt;=$D34,$A34&lt;&gt;""),"●","")</x:f>
      </x:c>
      <x:c r="AC34" s="165" t="str">
        <x:f>IF(AND(AC$5&gt;=$C34,AC$5&lt;=$D34,$A34&lt;&gt;""),"●","")</x:f>
      </x:c>
      <x:c r="AD34" s="165" t="str">
        <x:f>IF(AND(AD$5&gt;=$C34,AD$5&lt;=$D34,$A34&lt;&gt;""),"●","")</x:f>
      </x:c>
      <x:c r="AE34" s="165" t="str">
        <x:f>IF(AND(AE$5&gt;=$C34,AE$5&lt;=$D34,$A34&lt;&gt;""),"●","")</x:f>
      </x:c>
      <x:c r="AF34" s="165" t="str">
        <x:f>IF(AND(AF$5&gt;=$C34,AF$5&lt;=$D34,$A34&lt;&gt;""),"●","")</x:f>
      </x:c>
      <x:c r="AG34" s="165" t="str">
        <x:f>IF(AND(AG$5&gt;=$C34,AG$5&lt;=$D34,$A34&lt;&gt;""),"●","")</x:f>
      </x:c>
      <x:c r="AH34" s="165" t="str">
        <x:f>IF(AND(AH$5&gt;=$C34,AH$5&lt;=$D34,$A34&lt;&gt;""),"●","")</x:f>
      </x:c>
      <x:c r="AI34" s="165" t="str">
        <x:f>IF(AND(AI$5&gt;=$C34,AI$5&lt;=$D34,$A34&lt;&gt;""),"●","")</x:f>
      </x:c>
      <x:c r="AJ34" s="165" t="str">
        <x:f>IF(AND(AJ$5&gt;=$C34,AJ$5&lt;=$D34,$A34&lt;&gt;""),"●","")</x:f>
      </x:c>
      <x:c r="AK34" s="165" t="str">
        <x:f>IF(AND(AK$5&gt;=$C34,AK$5&lt;=$D34,$A34&lt;&gt;""),"●","")</x:f>
      </x:c>
      <x:c r="AL34" s="165" t="str">
        <x:f>IF(AND(AL$5&gt;=$C34,AL$5&lt;=$D34,$A34&lt;&gt;""),"●","")</x:f>
      </x:c>
      <x:c r="AM34" s="165" t="str">
        <x:f>IF(AND(AM$5&gt;=$C34,AM$5&lt;=$D34,$A34&lt;&gt;""),"●","")</x:f>
      </x:c>
      <x:c r="AN34" s="165" t="str">
        <x:f>IF(AND(AN$5&gt;=$C34,AN$5&lt;=$D34,$A34&lt;&gt;""),"●","")</x:f>
      </x:c>
      <x:c r="AO34" s="165" t="str">
        <x:f>IF(AND(AO$5&gt;=$C34,AO$5&lt;=$D34,$A34&lt;&gt;""),"●","")</x:f>
      </x:c>
      <x:c r="AP34" s="165" t="str">
        <x:f>IF(AND(AP$5&gt;=$C34,AP$5&lt;=$D34,$A34&lt;&gt;""),"●","")</x:f>
      </x:c>
      <x:c r="AQ34" s="165" t="str">
        <x:f>IF(AND(AQ$5&gt;=$C34,AQ$5&lt;=$D34,$A34&lt;&gt;""),"●","")</x:f>
      </x:c>
      <x:c r="AR34" s="165" t="str">
        <x:f>IF(AND(AR$5&gt;=$C34,AR$5&lt;=$D34,$A34&lt;&gt;""),"●","")</x:f>
      </x:c>
      <x:c r="AS34" s="165" t="str">
        <x:f>IF(AND(AS$5&gt;=$C34,AS$5&lt;=$D34,$A34&lt;&gt;""),"●","")</x:f>
      </x:c>
      <x:c r="AT34" s="165" t="str">
        <x:f>IF(AND(AT$5&gt;=$C34,AT$5&lt;=$D34,$A34&lt;&gt;""),"●","")</x:f>
      </x:c>
      <x:c r="AU34" s="165" t="str">
        <x:f>IF(AND(AU$5&gt;=$C34,AU$5&lt;=$D34,$A34&lt;&gt;""),"●","")</x:f>
      </x:c>
      <x:c r="AV34" s="165" t="str">
        <x:f>IF(AND(AV$5&gt;=$C34,AV$5&lt;=$D34,$A34&lt;&gt;""),"●","")</x:f>
      </x:c>
      <x:c r="AW34" s="165" t="str">
        <x:f>IF(AND(AW$5&gt;=$C34,AW$5&lt;=$D34,$A34&lt;&gt;""),"●","")</x:f>
      </x:c>
      <x:c r="AX34" s="165" t="str">
        <x:f>IF(AND(AX$5&gt;=$C34,AX$5&lt;=$D34,$A34&lt;&gt;""),"●","")</x:f>
      </x:c>
      <x:c r="AY34" s="165" t="str">
        <x:f>IF(AND(AY$5&gt;=$C34,AY$5&lt;=$D34,$A34&lt;&gt;""),"●","")</x:f>
      </x:c>
      <x:c r="AZ34" s="165" t="str">
        <x:f>IF(AND(AZ$5&gt;=$C34,AZ$5&lt;=$D34,$A34&lt;&gt;""),"●","")</x:f>
      </x:c>
      <x:c r="BA34" s="165" t="str">
        <x:f>IF(AND(BA$5&gt;=$C34,BA$5&lt;=$D34,$A34&lt;&gt;""),"●","")</x:f>
      </x:c>
      <x:c r="BB34" s="165" t="str">
        <x:f>IF(AND(BB$5&gt;=$C34,BB$5&lt;=$D34,$A34&lt;&gt;""),"●","")</x:f>
      </x:c>
      <x:c r="BC34" s="165" t="str">
        <x:f>IF(AND(BC$5&gt;=$C34,BC$5&lt;=$D34,$A34&lt;&gt;""),"●","")</x:f>
      </x:c>
      <x:c r="BD34" s="165" t="str">
        <x:f>IF(AND(BD$5&gt;=$C34,BD$5&lt;=$D34,$A34&lt;&gt;""),"●","")</x:f>
      </x:c>
      <x:c r="BE34" s="165" t="str">
        <x:f>IF(AND(BE$5&gt;=$C34,BE$5&lt;=$D34,$A34&lt;&gt;""),"●","")</x:f>
      </x:c>
      <x:c r="BF34" s="165" t="str">
        <x:f>IF(AND(BF$5&gt;=$C34,BF$5&lt;=$D34,$A34&lt;&gt;""),"●","")</x:f>
      </x:c>
      <x:c r="BG34" s="165" t="str">
        <x:f>IF(AND(BG$5&gt;=$C34,BG$5&lt;=$D34,$A34&lt;&gt;""),"●","")</x:f>
      </x:c>
      <x:c r="BH34" s="165" t="str">
        <x:f>IF(AND(BH$5&gt;=$C34,BH$5&lt;=$D34,$A34&lt;&gt;""),"●","")</x:f>
      </x:c>
      <x:c r="BI34" s="165" t="str">
        <x:f>IF(AND(BI$5&gt;=$C34,BI$5&lt;=$D34,$A34&lt;&gt;""),"●","")</x:f>
      </x:c>
      <x:c r="BJ34" s="165" t="str">
        <x:f>IF(AND(BJ$5&gt;=$C34,BJ$5&lt;=$D34,$A34&lt;&gt;""),"●","")</x:f>
      </x:c>
      <x:c r="BK34" s="165" t="str">
        <x:f>IF(AND(BK$5&gt;=$C34,BK$5&lt;=$D34,$A34&lt;&gt;""),"●","")</x:f>
      </x:c>
      <x:c r="BL34" s="165" t="str">
        <x:f>IF(AND(BL$5&gt;=$C34,BL$5&lt;=$D34,$A34&lt;&gt;""),"●","")</x:f>
      </x:c>
      <x:c r="BM34" s="165" t="str">
        <x:f>IF(AND(BM$5&gt;=$C34,BM$5&lt;=$D34,$A34&lt;&gt;""),"●","")</x:f>
      </x:c>
      <x:c r="BN34" s="165" t="str">
        <x:f>IF(AND(BN$5&gt;=$C34,BN$5&lt;=$D34,$A34&lt;&gt;""),"●","")</x:f>
      </x:c>
      <x:c r="BO34" s="165" t="str">
        <x:f>IF(AND(BO$5&gt;=$C34,BO$5&lt;=$D34,$A34&lt;&gt;""),"●","")</x:f>
      </x:c>
      <x:c r="BP34" s="165" t="str">
        <x:f>IF(AND(BP$5&gt;=$C34,BP$5&lt;=$D34,$A34&lt;&gt;""),"●","")</x:f>
      </x:c>
      <x:c r="BQ34" s="165" t="str">
        <x:f>IF(AND(BQ$5&gt;=$C34,BQ$5&lt;=$D34,$A34&lt;&gt;""),"●","")</x:f>
      </x:c>
      <x:c r="BR34" s="165" t="str">
        <x:f>IF(AND(BR$5&gt;=$C34,BR$5&lt;=$D34,$A34&lt;&gt;""),"●","")</x:f>
      </x:c>
      <x:c r="BS34" s="165" t="str">
        <x:f>IF(AND(BS$5&gt;=$C34,BS$5&lt;=$D34,$A34&lt;&gt;""),"●","")</x:f>
      </x:c>
      <x:c r="BT34" s="165" t="str">
        <x:f>IF(AND(BT$5&gt;=$C34,BT$5&lt;=$D34,$A34&lt;&gt;""),"●","")</x:f>
      </x:c>
      <x:c r="BU34" s="165" t="str">
        <x:f>IF(AND(BU$5&gt;=$C34,BU$5&lt;=$D34,$A34&lt;&gt;""),"●","")</x:f>
      </x:c>
      <x:c r="BV34" s="165" t="str">
        <x:f>IF(AND(BV$5&gt;=$C34,BV$5&lt;=$D34,$A34&lt;&gt;""),"●","")</x:f>
      </x:c>
      <x:c r="BW34" s="165" t="str">
        <x:f>IF(AND(BW$5&gt;=$C34,BW$5&lt;=$D34,$A34&lt;&gt;""),"●","")</x:f>
      </x:c>
    </x:row>
    <x:row r="35">
      <x:c r="A35" s="159" t="str">
        <x:f>IF('รายการสัญญา'!A35="","",'รายการสัญญา'!A35)</x:f>
      </x:c>
      <x:c r="B35" s="159" t="str">
        <x:f>IF('รายการสัญญา'!A35="","",'รายการสัญญา'!C35)</x:f>
      </x:c>
      <x:c r="C35" s="162" t="str">
        <x:f>IF('รายการสัญญา'!A35="","",'รายการสัญญา'!E35)</x:f>
      </x:c>
      <x:c r="D35" s="162" t="str">
        <x:f>IF('รายการสัญญา'!A35="","",'รายการสัญญา'!G35)</x:f>
      </x:c>
      <x:c r="E35" s="159" t="str">
        <x:f>IF('รายการสัญญา'!A35="","",'รายการสัญญา'!K35)</x:f>
      </x:c>
      <x:c r="F35" s="165" t="str">
        <x:f>IF(AND(F$5&gt;=$C35,F$5&lt;=$D35,$A35&lt;&gt;""),"●","")</x:f>
      </x:c>
      <x:c r="G35" s="165" t="str">
        <x:f>IF(AND(G$5&gt;=$C35,G$5&lt;=$D35,$A35&lt;&gt;""),"●","")</x:f>
      </x:c>
      <x:c r="H35" s="165" t="str">
        <x:f>IF(AND(H$5&gt;=$C35,H$5&lt;=$D35,$A35&lt;&gt;""),"●","")</x:f>
      </x:c>
      <x:c r="I35" s="165" t="str">
        <x:f>IF(AND(I$5&gt;=$C35,I$5&lt;=$D35,$A35&lt;&gt;""),"●","")</x:f>
      </x:c>
      <x:c r="J35" s="165" t="str">
        <x:f>IF(AND(J$5&gt;=$C35,J$5&lt;=$D35,$A35&lt;&gt;""),"●","")</x:f>
      </x:c>
      <x:c r="K35" s="165" t="str">
        <x:f>IF(AND(K$5&gt;=$C35,K$5&lt;=$D35,$A35&lt;&gt;""),"●","")</x:f>
      </x:c>
      <x:c r="L35" s="165" t="str">
        <x:f>IF(AND(L$5&gt;=$C35,L$5&lt;=$D35,$A35&lt;&gt;""),"●","")</x:f>
      </x:c>
      <x:c r="M35" s="165" t="str">
        <x:f>IF(AND(M$5&gt;=$C35,M$5&lt;=$D35,$A35&lt;&gt;""),"●","")</x:f>
      </x:c>
      <x:c r="N35" s="165" t="str">
        <x:f>IF(AND(N$5&gt;=$C35,N$5&lt;=$D35,$A35&lt;&gt;""),"●","")</x:f>
      </x:c>
      <x:c r="O35" s="165" t="str">
        <x:f>IF(AND(O$5&gt;=$C35,O$5&lt;=$D35,$A35&lt;&gt;""),"●","")</x:f>
      </x:c>
      <x:c r="P35" s="165" t="str">
        <x:f>IF(AND(P$5&gt;=$C35,P$5&lt;=$D35,$A35&lt;&gt;""),"●","")</x:f>
      </x:c>
      <x:c r="Q35" s="165" t="str">
        <x:f>IF(AND(Q$5&gt;=$C35,Q$5&lt;=$D35,$A35&lt;&gt;""),"●","")</x:f>
      </x:c>
      <x:c r="R35" s="165" t="str">
        <x:f>IF(AND(R$5&gt;=$C35,R$5&lt;=$D35,$A35&lt;&gt;""),"●","")</x:f>
      </x:c>
      <x:c r="S35" s="165" t="str">
        <x:f>IF(AND(S$5&gt;=$C35,S$5&lt;=$D35,$A35&lt;&gt;""),"●","")</x:f>
      </x:c>
      <x:c r="T35" s="165" t="str">
        <x:f>IF(AND(T$5&gt;=$C35,T$5&lt;=$D35,$A35&lt;&gt;""),"●","")</x:f>
      </x:c>
      <x:c r="U35" s="165" t="str">
        <x:f>IF(AND(U$5&gt;=$C35,U$5&lt;=$D35,$A35&lt;&gt;""),"●","")</x:f>
      </x:c>
      <x:c r="V35" s="165" t="str">
        <x:f>IF(AND(V$5&gt;=$C35,V$5&lt;=$D35,$A35&lt;&gt;""),"●","")</x:f>
      </x:c>
      <x:c r="W35" s="165" t="str">
        <x:f>IF(AND(W$5&gt;=$C35,W$5&lt;=$D35,$A35&lt;&gt;""),"●","")</x:f>
      </x:c>
      <x:c r="X35" s="165" t="str">
        <x:f>IF(AND(X$5&gt;=$C35,X$5&lt;=$D35,$A35&lt;&gt;""),"●","")</x:f>
      </x:c>
      <x:c r="Y35" s="165" t="str">
        <x:f>IF(AND(Y$5&gt;=$C35,Y$5&lt;=$D35,$A35&lt;&gt;""),"●","")</x:f>
      </x:c>
      <x:c r="Z35" s="165" t="str">
        <x:f>IF(AND(Z$5&gt;=$C35,Z$5&lt;=$D35,$A35&lt;&gt;""),"●","")</x:f>
      </x:c>
      <x:c r="AA35" s="165" t="str">
        <x:f>IF(AND(AA$5&gt;=$C35,AA$5&lt;=$D35,$A35&lt;&gt;""),"●","")</x:f>
      </x:c>
      <x:c r="AB35" s="165" t="str">
        <x:f>IF(AND(AB$5&gt;=$C35,AB$5&lt;=$D35,$A35&lt;&gt;""),"●","")</x:f>
      </x:c>
      <x:c r="AC35" s="165" t="str">
        <x:f>IF(AND(AC$5&gt;=$C35,AC$5&lt;=$D35,$A35&lt;&gt;""),"●","")</x:f>
      </x:c>
      <x:c r="AD35" s="165" t="str">
        <x:f>IF(AND(AD$5&gt;=$C35,AD$5&lt;=$D35,$A35&lt;&gt;""),"●","")</x:f>
      </x:c>
      <x:c r="AE35" s="165" t="str">
        <x:f>IF(AND(AE$5&gt;=$C35,AE$5&lt;=$D35,$A35&lt;&gt;""),"●","")</x:f>
      </x:c>
      <x:c r="AF35" s="165" t="str">
        <x:f>IF(AND(AF$5&gt;=$C35,AF$5&lt;=$D35,$A35&lt;&gt;""),"●","")</x:f>
      </x:c>
      <x:c r="AG35" s="165" t="str">
        <x:f>IF(AND(AG$5&gt;=$C35,AG$5&lt;=$D35,$A35&lt;&gt;""),"●","")</x:f>
      </x:c>
      <x:c r="AH35" s="165" t="str">
        <x:f>IF(AND(AH$5&gt;=$C35,AH$5&lt;=$D35,$A35&lt;&gt;""),"●","")</x:f>
      </x:c>
      <x:c r="AI35" s="165" t="str">
        <x:f>IF(AND(AI$5&gt;=$C35,AI$5&lt;=$D35,$A35&lt;&gt;""),"●","")</x:f>
      </x:c>
      <x:c r="AJ35" s="165" t="str">
        <x:f>IF(AND(AJ$5&gt;=$C35,AJ$5&lt;=$D35,$A35&lt;&gt;""),"●","")</x:f>
      </x:c>
      <x:c r="AK35" s="165" t="str">
        <x:f>IF(AND(AK$5&gt;=$C35,AK$5&lt;=$D35,$A35&lt;&gt;""),"●","")</x:f>
      </x:c>
      <x:c r="AL35" s="165" t="str">
        <x:f>IF(AND(AL$5&gt;=$C35,AL$5&lt;=$D35,$A35&lt;&gt;""),"●","")</x:f>
      </x:c>
      <x:c r="AM35" s="165" t="str">
        <x:f>IF(AND(AM$5&gt;=$C35,AM$5&lt;=$D35,$A35&lt;&gt;""),"●","")</x:f>
      </x:c>
      <x:c r="AN35" s="165" t="str">
        <x:f>IF(AND(AN$5&gt;=$C35,AN$5&lt;=$D35,$A35&lt;&gt;""),"●","")</x:f>
      </x:c>
      <x:c r="AO35" s="165" t="str">
        <x:f>IF(AND(AO$5&gt;=$C35,AO$5&lt;=$D35,$A35&lt;&gt;""),"●","")</x:f>
      </x:c>
      <x:c r="AP35" s="165" t="str">
        <x:f>IF(AND(AP$5&gt;=$C35,AP$5&lt;=$D35,$A35&lt;&gt;""),"●","")</x:f>
      </x:c>
      <x:c r="AQ35" s="165" t="str">
        <x:f>IF(AND(AQ$5&gt;=$C35,AQ$5&lt;=$D35,$A35&lt;&gt;""),"●","")</x:f>
      </x:c>
      <x:c r="AR35" s="165" t="str">
        <x:f>IF(AND(AR$5&gt;=$C35,AR$5&lt;=$D35,$A35&lt;&gt;""),"●","")</x:f>
      </x:c>
      <x:c r="AS35" s="165" t="str">
        <x:f>IF(AND(AS$5&gt;=$C35,AS$5&lt;=$D35,$A35&lt;&gt;""),"●","")</x:f>
      </x:c>
      <x:c r="AT35" s="165" t="str">
        <x:f>IF(AND(AT$5&gt;=$C35,AT$5&lt;=$D35,$A35&lt;&gt;""),"●","")</x:f>
      </x:c>
      <x:c r="AU35" s="165" t="str">
        <x:f>IF(AND(AU$5&gt;=$C35,AU$5&lt;=$D35,$A35&lt;&gt;""),"●","")</x:f>
      </x:c>
      <x:c r="AV35" s="165" t="str">
        <x:f>IF(AND(AV$5&gt;=$C35,AV$5&lt;=$D35,$A35&lt;&gt;""),"●","")</x:f>
      </x:c>
      <x:c r="AW35" s="165" t="str">
        <x:f>IF(AND(AW$5&gt;=$C35,AW$5&lt;=$D35,$A35&lt;&gt;""),"●","")</x:f>
      </x:c>
      <x:c r="AX35" s="165" t="str">
        <x:f>IF(AND(AX$5&gt;=$C35,AX$5&lt;=$D35,$A35&lt;&gt;""),"●","")</x:f>
      </x:c>
      <x:c r="AY35" s="165" t="str">
        <x:f>IF(AND(AY$5&gt;=$C35,AY$5&lt;=$D35,$A35&lt;&gt;""),"●","")</x:f>
      </x:c>
      <x:c r="AZ35" s="165" t="str">
        <x:f>IF(AND(AZ$5&gt;=$C35,AZ$5&lt;=$D35,$A35&lt;&gt;""),"●","")</x:f>
      </x:c>
      <x:c r="BA35" s="165" t="str">
        <x:f>IF(AND(BA$5&gt;=$C35,BA$5&lt;=$D35,$A35&lt;&gt;""),"●","")</x:f>
      </x:c>
      <x:c r="BB35" s="165" t="str">
        <x:f>IF(AND(BB$5&gt;=$C35,BB$5&lt;=$D35,$A35&lt;&gt;""),"●","")</x:f>
      </x:c>
      <x:c r="BC35" s="165" t="str">
        <x:f>IF(AND(BC$5&gt;=$C35,BC$5&lt;=$D35,$A35&lt;&gt;""),"●","")</x:f>
      </x:c>
      <x:c r="BD35" s="165" t="str">
        <x:f>IF(AND(BD$5&gt;=$C35,BD$5&lt;=$D35,$A35&lt;&gt;""),"●","")</x:f>
      </x:c>
      <x:c r="BE35" s="165" t="str">
        <x:f>IF(AND(BE$5&gt;=$C35,BE$5&lt;=$D35,$A35&lt;&gt;""),"●","")</x:f>
      </x:c>
      <x:c r="BF35" s="165" t="str">
        <x:f>IF(AND(BF$5&gt;=$C35,BF$5&lt;=$D35,$A35&lt;&gt;""),"●","")</x:f>
      </x:c>
      <x:c r="BG35" s="165" t="str">
        <x:f>IF(AND(BG$5&gt;=$C35,BG$5&lt;=$D35,$A35&lt;&gt;""),"●","")</x:f>
      </x:c>
      <x:c r="BH35" s="165" t="str">
        <x:f>IF(AND(BH$5&gt;=$C35,BH$5&lt;=$D35,$A35&lt;&gt;""),"●","")</x:f>
      </x:c>
      <x:c r="BI35" s="165" t="str">
        <x:f>IF(AND(BI$5&gt;=$C35,BI$5&lt;=$D35,$A35&lt;&gt;""),"●","")</x:f>
      </x:c>
      <x:c r="BJ35" s="165" t="str">
        <x:f>IF(AND(BJ$5&gt;=$C35,BJ$5&lt;=$D35,$A35&lt;&gt;""),"●","")</x:f>
      </x:c>
      <x:c r="BK35" s="165" t="str">
        <x:f>IF(AND(BK$5&gt;=$C35,BK$5&lt;=$D35,$A35&lt;&gt;""),"●","")</x:f>
      </x:c>
      <x:c r="BL35" s="165" t="str">
        <x:f>IF(AND(BL$5&gt;=$C35,BL$5&lt;=$D35,$A35&lt;&gt;""),"●","")</x:f>
      </x:c>
      <x:c r="BM35" s="165" t="str">
        <x:f>IF(AND(BM$5&gt;=$C35,BM$5&lt;=$D35,$A35&lt;&gt;""),"●","")</x:f>
      </x:c>
      <x:c r="BN35" s="165" t="str">
        <x:f>IF(AND(BN$5&gt;=$C35,BN$5&lt;=$D35,$A35&lt;&gt;""),"●","")</x:f>
      </x:c>
      <x:c r="BO35" s="165" t="str">
        <x:f>IF(AND(BO$5&gt;=$C35,BO$5&lt;=$D35,$A35&lt;&gt;""),"●","")</x:f>
      </x:c>
      <x:c r="BP35" s="165" t="str">
        <x:f>IF(AND(BP$5&gt;=$C35,BP$5&lt;=$D35,$A35&lt;&gt;""),"●","")</x:f>
      </x:c>
      <x:c r="BQ35" s="165" t="str">
        <x:f>IF(AND(BQ$5&gt;=$C35,BQ$5&lt;=$D35,$A35&lt;&gt;""),"●","")</x:f>
      </x:c>
      <x:c r="BR35" s="165" t="str">
        <x:f>IF(AND(BR$5&gt;=$C35,BR$5&lt;=$D35,$A35&lt;&gt;""),"●","")</x:f>
      </x:c>
      <x:c r="BS35" s="165" t="str">
        <x:f>IF(AND(BS$5&gt;=$C35,BS$5&lt;=$D35,$A35&lt;&gt;""),"●","")</x:f>
      </x:c>
      <x:c r="BT35" s="165" t="str">
        <x:f>IF(AND(BT$5&gt;=$C35,BT$5&lt;=$D35,$A35&lt;&gt;""),"●","")</x:f>
      </x:c>
      <x:c r="BU35" s="165" t="str">
        <x:f>IF(AND(BU$5&gt;=$C35,BU$5&lt;=$D35,$A35&lt;&gt;""),"●","")</x:f>
      </x:c>
      <x:c r="BV35" s="165" t="str">
        <x:f>IF(AND(BV$5&gt;=$C35,BV$5&lt;=$D35,$A35&lt;&gt;""),"●","")</x:f>
      </x:c>
      <x:c r="BW35" s="165" t="str">
        <x:f>IF(AND(BW$5&gt;=$C35,BW$5&lt;=$D35,$A35&lt;&gt;""),"●","")</x:f>
      </x:c>
    </x:row>
    <x:row r="36">
      <x:c r="A36" s="159" t="str">
        <x:f>IF('รายการสัญญา'!A36="","",'รายการสัญญา'!A36)</x:f>
      </x:c>
      <x:c r="B36" s="159" t="str">
        <x:f>IF('รายการสัญญา'!A36="","",'รายการสัญญา'!C36)</x:f>
      </x:c>
      <x:c r="C36" s="162" t="str">
        <x:f>IF('รายการสัญญา'!A36="","",'รายการสัญญา'!E36)</x:f>
      </x:c>
      <x:c r="D36" s="162" t="str">
        <x:f>IF('รายการสัญญา'!A36="","",'รายการสัญญา'!G36)</x:f>
      </x:c>
      <x:c r="E36" s="159" t="str">
        <x:f>IF('รายการสัญญา'!A36="","",'รายการสัญญา'!K36)</x:f>
      </x:c>
      <x:c r="F36" s="165" t="str">
        <x:f>IF(AND(F$5&gt;=$C36,F$5&lt;=$D36,$A36&lt;&gt;""),"●","")</x:f>
      </x:c>
      <x:c r="G36" s="165" t="str">
        <x:f>IF(AND(G$5&gt;=$C36,G$5&lt;=$D36,$A36&lt;&gt;""),"●","")</x:f>
      </x:c>
      <x:c r="H36" s="165" t="str">
        <x:f>IF(AND(H$5&gt;=$C36,H$5&lt;=$D36,$A36&lt;&gt;""),"●","")</x:f>
      </x:c>
      <x:c r="I36" s="165" t="str">
        <x:f>IF(AND(I$5&gt;=$C36,I$5&lt;=$D36,$A36&lt;&gt;""),"●","")</x:f>
      </x:c>
      <x:c r="J36" s="165" t="str">
        <x:f>IF(AND(J$5&gt;=$C36,J$5&lt;=$D36,$A36&lt;&gt;""),"●","")</x:f>
      </x:c>
      <x:c r="K36" s="165" t="str">
        <x:f>IF(AND(K$5&gt;=$C36,K$5&lt;=$D36,$A36&lt;&gt;""),"●","")</x:f>
      </x:c>
      <x:c r="L36" s="165" t="str">
        <x:f>IF(AND(L$5&gt;=$C36,L$5&lt;=$D36,$A36&lt;&gt;""),"●","")</x:f>
      </x:c>
      <x:c r="M36" s="165" t="str">
        <x:f>IF(AND(M$5&gt;=$C36,M$5&lt;=$D36,$A36&lt;&gt;""),"●","")</x:f>
      </x:c>
      <x:c r="N36" s="165" t="str">
        <x:f>IF(AND(N$5&gt;=$C36,N$5&lt;=$D36,$A36&lt;&gt;""),"●","")</x:f>
      </x:c>
      <x:c r="O36" s="165" t="str">
        <x:f>IF(AND(O$5&gt;=$C36,O$5&lt;=$D36,$A36&lt;&gt;""),"●","")</x:f>
      </x:c>
      <x:c r="P36" s="165" t="str">
        <x:f>IF(AND(P$5&gt;=$C36,P$5&lt;=$D36,$A36&lt;&gt;""),"●","")</x:f>
      </x:c>
      <x:c r="Q36" s="165" t="str">
        <x:f>IF(AND(Q$5&gt;=$C36,Q$5&lt;=$D36,$A36&lt;&gt;""),"●","")</x:f>
      </x:c>
      <x:c r="R36" s="165" t="str">
        <x:f>IF(AND(R$5&gt;=$C36,R$5&lt;=$D36,$A36&lt;&gt;""),"●","")</x:f>
      </x:c>
      <x:c r="S36" s="165" t="str">
        <x:f>IF(AND(S$5&gt;=$C36,S$5&lt;=$D36,$A36&lt;&gt;""),"●","")</x:f>
      </x:c>
      <x:c r="T36" s="165" t="str">
        <x:f>IF(AND(T$5&gt;=$C36,T$5&lt;=$D36,$A36&lt;&gt;""),"●","")</x:f>
      </x:c>
      <x:c r="U36" s="165" t="str">
        <x:f>IF(AND(U$5&gt;=$C36,U$5&lt;=$D36,$A36&lt;&gt;""),"●","")</x:f>
      </x:c>
      <x:c r="V36" s="165" t="str">
        <x:f>IF(AND(V$5&gt;=$C36,V$5&lt;=$D36,$A36&lt;&gt;""),"●","")</x:f>
      </x:c>
      <x:c r="W36" s="165" t="str">
        <x:f>IF(AND(W$5&gt;=$C36,W$5&lt;=$D36,$A36&lt;&gt;""),"●","")</x:f>
      </x:c>
      <x:c r="X36" s="165" t="str">
        <x:f>IF(AND(X$5&gt;=$C36,X$5&lt;=$D36,$A36&lt;&gt;""),"●","")</x:f>
      </x:c>
      <x:c r="Y36" s="165" t="str">
        <x:f>IF(AND(Y$5&gt;=$C36,Y$5&lt;=$D36,$A36&lt;&gt;""),"●","")</x:f>
      </x:c>
      <x:c r="Z36" s="165" t="str">
        <x:f>IF(AND(Z$5&gt;=$C36,Z$5&lt;=$D36,$A36&lt;&gt;""),"●","")</x:f>
      </x:c>
      <x:c r="AA36" s="165" t="str">
        <x:f>IF(AND(AA$5&gt;=$C36,AA$5&lt;=$D36,$A36&lt;&gt;""),"●","")</x:f>
      </x:c>
      <x:c r="AB36" s="165" t="str">
        <x:f>IF(AND(AB$5&gt;=$C36,AB$5&lt;=$D36,$A36&lt;&gt;""),"●","")</x:f>
      </x:c>
      <x:c r="AC36" s="165" t="str">
        <x:f>IF(AND(AC$5&gt;=$C36,AC$5&lt;=$D36,$A36&lt;&gt;""),"●","")</x:f>
      </x:c>
      <x:c r="AD36" s="165" t="str">
        <x:f>IF(AND(AD$5&gt;=$C36,AD$5&lt;=$D36,$A36&lt;&gt;""),"●","")</x:f>
      </x:c>
      <x:c r="AE36" s="165" t="str">
        <x:f>IF(AND(AE$5&gt;=$C36,AE$5&lt;=$D36,$A36&lt;&gt;""),"●","")</x:f>
      </x:c>
      <x:c r="AF36" s="165" t="str">
        <x:f>IF(AND(AF$5&gt;=$C36,AF$5&lt;=$D36,$A36&lt;&gt;""),"●","")</x:f>
      </x:c>
      <x:c r="AG36" s="165" t="str">
        <x:f>IF(AND(AG$5&gt;=$C36,AG$5&lt;=$D36,$A36&lt;&gt;""),"●","")</x:f>
      </x:c>
      <x:c r="AH36" s="165" t="str">
        <x:f>IF(AND(AH$5&gt;=$C36,AH$5&lt;=$D36,$A36&lt;&gt;""),"●","")</x:f>
      </x:c>
      <x:c r="AI36" s="165" t="str">
        <x:f>IF(AND(AI$5&gt;=$C36,AI$5&lt;=$D36,$A36&lt;&gt;""),"●","")</x:f>
      </x:c>
      <x:c r="AJ36" s="165" t="str">
        <x:f>IF(AND(AJ$5&gt;=$C36,AJ$5&lt;=$D36,$A36&lt;&gt;""),"●","")</x:f>
      </x:c>
      <x:c r="AK36" s="165" t="str">
        <x:f>IF(AND(AK$5&gt;=$C36,AK$5&lt;=$D36,$A36&lt;&gt;""),"●","")</x:f>
      </x:c>
      <x:c r="AL36" s="165" t="str">
        <x:f>IF(AND(AL$5&gt;=$C36,AL$5&lt;=$D36,$A36&lt;&gt;""),"●","")</x:f>
      </x:c>
      <x:c r="AM36" s="165" t="str">
        <x:f>IF(AND(AM$5&gt;=$C36,AM$5&lt;=$D36,$A36&lt;&gt;""),"●","")</x:f>
      </x:c>
      <x:c r="AN36" s="165" t="str">
        <x:f>IF(AND(AN$5&gt;=$C36,AN$5&lt;=$D36,$A36&lt;&gt;""),"●","")</x:f>
      </x:c>
      <x:c r="AO36" s="165" t="str">
        <x:f>IF(AND(AO$5&gt;=$C36,AO$5&lt;=$D36,$A36&lt;&gt;""),"●","")</x:f>
      </x:c>
      <x:c r="AP36" s="165" t="str">
        <x:f>IF(AND(AP$5&gt;=$C36,AP$5&lt;=$D36,$A36&lt;&gt;""),"●","")</x:f>
      </x:c>
      <x:c r="AQ36" s="165" t="str">
        <x:f>IF(AND(AQ$5&gt;=$C36,AQ$5&lt;=$D36,$A36&lt;&gt;""),"●","")</x:f>
      </x:c>
      <x:c r="AR36" s="165" t="str">
        <x:f>IF(AND(AR$5&gt;=$C36,AR$5&lt;=$D36,$A36&lt;&gt;""),"●","")</x:f>
      </x:c>
      <x:c r="AS36" s="165" t="str">
        <x:f>IF(AND(AS$5&gt;=$C36,AS$5&lt;=$D36,$A36&lt;&gt;""),"●","")</x:f>
      </x:c>
      <x:c r="AT36" s="165" t="str">
        <x:f>IF(AND(AT$5&gt;=$C36,AT$5&lt;=$D36,$A36&lt;&gt;""),"●","")</x:f>
      </x:c>
      <x:c r="AU36" s="165" t="str">
        <x:f>IF(AND(AU$5&gt;=$C36,AU$5&lt;=$D36,$A36&lt;&gt;""),"●","")</x:f>
      </x:c>
      <x:c r="AV36" s="165" t="str">
        <x:f>IF(AND(AV$5&gt;=$C36,AV$5&lt;=$D36,$A36&lt;&gt;""),"●","")</x:f>
      </x:c>
      <x:c r="AW36" s="165" t="str">
        <x:f>IF(AND(AW$5&gt;=$C36,AW$5&lt;=$D36,$A36&lt;&gt;""),"●","")</x:f>
      </x:c>
      <x:c r="AX36" s="165" t="str">
        <x:f>IF(AND(AX$5&gt;=$C36,AX$5&lt;=$D36,$A36&lt;&gt;""),"●","")</x:f>
      </x:c>
      <x:c r="AY36" s="165" t="str">
        <x:f>IF(AND(AY$5&gt;=$C36,AY$5&lt;=$D36,$A36&lt;&gt;""),"●","")</x:f>
      </x:c>
      <x:c r="AZ36" s="165" t="str">
        <x:f>IF(AND(AZ$5&gt;=$C36,AZ$5&lt;=$D36,$A36&lt;&gt;""),"●","")</x:f>
      </x:c>
      <x:c r="BA36" s="165" t="str">
        <x:f>IF(AND(BA$5&gt;=$C36,BA$5&lt;=$D36,$A36&lt;&gt;""),"●","")</x:f>
      </x:c>
      <x:c r="BB36" s="165" t="str">
        <x:f>IF(AND(BB$5&gt;=$C36,BB$5&lt;=$D36,$A36&lt;&gt;""),"●","")</x:f>
      </x:c>
      <x:c r="BC36" s="165" t="str">
        <x:f>IF(AND(BC$5&gt;=$C36,BC$5&lt;=$D36,$A36&lt;&gt;""),"●","")</x:f>
      </x:c>
      <x:c r="BD36" s="165" t="str">
        <x:f>IF(AND(BD$5&gt;=$C36,BD$5&lt;=$D36,$A36&lt;&gt;""),"●","")</x:f>
      </x:c>
      <x:c r="BE36" s="165" t="str">
        <x:f>IF(AND(BE$5&gt;=$C36,BE$5&lt;=$D36,$A36&lt;&gt;""),"●","")</x:f>
      </x:c>
      <x:c r="BF36" s="165" t="str">
        <x:f>IF(AND(BF$5&gt;=$C36,BF$5&lt;=$D36,$A36&lt;&gt;""),"●","")</x:f>
      </x:c>
      <x:c r="BG36" s="165" t="str">
        <x:f>IF(AND(BG$5&gt;=$C36,BG$5&lt;=$D36,$A36&lt;&gt;""),"●","")</x:f>
      </x:c>
      <x:c r="BH36" s="165" t="str">
        <x:f>IF(AND(BH$5&gt;=$C36,BH$5&lt;=$D36,$A36&lt;&gt;""),"●","")</x:f>
      </x:c>
      <x:c r="BI36" s="165" t="str">
        <x:f>IF(AND(BI$5&gt;=$C36,BI$5&lt;=$D36,$A36&lt;&gt;""),"●","")</x:f>
      </x:c>
      <x:c r="BJ36" s="165" t="str">
        <x:f>IF(AND(BJ$5&gt;=$C36,BJ$5&lt;=$D36,$A36&lt;&gt;""),"●","")</x:f>
      </x:c>
      <x:c r="BK36" s="165" t="str">
        <x:f>IF(AND(BK$5&gt;=$C36,BK$5&lt;=$D36,$A36&lt;&gt;""),"●","")</x:f>
      </x:c>
      <x:c r="BL36" s="165" t="str">
        <x:f>IF(AND(BL$5&gt;=$C36,BL$5&lt;=$D36,$A36&lt;&gt;""),"●","")</x:f>
      </x:c>
      <x:c r="BM36" s="165" t="str">
        <x:f>IF(AND(BM$5&gt;=$C36,BM$5&lt;=$D36,$A36&lt;&gt;""),"●","")</x:f>
      </x:c>
      <x:c r="BN36" s="165" t="str">
        <x:f>IF(AND(BN$5&gt;=$C36,BN$5&lt;=$D36,$A36&lt;&gt;""),"●","")</x:f>
      </x:c>
      <x:c r="BO36" s="165" t="str">
        <x:f>IF(AND(BO$5&gt;=$C36,BO$5&lt;=$D36,$A36&lt;&gt;""),"●","")</x:f>
      </x:c>
      <x:c r="BP36" s="165" t="str">
        <x:f>IF(AND(BP$5&gt;=$C36,BP$5&lt;=$D36,$A36&lt;&gt;""),"●","")</x:f>
      </x:c>
      <x:c r="BQ36" s="165" t="str">
        <x:f>IF(AND(BQ$5&gt;=$C36,BQ$5&lt;=$D36,$A36&lt;&gt;""),"●","")</x:f>
      </x:c>
      <x:c r="BR36" s="165" t="str">
        <x:f>IF(AND(BR$5&gt;=$C36,BR$5&lt;=$D36,$A36&lt;&gt;""),"●","")</x:f>
      </x:c>
      <x:c r="BS36" s="165" t="str">
        <x:f>IF(AND(BS$5&gt;=$C36,BS$5&lt;=$D36,$A36&lt;&gt;""),"●","")</x:f>
      </x:c>
      <x:c r="BT36" s="165" t="str">
        <x:f>IF(AND(BT$5&gt;=$C36,BT$5&lt;=$D36,$A36&lt;&gt;""),"●","")</x:f>
      </x:c>
      <x:c r="BU36" s="165" t="str">
        <x:f>IF(AND(BU$5&gt;=$C36,BU$5&lt;=$D36,$A36&lt;&gt;""),"●","")</x:f>
      </x:c>
      <x:c r="BV36" s="165" t="str">
        <x:f>IF(AND(BV$5&gt;=$C36,BV$5&lt;=$D36,$A36&lt;&gt;""),"●","")</x:f>
      </x:c>
      <x:c r="BW36" s="165" t="str">
        <x:f>IF(AND(BW$5&gt;=$C36,BW$5&lt;=$D36,$A36&lt;&gt;""),"●","")</x:f>
      </x:c>
    </x:row>
    <x:row r="37">
      <x:c r="A37" s="159" t="str">
        <x:f>IF('รายการสัญญา'!A37="","",'รายการสัญญา'!A37)</x:f>
      </x:c>
      <x:c r="B37" s="159" t="str">
        <x:f>IF('รายการสัญญา'!A37="","",'รายการสัญญา'!C37)</x:f>
      </x:c>
      <x:c r="C37" s="162" t="str">
        <x:f>IF('รายการสัญญา'!A37="","",'รายการสัญญา'!E37)</x:f>
      </x:c>
      <x:c r="D37" s="162" t="str">
        <x:f>IF('รายการสัญญา'!A37="","",'รายการสัญญา'!G37)</x:f>
      </x:c>
      <x:c r="E37" s="159" t="str">
        <x:f>IF('รายการสัญญา'!A37="","",'รายการสัญญา'!K37)</x:f>
      </x:c>
      <x:c r="F37" s="165" t="str">
        <x:f>IF(AND(F$5&gt;=$C37,F$5&lt;=$D37,$A37&lt;&gt;""),"●","")</x:f>
      </x:c>
      <x:c r="G37" s="165" t="str">
        <x:f>IF(AND(G$5&gt;=$C37,G$5&lt;=$D37,$A37&lt;&gt;""),"●","")</x:f>
      </x:c>
      <x:c r="H37" s="165" t="str">
        <x:f>IF(AND(H$5&gt;=$C37,H$5&lt;=$D37,$A37&lt;&gt;""),"●","")</x:f>
      </x:c>
      <x:c r="I37" s="165" t="str">
        <x:f>IF(AND(I$5&gt;=$C37,I$5&lt;=$D37,$A37&lt;&gt;""),"●","")</x:f>
      </x:c>
      <x:c r="J37" s="165" t="str">
        <x:f>IF(AND(J$5&gt;=$C37,J$5&lt;=$D37,$A37&lt;&gt;""),"●","")</x:f>
      </x:c>
      <x:c r="K37" s="165" t="str">
        <x:f>IF(AND(K$5&gt;=$C37,K$5&lt;=$D37,$A37&lt;&gt;""),"●","")</x:f>
      </x:c>
      <x:c r="L37" s="165" t="str">
        <x:f>IF(AND(L$5&gt;=$C37,L$5&lt;=$D37,$A37&lt;&gt;""),"●","")</x:f>
      </x:c>
      <x:c r="M37" s="165" t="str">
        <x:f>IF(AND(M$5&gt;=$C37,M$5&lt;=$D37,$A37&lt;&gt;""),"●","")</x:f>
      </x:c>
      <x:c r="N37" s="165" t="str">
        <x:f>IF(AND(N$5&gt;=$C37,N$5&lt;=$D37,$A37&lt;&gt;""),"●","")</x:f>
      </x:c>
      <x:c r="O37" s="165" t="str">
        <x:f>IF(AND(O$5&gt;=$C37,O$5&lt;=$D37,$A37&lt;&gt;""),"●","")</x:f>
      </x:c>
      <x:c r="P37" s="165" t="str">
        <x:f>IF(AND(P$5&gt;=$C37,P$5&lt;=$D37,$A37&lt;&gt;""),"●","")</x:f>
      </x:c>
      <x:c r="Q37" s="165" t="str">
        <x:f>IF(AND(Q$5&gt;=$C37,Q$5&lt;=$D37,$A37&lt;&gt;""),"●","")</x:f>
      </x:c>
      <x:c r="R37" s="165" t="str">
        <x:f>IF(AND(R$5&gt;=$C37,R$5&lt;=$D37,$A37&lt;&gt;""),"●","")</x:f>
      </x:c>
      <x:c r="S37" s="165" t="str">
        <x:f>IF(AND(S$5&gt;=$C37,S$5&lt;=$D37,$A37&lt;&gt;""),"●","")</x:f>
      </x:c>
      <x:c r="T37" s="165" t="str">
        <x:f>IF(AND(T$5&gt;=$C37,T$5&lt;=$D37,$A37&lt;&gt;""),"●","")</x:f>
      </x:c>
      <x:c r="U37" s="165" t="str">
        <x:f>IF(AND(U$5&gt;=$C37,U$5&lt;=$D37,$A37&lt;&gt;""),"●","")</x:f>
      </x:c>
      <x:c r="V37" s="165" t="str">
        <x:f>IF(AND(V$5&gt;=$C37,V$5&lt;=$D37,$A37&lt;&gt;""),"●","")</x:f>
      </x:c>
      <x:c r="W37" s="165" t="str">
        <x:f>IF(AND(W$5&gt;=$C37,W$5&lt;=$D37,$A37&lt;&gt;""),"●","")</x:f>
      </x:c>
      <x:c r="X37" s="165" t="str">
        <x:f>IF(AND(X$5&gt;=$C37,X$5&lt;=$D37,$A37&lt;&gt;""),"●","")</x:f>
      </x:c>
      <x:c r="Y37" s="165" t="str">
        <x:f>IF(AND(Y$5&gt;=$C37,Y$5&lt;=$D37,$A37&lt;&gt;""),"●","")</x:f>
      </x:c>
      <x:c r="Z37" s="165" t="str">
        <x:f>IF(AND(Z$5&gt;=$C37,Z$5&lt;=$D37,$A37&lt;&gt;""),"●","")</x:f>
      </x:c>
      <x:c r="AA37" s="165" t="str">
        <x:f>IF(AND(AA$5&gt;=$C37,AA$5&lt;=$D37,$A37&lt;&gt;""),"●","")</x:f>
      </x:c>
      <x:c r="AB37" s="165" t="str">
        <x:f>IF(AND(AB$5&gt;=$C37,AB$5&lt;=$D37,$A37&lt;&gt;""),"●","")</x:f>
      </x:c>
      <x:c r="AC37" s="165" t="str">
        <x:f>IF(AND(AC$5&gt;=$C37,AC$5&lt;=$D37,$A37&lt;&gt;""),"●","")</x:f>
      </x:c>
      <x:c r="AD37" s="165" t="str">
        <x:f>IF(AND(AD$5&gt;=$C37,AD$5&lt;=$D37,$A37&lt;&gt;""),"●","")</x:f>
      </x:c>
      <x:c r="AE37" s="165" t="str">
        <x:f>IF(AND(AE$5&gt;=$C37,AE$5&lt;=$D37,$A37&lt;&gt;""),"●","")</x:f>
      </x:c>
      <x:c r="AF37" s="165" t="str">
        <x:f>IF(AND(AF$5&gt;=$C37,AF$5&lt;=$D37,$A37&lt;&gt;""),"●","")</x:f>
      </x:c>
      <x:c r="AG37" s="165" t="str">
        <x:f>IF(AND(AG$5&gt;=$C37,AG$5&lt;=$D37,$A37&lt;&gt;""),"●","")</x:f>
      </x:c>
      <x:c r="AH37" s="165" t="str">
        <x:f>IF(AND(AH$5&gt;=$C37,AH$5&lt;=$D37,$A37&lt;&gt;""),"●","")</x:f>
      </x:c>
      <x:c r="AI37" s="165" t="str">
        <x:f>IF(AND(AI$5&gt;=$C37,AI$5&lt;=$D37,$A37&lt;&gt;""),"●","")</x:f>
      </x:c>
      <x:c r="AJ37" s="165" t="str">
        <x:f>IF(AND(AJ$5&gt;=$C37,AJ$5&lt;=$D37,$A37&lt;&gt;""),"●","")</x:f>
      </x:c>
      <x:c r="AK37" s="165" t="str">
        <x:f>IF(AND(AK$5&gt;=$C37,AK$5&lt;=$D37,$A37&lt;&gt;""),"●","")</x:f>
      </x:c>
      <x:c r="AL37" s="165" t="str">
        <x:f>IF(AND(AL$5&gt;=$C37,AL$5&lt;=$D37,$A37&lt;&gt;""),"●","")</x:f>
      </x:c>
      <x:c r="AM37" s="165" t="str">
        <x:f>IF(AND(AM$5&gt;=$C37,AM$5&lt;=$D37,$A37&lt;&gt;""),"●","")</x:f>
      </x:c>
      <x:c r="AN37" s="165" t="str">
        <x:f>IF(AND(AN$5&gt;=$C37,AN$5&lt;=$D37,$A37&lt;&gt;""),"●","")</x:f>
      </x:c>
      <x:c r="AO37" s="165" t="str">
        <x:f>IF(AND(AO$5&gt;=$C37,AO$5&lt;=$D37,$A37&lt;&gt;""),"●","")</x:f>
      </x:c>
      <x:c r="AP37" s="165" t="str">
        <x:f>IF(AND(AP$5&gt;=$C37,AP$5&lt;=$D37,$A37&lt;&gt;""),"●","")</x:f>
      </x:c>
      <x:c r="AQ37" s="165" t="str">
        <x:f>IF(AND(AQ$5&gt;=$C37,AQ$5&lt;=$D37,$A37&lt;&gt;""),"●","")</x:f>
      </x:c>
      <x:c r="AR37" s="165" t="str">
        <x:f>IF(AND(AR$5&gt;=$C37,AR$5&lt;=$D37,$A37&lt;&gt;""),"●","")</x:f>
      </x:c>
      <x:c r="AS37" s="165" t="str">
        <x:f>IF(AND(AS$5&gt;=$C37,AS$5&lt;=$D37,$A37&lt;&gt;""),"●","")</x:f>
      </x:c>
      <x:c r="AT37" s="165" t="str">
        <x:f>IF(AND(AT$5&gt;=$C37,AT$5&lt;=$D37,$A37&lt;&gt;""),"●","")</x:f>
      </x:c>
      <x:c r="AU37" s="165" t="str">
        <x:f>IF(AND(AU$5&gt;=$C37,AU$5&lt;=$D37,$A37&lt;&gt;""),"●","")</x:f>
      </x:c>
      <x:c r="AV37" s="165" t="str">
        <x:f>IF(AND(AV$5&gt;=$C37,AV$5&lt;=$D37,$A37&lt;&gt;""),"●","")</x:f>
      </x:c>
      <x:c r="AW37" s="165" t="str">
        <x:f>IF(AND(AW$5&gt;=$C37,AW$5&lt;=$D37,$A37&lt;&gt;""),"●","")</x:f>
      </x:c>
      <x:c r="AX37" s="165" t="str">
        <x:f>IF(AND(AX$5&gt;=$C37,AX$5&lt;=$D37,$A37&lt;&gt;""),"●","")</x:f>
      </x:c>
      <x:c r="AY37" s="165" t="str">
        <x:f>IF(AND(AY$5&gt;=$C37,AY$5&lt;=$D37,$A37&lt;&gt;""),"●","")</x:f>
      </x:c>
      <x:c r="AZ37" s="165" t="str">
        <x:f>IF(AND(AZ$5&gt;=$C37,AZ$5&lt;=$D37,$A37&lt;&gt;""),"●","")</x:f>
      </x:c>
      <x:c r="BA37" s="165" t="str">
        <x:f>IF(AND(BA$5&gt;=$C37,BA$5&lt;=$D37,$A37&lt;&gt;""),"●","")</x:f>
      </x:c>
      <x:c r="BB37" s="165" t="str">
        <x:f>IF(AND(BB$5&gt;=$C37,BB$5&lt;=$D37,$A37&lt;&gt;""),"●","")</x:f>
      </x:c>
      <x:c r="BC37" s="165" t="str">
        <x:f>IF(AND(BC$5&gt;=$C37,BC$5&lt;=$D37,$A37&lt;&gt;""),"●","")</x:f>
      </x:c>
      <x:c r="BD37" s="165" t="str">
        <x:f>IF(AND(BD$5&gt;=$C37,BD$5&lt;=$D37,$A37&lt;&gt;""),"●","")</x:f>
      </x:c>
      <x:c r="BE37" s="165" t="str">
        <x:f>IF(AND(BE$5&gt;=$C37,BE$5&lt;=$D37,$A37&lt;&gt;""),"●","")</x:f>
      </x:c>
      <x:c r="BF37" s="165" t="str">
        <x:f>IF(AND(BF$5&gt;=$C37,BF$5&lt;=$D37,$A37&lt;&gt;""),"●","")</x:f>
      </x:c>
      <x:c r="BG37" s="165" t="str">
        <x:f>IF(AND(BG$5&gt;=$C37,BG$5&lt;=$D37,$A37&lt;&gt;""),"●","")</x:f>
      </x:c>
      <x:c r="BH37" s="165" t="str">
        <x:f>IF(AND(BH$5&gt;=$C37,BH$5&lt;=$D37,$A37&lt;&gt;""),"●","")</x:f>
      </x:c>
      <x:c r="BI37" s="165" t="str">
        <x:f>IF(AND(BI$5&gt;=$C37,BI$5&lt;=$D37,$A37&lt;&gt;""),"●","")</x:f>
      </x:c>
      <x:c r="BJ37" s="165" t="str">
        <x:f>IF(AND(BJ$5&gt;=$C37,BJ$5&lt;=$D37,$A37&lt;&gt;""),"●","")</x:f>
      </x:c>
      <x:c r="BK37" s="165" t="str">
        <x:f>IF(AND(BK$5&gt;=$C37,BK$5&lt;=$D37,$A37&lt;&gt;""),"●","")</x:f>
      </x:c>
      <x:c r="BL37" s="165" t="str">
        <x:f>IF(AND(BL$5&gt;=$C37,BL$5&lt;=$D37,$A37&lt;&gt;""),"●","")</x:f>
      </x:c>
      <x:c r="BM37" s="165" t="str">
        <x:f>IF(AND(BM$5&gt;=$C37,BM$5&lt;=$D37,$A37&lt;&gt;""),"●","")</x:f>
      </x:c>
      <x:c r="BN37" s="165" t="str">
        <x:f>IF(AND(BN$5&gt;=$C37,BN$5&lt;=$D37,$A37&lt;&gt;""),"●","")</x:f>
      </x:c>
      <x:c r="BO37" s="165" t="str">
        <x:f>IF(AND(BO$5&gt;=$C37,BO$5&lt;=$D37,$A37&lt;&gt;""),"●","")</x:f>
      </x:c>
      <x:c r="BP37" s="165" t="str">
        <x:f>IF(AND(BP$5&gt;=$C37,BP$5&lt;=$D37,$A37&lt;&gt;""),"●","")</x:f>
      </x:c>
      <x:c r="BQ37" s="165" t="str">
        <x:f>IF(AND(BQ$5&gt;=$C37,BQ$5&lt;=$D37,$A37&lt;&gt;""),"●","")</x:f>
      </x:c>
      <x:c r="BR37" s="165" t="str">
        <x:f>IF(AND(BR$5&gt;=$C37,BR$5&lt;=$D37,$A37&lt;&gt;""),"●","")</x:f>
      </x:c>
      <x:c r="BS37" s="165" t="str">
        <x:f>IF(AND(BS$5&gt;=$C37,BS$5&lt;=$D37,$A37&lt;&gt;""),"●","")</x:f>
      </x:c>
      <x:c r="BT37" s="165" t="str">
        <x:f>IF(AND(BT$5&gt;=$C37,BT$5&lt;=$D37,$A37&lt;&gt;""),"●","")</x:f>
      </x:c>
      <x:c r="BU37" s="165" t="str">
        <x:f>IF(AND(BU$5&gt;=$C37,BU$5&lt;=$D37,$A37&lt;&gt;""),"●","")</x:f>
      </x:c>
      <x:c r="BV37" s="165" t="str">
        <x:f>IF(AND(BV$5&gt;=$C37,BV$5&lt;=$D37,$A37&lt;&gt;""),"●","")</x:f>
      </x:c>
      <x:c r="BW37" s="165" t="str">
        <x:f>IF(AND(BW$5&gt;=$C37,BW$5&lt;=$D37,$A37&lt;&gt;""),"●","")</x:f>
      </x:c>
    </x:row>
    <x:row r="38">
      <x:c r="A38" s="159" t="str">
        <x:f>IF('รายการสัญญา'!A38="","",'รายการสัญญา'!A38)</x:f>
      </x:c>
      <x:c r="B38" s="159" t="str">
        <x:f>IF('รายการสัญญา'!A38="","",'รายการสัญญา'!C38)</x:f>
      </x:c>
      <x:c r="C38" s="162" t="str">
        <x:f>IF('รายการสัญญา'!A38="","",'รายการสัญญา'!E38)</x:f>
      </x:c>
      <x:c r="D38" s="162" t="str">
        <x:f>IF('รายการสัญญา'!A38="","",'รายการสัญญา'!G38)</x:f>
      </x:c>
      <x:c r="E38" s="159" t="str">
        <x:f>IF('รายการสัญญา'!A38="","",'รายการสัญญา'!K38)</x:f>
      </x:c>
      <x:c r="F38" s="165" t="str">
        <x:f>IF(AND(F$5&gt;=$C38,F$5&lt;=$D38,$A38&lt;&gt;""),"●","")</x:f>
      </x:c>
      <x:c r="G38" s="165" t="str">
        <x:f>IF(AND(G$5&gt;=$C38,G$5&lt;=$D38,$A38&lt;&gt;""),"●","")</x:f>
      </x:c>
      <x:c r="H38" s="165" t="str">
        <x:f>IF(AND(H$5&gt;=$C38,H$5&lt;=$D38,$A38&lt;&gt;""),"●","")</x:f>
      </x:c>
      <x:c r="I38" s="165" t="str">
        <x:f>IF(AND(I$5&gt;=$C38,I$5&lt;=$D38,$A38&lt;&gt;""),"●","")</x:f>
      </x:c>
      <x:c r="J38" s="165" t="str">
        <x:f>IF(AND(J$5&gt;=$C38,J$5&lt;=$D38,$A38&lt;&gt;""),"●","")</x:f>
      </x:c>
      <x:c r="K38" s="165" t="str">
        <x:f>IF(AND(K$5&gt;=$C38,K$5&lt;=$D38,$A38&lt;&gt;""),"●","")</x:f>
      </x:c>
      <x:c r="L38" s="165" t="str">
        <x:f>IF(AND(L$5&gt;=$C38,L$5&lt;=$D38,$A38&lt;&gt;""),"●","")</x:f>
      </x:c>
      <x:c r="M38" s="165" t="str">
        <x:f>IF(AND(M$5&gt;=$C38,M$5&lt;=$D38,$A38&lt;&gt;""),"●","")</x:f>
      </x:c>
      <x:c r="N38" s="165" t="str">
        <x:f>IF(AND(N$5&gt;=$C38,N$5&lt;=$D38,$A38&lt;&gt;""),"●","")</x:f>
      </x:c>
      <x:c r="O38" s="165" t="str">
        <x:f>IF(AND(O$5&gt;=$C38,O$5&lt;=$D38,$A38&lt;&gt;""),"●","")</x:f>
      </x:c>
      <x:c r="P38" s="165" t="str">
        <x:f>IF(AND(P$5&gt;=$C38,P$5&lt;=$D38,$A38&lt;&gt;""),"●","")</x:f>
      </x:c>
      <x:c r="Q38" s="165" t="str">
        <x:f>IF(AND(Q$5&gt;=$C38,Q$5&lt;=$D38,$A38&lt;&gt;""),"●","")</x:f>
      </x:c>
      <x:c r="R38" s="165" t="str">
        <x:f>IF(AND(R$5&gt;=$C38,R$5&lt;=$D38,$A38&lt;&gt;""),"●","")</x:f>
      </x:c>
      <x:c r="S38" s="165" t="str">
        <x:f>IF(AND(S$5&gt;=$C38,S$5&lt;=$D38,$A38&lt;&gt;""),"●","")</x:f>
      </x:c>
      <x:c r="T38" s="165" t="str">
        <x:f>IF(AND(T$5&gt;=$C38,T$5&lt;=$D38,$A38&lt;&gt;""),"●","")</x:f>
      </x:c>
      <x:c r="U38" s="165" t="str">
        <x:f>IF(AND(U$5&gt;=$C38,U$5&lt;=$D38,$A38&lt;&gt;""),"●","")</x:f>
      </x:c>
      <x:c r="V38" s="165" t="str">
        <x:f>IF(AND(V$5&gt;=$C38,V$5&lt;=$D38,$A38&lt;&gt;""),"●","")</x:f>
      </x:c>
      <x:c r="W38" s="165" t="str">
        <x:f>IF(AND(W$5&gt;=$C38,W$5&lt;=$D38,$A38&lt;&gt;""),"●","")</x:f>
      </x:c>
      <x:c r="X38" s="165" t="str">
        <x:f>IF(AND(X$5&gt;=$C38,X$5&lt;=$D38,$A38&lt;&gt;""),"●","")</x:f>
      </x:c>
      <x:c r="Y38" s="165" t="str">
        <x:f>IF(AND(Y$5&gt;=$C38,Y$5&lt;=$D38,$A38&lt;&gt;""),"●","")</x:f>
      </x:c>
      <x:c r="Z38" s="165" t="str">
        <x:f>IF(AND(Z$5&gt;=$C38,Z$5&lt;=$D38,$A38&lt;&gt;""),"●","")</x:f>
      </x:c>
      <x:c r="AA38" s="165" t="str">
        <x:f>IF(AND(AA$5&gt;=$C38,AA$5&lt;=$D38,$A38&lt;&gt;""),"●","")</x:f>
      </x:c>
      <x:c r="AB38" s="165" t="str">
        <x:f>IF(AND(AB$5&gt;=$C38,AB$5&lt;=$D38,$A38&lt;&gt;""),"●","")</x:f>
      </x:c>
      <x:c r="AC38" s="165" t="str">
        <x:f>IF(AND(AC$5&gt;=$C38,AC$5&lt;=$D38,$A38&lt;&gt;""),"●","")</x:f>
      </x:c>
      <x:c r="AD38" s="165" t="str">
        <x:f>IF(AND(AD$5&gt;=$C38,AD$5&lt;=$D38,$A38&lt;&gt;""),"●","")</x:f>
      </x:c>
      <x:c r="AE38" s="165" t="str">
        <x:f>IF(AND(AE$5&gt;=$C38,AE$5&lt;=$D38,$A38&lt;&gt;""),"●","")</x:f>
      </x:c>
      <x:c r="AF38" s="165" t="str">
        <x:f>IF(AND(AF$5&gt;=$C38,AF$5&lt;=$D38,$A38&lt;&gt;""),"●","")</x:f>
      </x:c>
      <x:c r="AG38" s="165" t="str">
        <x:f>IF(AND(AG$5&gt;=$C38,AG$5&lt;=$D38,$A38&lt;&gt;""),"●","")</x:f>
      </x:c>
      <x:c r="AH38" s="165" t="str">
        <x:f>IF(AND(AH$5&gt;=$C38,AH$5&lt;=$D38,$A38&lt;&gt;""),"●","")</x:f>
      </x:c>
      <x:c r="AI38" s="165" t="str">
        <x:f>IF(AND(AI$5&gt;=$C38,AI$5&lt;=$D38,$A38&lt;&gt;""),"●","")</x:f>
      </x:c>
      <x:c r="AJ38" s="165" t="str">
        <x:f>IF(AND(AJ$5&gt;=$C38,AJ$5&lt;=$D38,$A38&lt;&gt;""),"●","")</x:f>
      </x:c>
      <x:c r="AK38" s="165" t="str">
        <x:f>IF(AND(AK$5&gt;=$C38,AK$5&lt;=$D38,$A38&lt;&gt;""),"●","")</x:f>
      </x:c>
      <x:c r="AL38" s="165" t="str">
        <x:f>IF(AND(AL$5&gt;=$C38,AL$5&lt;=$D38,$A38&lt;&gt;""),"●","")</x:f>
      </x:c>
      <x:c r="AM38" s="165" t="str">
        <x:f>IF(AND(AM$5&gt;=$C38,AM$5&lt;=$D38,$A38&lt;&gt;""),"●","")</x:f>
      </x:c>
      <x:c r="AN38" s="165" t="str">
        <x:f>IF(AND(AN$5&gt;=$C38,AN$5&lt;=$D38,$A38&lt;&gt;""),"●","")</x:f>
      </x:c>
      <x:c r="AO38" s="165" t="str">
        <x:f>IF(AND(AO$5&gt;=$C38,AO$5&lt;=$D38,$A38&lt;&gt;""),"●","")</x:f>
      </x:c>
      <x:c r="AP38" s="165" t="str">
        <x:f>IF(AND(AP$5&gt;=$C38,AP$5&lt;=$D38,$A38&lt;&gt;""),"●","")</x:f>
      </x:c>
      <x:c r="AQ38" s="165" t="str">
        <x:f>IF(AND(AQ$5&gt;=$C38,AQ$5&lt;=$D38,$A38&lt;&gt;""),"●","")</x:f>
      </x:c>
      <x:c r="AR38" s="165" t="str">
        <x:f>IF(AND(AR$5&gt;=$C38,AR$5&lt;=$D38,$A38&lt;&gt;""),"●","")</x:f>
      </x:c>
      <x:c r="AS38" s="165" t="str">
        <x:f>IF(AND(AS$5&gt;=$C38,AS$5&lt;=$D38,$A38&lt;&gt;""),"●","")</x:f>
      </x:c>
      <x:c r="AT38" s="165" t="str">
        <x:f>IF(AND(AT$5&gt;=$C38,AT$5&lt;=$D38,$A38&lt;&gt;""),"●","")</x:f>
      </x:c>
      <x:c r="AU38" s="165" t="str">
        <x:f>IF(AND(AU$5&gt;=$C38,AU$5&lt;=$D38,$A38&lt;&gt;""),"●","")</x:f>
      </x:c>
      <x:c r="AV38" s="165" t="str">
        <x:f>IF(AND(AV$5&gt;=$C38,AV$5&lt;=$D38,$A38&lt;&gt;""),"●","")</x:f>
      </x:c>
      <x:c r="AW38" s="165" t="str">
        <x:f>IF(AND(AW$5&gt;=$C38,AW$5&lt;=$D38,$A38&lt;&gt;""),"●","")</x:f>
      </x:c>
      <x:c r="AX38" s="165" t="str">
        <x:f>IF(AND(AX$5&gt;=$C38,AX$5&lt;=$D38,$A38&lt;&gt;""),"●","")</x:f>
      </x:c>
      <x:c r="AY38" s="165" t="str">
        <x:f>IF(AND(AY$5&gt;=$C38,AY$5&lt;=$D38,$A38&lt;&gt;""),"●","")</x:f>
      </x:c>
      <x:c r="AZ38" s="165" t="str">
        <x:f>IF(AND(AZ$5&gt;=$C38,AZ$5&lt;=$D38,$A38&lt;&gt;""),"●","")</x:f>
      </x:c>
      <x:c r="BA38" s="165" t="str">
        <x:f>IF(AND(BA$5&gt;=$C38,BA$5&lt;=$D38,$A38&lt;&gt;""),"●","")</x:f>
      </x:c>
      <x:c r="BB38" s="165" t="str">
        <x:f>IF(AND(BB$5&gt;=$C38,BB$5&lt;=$D38,$A38&lt;&gt;""),"●","")</x:f>
      </x:c>
      <x:c r="BC38" s="165" t="str">
        <x:f>IF(AND(BC$5&gt;=$C38,BC$5&lt;=$D38,$A38&lt;&gt;""),"●","")</x:f>
      </x:c>
      <x:c r="BD38" s="165" t="str">
        <x:f>IF(AND(BD$5&gt;=$C38,BD$5&lt;=$D38,$A38&lt;&gt;""),"●","")</x:f>
      </x:c>
      <x:c r="BE38" s="165" t="str">
        <x:f>IF(AND(BE$5&gt;=$C38,BE$5&lt;=$D38,$A38&lt;&gt;""),"●","")</x:f>
      </x:c>
      <x:c r="BF38" s="165" t="str">
        <x:f>IF(AND(BF$5&gt;=$C38,BF$5&lt;=$D38,$A38&lt;&gt;""),"●","")</x:f>
      </x:c>
      <x:c r="BG38" s="165" t="str">
        <x:f>IF(AND(BG$5&gt;=$C38,BG$5&lt;=$D38,$A38&lt;&gt;""),"●","")</x:f>
      </x:c>
      <x:c r="BH38" s="165" t="str">
        <x:f>IF(AND(BH$5&gt;=$C38,BH$5&lt;=$D38,$A38&lt;&gt;""),"●","")</x:f>
      </x:c>
      <x:c r="BI38" s="165" t="str">
        <x:f>IF(AND(BI$5&gt;=$C38,BI$5&lt;=$D38,$A38&lt;&gt;""),"●","")</x:f>
      </x:c>
      <x:c r="BJ38" s="165" t="str">
        <x:f>IF(AND(BJ$5&gt;=$C38,BJ$5&lt;=$D38,$A38&lt;&gt;""),"●","")</x:f>
      </x:c>
      <x:c r="BK38" s="165" t="str">
        <x:f>IF(AND(BK$5&gt;=$C38,BK$5&lt;=$D38,$A38&lt;&gt;""),"●","")</x:f>
      </x:c>
      <x:c r="BL38" s="165" t="str">
        <x:f>IF(AND(BL$5&gt;=$C38,BL$5&lt;=$D38,$A38&lt;&gt;""),"●","")</x:f>
      </x:c>
      <x:c r="BM38" s="165" t="str">
        <x:f>IF(AND(BM$5&gt;=$C38,BM$5&lt;=$D38,$A38&lt;&gt;""),"●","")</x:f>
      </x:c>
      <x:c r="BN38" s="165" t="str">
        <x:f>IF(AND(BN$5&gt;=$C38,BN$5&lt;=$D38,$A38&lt;&gt;""),"●","")</x:f>
      </x:c>
      <x:c r="BO38" s="165" t="str">
        <x:f>IF(AND(BO$5&gt;=$C38,BO$5&lt;=$D38,$A38&lt;&gt;""),"●","")</x:f>
      </x:c>
      <x:c r="BP38" s="165" t="str">
        <x:f>IF(AND(BP$5&gt;=$C38,BP$5&lt;=$D38,$A38&lt;&gt;""),"●","")</x:f>
      </x:c>
      <x:c r="BQ38" s="165" t="str">
        <x:f>IF(AND(BQ$5&gt;=$C38,BQ$5&lt;=$D38,$A38&lt;&gt;""),"●","")</x:f>
      </x:c>
      <x:c r="BR38" s="165" t="str">
        <x:f>IF(AND(BR$5&gt;=$C38,BR$5&lt;=$D38,$A38&lt;&gt;""),"●","")</x:f>
      </x:c>
      <x:c r="BS38" s="165" t="str">
        <x:f>IF(AND(BS$5&gt;=$C38,BS$5&lt;=$D38,$A38&lt;&gt;""),"●","")</x:f>
      </x:c>
      <x:c r="BT38" s="165" t="str">
        <x:f>IF(AND(BT$5&gt;=$C38,BT$5&lt;=$D38,$A38&lt;&gt;""),"●","")</x:f>
      </x:c>
      <x:c r="BU38" s="165" t="str">
        <x:f>IF(AND(BU$5&gt;=$C38,BU$5&lt;=$D38,$A38&lt;&gt;""),"●","")</x:f>
      </x:c>
      <x:c r="BV38" s="165" t="str">
        <x:f>IF(AND(BV$5&gt;=$C38,BV$5&lt;=$D38,$A38&lt;&gt;""),"●","")</x:f>
      </x:c>
      <x:c r="BW38" s="165" t="str">
        <x:f>IF(AND(BW$5&gt;=$C38,BW$5&lt;=$D38,$A38&lt;&gt;""),"●","")</x:f>
      </x:c>
    </x:row>
    <x:row r="39">
      <x:c r="A39" s="159" t="str">
        <x:f>IF('รายการสัญญา'!A39="","",'รายการสัญญา'!A39)</x:f>
      </x:c>
      <x:c r="B39" s="159" t="str">
        <x:f>IF('รายการสัญญา'!A39="","",'รายการสัญญา'!C39)</x:f>
      </x:c>
      <x:c r="C39" s="162" t="str">
        <x:f>IF('รายการสัญญา'!A39="","",'รายการสัญญา'!E39)</x:f>
      </x:c>
      <x:c r="D39" s="162" t="str">
        <x:f>IF('รายการสัญญา'!A39="","",'รายการสัญญา'!G39)</x:f>
      </x:c>
      <x:c r="E39" s="159" t="str">
        <x:f>IF('รายการสัญญา'!A39="","",'รายการสัญญา'!K39)</x:f>
      </x:c>
      <x:c r="F39" s="165" t="str">
        <x:f>IF(AND(F$5&gt;=$C39,F$5&lt;=$D39,$A39&lt;&gt;""),"●","")</x:f>
      </x:c>
      <x:c r="G39" s="165" t="str">
        <x:f>IF(AND(G$5&gt;=$C39,G$5&lt;=$D39,$A39&lt;&gt;""),"●","")</x:f>
      </x:c>
      <x:c r="H39" s="165" t="str">
        <x:f>IF(AND(H$5&gt;=$C39,H$5&lt;=$D39,$A39&lt;&gt;""),"●","")</x:f>
      </x:c>
      <x:c r="I39" s="165" t="str">
        <x:f>IF(AND(I$5&gt;=$C39,I$5&lt;=$D39,$A39&lt;&gt;""),"●","")</x:f>
      </x:c>
      <x:c r="J39" s="165" t="str">
        <x:f>IF(AND(J$5&gt;=$C39,J$5&lt;=$D39,$A39&lt;&gt;""),"●","")</x:f>
      </x:c>
      <x:c r="K39" s="165" t="str">
        <x:f>IF(AND(K$5&gt;=$C39,K$5&lt;=$D39,$A39&lt;&gt;""),"●","")</x:f>
      </x:c>
      <x:c r="L39" s="165" t="str">
        <x:f>IF(AND(L$5&gt;=$C39,L$5&lt;=$D39,$A39&lt;&gt;""),"●","")</x:f>
      </x:c>
      <x:c r="M39" s="165" t="str">
        <x:f>IF(AND(M$5&gt;=$C39,M$5&lt;=$D39,$A39&lt;&gt;""),"●","")</x:f>
      </x:c>
      <x:c r="N39" s="165" t="str">
        <x:f>IF(AND(N$5&gt;=$C39,N$5&lt;=$D39,$A39&lt;&gt;""),"●","")</x:f>
      </x:c>
      <x:c r="O39" s="165" t="str">
        <x:f>IF(AND(O$5&gt;=$C39,O$5&lt;=$D39,$A39&lt;&gt;""),"●","")</x:f>
      </x:c>
      <x:c r="P39" s="165" t="str">
        <x:f>IF(AND(P$5&gt;=$C39,P$5&lt;=$D39,$A39&lt;&gt;""),"●","")</x:f>
      </x:c>
      <x:c r="Q39" s="165" t="str">
        <x:f>IF(AND(Q$5&gt;=$C39,Q$5&lt;=$D39,$A39&lt;&gt;""),"●","")</x:f>
      </x:c>
      <x:c r="R39" s="165" t="str">
        <x:f>IF(AND(R$5&gt;=$C39,R$5&lt;=$D39,$A39&lt;&gt;""),"●","")</x:f>
      </x:c>
      <x:c r="S39" s="165" t="str">
        <x:f>IF(AND(S$5&gt;=$C39,S$5&lt;=$D39,$A39&lt;&gt;""),"●","")</x:f>
      </x:c>
      <x:c r="T39" s="165" t="str">
        <x:f>IF(AND(T$5&gt;=$C39,T$5&lt;=$D39,$A39&lt;&gt;""),"●","")</x:f>
      </x:c>
      <x:c r="U39" s="165" t="str">
        <x:f>IF(AND(U$5&gt;=$C39,U$5&lt;=$D39,$A39&lt;&gt;""),"●","")</x:f>
      </x:c>
      <x:c r="V39" s="165" t="str">
        <x:f>IF(AND(V$5&gt;=$C39,V$5&lt;=$D39,$A39&lt;&gt;""),"●","")</x:f>
      </x:c>
      <x:c r="W39" s="165" t="str">
        <x:f>IF(AND(W$5&gt;=$C39,W$5&lt;=$D39,$A39&lt;&gt;""),"●","")</x:f>
      </x:c>
      <x:c r="X39" s="165" t="str">
        <x:f>IF(AND(X$5&gt;=$C39,X$5&lt;=$D39,$A39&lt;&gt;""),"●","")</x:f>
      </x:c>
      <x:c r="Y39" s="165" t="str">
        <x:f>IF(AND(Y$5&gt;=$C39,Y$5&lt;=$D39,$A39&lt;&gt;""),"●","")</x:f>
      </x:c>
      <x:c r="Z39" s="165" t="str">
        <x:f>IF(AND(Z$5&gt;=$C39,Z$5&lt;=$D39,$A39&lt;&gt;""),"●","")</x:f>
      </x:c>
      <x:c r="AA39" s="165" t="str">
        <x:f>IF(AND(AA$5&gt;=$C39,AA$5&lt;=$D39,$A39&lt;&gt;""),"●","")</x:f>
      </x:c>
      <x:c r="AB39" s="165" t="str">
        <x:f>IF(AND(AB$5&gt;=$C39,AB$5&lt;=$D39,$A39&lt;&gt;""),"●","")</x:f>
      </x:c>
      <x:c r="AC39" s="165" t="str">
        <x:f>IF(AND(AC$5&gt;=$C39,AC$5&lt;=$D39,$A39&lt;&gt;""),"●","")</x:f>
      </x:c>
      <x:c r="AD39" s="165" t="str">
        <x:f>IF(AND(AD$5&gt;=$C39,AD$5&lt;=$D39,$A39&lt;&gt;""),"●","")</x:f>
      </x:c>
      <x:c r="AE39" s="165" t="str">
        <x:f>IF(AND(AE$5&gt;=$C39,AE$5&lt;=$D39,$A39&lt;&gt;""),"●","")</x:f>
      </x:c>
      <x:c r="AF39" s="165" t="str">
        <x:f>IF(AND(AF$5&gt;=$C39,AF$5&lt;=$D39,$A39&lt;&gt;""),"●","")</x:f>
      </x:c>
      <x:c r="AG39" s="165" t="str">
        <x:f>IF(AND(AG$5&gt;=$C39,AG$5&lt;=$D39,$A39&lt;&gt;""),"●","")</x:f>
      </x:c>
      <x:c r="AH39" s="165" t="str">
        <x:f>IF(AND(AH$5&gt;=$C39,AH$5&lt;=$D39,$A39&lt;&gt;""),"●","")</x:f>
      </x:c>
      <x:c r="AI39" s="165" t="str">
        <x:f>IF(AND(AI$5&gt;=$C39,AI$5&lt;=$D39,$A39&lt;&gt;""),"●","")</x:f>
      </x:c>
      <x:c r="AJ39" s="165" t="str">
        <x:f>IF(AND(AJ$5&gt;=$C39,AJ$5&lt;=$D39,$A39&lt;&gt;""),"●","")</x:f>
      </x:c>
      <x:c r="AK39" s="165" t="str">
        <x:f>IF(AND(AK$5&gt;=$C39,AK$5&lt;=$D39,$A39&lt;&gt;""),"●","")</x:f>
      </x:c>
      <x:c r="AL39" s="165" t="str">
        <x:f>IF(AND(AL$5&gt;=$C39,AL$5&lt;=$D39,$A39&lt;&gt;""),"●","")</x:f>
      </x:c>
      <x:c r="AM39" s="165" t="str">
        <x:f>IF(AND(AM$5&gt;=$C39,AM$5&lt;=$D39,$A39&lt;&gt;""),"●","")</x:f>
      </x:c>
      <x:c r="AN39" s="165" t="str">
        <x:f>IF(AND(AN$5&gt;=$C39,AN$5&lt;=$D39,$A39&lt;&gt;""),"●","")</x:f>
      </x:c>
      <x:c r="AO39" s="165" t="str">
        <x:f>IF(AND(AO$5&gt;=$C39,AO$5&lt;=$D39,$A39&lt;&gt;""),"●","")</x:f>
      </x:c>
      <x:c r="AP39" s="165" t="str">
        <x:f>IF(AND(AP$5&gt;=$C39,AP$5&lt;=$D39,$A39&lt;&gt;""),"●","")</x:f>
      </x:c>
      <x:c r="AQ39" s="165" t="str">
        <x:f>IF(AND(AQ$5&gt;=$C39,AQ$5&lt;=$D39,$A39&lt;&gt;""),"●","")</x:f>
      </x:c>
      <x:c r="AR39" s="165" t="str">
        <x:f>IF(AND(AR$5&gt;=$C39,AR$5&lt;=$D39,$A39&lt;&gt;""),"●","")</x:f>
      </x:c>
      <x:c r="AS39" s="165" t="str">
        <x:f>IF(AND(AS$5&gt;=$C39,AS$5&lt;=$D39,$A39&lt;&gt;""),"●","")</x:f>
      </x:c>
      <x:c r="AT39" s="165" t="str">
        <x:f>IF(AND(AT$5&gt;=$C39,AT$5&lt;=$D39,$A39&lt;&gt;""),"●","")</x:f>
      </x:c>
      <x:c r="AU39" s="165" t="str">
        <x:f>IF(AND(AU$5&gt;=$C39,AU$5&lt;=$D39,$A39&lt;&gt;""),"●","")</x:f>
      </x:c>
      <x:c r="AV39" s="165" t="str">
        <x:f>IF(AND(AV$5&gt;=$C39,AV$5&lt;=$D39,$A39&lt;&gt;""),"●","")</x:f>
      </x:c>
      <x:c r="AW39" s="165" t="str">
        <x:f>IF(AND(AW$5&gt;=$C39,AW$5&lt;=$D39,$A39&lt;&gt;""),"●","")</x:f>
      </x:c>
      <x:c r="AX39" s="165" t="str">
        <x:f>IF(AND(AX$5&gt;=$C39,AX$5&lt;=$D39,$A39&lt;&gt;""),"●","")</x:f>
      </x:c>
      <x:c r="AY39" s="165" t="str">
        <x:f>IF(AND(AY$5&gt;=$C39,AY$5&lt;=$D39,$A39&lt;&gt;""),"●","")</x:f>
      </x:c>
      <x:c r="AZ39" s="165" t="str">
        <x:f>IF(AND(AZ$5&gt;=$C39,AZ$5&lt;=$D39,$A39&lt;&gt;""),"●","")</x:f>
      </x:c>
      <x:c r="BA39" s="165" t="str">
        <x:f>IF(AND(BA$5&gt;=$C39,BA$5&lt;=$D39,$A39&lt;&gt;""),"●","")</x:f>
      </x:c>
      <x:c r="BB39" s="165" t="str">
        <x:f>IF(AND(BB$5&gt;=$C39,BB$5&lt;=$D39,$A39&lt;&gt;""),"●","")</x:f>
      </x:c>
      <x:c r="BC39" s="165" t="str">
        <x:f>IF(AND(BC$5&gt;=$C39,BC$5&lt;=$D39,$A39&lt;&gt;""),"●","")</x:f>
      </x:c>
      <x:c r="BD39" s="165" t="str">
        <x:f>IF(AND(BD$5&gt;=$C39,BD$5&lt;=$D39,$A39&lt;&gt;""),"●","")</x:f>
      </x:c>
      <x:c r="BE39" s="165" t="str">
        <x:f>IF(AND(BE$5&gt;=$C39,BE$5&lt;=$D39,$A39&lt;&gt;""),"●","")</x:f>
      </x:c>
      <x:c r="BF39" s="165" t="str">
        <x:f>IF(AND(BF$5&gt;=$C39,BF$5&lt;=$D39,$A39&lt;&gt;""),"●","")</x:f>
      </x:c>
      <x:c r="BG39" s="165" t="str">
        <x:f>IF(AND(BG$5&gt;=$C39,BG$5&lt;=$D39,$A39&lt;&gt;""),"●","")</x:f>
      </x:c>
      <x:c r="BH39" s="165" t="str">
        <x:f>IF(AND(BH$5&gt;=$C39,BH$5&lt;=$D39,$A39&lt;&gt;""),"●","")</x:f>
      </x:c>
      <x:c r="BI39" s="165" t="str">
        <x:f>IF(AND(BI$5&gt;=$C39,BI$5&lt;=$D39,$A39&lt;&gt;""),"●","")</x:f>
      </x:c>
      <x:c r="BJ39" s="165" t="str">
        <x:f>IF(AND(BJ$5&gt;=$C39,BJ$5&lt;=$D39,$A39&lt;&gt;""),"●","")</x:f>
      </x:c>
      <x:c r="BK39" s="165" t="str">
        <x:f>IF(AND(BK$5&gt;=$C39,BK$5&lt;=$D39,$A39&lt;&gt;""),"●","")</x:f>
      </x:c>
      <x:c r="BL39" s="165" t="str">
        <x:f>IF(AND(BL$5&gt;=$C39,BL$5&lt;=$D39,$A39&lt;&gt;""),"●","")</x:f>
      </x:c>
      <x:c r="BM39" s="165" t="str">
        <x:f>IF(AND(BM$5&gt;=$C39,BM$5&lt;=$D39,$A39&lt;&gt;""),"●","")</x:f>
      </x:c>
      <x:c r="BN39" s="165" t="str">
        <x:f>IF(AND(BN$5&gt;=$C39,BN$5&lt;=$D39,$A39&lt;&gt;""),"●","")</x:f>
      </x:c>
      <x:c r="BO39" s="165" t="str">
        <x:f>IF(AND(BO$5&gt;=$C39,BO$5&lt;=$D39,$A39&lt;&gt;""),"●","")</x:f>
      </x:c>
      <x:c r="BP39" s="165" t="str">
        <x:f>IF(AND(BP$5&gt;=$C39,BP$5&lt;=$D39,$A39&lt;&gt;""),"●","")</x:f>
      </x:c>
      <x:c r="BQ39" s="165" t="str">
        <x:f>IF(AND(BQ$5&gt;=$C39,BQ$5&lt;=$D39,$A39&lt;&gt;""),"●","")</x:f>
      </x:c>
      <x:c r="BR39" s="165" t="str">
        <x:f>IF(AND(BR$5&gt;=$C39,BR$5&lt;=$D39,$A39&lt;&gt;""),"●","")</x:f>
      </x:c>
      <x:c r="BS39" s="165" t="str">
        <x:f>IF(AND(BS$5&gt;=$C39,BS$5&lt;=$D39,$A39&lt;&gt;""),"●","")</x:f>
      </x:c>
      <x:c r="BT39" s="165" t="str">
        <x:f>IF(AND(BT$5&gt;=$C39,BT$5&lt;=$D39,$A39&lt;&gt;""),"●","")</x:f>
      </x:c>
      <x:c r="BU39" s="165" t="str">
        <x:f>IF(AND(BU$5&gt;=$C39,BU$5&lt;=$D39,$A39&lt;&gt;""),"●","")</x:f>
      </x:c>
      <x:c r="BV39" s="165" t="str">
        <x:f>IF(AND(BV$5&gt;=$C39,BV$5&lt;=$D39,$A39&lt;&gt;""),"●","")</x:f>
      </x:c>
      <x:c r="BW39" s="165" t="str">
        <x:f>IF(AND(BW$5&gt;=$C39,BW$5&lt;=$D39,$A39&lt;&gt;""),"●","")</x:f>
      </x:c>
    </x:row>
    <x:row r="40">
      <x:c r="A40" s="159" t="str">
        <x:f>IF('รายการสัญญา'!A40="","",'รายการสัญญา'!A40)</x:f>
      </x:c>
      <x:c r="B40" s="159" t="str">
        <x:f>IF('รายการสัญญา'!A40="","",'รายการสัญญา'!C40)</x:f>
      </x:c>
      <x:c r="C40" s="162" t="str">
        <x:f>IF('รายการสัญญา'!A40="","",'รายการสัญญา'!E40)</x:f>
      </x:c>
      <x:c r="D40" s="162" t="str">
        <x:f>IF('รายการสัญญา'!A40="","",'รายการสัญญา'!G40)</x:f>
      </x:c>
      <x:c r="E40" s="159" t="str">
        <x:f>IF('รายการสัญญา'!A40="","",'รายการสัญญา'!K40)</x:f>
      </x:c>
      <x:c r="F40" s="165" t="str">
        <x:f>IF(AND(F$5&gt;=$C40,F$5&lt;=$D40,$A40&lt;&gt;""),"●","")</x:f>
      </x:c>
      <x:c r="G40" s="165" t="str">
        <x:f>IF(AND(G$5&gt;=$C40,G$5&lt;=$D40,$A40&lt;&gt;""),"●","")</x:f>
      </x:c>
      <x:c r="H40" s="165" t="str">
        <x:f>IF(AND(H$5&gt;=$C40,H$5&lt;=$D40,$A40&lt;&gt;""),"●","")</x:f>
      </x:c>
      <x:c r="I40" s="165" t="str">
        <x:f>IF(AND(I$5&gt;=$C40,I$5&lt;=$D40,$A40&lt;&gt;""),"●","")</x:f>
      </x:c>
      <x:c r="J40" s="165" t="str">
        <x:f>IF(AND(J$5&gt;=$C40,J$5&lt;=$D40,$A40&lt;&gt;""),"●","")</x:f>
      </x:c>
      <x:c r="K40" s="165" t="str">
        <x:f>IF(AND(K$5&gt;=$C40,K$5&lt;=$D40,$A40&lt;&gt;""),"●","")</x:f>
      </x:c>
      <x:c r="L40" s="165" t="str">
        <x:f>IF(AND(L$5&gt;=$C40,L$5&lt;=$D40,$A40&lt;&gt;""),"●","")</x:f>
      </x:c>
      <x:c r="M40" s="165" t="str">
        <x:f>IF(AND(M$5&gt;=$C40,M$5&lt;=$D40,$A40&lt;&gt;""),"●","")</x:f>
      </x:c>
      <x:c r="N40" s="165" t="str">
        <x:f>IF(AND(N$5&gt;=$C40,N$5&lt;=$D40,$A40&lt;&gt;""),"●","")</x:f>
      </x:c>
      <x:c r="O40" s="165" t="str">
        <x:f>IF(AND(O$5&gt;=$C40,O$5&lt;=$D40,$A40&lt;&gt;""),"●","")</x:f>
      </x:c>
      <x:c r="P40" s="165" t="str">
        <x:f>IF(AND(P$5&gt;=$C40,P$5&lt;=$D40,$A40&lt;&gt;""),"●","")</x:f>
      </x:c>
      <x:c r="Q40" s="165" t="str">
        <x:f>IF(AND(Q$5&gt;=$C40,Q$5&lt;=$D40,$A40&lt;&gt;""),"●","")</x:f>
      </x:c>
      <x:c r="R40" s="165" t="str">
        <x:f>IF(AND(R$5&gt;=$C40,R$5&lt;=$D40,$A40&lt;&gt;""),"●","")</x:f>
      </x:c>
      <x:c r="S40" s="165" t="str">
        <x:f>IF(AND(S$5&gt;=$C40,S$5&lt;=$D40,$A40&lt;&gt;""),"●","")</x:f>
      </x:c>
      <x:c r="T40" s="165" t="str">
        <x:f>IF(AND(T$5&gt;=$C40,T$5&lt;=$D40,$A40&lt;&gt;""),"●","")</x:f>
      </x:c>
      <x:c r="U40" s="165" t="str">
        <x:f>IF(AND(U$5&gt;=$C40,U$5&lt;=$D40,$A40&lt;&gt;""),"●","")</x:f>
      </x:c>
      <x:c r="V40" s="165" t="str">
        <x:f>IF(AND(V$5&gt;=$C40,V$5&lt;=$D40,$A40&lt;&gt;""),"●","")</x:f>
      </x:c>
      <x:c r="W40" s="165" t="str">
        <x:f>IF(AND(W$5&gt;=$C40,W$5&lt;=$D40,$A40&lt;&gt;""),"●","")</x:f>
      </x:c>
      <x:c r="X40" s="165" t="str">
        <x:f>IF(AND(X$5&gt;=$C40,X$5&lt;=$D40,$A40&lt;&gt;""),"●","")</x:f>
      </x:c>
      <x:c r="Y40" s="165" t="str">
        <x:f>IF(AND(Y$5&gt;=$C40,Y$5&lt;=$D40,$A40&lt;&gt;""),"●","")</x:f>
      </x:c>
      <x:c r="Z40" s="165" t="str">
        <x:f>IF(AND(Z$5&gt;=$C40,Z$5&lt;=$D40,$A40&lt;&gt;""),"●","")</x:f>
      </x:c>
      <x:c r="AA40" s="165" t="str">
        <x:f>IF(AND(AA$5&gt;=$C40,AA$5&lt;=$D40,$A40&lt;&gt;""),"●","")</x:f>
      </x:c>
      <x:c r="AB40" s="165" t="str">
        <x:f>IF(AND(AB$5&gt;=$C40,AB$5&lt;=$D40,$A40&lt;&gt;""),"●","")</x:f>
      </x:c>
      <x:c r="AC40" s="165" t="str">
        <x:f>IF(AND(AC$5&gt;=$C40,AC$5&lt;=$D40,$A40&lt;&gt;""),"●","")</x:f>
      </x:c>
      <x:c r="AD40" s="165" t="str">
        <x:f>IF(AND(AD$5&gt;=$C40,AD$5&lt;=$D40,$A40&lt;&gt;""),"●","")</x:f>
      </x:c>
      <x:c r="AE40" s="165" t="str">
        <x:f>IF(AND(AE$5&gt;=$C40,AE$5&lt;=$D40,$A40&lt;&gt;""),"●","")</x:f>
      </x:c>
      <x:c r="AF40" s="165" t="str">
        <x:f>IF(AND(AF$5&gt;=$C40,AF$5&lt;=$D40,$A40&lt;&gt;""),"●","")</x:f>
      </x:c>
      <x:c r="AG40" s="165" t="str">
        <x:f>IF(AND(AG$5&gt;=$C40,AG$5&lt;=$D40,$A40&lt;&gt;""),"●","")</x:f>
      </x:c>
      <x:c r="AH40" s="165" t="str">
        <x:f>IF(AND(AH$5&gt;=$C40,AH$5&lt;=$D40,$A40&lt;&gt;""),"●","")</x:f>
      </x:c>
      <x:c r="AI40" s="165" t="str">
        <x:f>IF(AND(AI$5&gt;=$C40,AI$5&lt;=$D40,$A40&lt;&gt;""),"●","")</x:f>
      </x:c>
      <x:c r="AJ40" s="165" t="str">
        <x:f>IF(AND(AJ$5&gt;=$C40,AJ$5&lt;=$D40,$A40&lt;&gt;""),"●","")</x:f>
      </x:c>
      <x:c r="AK40" s="165" t="str">
        <x:f>IF(AND(AK$5&gt;=$C40,AK$5&lt;=$D40,$A40&lt;&gt;""),"●","")</x:f>
      </x:c>
      <x:c r="AL40" s="165" t="str">
        <x:f>IF(AND(AL$5&gt;=$C40,AL$5&lt;=$D40,$A40&lt;&gt;""),"●","")</x:f>
      </x:c>
      <x:c r="AM40" s="165" t="str">
        <x:f>IF(AND(AM$5&gt;=$C40,AM$5&lt;=$D40,$A40&lt;&gt;""),"●","")</x:f>
      </x:c>
      <x:c r="AN40" s="165" t="str">
        <x:f>IF(AND(AN$5&gt;=$C40,AN$5&lt;=$D40,$A40&lt;&gt;""),"●","")</x:f>
      </x:c>
      <x:c r="AO40" s="165" t="str">
        <x:f>IF(AND(AO$5&gt;=$C40,AO$5&lt;=$D40,$A40&lt;&gt;""),"●","")</x:f>
      </x:c>
      <x:c r="AP40" s="165" t="str">
        <x:f>IF(AND(AP$5&gt;=$C40,AP$5&lt;=$D40,$A40&lt;&gt;""),"●","")</x:f>
      </x:c>
      <x:c r="AQ40" s="165" t="str">
        <x:f>IF(AND(AQ$5&gt;=$C40,AQ$5&lt;=$D40,$A40&lt;&gt;""),"●","")</x:f>
      </x:c>
      <x:c r="AR40" s="165" t="str">
        <x:f>IF(AND(AR$5&gt;=$C40,AR$5&lt;=$D40,$A40&lt;&gt;""),"●","")</x:f>
      </x:c>
      <x:c r="AS40" s="165" t="str">
        <x:f>IF(AND(AS$5&gt;=$C40,AS$5&lt;=$D40,$A40&lt;&gt;""),"●","")</x:f>
      </x:c>
      <x:c r="AT40" s="165" t="str">
        <x:f>IF(AND(AT$5&gt;=$C40,AT$5&lt;=$D40,$A40&lt;&gt;""),"●","")</x:f>
      </x:c>
      <x:c r="AU40" s="165" t="str">
        <x:f>IF(AND(AU$5&gt;=$C40,AU$5&lt;=$D40,$A40&lt;&gt;""),"●","")</x:f>
      </x:c>
      <x:c r="AV40" s="165" t="str">
        <x:f>IF(AND(AV$5&gt;=$C40,AV$5&lt;=$D40,$A40&lt;&gt;""),"●","")</x:f>
      </x:c>
      <x:c r="AW40" s="165" t="str">
        <x:f>IF(AND(AW$5&gt;=$C40,AW$5&lt;=$D40,$A40&lt;&gt;""),"●","")</x:f>
      </x:c>
      <x:c r="AX40" s="165" t="str">
        <x:f>IF(AND(AX$5&gt;=$C40,AX$5&lt;=$D40,$A40&lt;&gt;""),"●","")</x:f>
      </x:c>
      <x:c r="AY40" s="165" t="str">
        <x:f>IF(AND(AY$5&gt;=$C40,AY$5&lt;=$D40,$A40&lt;&gt;""),"●","")</x:f>
      </x:c>
      <x:c r="AZ40" s="165" t="str">
        <x:f>IF(AND(AZ$5&gt;=$C40,AZ$5&lt;=$D40,$A40&lt;&gt;""),"●","")</x:f>
      </x:c>
      <x:c r="BA40" s="165" t="str">
        <x:f>IF(AND(BA$5&gt;=$C40,BA$5&lt;=$D40,$A40&lt;&gt;""),"●","")</x:f>
      </x:c>
      <x:c r="BB40" s="165" t="str">
        <x:f>IF(AND(BB$5&gt;=$C40,BB$5&lt;=$D40,$A40&lt;&gt;""),"●","")</x:f>
      </x:c>
      <x:c r="BC40" s="165" t="str">
        <x:f>IF(AND(BC$5&gt;=$C40,BC$5&lt;=$D40,$A40&lt;&gt;""),"●","")</x:f>
      </x:c>
      <x:c r="BD40" s="165" t="str">
        <x:f>IF(AND(BD$5&gt;=$C40,BD$5&lt;=$D40,$A40&lt;&gt;""),"●","")</x:f>
      </x:c>
      <x:c r="BE40" s="165" t="str">
        <x:f>IF(AND(BE$5&gt;=$C40,BE$5&lt;=$D40,$A40&lt;&gt;""),"●","")</x:f>
      </x:c>
      <x:c r="BF40" s="165" t="str">
        <x:f>IF(AND(BF$5&gt;=$C40,BF$5&lt;=$D40,$A40&lt;&gt;""),"●","")</x:f>
      </x:c>
      <x:c r="BG40" s="165" t="str">
        <x:f>IF(AND(BG$5&gt;=$C40,BG$5&lt;=$D40,$A40&lt;&gt;""),"●","")</x:f>
      </x:c>
      <x:c r="BH40" s="165" t="str">
        <x:f>IF(AND(BH$5&gt;=$C40,BH$5&lt;=$D40,$A40&lt;&gt;""),"●","")</x:f>
      </x:c>
      <x:c r="BI40" s="165" t="str">
        <x:f>IF(AND(BI$5&gt;=$C40,BI$5&lt;=$D40,$A40&lt;&gt;""),"●","")</x:f>
      </x:c>
      <x:c r="BJ40" s="165" t="str">
        <x:f>IF(AND(BJ$5&gt;=$C40,BJ$5&lt;=$D40,$A40&lt;&gt;""),"●","")</x:f>
      </x:c>
      <x:c r="BK40" s="165" t="str">
        <x:f>IF(AND(BK$5&gt;=$C40,BK$5&lt;=$D40,$A40&lt;&gt;""),"●","")</x:f>
      </x:c>
      <x:c r="BL40" s="165" t="str">
        <x:f>IF(AND(BL$5&gt;=$C40,BL$5&lt;=$D40,$A40&lt;&gt;""),"●","")</x:f>
      </x:c>
      <x:c r="BM40" s="165" t="str">
        <x:f>IF(AND(BM$5&gt;=$C40,BM$5&lt;=$D40,$A40&lt;&gt;""),"●","")</x:f>
      </x:c>
      <x:c r="BN40" s="165" t="str">
        <x:f>IF(AND(BN$5&gt;=$C40,BN$5&lt;=$D40,$A40&lt;&gt;""),"●","")</x:f>
      </x:c>
      <x:c r="BO40" s="165" t="str">
        <x:f>IF(AND(BO$5&gt;=$C40,BO$5&lt;=$D40,$A40&lt;&gt;""),"●","")</x:f>
      </x:c>
      <x:c r="BP40" s="165" t="str">
        <x:f>IF(AND(BP$5&gt;=$C40,BP$5&lt;=$D40,$A40&lt;&gt;""),"●","")</x:f>
      </x:c>
      <x:c r="BQ40" s="165" t="str">
        <x:f>IF(AND(BQ$5&gt;=$C40,BQ$5&lt;=$D40,$A40&lt;&gt;""),"●","")</x:f>
      </x:c>
      <x:c r="BR40" s="165" t="str">
        <x:f>IF(AND(BR$5&gt;=$C40,BR$5&lt;=$D40,$A40&lt;&gt;""),"●","")</x:f>
      </x:c>
      <x:c r="BS40" s="165" t="str">
        <x:f>IF(AND(BS$5&gt;=$C40,BS$5&lt;=$D40,$A40&lt;&gt;""),"●","")</x:f>
      </x:c>
      <x:c r="BT40" s="165" t="str">
        <x:f>IF(AND(BT$5&gt;=$C40,BT$5&lt;=$D40,$A40&lt;&gt;""),"●","")</x:f>
      </x:c>
      <x:c r="BU40" s="165" t="str">
        <x:f>IF(AND(BU$5&gt;=$C40,BU$5&lt;=$D40,$A40&lt;&gt;""),"●","")</x:f>
      </x:c>
      <x:c r="BV40" s="165" t="str">
        <x:f>IF(AND(BV$5&gt;=$C40,BV$5&lt;=$D40,$A40&lt;&gt;""),"●","")</x:f>
      </x:c>
      <x:c r="BW40" s="165" t="str">
        <x:f>IF(AND(BW$5&gt;=$C40,BW$5&lt;=$D40,$A40&lt;&gt;""),"●","")</x:f>
      </x:c>
    </x:row>
    <x:row r="41">
      <x:c r="A41" s="159" t="str">
        <x:f>IF('รายการสัญญา'!A41="","",'รายการสัญญา'!A41)</x:f>
      </x:c>
      <x:c r="B41" s="159" t="str">
        <x:f>IF('รายการสัญญา'!A41="","",'รายการสัญญา'!C41)</x:f>
      </x:c>
      <x:c r="C41" s="162" t="str">
        <x:f>IF('รายการสัญญา'!A41="","",'รายการสัญญา'!E41)</x:f>
      </x:c>
      <x:c r="D41" s="162" t="str">
        <x:f>IF('รายการสัญญา'!A41="","",'รายการสัญญา'!G41)</x:f>
      </x:c>
      <x:c r="E41" s="159" t="str">
        <x:f>IF('รายการสัญญา'!A41="","",'รายการสัญญา'!K41)</x:f>
      </x:c>
      <x:c r="F41" s="165" t="str">
        <x:f>IF(AND(F$5&gt;=$C41,F$5&lt;=$D41,$A41&lt;&gt;""),"●","")</x:f>
      </x:c>
      <x:c r="G41" s="165" t="str">
        <x:f>IF(AND(G$5&gt;=$C41,G$5&lt;=$D41,$A41&lt;&gt;""),"●","")</x:f>
      </x:c>
      <x:c r="H41" s="165" t="str">
        <x:f>IF(AND(H$5&gt;=$C41,H$5&lt;=$D41,$A41&lt;&gt;""),"●","")</x:f>
      </x:c>
      <x:c r="I41" s="165" t="str">
        <x:f>IF(AND(I$5&gt;=$C41,I$5&lt;=$D41,$A41&lt;&gt;""),"●","")</x:f>
      </x:c>
      <x:c r="J41" s="165" t="str">
        <x:f>IF(AND(J$5&gt;=$C41,J$5&lt;=$D41,$A41&lt;&gt;""),"●","")</x:f>
      </x:c>
      <x:c r="K41" s="165" t="str">
        <x:f>IF(AND(K$5&gt;=$C41,K$5&lt;=$D41,$A41&lt;&gt;""),"●","")</x:f>
      </x:c>
      <x:c r="L41" s="165" t="str">
        <x:f>IF(AND(L$5&gt;=$C41,L$5&lt;=$D41,$A41&lt;&gt;""),"●","")</x:f>
      </x:c>
      <x:c r="M41" s="165" t="str">
        <x:f>IF(AND(M$5&gt;=$C41,M$5&lt;=$D41,$A41&lt;&gt;""),"●","")</x:f>
      </x:c>
      <x:c r="N41" s="165" t="str">
        <x:f>IF(AND(N$5&gt;=$C41,N$5&lt;=$D41,$A41&lt;&gt;""),"●","")</x:f>
      </x:c>
      <x:c r="O41" s="165" t="str">
        <x:f>IF(AND(O$5&gt;=$C41,O$5&lt;=$D41,$A41&lt;&gt;""),"●","")</x:f>
      </x:c>
      <x:c r="P41" s="165" t="str">
        <x:f>IF(AND(P$5&gt;=$C41,P$5&lt;=$D41,$A41&lt;&gt;""),"●","")</x:f>
      </x:c>
      <x:c r="Q41" s="165" t="str">
        <x:f>IF(AND(Q$5&gt;=$C41,Q$5&lt;=$D41,$A41&lt;&gt;""),"●","")</x:f>
      </x:c>
      <x:c r="R41" s="165" t="str">
        <x:f>IF(AND(R$5&gt;=$C41,R$5&lt;=$D41,$A41&lt;&gt;""),"●","")</x:f>
      </x:c>
      <x:c r="S41" s="165" t="str">
        <x:f>IF(AND(S$5&gt;=$C41,S$5&lt;=$D41,$A41&lt;&gt;""),"●","")</x:f>
      </x:c>
      <x:c r="T41" s="165" t="str">
        <x:f>IF(AND(T$5&gt;=$C41,T$5&lt;=$D41,$A41&lt;&gt;""),"●","")</x:f>
      </x:c>
      <x:c r="U41" s="165" t="str">
        <x:f>IF(AND(U$5&gt;=$C41,U$5&lt;=$D41,$A41&lt;&gt;""),"●","")</x:f>
      </x:c>
      <x:c r="V41" s="165" t="str">
        <x:f>IF(AND(V$5&gt;=$C41,V$5&lt;=$D41,$A41&lt;&gt;""),"●","")</x:f>
      </x:c>
      <x:c r="W41" s="165" t="str">
        <x:f>IF(AND(W$5&gt;=$C41,W$5&lt;=$D41,$A41&lt;&gt;""),"●","")</x:f>
      </x:c>
      <x:c r="X41" s="165" t="str">
        <x:f>IF(AND(X$5&gt;=$C41,X$5&lt;=$D41,$A41&lt;&gt;""),"●","")</x:f>
      </x:c>
      <x:c r="Y41" s="165" t="str">
        <x:f>IF(AND(Y$5&gt;=$C41,Y$5&lt;=$D41,$A41&lt;&gt;""),"●","")</x:f>
      </x:c>
      <x:c r="Z41" s="165" t="str">
        <x:f>IF(AND(Z$5&gt;=$C41,Z$5&lt;=$D41,$A41&lt;&gt;""),"●","")</x:f>
      </x:c>
      <x:c r="AA41" s="165" t="str">
        <x:f>IF(AND(AA$5&gt;=$C41,AA$5&lt;=$D41,$A41&lt;&gt;""),"●","")</x:f>
      </x:c>
      <x:c r="AB41" s="165" t="str">
        <x:f>IF(AND(AB$5&gt;=$C41,AB$5&lt;=$D41,$A41&lt;&gt;""),"●","")</x:f>
      </x:c>
      <x:c r="AC41" s="165" t="str">
        <x:f>IF(AND(AC$5&gt;=$C41,AC$5&lt;=$D41,$A41&lt;&gt;""),"●","")</x:f>
      </x:c>
      <x:c r="AD41" s="165" t="str">
        <x:f>IF(AND(AD$5&gt;=$C41,AD$5&lt;=$D41,$A41&lt;&gt;""),"●","")</x:f>
      </x:c>
      <x:c r="AE41" s="165" t="str">
        <x:f>IF(AND(AE$5&gt;=$C41,AE$5&lt;=$D41,$A41&lt;&gt;""),"●","")</x:f>
      </x:c>
      <x:c r="AF41" s="165" t="str">
        <x:f>IF(AND(AF$5&gt;=$C41,AF$5&lt;=$D41,$A41&lt;&gt;""),"●","")</x:f>
      </x:c>
      <x:c r="AG41" s="165" t="str">
        <x:f>IF(AND(AG$5&gt;=$C41,AG$5&lt;=$D41,$A41&lt;&gt;""),"●","")</x:f>
      </x:c>
      <x:c r="AH41" s="165" t="str">
        <x:f>IF(AND(AH$5&gt;=$C41,AH$5&lt;=$D41,$A41&lt;&gt;""),"●","")</x:f>
      </x:c>
      <x:c r="AI41" s="165" t="str">
        <x:f>IF(AND(AI$5&gt;=$C41,AI$5&lt;=$D41,$A41&lt;&gt;""),"●","")</x:f>
      </x:c>
      <x:c r="AJ41" s="165" t="str">
        <x:f>IF(AND(AJ$5&gt;=$C41,AJ$5&lt;=$D41,$A41&lt;&gt;""),"●","")</x:f>
      </x:c>
      <x:c r="AK41" s="165" t="str">
        <x:f>IF(AND(AK$5&gt;=$C41,AK$5&lt;=$D41,$A41&lt;&gt;""),"●","")</x:f>
      </x:c>
      <x:c r="AL41" s="165" t="str">
        <x:f>IF(AND(AL$5&gt;=$C41,AL$5&lt;=$D41,$A41&lt;&gt;""),"●","")</x:f>
      </x:c>
      <x:c r="AM41" s="165" t="str">
        <x:f>IF(AND(AM$5&gt;=$C41,AM$5&lt;=$D41,$A41&lt;&gt;""),"●","")</x:f>
      </x:c>
      <x:c r="AN41" s="165" t="str">
        <x:f>IF(AND(AN$5&gt;=$C41,AN$5&lt;=$D41,$A41&lt;&gt;""),"●","")</x:f>
      </x:c>
      <x:c r="AO41" s="165" t="str">
        <x:f>IF(AND(AO$5&gt;=$C41,AO$5&lt;=$D41,$A41&lt;&gt;""),"●","")</x:f>
      </x:c>
      <x:c r="AP41" s="165" t="str">
        <x:f>IF(AND(AP$5&gt;=$C41,AP$5&lt;=$D41,$A41&lt;&gt;""),"●","")</x:f>
      </x:c>
      <x:c r="AQ41" s="165" t="str">
        <x:f>IF(AND(AQ$5&gt;=$C41,AQ$5&lt;=$D41,$A41&lt;&gt;""),"●","")</x:f>
      </x:c>
      <x:c r="AR41" s="165" t="str">
        <x:f>IF(AND(AR$5&gt;=$C41,AR$5&lt;=$D41,$A41&lt;&gt;""),"●","")</x:f>
      </x:c>
      <x:c r="AS41" s="165" t="str">
        <x:f>IF(AND(AS$5&gt;=$C41,AS$5&lt;=$D41,$A41&lt;&gt;""),"●","")</x:f>
      </x:c>
      <x:c r="AT41" s="165" t="str">
        <x:f>IF(AND(AT$5&gt;=$C41,AT$5&lt;=$D41,$A41&lt;&gt;""),"●","")</x:f>
      </x:c>
      <x:c r="AU41" s="165" t="str">
        <x:f>IF(AND(AU$5&gt;=$C41,AU$5&lt;=$D41,$A41&lt;&gt;""),"●","")</x:f>
      </x:c>
      <x:c r="AV41" s="165" t="str">
        <x:f>IF(AND(AV$5&gt;=$C41,AV$5&lt;=$D41,$A41&lt;&gt;""),"●","")</x:f>
      </x:c>
      <x:c r="AW41" s="165" t="str">
        <x:f>IF(AND(AW$5&gt;=$C41,AW$5&lt;=$D41,$A41&lt;&gt;""),"●","")</x:f>
      </x:c>
      <x:c r="AX41" s="165" t="str">
        <x:f>IF(AND(AX$5&gt;=$C41,AX$5&lt;=$D41,$A41&lt;&gt;""),"●","")</x:f>
      </x:c>
      <x:c r="AY41" s="165" t="str">
        <x:f>IF(AND(AY$5&gt;=$C41,AY$5&lt;=$D41,$A41&lt;&gt;""),"●","")</x:f>
      </x:c>
      <x:c r="AZ41" s="165" t="str">
        <x:f>IF(AND(AZ$5&gt;=$C41,AZ$5&lt;=$D41,$A41&lt;&gt;""),"●","")</x:f>
      </x:c>
      <x:c r="BA41" s="165" t="str">
        <x:f>IF(AND(BA$5&gt;=$C41,BA$5&lt;=$D41,$A41&lt;&gt;""),"●","")</x:f>
      </x:c>
      <x:c r="BB41" s="165" t="str">
        <x:f>IF(AND(BB$5&gt;=$C41,BB$5&lt;=$D41,$A41&lt;&gt;""),"●","")</x:f>
      </x:c>
      <x:c r="BC41" s="165" t="str">
        <x:f>IF(AND(BC$5&gt;=$C41,BC$5&lt;=$D41,$A41&lt;&gt;""),"●","")</x:f>
      </x:c>
      <x:c r="BD41" s="165" t="str">
        <x:f>IF(AND(BD$5&gt;=$C41,BD$5&lt;=$D41,$A41&lt;&gt;""),"●","")</x:f>
      </x:c>
      <x:c r="BE41" s="165" t="str">
        <x:f>IF(AND(BE$5&gt;=$C41,BE$5&lt;=$D41,$A41&lt;&gt;""),"●","")</x:f>
      </x:c>
      <x:c r="BF41" s="165" t="str">
        <x:f>IF(AND(BF$5&gt;=$C41,BF$5&lt;=$D41,$A41&lt;&gt;""),"●","")</x:f>
      </x:c>
      <x:c r="BG41" s="165" t="str">
        <x:f>IF(AND(BG$5&gt;=$C41,BG$5&lt;=$D41,$A41&lt;&gt;""),"●","")</x:f>
      </x:c>
      <x:c r="BH41" s="165" t="str">
        <x:f>IF(AND(BH$5&gt;=$C41,BH$5&lt;=$D41,$A41&lt;&gt;""),"●","")</x:f>
      </x:c>
      <x:c r="BI41" s="165" t="str">
        <x:f>IF(AND(BI$5&gt;=$C41,BI$5&lt;=$D41,$A41&lt;&gt;""),"●","")</x:f>
      </x:c>
      <x:c r="BJ41" s="165" t="str">
        <x:f>IF(AND(BJ$5&gt;=$C41,BJ$5&lt;=$D41,$A41&lt;&gt;""),"●","")</x:f>
      </x:c>
      <x:c r="BK41" s="165" t="str">
        <x:f>IF(AND(BK$5&gt;=$C41,BK$5&lt;=$D41,$A41&lt;&gt;""),"●","")</x:f>
      </x:c>
      <x:c r="BL41" s="165" t="str">
        <x:f>IF(AND(BL$5&gt;=$C41,BL$5&lt;=$D41,$A41&lt;&gt;""),"●","")</x:f>
      </x:c>
      <x:c r="BM41" s="165" t="str">
        <x:f>IF(AND(BM$5&gt;=$C41,BM$5&lt;=$D41,$A41&lt;&gt;""),"●","")</x:f>
      </x:c>
      <x:c r="BN41" s="165" t="str">
        <x:f>IF(AND(BN$5&gt;=$C41,BN$5&lt;=$D41,$A41&lt;&gt;""),"●","")</x:f>
      </x:c>
      <x:c r="BO41" s="165" t="str">
        <x:f>IF(AND(BO$5&gt;=$C41,BO$5&lt;=$D41,$A41&lt;&gt;""),"●","")</x:f>
      </x:c>
      <x:c r="BP41" s="165" t="str">
        <x:f>IF(AND(BP$5&gt;=$C41,BP$5&lt;=$D41,$A41&lt;&gt;""),"●","")</x:f>
      </x:c>
      <x:c r="BQ41" s="165" t="str">
        <x:f>IF(AND(BQ$5&gt;=$C41,BQ$5&lt;=$D41,$A41&lt;&gt;""),"●","")</x:f>
      </x:c>
      <x:c r="BR41" s="165" t="str">
        <x:f>IF(AND(BR$5&gt;=$C41,BR$5&lt;=$D41,$A41&lt;&gt;""),"●","")</x:f>
      </x:c>
      <x:c r="BS41" s="165" t="str">
        <x:f>IF(AND(BS$5&gt;=$C41,BS$5&lt;=$D41,$A41&lt;&gt;""),"●","")</x:f>
      </x:c>
      <x:c r="BT41" s="165" t="str">
        <x:f>IF(AND(BT$5&gt;=$C41,BT$5&lt;=$D41,$A41&lt;&gt;""),"●","")</x:f>
      </x:c>
      <x:c r="BU41" s="165" t="str">
        <x:f>IF(AND(BU$5&gt;=$C41,BU$5&lt;=$D41,$A41&lt;&gt;""),"●","")</x:f>
      </x:c>
      <x:c r="BV41" s="165" t="str">
        <x:f>IF(AND(BV$5&gt;=$C41,BV$5&lt;=$D41,$A41&lt;&gt;""),"●","")</x:f>
      </x:c>
      <x:c r="BW41" s="165" t="str">
        <x:f>IF(AND(BW$5&gt;=$C41,BW$5&lt;=$D41,$A41&lt;&gt;""),"●","")</x:f>
      </x:c>
    </x:row>
    <x:row r="42">
      <x:c r="A42" s="159" t="str">
        <x:f>IF('รายการสัญญา'!A42="","",'รายการสัญญา'!A42)</x:f>
      </x:c>
      <x:c r="B42" s="159" t="str">
        <x:f>IF('รายการสัญญา'!A42="","",'รายการสัญญา'!C42)</x:f>
      </x:c>
      <x:c r="C42" s="162" t="str">
        <x:f>IF('รายการสัญญา'!A42="","",'รายการสัญญา'!E42)</x:f>
      </x:c>
      <x:c r="D42" s="162" t="str">
        <x:f>IF('รายการสัญญา'!A42="","",'รายการสัญญา'!G42)</x:f>
      </x:c>
      <x:c r="E42" s="159" t="str">
        <x:f>IF('รายการสัญญา'!A42="","",'รายการสัญญา'!K42)</x:f>
      </x:c>
      <x:c r="F42" s="165" t="str">
        <x:f>IF(AND(F$5&gt;=$C42,F$5&lt;=$D42,$A42&lt;&gt;""),"●","")</x:f>
      </x:c>
      <x:c r="G42" s="165" t="str">
        <x:f>IF(AND(G$5&gt;=$C42,G$5&lt;=$D42,$A42&lt;&gt;""),"●","")</x:f>
      </x:c>
      <x:c r="H42" s="165" t="str">
        <x:f>IF(AND(H$5&gt;=$C42,H$5&lt;=$D42,$A42&lt;&gt;""),"●","")</x:f>
      </x:c>
      <x:c r="I42" s="165" t="str">
        <x:f>IF(AND(I$5&gt;=$C42,I$5&lt;=$D42,$A42&lt;&gt;""),"●","")</x:f>
      </x:c>
      <x:c r="J42" s="165" t="str">
        <x:f>IF(AND(J$5&gt;=$C42,J$5&lt;=$D42,$A42&lt;&gt;""),"●","")</x:f>
      </x:c>
      <x:c r="K42" s="165" t="str">
        <x:f>IF(AND(K$5&gt;=$C42,K$5&lt;=$D42,$A42&lt;&gt;""),"●","")</x:f>
      </x:c>
      <x:c r="L42" s="165" t="str">
        <x:f>IF(AND(L$5&gt;=$C42,L$5&lt;=$D42,$A42&lt;&gt;""),"●","")</x:f>
      </x:c>
      <x:c r="M42" s="165" t="str">
        <x:f>IF(AND(M$5&gt;=$C42,M$5&lt;=$D42,$A42&lt;&gt;""),"●","")</x:f>
      </x:c>
      <x:c r="N42" s="165" t="str">
        <x:f>IF(AND(N$5&gt;=$C42,N$5&lt;=$D42,$A42&lt;&gt;""),"●","")</x:f>
      </x:c>
      <x:c r="O42" s="165" t="str">
        <x:f>IF(AND(O$5&gt;=$C42,O$5&lt;=$D42,$A42&lt;&gt;""),"●","")</x:f>
      </x:c>
      <x:c r="P42" s="165" t="str">
        <x:f>IF(AND(P$5&gt;=$C42,P$5&lt;=$D42,$A42&lt;&gt;""),"●","")</x:f>
      </x:c>
      <x:c r="Q42" s="165" t="str">
        <x:f>IF(AND(Q$5&gt;=$C42,Q$5&lt;=$D42,$A42&lt;&gt;""),"●","")</x:f>
      </x:c>
      <x:c r="R42" s="165" t="str">
        <x:f>IF(AND(R$5&gt;=$C42,R$5&lt;=$D42,$A42&lt;&gt;""),"●","")</x:f>
      </x:c>
      <x:c r="S42" s="165" t="str">
        <x:f>IF(AND(S$5&gt;=$C42,S$5&lt;=$D42,$A42&lt;&gt;""),"●","")</x:f>
      </x:c>
      <x:c r="T42" s="165" t="str">
        <x:f>IF(AND(T$5&gt;=$C42,T$5&lt;=$D42,$A42&lt;&gt;""),"●","")</x:f>
      </x:c>
      <x:c r="U42" s="165" t="str">
        <x:f>IF(AND(U$5&gt;=$C42,U$5&lt;=$D42,$A42&lt;&gt;""),"●","")</x:f>
      </x:c>
      <x:c r="V42" s="165" t="str">
        <x:f>IF(AND(V$5&gt;=$C42,V$5&lt;=$D42,$A42&lt;&gt;""),"●","")</x:f>
      </x:c>
      <x:c r="W42" s="165" t="str">
        <x:f>IF(AND(W$5&gt;=$C42,W$5&lt;=$D42,$A42&lt;&gt;""),"●","")</x:f>
      </x:c>
      <x:c r="X42" s="165" t="str">
        <x:f>IF(AND(X$5&gt;=$C42,X$5&lt;=$D42,$A42&lt;&gt;""),"●","")</x:f>
      </x:c>
      <x:c r="Y42" s="165" t="str">
        <x:f>IF(AND(Y$5&gt;=$C42,Y$5&lt;=$D42,$A42&lt;&gt;""),"●","")</x:f>
      </x:c>
      <x:c r="Z42" s="165" t="str">
        <x:f>IF(AND(Z$5&gt;=$C42,Z$5&lt;=$D42,$A42&lt;&gt;""),"●","")</x:f>
      </x:c>
      <x:c r="AA42" s="165" t="str">
        <x:f>IF(AND(AA$5&gt;=$C42,AA$5&lt;=$D42,$A42&lt;&gt;""),"●","")</x:f>
      </x:c>
      <x:c r="AB42" s="165" t="str">
        <x:f>IF(AND(AB$5&gt;=$C42,AB$5&lt;=$D42,$A42&lt;&gt;""),"●","")</x:f>
      </x:c>
      <x:c r="AC42" s="165" t="str">
        <x:f>IF(AND(AC$5&gt;=$C42,AC$5&lt;=$D42,$A42&lt;&gt;""),"●","")</x:f>
      </x:c>
      <x:c r="AD42" s="165" t="str">
        <x:f>IF(AND(AD$5&gt;=$C42,AD$5&lt;=$D42,$A42&lt;&gt;""),"●","")</x:f>
      </x:c>
      <x:c r="AE42" s="165" t="str">
        <x:f>IF(AND(AE$5&gt;=$C42,AE$5&lt;=$D42,$A42&lt;&gt;""),"●","")</x:f>
      </x:c>
      <x:c r="AF42" s="165" t="str">
        <x:f>IF(AND(AF$5&gt;=$C42,AF$5&lt;=$D42,$A42&lt;&gt;""),"●","")</x:f>
      </x:c>
      <x:c r="AG42" s="165" t="str">
        <x:f>IF(AND(AG$5&gt;=$C42,AG$5&lt;=$D42,$A42&lt;&gt;""),"●","")</x:f>
      </x:c>
      <x:c r="AH42" s="165" t="str">
        <x:f>IF(AND(AH$5&gt;=$C42,AH$5&lt;=$D42,$A42&lt;&gt;""),"●","")</x:f>
      </x:c>
      <x:c r="AI42" s="165" t="str">
        <x:f>IF(AND(AI$5&gt;=$C42,AI$5&lt;=$D42,$A42&lt;&gt;""),"●","")</x:f>
      </x:c>
      <x:c r="AJ42" s="165" t="str">
        <x:f>IF(AND(AJ$5&gt;=$C42,AJ$5&lt;=$D42,$A42&lt;&gt;""),"●","")</x:f>
      </x:c>
      <x:c r="AK42" s="165" t="str">
        <x:f>IF(AND(AK$5&gt;=$C42,AK$5&lt;=$D42,$A42&lt;&gt;""),"●","")</x:f>
      </x:c>
      <x:c r="AL42" s="165" t="str">
        <x:f>IF(AND(AL$5&gt;=$C42,AL$5&lt;=$D42,$A42&lt;&gt;""),"●","")</x:f>
      </x:c>
      <x:c r="AM42" s="165" t="str">
        <x:f>IF(AND(AM$5&gt;=$C42,AM$5&lt;=$D42,$A42&lt;&gt;""),"●","")</x:f>
      </x:c>
      <x:c r="AN42" s="165" t="str">
        <x:f>IF(AND(AN$5&gt;=$C42,AN$5&lt;=$D42,$A42&lt;&gt;""),"●","")</x:f>
      </x:c>
      <x:c r="AO42" s="165" t="str">
        <x:f>IF(AND(AO$5&gt;=$C42,AO$5&lt;=$D42,$A42&lt;&gt;""),"●","")</x:f>
      </x:c>
      <x:c r="AP42" s="165" t="str">
        <x:f>IF(AND(AP$5&gt;=$C42,AP$5&lt;=$D42,$A42&lt;&gt;""),"●","")</x:f>
      </x:c>
      <x:c r="AQ42" s="165" t="str">
        <x:f>IF(AND(AQ$5&gt;=$C42,AQ$5&lt;=$D42,$A42&lt;&gt;""),"●","")</x:f>
      </x:c>
      <x:c r="AR42" s="165" t="str">
        <x:f>IF(AND(AR$5&gt;=$C42,AR$5&lt;=$D42,$A42&lt;&gt;""),"●","")</x:f>
      </x:c>
      <x:c r="AS42" s="165" t="str">
        <x:f>IF(AND(AS$5&gt;=$C42,AS$5&lt;=$D42,$A42&lt;&gt;""),"●","")</x:f>
      </x:c>
      <x:c r="AT42" s="165" t="str">
        <x:f>IF(AND(AT$5&gt;=$C42,AT$5&lt;=$D42,$A42&lt;&gt;""),"●","")</x:f>
      </x:c>
      <x:c r="AU42" s="165" t="str">
        <x:f>IF(AND(AU$5&gt;=$C42,AU$5&lt;=$D42,$A42&lt;&gt;""),"●","")</x:f>
      </x:c>
      <x:c r="AV42" s="165" t="str">
        <x:f>IF(AND(AV$5&gt;=$C42,AV$5&lt;=$D42,$A42&lt;&gt;""),"●","")</x:f>
      </x:c>
      <x:c r="AW42" s="165" t="str">
        <x:f>IF(AND(AW$5&gt;=$C42,AW$5&lt;=$D42,$A42&lt;&gt;""),"●","")</x:f>
      </x:c>
      <x:c r="AX42" s="165" t="str">
        <x:f>IF(AND(AX$5&gt;=$C42,AX$5&lt;=$D42,$A42&lt;&gt;""),"●","")</x:f>
      </x:c>
      <x:c r="AY42" s="165" t="str">
        <x:f>IF(AND(AY$5&gt;=$C42,AY$5&lt;=$D42,$A42&lt;&gt;""),"●","")</x:f>
      </x:c>
      <x:c r="AZ42" s="165" t="str">
        <x:f>IF(AND(AZ$5&gt;=$C42,AZ$5&lt;=$D42,$A42&lt;&gt;""),"●","")</x:f>
      </x:c>
      <x:c r="BA42" s="165" t="str">
        <x:f>IF(AND(BA$5&gt;=$C42,BA$5&lt;=$D42,$A42&lt;&gt;""),"●","")</x:f>
      </x:c>
      <x:c r="BB42" s="165" t="str">
        <x:f>IF(AND(BB$5&gt;=$C42,BB$5&lt;=$D42,$A42&lt;&gt;""),"●","")</x:f>
      </x:c>
      <x:c r="BC42" s="165" t="str">
        <x:f>IF(AND(BC$5&gt;=$C42,BC$5&lt;=$D42,$A42&lt;&gt;""),"●","")</x:f>
      </x:c>
      <x:c r="BD42" s="165" t="str">
        <x:f>IF(AND(BD$5&gt;=$C42,BD$5&lt;=$D42,$A42&lt;&gt;""),"●","")</x:f>
      </x:c>
      <x:c r="BE42" s="165" t="str">
        <x:f>IF(AND(BE$5&gt;=$C42,BE$5&lt;=$D42,$A42&lt;&gt;""),"●","")</x:f>
      </x:c>
      <x:c r="BF42" s="165" t="str">
        <x:f>IF(AND(BF$5&gt;=$C42,BF$5&lt;=$D42,$A42&lt;&gt;""),"●","")</x:f>
      </x:c>
      <x:c r="BG42" s="165" t="str">
        <x:f>IF(AND(BG$5&gt;=$C42,BG$5&lt;=$D42,$A42&lt;&gt;""),"●","")</x:f>
      </x:c>
      <x:c r="BH42" s="165" t="str">
        <x:f>IF(AND(BH$5&gt;=$C42,BH$5&lt;=$D42,$A42&lt;&gt;""),"●","")</x:f>
      </x:c>
      <x:c r="BI42" s="165" t="str">
        <x:f>IF(AND(BI$5&gt;=$C42,BI$5&lt;=$D42,$A42&lt;&gt;""),"●","")</x:f>
      </x:c>
      <x:c r="BJ42" s="165" t="str">
        <x:f>IF(AND(BJ$5&gt;=$C42,BJ$5&lt;=$D42,$A42&lt;&gt;""),"●","")</x:f>
      </x:c>
      <x:c r="BK42" s="165" t="str">
        <x:f>IF(AND(BK$5&gt;=$C42,BK$5&lt;=$D42,$A42&lt;&gt;""),"●","")</x:f>
      </x:c>
      <x:c r="BL42" s="165" t="str">
        <x:f>IF(AND(BL$5&gt;=$C42,BL$5&lt;=$D42,$A42&lt;&gt;""),"●","")</x:f>
      </x:c>
      <x:c r="BM42" s="165" t="str">
        <x:f>IF(AND(BM$5&gt;=$C42,BM$5&lt;=$D42,$A42&lt;&gt;""),"●","")</x:f>
      </x:c>
      <x:c r="BN42" s="165" t="str">
        <x:f>IF(AND(BN$5&gt;=$C42,BN$5&lt;=$D42,$A42&lt;&gt;""),"●","")</x:f>
      </x:c>
      <x:c r="BO42" s="165" t="str">
        <x:f>IF(AND(BO$5&gt;=$C42,BO$5&lt;=$D42,$A42&lt;&gt;""),"●","")</x:f>
      </x:c>
      <x:c r="BP42" s="165" t="str">
        <x:f>IF(AND(BP$5&gt;=$C42,BP$5&lt;=$D42,$A42&lt;&gt;""),"●","")</x:f>
      </x:c>
      <x:c r="BQ42" s="165" t="str">
        <x:f>IF(AND(BQ$5&gt;=$C42,BQ$5&lt;=$D42,$A42&lt;&gt;""),"●","")</x:f>
      </x:c>
      <x:c r="BR42" s="165" t="str">
        <x:f>IF(AND(BR$5&gt;=$C42,BR$5&lt;=$D42,$A42&lt;&gt;""),"●","")</x:f>
      </x:c>
      <x:c r="BS42" s="165" t="str">
        <x:f>IF(AND(BS$5&gt;=$C42,BS$5&lt;=$D42,$A42&lt;&gt;""),"●","")</x:f>
      </x:c>
      <x:c r="BT42" s="165" t="str">
        <x:f>IF(AND(BT$5&gt;=$C42,BT$5&lt;=$D42,$A42&lt;&gt;""),"●","")</x:f>
      </x:c>
      <x:c r="BU42" s="165" t="str">
        <x:f>IF(AND(BU$5&gt;=$C42,BU$5&lt;=$D42,$A42&lt;&gt;""),"●","")</x:f>
      </x:c>
      <x:c r="BV42" s="165" t="str">
        <x:f>IF(AND(BV$5&gt;=$C42,BV$5&lt;=$D42,$A42&lt;&gt;""),"●","")</x:f>
      </x:c>
      <x:c r="BW42" s="165" t="str">
        <x:f>IF(AND(BW$5&gt;=$C42,BW$5&lt;=$D42,$A42&lt;&gt;""),"●","")</x:f>
      </x:c>
    </x:row>
    <x:row r="43">
      <x:c r="A43" s="159" t="str">
        <x:f>IF('รายการสัญญา'!A43="","",'รายการสัญญา'!A43)</x:f>
      </x:c>
      <x:c r="B43" s="159" t="str">
        <x:f>IF('รายการสัญญา'!A43="","",'รายการสัญญา'!C43)</x:f>
      </x:c>
      <x:c r="C43" s="162" t="str">
        <x:f>IF('รายการสัญญา'!A43="","",'รายการสัญญา'!E43)</x:f>
      </x:c>
      <x:c r="D43" s="162" t="str">
        <x:f>IF('รายการสัญญา'!A43="","",'รายการสัญญา'!G43)</x:f>
      </x:c>
      <x:c r="E43" s="159" t="str">
        <x:f>IF('รายการสัญญา'!A43="","",'รายการสัญญา'!K43)</x:f>
      </x:c>
      <x:c r="F43" s="165" t="str">
        <x:f>IF(AND(F$5&gt;=$C43,F$5&lt;=$D43,$A43&lt;&gt;""),"●","")</x:f>
      </x:c>
      <x:c r="G43" s="165" t="str">
        <x:f>IF(AND(G$5&gt;=$C43,G$5&lt;=$D43,$A43&lt;&gt;""),"●","")</x:f>
      </x:c>
      <x:c r="H43" s="165" t="str">
        <x:f>IF(AND(H$5&gt;=$C43,H$5&lt;=$D43,$A43&lt;&gt;""),"●","")</x:f>
      </x:c>
      <x:c r="I43" s="165" t="str">
        <x:f>IF(AND(I$5&gt;=$C43,I$5&lt;=$D43,$A43&lt;&gt;""),"●","")</x:f>
      </x:c>
      <x:c r="J43" s="165" t="str">
        <x:f>IF(AND(J$5&gt;=$C43,J$5&lt;=$D43,$A43&lt;&gt;""),"●","")</x:f>
      </x:c>
      <x:c r="K43" s="165" t="str">
        <x:f>IF(AND(K$5&gt;=$C43,K$5&lt;=$D43,$A43&lt;&gt;""),"●","")</x:f>
      </x:c>
      <x:c r="L43" s="165" t="str">
        <x:f>IF(AND(L$5&gt;=$C43,L$5&lt;=$D43,$A43&lt;&gt;""),"●","")</x:f>
      </x:c>
      <x:c r="M43" s="165" t="str">
        <x:f>IF(AND(M$5&gt;=$C43,M$5&lt;=$D43,$A43&lt;&gt;""),"●","")</x:f>
      </x:c>
      <x:c r="N43" s="165" t="str">
        <x:f>IF(AND(N$5&gt;=$C43,N$5&lt;=$D43,$A43&lt;&gt;""),"●","")</x:f>
      </x:c>
      <x:c r="O43" s="165" t="str">
        <x:f>IF(AND(O$5&gt;=$C43,O$5&lt;=$D43,$A43&lt;&gt;""),"●","")</x:f>
      </x:c>
      <x:c r="P43" s="165" t="str">
        <x:f>IF(AND(P$5&gt;=$C43,P$5&lt;=$D43,$A43&lt;&gt;""),"●","")</x:f>
      </x:c>
      <x:c r="Q43" s="165" t="str">
        <x:f>IF(AND(Q$5&gt;=$C43,Q$5&lt;=$D43,$A43&lt;&gt;""),"●","")</x:f>
      </x:c>
      <x:c r="R43" s="165" t="str">
        <x:f>IF(AND(R$5&gt;=$C43,R$5&lt;=$D43,$A43&lt;&gt;""),"●","")</x:f>
      </x:c>
      <x:c r="S43" s="165" t="str">
        <x:f>IF(AND(S$5&gt;=$C43,S$5&lt;=$D43,$A43&lt;&gt;""),"●","")</x:f>
      </x:c>
      <x:c r="T43" s="165" t="str">
        <x:f>IF(AND(T$5&gt;=$C43,T$5&lt;=$D43,$A43&lt;&gt;""),"●","")</x:f>
      </x:c>
      <x:c r="U43" s="165" t="str">
        <x:f>IF(AND(U$5&gt;=$C43,U$5&lt;=$D43,$A43&lt;&gt;""),"●","")</x:f>
      </x:c>
      <x:c r="V43" s="165" t="str">
        <x:f>IF(AND(V$5&gt;=$C43,V$5&lt;=$D43,$A43&lt;&gt;""),"●","")</x:f>
      </x:c>
      <x:c r="W43" s="165" t="str">
        <x:f>IF(AND(W$5&gt;=$C43,W$5&lt;=$D43,$A43&lt;&gt;""),"●","")</x:f>
      </x:c>
      <x:c r="X43" s="165" t="str">
        <x:f>IF(AND(X$5&gt;=$C43,X$5&lt;=$D43,$A43&lt;&gt;""),"●","")</x:f>
      </x:c>
      <x:c r="Y43" s="165" t="str">
        <x:f>IF(AND(Y$5&gt;=$C43,Y$5&lt;=$D43,$A43&lt;&gt;""),"●","")</x:f>
      </x:c>
      <x:c r="Z43" s="165" t="str">
        <x:f>IF(AND(Z$5&gt;=$C43,Z$5&lt;=$D43,$A43&lt;&gt;""),"●","")</x:f>
      </x:c>
      <x:c r="AA43" s="165" t="str">
        <x:f>IF(AND(AA$5&gt;=$C43,AA$5&lt;=$D43,$A43&lt;&gt;""),"●","")</x:f>
      </x:c>
      <x:c r="AB43" s="165" t="str">
        <x:f>IF(AND(AB$5&gt;=$C43,AB$5&lt;=$D43,$A43&lt;&gt;""),"●","")</x:f>
      </x:c>
      <x:c r="AC43" s="165" t="str">
        <x:f>IF(AND(AC$5&gt;=$C43,AC$5&lt;=$D43,$A43&lt;&gt;""),"●","")</x:f>
      </x:c>
      <x:c r="AD43" s="165" t="str">
        <x:f>IF(AND(AD$5&gt;=$C43,AD$5&lt;=$D43,$A43&lt;&gt;""),"●","")</x:f>
      </x:c>
      <x:c r="AE43" s="165" t="str">
        <x:f>IF(AND(AE$5&gt;=$C43,AE$5&lt;=$D43,$A43&lt;&gt;""),"●","")</x:f>
      </x:c>
      <x:c r="AF43" s="165" t="str">
        <x:f>IF(AND(AF$5&gt;=$C43,AF$5&lt;=$D43,$A43&lt;&gt;""),"●","")</x:f>
      </x:c>
      <x:c r="AG43" s="165" t="str">
        <x:f>IF(AND(AG$5&gt;=$C43,AG$5&lt;=$D43,$A43&lt;&gt;""),"●","")</x:f>
      </x:c>
      <x:c r="AH43" s="165" t="str">
        <x:f>IF(AND(AH$5&gt;=$C43,AH$5&lt;=$D43,$A43&lt;&gt;""),"●","")</x:f>
      </x:c>
      <x:c r="AI43" s="165" t="str">
        <x:f>IF(AND(AI$5&gt;=$C43,AI$5&lt;=$D43,$A43&lt;&gt;""),"●","")</x:f>
      </x:c>
      <x:c r="AJ43" s="165" t="str">
        <x:f>IF(AND(AJ$5&gt;=$C43,AJ$5&lt;=$D43,$A43&lt;&gt;""),"●","")</x:f>
      </x:c>
      <x:c r="AK43" s="165" t="str">
        <x:f>IF(AND(AK$5&gt;=$C43,AK$5&lt;=$D43,$A43&lt;&gt;""),"●","")</x:f>
      </x:c>
      <x:c r="AL43" s="165" t="str">
        <x:f>IF(AND(AL$5&gt;=$C43,AL$5&lt;=$D43,$A43&lt;&gt;""),"●","")</x:f>
      </x:c>
      <x:c r="AM43" s="165" t="str">
        <x:f>IF(AND(AM$5&gt;=$C43,AM$5&lt;=$D43,$A43&lt;&gt;""),"●","")</x:f>
      </x:c>
      <x:c r="AN43" s="165" t="str">
        <x:f>IF(AND(AN$5&gt;=$C43,AN$5&lt;=$D43,$A43&lt;&gt;""),"●","")</x:f>
      </x:c>
      <x:c r="AO43" s="165" t="str">
        <x:f>IF(AND(AO$5&gt;=$C43,AO$5&lt;=$D43,$A43&lt;&gt;""),"●","")</x:f>
      </x:c>
      <x:c r="AP43" s="165" t="str">
        <x:f>IF(AND(AP$5&gt;=$C43,AP$5&lt;=$D43,$A43&lt;&gt;""),"●","")</x:f>
      </x:c>
      <x:c r="AQ43" s="165" t="str">
        <x:f>IF(AND(AQ$5&gt;=$C43,AQ$5&lt;=$D43,$A43&lt;&gt;""),"●","")</x:f>
      </x:c>
      <x:c r="AR43" s="165" t="str">
        <x:f>IF(AND(AR$5&gt;=$C43,AR$5&lt;=$D43,$A43&lt;&gt;""),"●","")</x:f>
      </x:c>
      <x:c r="AS43" s="165" t="str">
        <x:f>IF(AND(AS$5&gt;=$C43,AS$5&lt;=$D43,$A43&lt;&gt;""),"●","")</x:f>
      </x:c>
      <x:c r="AT43" s="165" t="str">
        <x:f>IF(AND(AT$5&gt;=$C43,AT$5&lt;=$D43,$A43&lt;&gt;""),"●","")</x:f>
      </x:c>
      <x:c r="AU43" s="165" t="str">
        <x:f>IF(AND(AU$5&gt;=$C43,AU$5&lt;=$D43,$A43&lt;&gt;""),"●","")</x:f>
      </x:c>
      <x:c r="AV43" s="165" t="str">
        <x:f>IF(AND(AV$5&gt;=$C43,AV$5&lt;=$D43,$A43&lt;&gt;""),"●","")</x:f>
      </x:c>
      <x:c r="AW43" s="165" t="str">
        <x:f>IF(AND(AW$5&gt;=$C43,AW$5&lt;=$D43,$A43&lt;&gt;""),"●","")</x:f>
      </x:c>
      <x:c r="AX43" s="165" t="str">
        <x:f>IF(AND(AX$5&gt;=$C43,AX$5&lt;=$D43,$A43&lt;&gt;""),"●","")</x:f>
      </x:c>
      <x:c r="AY43" s="165" t="str">
        <x:f>IF(AND(AY$5&gt;=$C43,AY$5&lt;=$D43,$A43&lt;&gt;""),"●","")</x:f>
      </x:c>
      <x:c r="AZ43" s="165" t="str">
        <x:f>IF(AND(AZ$5&gt;=$C43,AZ$5&lt;=$D43,$A43&lt;&gt;""),"●","")</x:f>
      </x:c>
      <x:c r="BA43" s="165" t="str">
        <x:f>IF(AND(BA$5&gt;=$C43,BA$5&lt;=$D43,$A43&lt;&gt;""),"●","")</x:f>
      </x:c>
      <x:c r="BB43" s="165" t="str">
        <x:f>IF(AND(BB$5&gt;=$C43,BB$5&lt;=$D43,$A43&lt;&gt;""),"●","")</x:f>
      </x:c>
      <x:c r="BC43" s="165" t="str">
        <x:f>IF(AND(BC$5&gt;=$C43,BC$5&lt;=$D43,$A43&lt;&gt;""),"●","")</x:f>
      </x:c>
      <x:c r="BD43" s="165" t="str">
        <x:f>IF(AND(BD$5&gt;=$C43,BD$5&lt;=$D43,$A43&lt;&gt;""),"●","")</x:f>
      </x:c>
      <x:c r="BE43" s="165" t="str">
        <x:f>IF(AND(BE$5&gt;=$C43,BE$5&lt;=$D43,$A43&lt;&gt;""),"●","")</x:f>
      </x:c>
      <x:c r="BF43" s="165" t="str">
        <x:f>IF(AND(BF$5&gt;=$C43,BF$5&lt;=$D43,$A43&lt;&gt;""),"●","")</x:f>
      </x:c>
      <x:c r="BG43" s="165" t="str">
        <x:f>IF(AND(BG$5&gt;=$C43,BG$5&lt;=$D43,$A43&lt;&gt;""),"●","")</x:f>
      </x:c>
      <x:c r="BH43" s="165" t="str">
        <x:f>IF(AND(BH$5&gt;=$C43,BH$5&lt;=$D43,$A43&lt;&gt;""),"●","")</x:f>
      </x:c>
      <x:c r="BI43" s="165" t="str">
        <x:f>IF(AND(BI$5&gt;=$C43,BI$5&lt;=$D43,$A43&lt;&gt;""),"●","")</x:f>
      </x:c>
      <x:c r="BJ43" s="165" t="str">
        <x:f>IF(AND(BJ$5&gt;=$C43,BJ$5&lt;=$D43,$A43&lt;&gt;""),"●","")</x:f>
      </x:c>
      <x:c r="BK43" s="165" t="str">
        <x:f>IF(AND(BK$5&gt;=$C43,BK$5&lt;=$D43,$A43&lt;&gt;""),"●","")</x:f>
      </x:c>
      <x:c r="BL43" s="165" t="str">
        <x:f>IF(AND(BL$5&gt;=$C43,BL$5&lt;=$D43,$A43&lt;&gt;""),"●","")</x:f>
      </x:c>
      <x:c r="BM43" s="165" t="str">
        <x:f>IF(AND(BM$5&gt;=$C43,BM$5&lt;=$D43,$A43&lt;&gt;""),"●","")</x:f>
      </x:c>
      <x:c r="BN43" s="165" t="str">
        <x:f>IF(AND(BN$5&gt;=$C43,BN$5&lt;=$D43,$A43&lt;&gt;""),"●","")</x:f>
      </x:c>
      <x:c r="BO43" s="165" t="str">
        <x:f>IF(AND(BO$5&gt;=$C43,BO$5&lt;=$D43,$A43&lt;&gt;""),"●","")</x:f>
      </x:c>
      <x:c r="BP43" s="165" t="str">
        <x:f>IF(AND(BP$5&gt;=$C43,BP$5&lt;=$D43,$A43&lt;&gt;""),"●","")</x:f>
      </x:c>
      <x:c r="BQ43" s="165" t="str">
        <x:f>IF(AND(BQ$5&gt;=$C43,BQ$5&lt;=$D43,$A43&lt;&gt;""),"●","")</x:f>
      </x:c>
      <x:c r="BR43" s="165" t="str">
        <x:f>IF(AND(BR$5&gt;=$C43,BR$5&lt;=$D43,$A43&lt;&gt;""),"●","")</x:f>
      </x:c>
      <x:c r="BS43" s="165" t="str">
        <x:f>IF(AND(BS$5&gt;=$C43,BS$5&lt;=$D43,$A43&lt;&gt;""),"●","")</x:f>
      </x:c>
      <x:c r="BT43" s="165" t="str">
        <x:f>IF(AND(BT$5&gt;=$C43,BT$5&lt;=$D43,$A43&lt;&gt;""),"●","")</x:f>
      </x:c>
      <x:c r="BU43" s="165" t="str">
        <x:f>IF(AND(BU$5&gt;=$C43,BU$5&lt;=$D43,$A43&lt;&gt;""),"●","")</x:f>
      </x:c>
      <x:c r="BV43" s="165" t="str">
        <x:f>IF(AND(BV$5&gt;=$C43,BV$5&lt;=$D43,$A43&lt;&gt;""),"●","")</x:f>
      </x:c>
      <x:c r="BW43" s="165" t="str">
        <x:f>IF(AND(BW$5&gt;=$C43,BW$5&lt;=$D43,$A43&lt;&gt;""),"●","")</x:f>
      </x:c>
    </x:row>
    <x:row r="44">
      <x:c r="A44" s="159" t="str">
        <x:f>IF('รายการสัญญา'!A44="","",'รายการสัญญา'!A44)</x:f>
      </x:c>
      <x:c r="B44" s="159" t="str">
        <x:f>IF('รายการสัญญา'!A44="","",'รายการสัญญา'!C44)</x:f>
      </x:c>
      <x:c r="C44" s="162" t="str">
        <x:f>IF('รายการสัญญา'!A44="","",'รายการสัญญา'!E44)</x:f>
      </x:c>
      <x:c r="D44" s="162" t="str">
        <x:f>IF('รายการสัญญา'!A44="","",'รายการสัญญา'!G44)</x:f>
      </x:c>
      <x:c r="E44" s="159" t="str">
        <x:f>IF('รายการสัญญา'!A44="","",'รายการสัญญา'!K44)</x:f>
      </x:c>
      <x:c r="F44" s="165" t="str">
        <x:f>IF(AND(F$5&gt;=$C44,F$5&lt;=$D44,$A44&lt;&gt;""),"●","")</x:f>
      </x:c>
      <x:c r="G44" s="165" t="str">
        <x:f>IF(AND(G$5&gt;=$C44,G$5&lt;=$D44,$A44&lt;&gt;""),"●","")</x:f>
      </x:c>
      <x:c r="H44" s="165" t="str">
        <x:f>IF(AND(H$5&gt;=$C44,H$5&lt;=$D44,$A44&lt;&gt;""),"●","")</x:f>
      </x:c>
      <x:c r="I44" s="165" t="str">
        <x:f>IF(AND(I$5&gt;=$C44,I$5&lt;=$D44,$A44&lt;&gt;""),"●","")</x:f>
      </x:c>
      <x:c r="J44" s="165" t="str">
        <x:f>IF(AND(J$5&gt;=$C44,J$5&lt;=$D44,$A44&lt;&gt;""),"●","")</x:f>
      </x:c>
      <x:c r="K44" s="165" t="str">
        <x:f>IF(AND(K$5&gt;=$C44,K$5&lt;=$D44,$A44&lt;&gt;""),"●","")</x:f>
      </x:c>
      <x:c r="L44" s="165" t="str">
        <x:f>IF(AND(L$5&gt;=$C44,L$5&lt;=$D44,$A44&lt;&gt;""),"●","")</x:f>
      </x:c>
      <x:c r="M44" s="165" t="str">
        <x:f>IF(AND(M$5&gt;=$C44,M$5&lt;=$D44,$A44&lt;&gt;""),"●","")</x:f>
      </x:c>
      <x:c r="N44" s="165" t="str">
        <x:f>IF(AND(N$5&gt;=$C44,N$5&lt;=$D44,$A44&lt;&gt;""),"●","")</x:f>
      </x:c>
      <x:c r="O44" s="165" t="str">
        <x:f>IF(AND(O$5&gt;=$C44,O$5&lt;=$D44,$A44&lt;&gt;""),"●","")</x:f>
      </x:c>
      <x:c r="P44" s="165" t="str">
        <x:f>IF(AND(P$5&gt;=$C44,P$5&lt;=$D44,$A44&lt;&gt;""),"●","")</x:f>
      </x:c>
      <x:c r="Q44" s="165" t="str">
        <x:f>IF(AND(Q$5&gt;=$C44,Q$5&lt;=$D44,$A44&lt;&gt;""),"●","")</x:f>
      </x:c>
      <x:c r="R44" s="165" t="str">
        <x:f>IF(AND(R$5&gt;=$C44,R$5&lt;=$D44,$A44&lt;&gt;""),"●","")</x:f>
      </x:c>
      <x:c r="S44" s="165" t="str">
        <x:f>IF(AND(S$5&gt;=$C44,S$5&lt;=$D44,$A44&lt;&gt;""),"●","")</x:f>
      </x:c>
      <x:c r="T44" s="165" t="str">
        <x:f>IF(AND(T$5&gt;=$C44,T$5&lt;=$D44,$A44&lt;&gt;""),"●","")</x:f>
      </x:c>
      <x:c r="U44" s="165" t="str">
        <x:f>IF(AND(U$5&gt;=$C44,U$5&lt;=$D44,$A44&lt;&gt;""),"●","")</x:f>
      </x:c>
      <x:c r="V44" s="165" t="str">
        <x:f>IF(AND(V$5&gt;=$C44,V$5&lt;=$D44,$A44&lt;&gt;""),"●","")</x:f>
      </x:c>
      <x:c r="W44" s="165" t="str">
        <x:f>IF(AND(W$5&gt;=$C44,W$5&lt;=$D44,$A44&lt;&gt;""),"●","")</x:f>
      </x:c>
      <x:c r="X44" s="165" t="str">
        <x:f>IF(AND(X$5&gt;=$C44,X$5&lt;=$D44,$A44&lt;&gt;""),"●","")</x:f>
      </x:c>
      <x:c r="Y44" s="165" t="str">
        <x:f>IF(AND(Y$5&gt;=$C44,Y$5&lt;=$D44,$A44&lt;&gt;""),"●","")</x:f>
      </x:c>
      <x:c r="Z44" s="165" t="str">
        <x:f>IF(AND(Z$5&gt;=$C44,Z$5&lt;=$D44,$A44&lt;&gt;""),"●","")</x:f>
      </x:c>
      <x:c r="AA44" s="165" t="str">
        <x:f>IF(AND(AA$5&gt;=$C44,AA$5&lt;=$D44,$A44&lt;&gt;""),"●","")</x:f>
      </x:c>
      <x:c r="AB44" s="165" t="str">
        <x:f>IF(AND(AB$5&gt;=$C44,AB$5&lt;=$D44,$A44&lt;&gt;""),"●","")</x:f>
      </x:c>
      <x:c r="AC44" s="165" t="str">
        <x:f>IF(AND(AC$5&gt;=$C44,AC$5&lt;=$D44,$A44&lt;&gt;""),"●","")</x:f>
      </x:c>
      <x:c r="AD44" s="165" t="str">
        <x:f>IF(AND(AD$5&gt;=$C44,AD$5&lt;=$D44,$A44&lt;&gt;""),"●","")</x:f>
      </x:c>
      <x:c r="AE44" s="165" t="str">
        <x:f>IF(AND(AE$5&gt;=$C44,AE$5&lt;=$D44,$A44&lt;&gt;""),"●","")</x:f>
      </x:c>
      <x:c r="AF44" s="165" t="str">
        <x:f>IF(AND(AF$5&gt;=$C44,AF$5&lt;=$D44,$A44&lt;&gt;""),"●","")</x:f>
      </x:c>
      <x:c r="AG44" s="165" t="str">
        <x:f>IF(AND(AG$5&gt;=$C44,AG$5&lt;=$D44,$A44&lt;&gt;""),"●","")</x:f>
      </x:c>
      <x:c r="AH44" s="165" t="str">
        <x:f>IF(AND(AH$5&gt;=$C44,AH$5&lt;=$D44,$A44&lt;&gt;""),"●","")</x:f>
      </x:c>
      <x:c r="AI44" s="165" t="str">
        <x:f>IF(AND(AI$5&gt;=$C44,AI$5&lt;=$D44,$A44&lt;&gt;""),"●","")</x:f>
      </x:c>
      <x:c r="AJ44" s="165" t="str">
        <x:f>IF(AND(AJ$5&gt;=$C44,AJ$5&lt;=$D44,$A44&lt;&gt;""),"●","")</x:f>
      </x:c>
      <x:c r="AK44" s="165" t="str">
        <x:f>IF(AND(AK$5&gt;=$C44,AK$5&lt;=$D44,$A44&lt;&gt;""),"●","")</x:f>
      </x:c>
      <x:c r="AL44" s="165" t="str">
        <x:f>IF(AND(AL$5&gt;=$C44,AL$5&lt;=$D44,$A44&lt;&gt;""),"●","")</x:f>
      </x:c>
      <x:c r="AM44" s="165" t="str">
        <x:f>IF(AND(AM$5&gt;=$C44,AM$5&lt;=$D44,$A44&lt;&gt;""),"●","")</x:f>
      </x:c>
      <x:c r="AN44" s="165" t="str">
        <x:f>IF(AND(AN$5&gt;=$C44,AN$5&lt;=$D44,$A44&lt;&gt;""),"●","")</x:f>
      </x:c>
      <x:c r="AO44" s="165" t="str">
        <x:f>IF(AND(AO$5&gt;=$C44,AO$5&lt;=$D44,$A44&lt;&gt;""),"●","")</x:f>
      </x:c>
      <x:c r="AP44" s="165" t="str">
        <x:f>IF(AND(AP$5&gt;=$C44,AP$5&lt;=$D44,$A44&lt;&gt;""),"●","")</x:f>
      </x:c>
      <x:c r="AQ44" s="165" t="str">
        <x:f>IF(AND(AQ$5&gt;=$C44,AQ$5&lt;=$D44,$A44&lt;&gt;""),"●","")</x:f>
      </x:c>
      <x:c r="AR44" s="165" t="str">
        <x:f>IF(AND(AR$5&gt;=$C44,AR$5&lt;=$D44,$A44&lt;&gt;""),"●","")</x:f>
      </x:c>
      <x:c r="AS44" s="165" t="str">
        <x:f>IF(AND(AS$5&gt;=$C44,AS$5&lt;=$D44,$A44&lt;&gt;""),"●","")</x:f>
      </x:c>
      <x:c r="AT44" s="165" t="str">
        <x:f>IF(AND(AT$5&gt;=$C44,AT$5&lt;=$D44,$A44&lt;&gt;""),"●","")</x:f>
      </x:c>
      <x:c r="AU44" s="165" t="str">
        <x:f>IF(AND(AU$5&gt;=$C44,AU$5&lt;=$D44,$A44&lt;&gt;""),"●","")</x:f>
      </x:c>
      <x:c r="AV44" s="165" t="str">
        <x:f>IF(AND(AV$5&gt;=$C44,AV$5&lt;=$D44,$A44&lt;&gt;""),"●","")</x:f>
      </x:c>
      <x:c r="AW44" s="165" t="str">
        <x:f>IF(AND(AW$5&gt;=$C44,AW$5&lt;=$D44,$A44&lt;&gt;""),"●","")</x:f>
      </x:c>
      <x:c r="AX44" s="165" t="str">
        <x:f>IF(AND(AX$5&gt;=$C44,AX$5&lt;=$D44,$A44&lt;&gt;""),"●","")</x:f>
      </x:c>
      <x:c r="AY44" s="165" t="str">
        <x:f>IF(AND(AY$5&gt;=$C44,AY$5&lt;=$D44,$A44&lt;&gt;""),"●","")</x:f>
      </x:c>
      <x:c r="AZ44" s="165" t="str">
        <x:f>IF(AND(AZ$5&gt;=$C44,AZ$5&lt;=$D44,$A44&lt;&gt;""),"●","")</x:f>
      </x:c>
      <x:c r="BA44" s="165" t="str">
        <x:f>IF(AND(BA$5&gt;=$C44,BA$5&lt;=$D44,$A44&lt;&gt;""),"●","")</x:f>
      </x:c>
      <x:c r="BB44" s="165" t="str">
        <x:f>IF(AND(BB$5&gt;=$C44,BB$5&lt;=$D44,$A44&lt;&gt;""),"●","")</x:f>
      </x:c>
      <x:c r="BC44" s="165" t="str">
        <x:f>IF(AND(BC$5&gt;=$C44,BC$5&lt;=$D44,$A44&lt;&gt;""),"●","")</x:f>
      </x:c>
      <x:c r="BD44" s="165" t="str">
        <x:f>IF(AND(BD$5&gt;=$C44,BD$5&lt;=$D44,$A44&lt;&gt;""),"●","")</x:f>
      </x:c>
      <x:c r="BE44" s="165" t="str">
        <x:f>IF(AND(BE$5&gt;=$C44,BE$5&lt;=$D44,$A44&lt;&gt;""),"●","")</x:f>
      </x:c>
      <x:c r="BF44" s="165" t="str">
        <x:f>IF(AND(BF$5&gt;=$C44,BF$5&lt;=$D44,$A44&lt;&gt;""),"●","")</x:f>
      </x:c>
      <x:c r="BG44" s="165" t="str">
        <x:f>IF(AND(BG$5&gt;=$C44,BG$5&lt;=$D44,$A44&lt;&gt;""),"●","")</x:f>
      </x:c>
      <x:c r="BH44" s="165" t="str">
        <x:f>IF(AND(BH$5&gt;=$C44,BH$5&lt;=$D44,$A44&lt;&gt;""),"●","")</x:f>
      </x:c>
      <x:c r="BI44" s="165" t="str">
        <x:f>IF(AND(BI$5&gt;=$C44,BI$5&lt;=$D44,$A44&lt;&gt;""),"●","")</x:f>
      </x:c>
      <x:c r="BJ44" s="165" t="str">
        <x:f>IF(AND(BJ$5&gt;=$C44,BJ$5&lt;=$D44,$A44&lt;&gt;""),"●","")</x:f>
      </x:c>
      <x:c r="BK44" s="165" t="str">
        <x:f>IF(AND(BK$5&gt;=$C44,BK$5&lt;=$D44,$A44&lt;&gt;""),"●","")</x:f>
      </x:c>
      <x:c r="BL44" s="165" t="str">
        <x:f>IF(AND(BL$5&gt;=$C44,BL$5&lt;=$D44,$A44&lt;&gt;""),"●","")</x:f>
      </x:c>
      <x:c r="BM44" s="165" t="str">
        <x:f>IF(AND(BM$5&gt;=$C44,BM$5&lt;=$D44,$A44&lt;&gt;""),"●","")</x:f>
      </x:c>
      <x:c r="BN44" s="165" t="str">
        <x:f>IF(AND(BN$5&gt;=$C44,BN$5&lt;=$D44,$A44&lt;&gt;""),"●","")</x:f>
      </x:c>
      <x:c r="BO44" s="165" t="str">
        <x:f>IF(AND(BO$5&gt;=$C44,BO$5&lt;=$D44,$A44&lt;&gt;""),"●","")</x:f>
      </x:c>
      <x:c r="BP44" s="165" t="str">
        <x:f>IF(AND(BP$5&gt;=$C44,BP$5&lt;=$D44,$A44&lt;&gt;""),"●","")</x:f>
      </x:c>
      <x:c r="BQ44" s="165" t="str">
        <x:f>IF(AND(BQ$5&gt;=$C44,BQ$5&lt;=$D44,$A44&lt;&gt;""),"●","")</x:f>
      </x:c>
      <x:c r="BR44" s="165" t="str">
        <x:f>IF(AND(BR$5&gt;=$C44,BR$5&lt;=$D44,$A44&lt;&gt;""),"●","")</x:f>
      </x:c>
      <x:c r="BS44" s="165" t="str">
        <x:f>IF(AND(BS$5&gt;=$C44,BS$5&lt;=$D44,$A44&lt;&gt;""),"●","")</x:f>
      </x:c>
      <x:c r="BT44" s="165" t="str">
        <x:f>IF(AND(BT$5&gt;=$C44,BT$5&lt;=$D44,$A44&lt;&gt;""),"●","")</x:f>
      </x:c>
      <x:c r="BU44" s="165" t="str">
        <x:f>IF(AND(BU$5&gt;=$C44,BU$5&lt;=$D44,$A44&lt;&gt;""),"●","")</x:f>
      </x:c>
      <x:c r="BV44" s="165" t="str">
        <x:f>IF(AND(BV$5&gt;=$C44,BV$5&lt;=$D44,$A44&lt;&gt;""),"●","")</x:f>
      </x:c>
      <x:c r="BW44" s="165" t="str">
        <x:f>IF(AND(BW$5&gt;=$C44,BW$5&lt;=$D44,$A44&lt;&gt;""),"●","")</x:f>
      </x:c>
    </x:row>
    <x:row r="45">
      <x:c r="A45" s="159" t="str">
        <x:f>IF('รายการสัญญา'!A45="","",'รายการสัญญา'!A45)</x:f>
      </x:c>
      <x:c r="B45" s="159" t="str">
        <x:f>IF('รายการสัญญา'!A45="","",'รายการสัญญา'!C45)</x:f>
      </x:c>
      <x:c r="C45" s="162" t="str">
        <x:f>IF('รายการสัญญา'!A45="","",'รายการสัญญา'!E45)</x:f>
      </x:c>
      <x:c r="D45" s="162" t="str">
        <x:f>IF('รายการสัญญา'!A45="","",'รายการสัญญา'!G45)</x:f>
      </x:c>
      <x:c r="E45" s="159" t="str">
        <x:f>IF('รายการสัญญา'!A45="","",'รายการสัญญา'!K45)</x:f>
      </x:c>
      <x:c r="F45" s="165" t="str">
        <x:f>IF(AND(F$5&gt;=$C45,F$5&lt;=$D45,$A45&lt;&gt;""),"●","")</x:f>
      </x:c>
      <x:c r="G45" s="165" t="str">
        <x:f>IF(AND(G$5&gt;=$C45,G$5&lt;=$D45,$A45&lt;&gt;""),"●","")</x:f>
      </x:c>
      <x:c r="H45" s="165" t="str">
        <x:f>IF(AND(H$5&gt;=$C45,H$5&lt;=$D45,$A45&lt;&gt;""),"●","")</x:f>
      </x:c>
      <x:c r="I45" s="165" t="str">
        <x:f>IF(AND(I$5&gt;=$C45,I$5&lt;=$D45,$A45&lt;&gt;""),"●","")</x:f>
      </x:c>
      <x:c r="J45" s="165" t="str">
        <x:f>IF(AND(J$5&gt;=$C45,J$5&lt;=$D45,$A45&lt;&gt;""),"●","")</x:f>
      </x:c>
      <x:c r="K45" s="165" t="str">
        <x:f>IF(AND(K$5&gt;=$C45,K$5&lt;=$D45,$A45&lt;&gt;""),"●","")</x:f>
      </x:c>
      <x:c r="L45" s="165" t="str">
        <x:f>IF(AND(L$5&gt;=$C45,L$5&lt;=$D45,$A45&lt;&gt;""),"●","")</x:f>
      </x:c>
      <x:c r="M45" s="165" t="str">
        <x:f>IF(AND(M$5&gt;=$C45,M$5&lt;=$D45,$A45&lt;&gt;""),"●","")</x:f>
      </x:c>
      <x:c r="N45" s="165" t="str">
        <x:f>IF(AND(N$5&gt;=$C45,N$5&lt;=$D45,$A45&lt;&gt;""),"●","")</x:f>
      </x:c>
      <x:c r="O45" s="165" t="str">
        <x:f>IF(AND(O$5&gt;=$C45,O$5&lt;=$D45,$A45&lt;&gt;""),"●","")</x:f>
      </x:c>
      <x:c r="P45" s="165" t="str">
        <x:f>IF(AND(P$5&gt;=$C45,P$5&lt;=$D45,$A45&lt;&gt;""),"●","")</x:f>
      </x:c>
      <x:c r="Q45" s="165" t="str">
        <x:f>IF(AND(Q$5&gt;=$C45,Q$5&lt;=$D45,$A45&lt;&gt;""),"●","")</x:f>
      </x:c>
      <x:c r="R45" s="165" t="str">
        <x:f>IF(AND(R$5&gt;=$C45,R$5&lt;=$D45,$A45&lt;&gt;""),"●","")</x:f>
      </x:c>
      <x:c r="S45" s="165" t="str">
        <x:f>IF(AND(S$5&gt;=$C45,S$5&lt;=$D45,$A45&lt;&gt;""),"●","")</x:f>
      </x:c>
      <x:c r="T45" s="165" t="str">
        <x:f>IF(AND(T$5&gt;=$C45,T$5&lt;=$D45,$A45&lt;&gt;""),"●","")</x:f>
      </x:c>
      <x:c r="U45" s="165" t="str">
        <x:f>IF(AND(U$5&gt;=$C45,U$5&lt;=$D45,$A45&lt;&gt;""),"●","")</x:f>
      </x:c>
      <x:c r="V45" s="165" t="str">
        <x:f>IF(AND(V$5&gt;=$C45,V$5&lt;=$D45,$A45&lt;&gt;""),"●","")</x:f>
      </x:c>
      <x:c r="W45" s="165" t="str">
        <x:f>IF(AND(W$5&gt;=$C45,W$5&lt;=$D45,$A45&lt;&gt;""),"●","")</x:f>
      </x:c>
      <x:c r="X45" s="165" t="str">
        <x:f>IF(AND(X$5&gt;=$C45,X$5&lt;=$D45,$A45&lt;&gt;""),"●","")</x:f>
      </x:c>
      <x:c r="Y45" s="165" t="str">
        <x:f>IF(AND(Y$5&gt;=$C45,Y$5&lt;=$D45,$A45&lt;&gt;""),"●","")</x:f>
      </x:c>
      <x:c r="Z45" s="165" t="str">
        <x:f>IF(AND(Z$5&gt;=$C45,Z$5&lt;=$D45,$A45&lt;&gt;""),"●","")</x:f>
      </x:c>
      <x:c r="AA45" s="165" t="str">
        <x:f>IF(AND(AA$5&gt;=$C45,AA$5&lt;=$D45,$A45&lt;&gt;""),"●","")</x:f>
      </x:c>
      <x:c r="AB45" s="165" t="str">
        <x:f>IF(AND(AB$5&gt;=$C45,AB$5&lt;=$D45,$A45&lt;&gt;""),"●","")</x:f>
      </x:c>
      <x:c r="AC45" s="165" t="str">
        <x:f>IF(AND(AC$5&gt;=$C45,AC$5&lt;=$D45,$A45&lt;&gt;""),"●","")</x:f>
      </x:c>
      <x:c r="AD45" s="165" t="str">
        <x:f>IF(AND(AD$5&gt;=$C45,AD$5&lt;=$D45,$A45&lt;&gt;""),"●","")</x:f>
      </x:c>
      <x:c r="AE45" s="165" t="str">
        <x:f>IF(AND(AE$5&gt;=$C45,AE$5&lt;=$D45,$A45&lt;&gt;""),"●","")</x:f>
      </x:c>
      <x:c r="AF45" s="165" t="str">
        <x:f>IF(AND(AF$5&gt;=$C45,AF$5&lt;=$D45,$A45&lt;&gt;""),"●","")</x:f>
      </x:c>
      <x:c r="AG45" s="165" t="str">
        <x:f>IF(AND(AG$5&gt;=$C45,AG$5&lt;=$D45,$A45&lt;&gt;""),"●","")</x:f>
      </x:c>
      <x:c r="AH45" s="165" t="str">
        <x:f>IF(AND(AH$5&gt;=$C45,AH$5&lt;=$D45,$A45&lt;&gt;""),"●","")</x:f>
      </x:c>
      <x:c r="AI45" s="165" t="str">
        <x:f>IF(AND(AI$5&gt;=$C45,AI$5&lt;=$D45,$A45&lt;&gt;""),"●","")</x:f>
      </x:c>
      <x:c r="AJ45" s="165" t="str">
        <x:f>IF(AND(AJ$5&gt;=$C45,AJ$5&lt;=$D45,$A45&lt;&gt;""),"●","")</x:f>
      </x:c>
      <x:c r="AK45" s="165" t="str">
        <x:f>IF(AND(AK$5&gt;=$C45,AK$5&lt;=$D45,$A45&lt;&gt;""),"●","")</x:f>
      </x:c>
      <x:c r="AL45" s="165" t="str">
        <x:f>IF(AND(AL$5&gt;=$C45,AL$5&lt;=$D45,$A45&lt;&gt;""),"●","")</x:f>
      </x:c>
      <x:c r="AM45" s="165" t="str">
        <x:f>IF(AND(AM$5&gt;=$C45,AM$5&lt;=$D45,$A45&lt;&gt;""),"●","")</x:f>
      </x:c>
      <x:c r="AN45" s="165" t="str">
        <x:f>IF(AND(AN$5&gt;=$C45,AN$5&lt;=$D45,$A45&lt;&gt;""),"●","")</x:f>
      </x:c>
      <x:c r="AO45" s="165" t="str">
        <x:f>IF(AND(AO$5&gt;=$C45,AO$5&lt;=$D45,$A45&lt;&gt;""),"●","")</x:f>
      </x:c>
      <x:c r="AP45" s="165" t="str">
        <x:f>IF(AND(AP$5&gt;=$C45,AP$5&lt;=$D45,$A45&lt;&gt;""),"●","")</x:f>
      </x:c>
      <x:c r="AQ45" s="165" t="str">
        <x:f>IF(AND(AQ$5&gt;=$C45,AQ$5&lt;=$D45,$A45&lt;&gt;""),"●","")</x:f>
      </x:c>
      <x:c r="AR45" s="165" t="str">
        <x:f>IF(AND(AR$5&gt;=$C45,AR$5&lt;=$D45,$A45&lt;&gt;""),"●","")</x:f>
      </x:c>
      <x:c r="AS45" s="165" t="str">
        <x:f>IF(AND(AS$5&gt;=$C45,AS$5&lt;=$D45,$A45&lt;&gt;""),"●","")</x:f>
      </x:c>
      <x:c r="AT45" s="165" t="str">
        <x:f>IF(AND(AT$5&gt;=$C45,AT$5&lt;=$D45,$A45&lt;&gt;""),"●","")</x:f>
      </x:c>
      <x:c r="AU45" s="165" t="str">
        <x:f>IF(AND(AU$5&gt;=$C45,AU$5&lt;=$D45,$A45&lt;&gt;""),"●","")</x:f>
      </x:c>
      <x:c r="AV45" s="165" t="str">
        <x:f>IF(AND(AV$5&gt;=$C45,AV$5&lt;=$D45,$A45&lt;&gt;""),"●","")</x:f>
      </x:c>
      <x:c r="AW45" s="165" t="str">
        <x:f>IF(AND(AW$5&gt;=$C45,AW$5&lt;=$D45,$A45&lt;&gt;""),"●","")</x:f>
      </x:c>
      <x:c r="AX45" s="165" t="str">
        <x:f>IF(AND(AX$5&gt;=$C45,AX$5&lt;=$D45,$A45&lt;&gt;""),"●","")</x:f>
      </x:c>
      <x:c r="AY45" s="165" t="str">
        <x:f>IF(AND(AY$5&gt;=$C45,AY$5&lt;=$D45,$A45&lt;&gt;""),"●","")</x:f>
      </x:c>
      <x:c r="AZ45" s="165" t="str">
        <x:f>IF(AND(AZ$5&gt;=$C45,AZ$5&lt;=$D45,$A45&lt;&gt;""),"●","")</x:f>
      </x:c>
      <x:c r="BA45" s="165" t="str">
        <x:f>IF(AND(BA$5&gt;=$C45,BA$5&lt;=$D45,$A45&lt;&gt;""),"●","")</x:f>
      </x:c>
      <x:c r="BB45" s="165" t="str">
        <x:f>IF(AND(BB$5&gt;=$C45,BB$5&lt;=$D45,$A45&lt;&gt;""),"●","")</x:f>
      </x:c>
      <x:c r="BC45" s="165" t="str">
        <x:f>IF(AND(BC$5&gt;=$C45,BC$5&lt;=$D45,$A45&lt;&gt;""),"●","")</x:f>
      </x:c>
      <x:c r="BD45" s="165" t="str">
        <x:f>IF(AND(BD$5&gt;=$C45,BD$5&lt;=$D45,$A45&lt;&gt;""),"●","")</x:f>
      </x:c>
      <x:c r="BE45" s="165" t="str">
        <x:f>IF(AND(BE$5&gt;=$C45,BE$5&lt;=$D45,$A45&lt;&gt;""),"●","")</x:f>
      </x:c>
      <x:c r="BF45" s="165" t="str">
        <x:f>IF(AND(BF$5&gt;=$C45,BF$5&lt;=$D45,$A45&lt;&gt;""),"●","")</x:f>
      </x:c>
      <x:c r="BG45" s="165" t="str">
        <x:f>IF(AND(BG$5&gt;=$C45,BG$5&lt;=$D45,$A45&lt;&gt;""),"●","")</x:f>
      </x:c>
      <x:c r="BH45" s="165" t="str">
        <x:f>IF(AND(BH$5&gt;=$C45,BH$5&lt;=$D45,$A45&lt;&gt;""),"●","")</x:f>
      </x:c>
      <x:c r="BI45" s="165" t="str">
        <x:f>IF(AND(BI$5&gt;=$C45,BI$5&lt;=$D45,$A45&lt;&gt;""),"●","")</x:f>
      </x:c>
      <x:c r="BJ45" s="165" t="str">
        <x:f>IF(AND(BJ$5&gt;=$C45,BJ$5&lt;=$D45,$A45&lt;&gt;""),"●","")</x:f>
      </x:c>
      <x:c r="BK45" s="165" t="str">
        <x:f>IF(AND(BK$5&gt;=$C45,BK$5&lt;=$D45,$A45&lt;&gt;""),"●","")</x:f>
      </x:c>
      <x:c r="BL45" s="165" t="str">
        <x:f>IF(AND(BL$5&gt;=$C45,BL$5&lt;=$D45,$A45&lt;&gt;""),"●","")</x:f>
      </x:c>
      <x:c r="BM45" s="165" t="str">
        <x:f>IF(AND(BM$5&gt;=$C45,BM$5&lt;=$D45,$A45&lt;&gt;""),"●","")</x:f>
      </x:c>
      <x:c r="BN45" s="165" t="str">
        <x:f>IF(AND(BN$5&gt;=$C45,BN$5&lt;=$D45,$A45&lt;&gt;""),"●","")</x:f>
      </x:c>
      <x:c r="BO45" s="165" t="str">
        <x:f>IF(AND(BO$5&gt;=$C45,BO$5&lt;=$D45,$A45&lt;&gt;""),"●","")</x:f>
      </x:c>
      <x:c r="BP45" s="165" t="str">
        <x:f>IF(AND(BP$5&gt;=$C45,BP$5&lt;=$D45,$A45&lt;&gt;""),"●","")</x:f>
      </x:c>
      <x:c r="BQ45" s="165" t="str">
        <x:f>IF(AND(BQ$5&gt;=$C45,BQ$5&lt;=$D45,$A45&lt;&gt;""),"●","")</x:f>
      </x:c>
      <x:c r="BR45" s="165" t="str">
        <x:f>IF(AND(BR$5&gt;=$C45,BR$5&lt;=$D45,$A45&lt;&gt;""),"●","")</x:f>
      </x:c>
      <x:c r="BS45" s="165" t="str">
        <x:f>IF(AND(BS$5&gt;=$C45,BS$5&lt;=$D45,$A45&lt;&gt;""),"●","")</x:f>
      </x:c>
      <x:c r="BT45" s="165" t="str">
        <x:f>IF(AND(BT$5&gt;=$C45,BT$5&lt;=$D45,$A45&lt;&gt;""),"●","")</x:f>
      </x:c>
      <x:c r="BU45" s="165" t="str">
        <x:f>IF(AND(BU$5&gt;=$C45,BU$5&lt;=$D45,$A45&lt;&gt;""),"●","")</x:f>
      </x:c>
      <x:c r="BV45" s="165" t="str">
        <x:f>IF(AND(BV$5&gt;=$C45,BV$5&lt;=$D45,$A45&lt;&gt;""),"●","")</x:f>
      </x:c>
      <x:c r="BW45" s="165" t="str">
        <x:f>IF(AND(BW$5&gt;=$C45,BW$5&lt;=$D45,$A45&lt;&gt;""),"●","")</x:f>
      </x:c>
    </x:row>
    <x:row r="46">
      <x:c r="A46" s="159" t="str">
        <x:f>IF('รายการสัญญา'!A46="","",'รายการสัญญา'!A46)</x:f>
      </x:c>
      <x:c r="B46" s="159" t="str">
        <x:f>IF('รายการสัญญา'!A46="","",'รายการสัญญา'!C46)</x:f>
      </x:c>
      <x:c r="C46" s="162" t="str">
        <x:f>IF('รายการสัญญา'!A46="","",'รายการสัญญา'!E46)</x:f>
      </x:c>
      <x:c r="D46" s="162" t="str">
        <x:f>IF('รายการสัญญา'!A46="","",'รายการสัญญา'!G46)</x:f>
      </x:c>
      <x:c r="E46" s="159" t="str">
        <x:f>IF('รายการสัญญา'!A46="","",'รายการสัญญา'!K46)</x:f>
      </x:c>
      <x:c r="F46" s="165" t="str">
        <x:f>IF(AND(F$5&gt;=$C46,F$5&lt;=$D46,$A46&lt;&gt;""),"●","")</x:f>
      </x:c>
      <x:c r="G46" s="165" t="str">
        <x:f>IF(AND(G$5&gt;=$C46,G$5&lt;=$D46,$A46&lt;&gt;""),"●","")</x:f>
      </x:c>
      <x:c r="H46" s="165" t="str">
        <x:f>IF(AND(H$5&gt;=$C46,H$5&lt;=$D46,$A46&lt;&gt;""),"●","")</x:f>
      </x:c>
      <x:c r="I46" s="165" t="str">
        <x:f>IF(AND(I$5&gt;=$C46,I$5&lt;=$D46,$A46&lt;&gt;""),"●","")</x:f>
      </x:c>
      <x:c r="J46" s="165" t="str">
        <x:f>IF(AND(J$5&gt;=$C46,J$5&lt;=$D46,$A46&lt;&gt;""),"●","")</x:f>
      </x:c>
      <x:c r="K46" s="165" t="str">
        <x:f>IF(AND(K$5&gt;=$C46,K$5&lt;=$D46,$A46&lt;&gt;""),"●","")</x:f>
      </x:c>
      <x:c r="L46" s="165" t="str">
        <x:f>IF(AND(L$5&gt;=$C46,L$5&lt;=$D46,$A46&lt;&gt;""),"●","")</x:f>
      </x:c>
      <x:c r="M46" s="165" t="str">
        <x:f>IF(AND(M$5&gt;=$C46,M$5&lt;=$D46,$A46&lt;&gt;""),"●","")</x:f>
      </x:c>
      <x:c r="N46" s="165" t="str">
        <x:f>IF(AND(N$5&gt;=$C46,N$5&lt;=$D46,$A46&lt;&gt;""),"●","")</x:f>
      </x:c>
      <x:c r="O46" s="165" t="str">
        <x:f>IF(AND(O$5&gt;=$C46,O$5&lt;=$D46,$A46&lt;&gt;""),"●","")</x:f>
      </x:c>
      <x:c r="P46" s="165" t="str">
        <x:f>IF(AND(P$5&gt;=$C46,P$5&lt;=$D46,$A46&lt;&gt;""),"●","")</x:f>
      </x:c>
      <x:c r="Q46" s="165" t="str">
        <x:f>IF(AND(Q$5&gt;=$C46,Q$5&lt;=$D46,$A46&lt;&gt;""),"●","")</x:f>
      </x:c>
      <x:c r="R46" s="165" t="str">
        <x:f>IF(AND(R$5&gt;=$C46,R$5&lt;=$D46,$A46&lt;&gt;""),"●","")</x:f>
      </x:c>
      <x:c r="S46" s="165" t="str">
        <x:f>IF(AND(S$5&gt;=$C46,S$5&lt;=$D46,$A46&lt;&gt;""),"●","")</x:f>
      </x:c>
      <x:c r="T46" s="165" t="str">
        <x:f>IF(AND(T$5&gt;=$C46,T$5&lt;=$D46,$A46&lt;&gt;""),"●","")</x:f>
      </x:c>
      <x:c r="U46" s="165" t="str">
        <x:f>IF(AND(U$5&gt;=$C46,U$5&lt;=$D46,$A46&lt;&gt;""),"●","")</x:f>
      </x:c>
      <x:c r="V46" s="165" t="str">
        <x:f>IF(AND(V$5&gt;=$C46,V$5&lt;=$D46,$A46&lt;&gt;""),"●","")</x:f>
      </x:c>
      <x:c r="W46" s="165" t="str">
        <x:f>IF(AND(W$5&gt;=$C46,W$5&lt;=$D46,$A46&lt;&gt;""),"●","")</x:f>
      </x:c>
      <x:c r="X46" s="165" t="str">
        <x:f>IF(AND(X$5&gt;=$C46,X$5&lt;=$D46,$A46&lt;&gt;""),"●","")</x:f>
      </x:c>
      <x:c r="Y46" s="165" t="str">
        <x:f>IF(AND(Y$5&gt;=$C46,Y$5&lt;=$D46,$A46&lt;&gt;""),"●","")</x:f>
      </x:c>
      <x:c r="Z46" s="165" t="str">
        <x:f>IF(AND(Z$5&gt;=$C46,Z$5&lt;=$D46,$A46&lt;&gt;""),"●","")</x:f>
      </x:c>
      <x:c r="AA46" s="165" t="str">
        <x:f>IF(AND(AA$5&gt;=$C46,AA$5&lt;=$D46,$A46&lt;&gt;""),"●","")</x:f>
      </x:c>
      <x:c r="AB46" s="165" t="str">
        <x:f>IF(AND(AB$5&gt;=$C46,AB$5&lt;=$D46,$A46&lt;&gt;""),"●","")</x:f>
      </x:c>
      <x:c r="AC46" s="165" t="str">
        <x:f>IF(AND(AC$5&gt;=$C46,AC$5&lt;=$D46,$A46&lt;&gt;""),"●","")</x:f>
      </x:c>
      <x:c r="AD46" s="165" t="str">
        <x:f>IF(AND(AD$5&gt;=$C46,AD$5&lt;=$D46,$A46&lt;&gt;""),"●","")</x:f>
      </x:c>
      <x:c r="AE46" s="165" t="str">
        <x:f>IF(AND(AE$5&gt;=$C46,AE$5&lt;=$D46,$A46&lt;&gt;""),"●","")</x:f>
      </x:c>
      <x:c r="AF46" s="165" t="str">
        <x:f>IF(AND(AF$5&gt;=$C46,AF$5&lt;=$D46,$A46&lt;&gt;""),"●","")</x:f>
      </x:c>
      <x:c r="AG46" s="165" t="str">
        <x:f>IF(AND(AG$5&gt;=$C46,AG$5&lt;=$D46,$A46&lt;&gt;""),"●","")</x:f>
      </x:c>
      <x:c r="AH46" s="165" t="str">
        <x:f>IF(AND(AH$5&gt;=$C46,AH$5&lt;=$D46,$A46&lt;&gt;""),"●","")</x:f>
      </x:c>
      <x:c r="AI46" s="165" t="str">
        <x:f>IF(AND(AI$5&gt;=$C46,AI$5&lt;=$D46,$A46&lt;&gt;""),"●","")</x:f>
      </x:c>
      <x:c r="AJ46" s="165" t="str">
        <x:f>IF(AND(AJ$5&gt;=$C46,AJ$5&lt;=$D46,$A46&lt;&gt;""),"●","")</x:f>
      </x:c>
      <x:c r="AK46" s="165" t="str">
        <x:f>IF(AND(AK$5&gt;=$C46,AK$5&lt;=$D46,$A46&lt;&gt;""),"●","")</x:f>
      </x:c>
      <x:c r="AL46" s="165" t="str">
        <x:f>IF(AND(AL$5&gt;=$C46,AL$5&lt;=$D46,$A46&lt;&gt;""),"●","")</x:f>
      </x:c>
      <x:c r="AM46" s="165" t="str">
        <x:f>IF(AND(AM$5&gt;=$C46,AM$5&lt;=$D46,$A46&lt;&gt;""),"●","")</x:f>
      </x:c>
      <x:c r="AN46" s="165" t="str">
        <x:f>IF(AND(AN$5&gt;=$C46,AN$5&lt;=$D46,$A46&lt;&gt;""),"●","")</x:f>
      </x:c>
      <x:c r="AO46" s="165" t="str">
        <x:f>IF(AND(AO$5&gt;=$C46,AO$5&lt;=$D46,$A46&lt;&gt;""),"●","")</x:f>
      </x:c>
      <x:c r="AP46" s="165" t="str">
        <x:f>IF(AND(AP$5&gt;=$C46,AP$5&lt;=$D46,$A46&lt;&gt;""),"●","")</x:f>
      </x:c>
      <x:c r="AQ46" s="165" t="str">
        <x:f>IF(AND(AQ$5&gt;=$C46,AQ$5&lt;=$D46,$A46&lt;&gt;""),"●","")</x:f>
      </x:c>
      <x:c r="AR46" s="165" t="str">
        <x:f>IF(AND(AR$5&gt;=$C46,AR$5&lt;=$D46,$A46&lt;&gt;""),"●","")</x:f>
      </x:c>
      <x:c r="AS46" s="165" t="str">
        <x:f>IF(AND(AS$5&gt;=$C46,AS$5&lt;=$D46,$A46&lt;&gt;""),"●","")</x:f>
      </x:c>
      <x:c r="AT46" s="165" t="str">
        <x:f>IF(AND(AT$5&gt;=$C46,AT$5&lt;=$D46,$A46&lt;&gt;""),"●","")</x:f>
      </x:c>
      <x:c r="AU46" s="165" t="str">
        <x:f>IF(AND(AU$5&gt;=$C46,AU$5&lt;=$D46,$A46&lt;&gt;""),"●","")</x:f>
      </x:c>
      <x:c r="AV46" s="165" t="str">
        <x:f>IF(AND(AV$5&gt;=$C46,AV$5&lt;=$D46,$A46&lt;&gt;""),"●","")</x:f>
      </x:c>
      <x:c r="AW46" s="165" t="str">
        <x:f>IF(AND(AW$5&gt;=$C46,AW$5&lt;=$D46,$A46&lt;&gt;""),"●","")</x:f>
      </x:c>
      <x:c r="AX46" s="165" t="str">
        <x:f>IF(AND(AX$5&gt;=$C46,AX$5&lt;=$D46,$A46&lt;&gt;""),"●","")</x:f>
      </x:c>
      <x:c r="AY46" s="165" t="str">
        <x:f>IF(AND(AY$5&gt;=$C46,AY$5&lt;=$D46,$A46&lt;&gt;""),"●","")</x:f>
      </x:c>
      <x:c r="AZ46" s="165" t="str">
        <x:f>IF(AND(AZ$5&gt;=$C46,AZ$5&lt;=$D46,$A46&lt;&gt;""),"●","")</x:f>
      </x:c>
      <x:c r="BA46" s="165" t="str">
        <x:f>IF(AND(BA$5&gt;=$C46,BA$5&lt;=$D46,$A46&lt;&gt;""),"●","")</x:f>
      </x:c>
      <x:c r="BB46" s="165" t="str">
        <x:f>IF(AND(BB$5&gt;=$C46,BB$5&lt;=$D46,$A46&lt;&gt;""),"●","")</x:f>
      </x:c>
      <x:c r="BC46" s="165" t="str">
        <x:f>IF(AND(BC$5&gt;=$C46,BC$5&lt;=$D46,$A46&lt;&gt;""),"●","")</x:f>
      </x:c>
      <x:c r="BD46" s="165" t="str">
        <x:f>IF(AND(BD$5&gt;=$C46,BD$5&lt;=$D46,$A46&lt;&gt;""),"●","")</x:f>
      </x:c>
      <x:c r="BE46" s="165" t="str">
        <x:f>IF(AND(BE$5&gt;=$C46,BE$5&lt;=$D46,$A46&lt;&gt;""),"●","")</x:f>
      </x:c>
      <x:c r="BF46" s="165" t="str">
        <x:f>IF(AND(BF$5&gt;=$C46,BF$5&lt;=$D46,$A46&lt;&gt;""),"●","")</x:f>
      </x:c>
      <x:c r="BG46" s="165" t="str">
        <x:f>IF(AND(BG$5&gt;=$C46,BG$5&lt;=$D46,$A46&lt;&gt;""),"●","")</x:f>
      </x:c>
      <x:c r="BH46" s="165" t="str">
        <x:f>IF(AND(BH$5&gt;=$C46,BH$5&lt;=$D46,$A46&lt;&gt;""),"●","")</x:f>
      </x:c>
      <x:c r="BI46" s="165" t="str">
        <x:f>IF(AND(BI$5&gt;=$C46,BI$5&lt;=$D46,$A46&lt;&gt;""),"●","")</x:f>
      </x:c>
      <x:c r="BJ46" s="165" t="str">
        <x:f>IF(AND(BJ$5&gt;=$C46,BJ$5&lt;=$D46,$A46&lt;&gt;""),"●","")</x:f>
      </x:c>
      <x:c r="BK46" s="165" t="str">
        <x:f>IF(AND(BK$5&gt;=$C46,BK$5&lt;=$D46,$A46&lt;&gt;""),"●","")</x:f>
      </x:c>
      <x:c r="BL46" s="165" t="str">
        <x:f>IF(AND(BL$5&gt;=$C46,BL$5&lt;=$D46,$A46&lt;&gt;""),"●","")</x:f>
      </x:c>
      <x:c r="BM46" s="165" t="str">
        <x:f>IF(AND(BM$5&gt;=$C46,BM$5&lt;=$D46,$A46&lt;&gt;""),"●","")</x:f>
      </x:c>
      <x:c r="BN46" s="165" t="str">
        <x:f>IF(AND(BN$5&gt;=$C46,BN$5&lt;=$D46,$A46&lt;&gt;""),"●","")</x:f>
      </x:c>
      <x:c r="BO46" s="165" t="str">
        <x:f>IF(AND(BO$5&gt;=$C46,BO$5&lt;=$D46,$A46&lt;&gt;""),"●","")</x:f>
      </x:c>
      <x:c r="BP46" s="165" t="str">
        <x:f>IF(AND(BP$5&gt;=$C46,BP$5&lt;=$D46,$A46&lt;&gt;""),"●","")</x:f>
      </x:c>
      <x:c r="BQ46" s="165" t="str">
        <x:f>IF(AND(BQ$5&gt;=$C46,BQ$5&lt;=$D46,$A46&lt;&gt;""),"●","")</x:f>
      </x:c>
      <x:c r="BR46" s="165" t="str">
        <x:f>IF(AND(BR$5&gt;=$C46,BR$5&lt;=$D46,$A46&lt;&gt;""),"●","")</x:f>
      </x:c>
      <x:c r="BS46" s="165" t="str">
        <x:f>IF(AND(BS$5&gt;=$C46,BS$5&lt;=$D46,$A46&lt;&gt;""),"●","")</x:f>
      </x:c>
      <x:c r="BT46" s="165" t="str">
        <x:f>IF(AND(BT$5&gt;=$C46,BT$5&lt;=$D46,$A46&lt;&gt;""),"●","")</x:f>
      </x:c>
      <x:c r="BU46" s="165" t="str">
        <x:f>IF(AND(BU$5&gt;=$C46,BU$5&lt;=$D46,$A46&lt;&gt;""),"●","")</x:f>
      </x:c>
      <x:c r="BV46" s="165" t="str">
        <x:f>IF(AND(BV$5&gt;=$C46,BV$5&lt;=$D46,$A46&lt;&gt;""),"●","")</x:f>
      </x:c>
      <x:c r="BW46" s="165" t="str">
        <x:f>IF(AND(BW$5&gt;=$C46,BW$5&lt;=$D46,$A46&lt;&gt;""),"●","")</x:f>
      </x:c>
    </x:row>
    <x:row r="47">
      <x:c r="A47" s="159" t="str">
        <x:f>IF('รายการสัญญา'!A47="","",'รายการสัญญา'!A47)</x:f>
      </x:c>
      <x:c r="B47" s="159" t="str">
        <x:f>IF('รายการสัญญา'!A47="","",'รายการสัญญา'!C47)</x:f>
      </x:c>
      <x:c r="C47" s="162" t="str">
        <x:f>IF('รายการสัญญา'!A47="","",'รายการสัญญา'!E47)</x:f>
      </x:c>
      <x:c r="D47" s="162" t="str">
        <x:f>IF('รายการสัญญา'!A47="","",'รายการสัญญา'!G47)</x:f>
      </x:c>
      <x:c r="E47" s="159" t="str">
        <x:f>IF('รายการสัญญา'!A47="","",'รายการสัญญา'!K47)</x:f>
      </x:c>
      <x:c r="F47" s="165" t="str">
        <x:f>IF(AND(F$5&gt;=$C47,F$5&lt;=$D47,$A47&lt;&gt;""),"●","")</x:f>
      </x:c>
      <x:c r="G47" s="165" t="str">
        <x:f>IF(AND(G$5&gt;=$C47,G$5&lt;=$D47,$A47&lt;&gt;""),"●","")</x:f>
      </x:c>
      <x:c r="H47" s="165" t="str">
        <x:f>IF(AND(H$5&gt;=$C47,H$5&lt;=$D47,$A47&lt;&gt;""),"●","")</x:f>
      </x:c>
      <x:c r="I47" s="165" t="str">
        <x:f>IF(AND(I$5&gt;=$C47,I$5&lt;=$D47,$A47&lt;&gt;""),"●","")</x:f>
      </x:c>
      <x:c r="J47" s="165" t="str">
        <x:f>IF(AND(J$5&gt;=$C47,J$5&lt;=$D47,$A47&lt;&gt;""),"●","")</x:f>
      </x:c>
      <x:c r="K47" s="165" t="str">
        <x:f>IF(AND(K$5&gt;=$C47,K$5&lt;=$D47,$A47&lt;&gt;""),"●","")</x:f>
      </x:c>
      <x:c r="L47" s="165" t="str">
        <x:f>IF(AND(L$5&gt;=$C47,L$5&lt;=$D47,$A47&lt;&gt;""),"●","")</x:f>
      </x:c>
      <x:c r="M47" s="165" t="str">
        <x:f>IF(AND(M$5&gt;=$C47,M$5&lt;=$D47,$A47&lt;&gt;""),"●","")</x:f>
      </x:c>
      <x:c r="N47" s="165" t="str">
        <x:f>IF(AND(N$5&gt;=$C47,N$5&lt;=$D47,$A47&lt;&gt;""),"●","")</x:f>
      </x:c>
      <x:c r="O47" s="165" t="str">
        <x:f>IF(AND(O$5&gt;=$C47,O$5&lt;=$D47,$A47&lt;&gt;""),"●","")</x:f>
      </x:c>
      <x:c r="P47" s="165" t="str">
        <x:f>IF(AND(P$5&gt;=$C47,P$5&lt;=$D47,$A47&lt;&gt;""),"●","")</x:f>
      </x:c>
      <x:c r="Q47" s="165" t="str">
        <x:f>IF(AND(Q$5&gt;=$C47,Q$5&lt;=$D47,$A47&lt;&gt;""),"●","")</x:f>
      </x:c>
      <x:c r="R47" s="165" t="str">
        <x:f>IF(AND(R$5&gt;=$C47,R$5&lt;=$D47,$A47&lt;&gt;""),"●","")</x:f>
      </x:c>
      <x:c r="S47" s="165" t="str">
        <x:f>IF(AND(S$5&gt;=$C47,S$5&lt;=$D47,$A47&lt;&gt;""),"●","")</x:f>
      </x:c>
      <x:c r="T47" s="165" t="str">
        <x:f>IF(AND(T$5&gt;=$C47,T$5&lt;=$D47,$A47&lt;&gt;""),"●","")</x:f>
      </x:c>
      <x:c r="U47" s="165" t="str">
        <x:f>IF(AND(U$5&gt;=$C47,U$5&lt;=$D47,$A47&lt;&gt;""),"●","")</x:f>
      </x:c>
      <x:c r="V47" s="165" t="str">
        <x:f>IF(AND(V$5&gt;=$C47,V$5&lt;=$D47,$A47&lt;&gt;""),"●","")</x:f>
      </x:c>
      <x:c r="W47" s="165" t="str">
        <x:f>IF(AND(W$5&gt;=$C47,W$5&lt;=$D47,$A47&lt;&gt;""),"●","")</x:f>
      </x:c>
      <x:c r="X47" s="165" t="str">
        <x:f>IF(AND(X$5&gt;=$C47,X$5&lt;=$D47,$A47&lt;&gt;""),"●","")</x:f>
      </x:c>
      <x:c r="Y47" s="165" t="str">
        <x:f>IF(AND(Y$5&gt;=$C47,Y$5&lt;=$D47,$A47&lt;&gt;""),"●","")</x:f>
      </x:c>
      <x:c r="Z47" s="165" t="str">
        <x:f>IF(AND(Z$5&gt;=$C47,Z$5&lt;=$D47,$A47&lt;&gt;""),"●","")</x:f>
      </x:c>
      <x:c r="AA47" s="165" t="str">
        <x:f>IF(AND(AA$5&gt;=$C47,AA$5&lt;=$D47,$A47&lt;&gt;""),"●","")</x:f>
      </x:c>
      <x:c r="AB47" s="165" t="str">
        <x:f>IF(AND(AB$5&gt;=$C47,AB$5&lt;=$D47,$A47&lt;&gt;""),"●","")</x:f>
      </x:c>
      <x:c r="AC47" s="165" t="str">
        <x:f>IF(AND(AC$5&gt;=$C47,AC$5&lt;=$D47,$A47&lt;&gt;""),"●","")</x:f>
      </x:c>
      <x:c r="AD47" s="165" t="str">
        <x:f>IF(AND(AD$5&gt;=$C47,AD$5&lt;=$D47,$A47&lt;&gt;""),"●","")</x:f>
      </x:c>
      <x:c r="AE47" s="165" t="str">
        <x:f>IF(AND(AE$5&gt;=$C47,AE$5&lt;=$D47,$A47&lt;&gt;""),"●","")</x:f>
      </x:c>
      <x:c r="AF47" s="165" t="str">
        <x:f>IF(AND(AF$5&gt;=$C47,AF$5&lt;=$D47,$A47&lt;&gt;""),"●","")</x:f>
      </x:c>
      <x:c r="AG47" s="165" t="str">
        <x:f>IF(AND(AG$5&gt;=$C47,AG$5&lt;=$D47,$A47&lt;&gt;""),"●","")</x:f>
      </x:c>
      <x:c r="AH47" s="165" t="str">
        <x:f>IF(AND(AH$5&gt;=$C47,AH$5&lt;=$D47,$A47&lt;&gt;""),"●","")</x:f>
      </x:c>
      <x:c r="AI47" s="165" t="str">
        <x:f>IF(AND(AI$5&gt;=$C47,AI$5&lt;=$D47,$A47&lt;&gt;""),"●","")</x:f>
      </x:c>
      <x:c r="AJ47" s="165" t="str">
        <x:f>IF(AND(AJ$5&gt;=$C47,AJ$5&lt;=$D47,$A47&lt;&gt;""),"●","")</x:f>
      </x:c>
      <x:c r="AK47" s="165" t="str">
        <x:f>IF(AND(AK$5&gt;=$C47,AK$5&lt;=$D47,$A47&lt;&gt;""),"●","")</x:f>
      </x:c>
      <x:c r="AL47" s="165" t="str">
        <x:f>IF(AND(AL$5&gt;=$C47,AL$5&lt;=$D47,$A47&lt;&gt;""),"●","")</x:f>
      </x:c>
      <x:c r="AM47" s="165" t="str">
        <x:f>IF(AND(AM$5&gt;=$C47,AM$5&lt;=$D47,$A47&lt;&gt;""),"●","")</x:f>
      </x:c>
      <x:c r="AN47" s="165" t="str">
        <x:f>IF(AND(AN$5&gt;=$C47,AN$5&lt;=$D47,$A47&lt;&gt;""),"●","")</x:f>
      </x:c>
      <x:c r="AO47" s="165" t="str">
        <x:f>IF(AND(AO$5&gt;=$C47,AO$5&lt;=$D47,$A47&lt;&gt;""),"●","")</x:f>
      </x:c>
      <x:c r="AP47" s="165" t="str">
        <x:f>IF(AND(AP$5&gt;=$C47,AP$5&lt;=$D47,$A47&lt;&gt;""),"●","")</x:f>
      </x:c>
      <x:c r="AQ47" s="165" t="str">
        <x:f>IF(AND(AQ$5&gt;=$C47,AQ$5&lt;=$D47,$A47&lt;&gt;""),"●","")</x:f>
      </x:c>
      <x:c r="AR47" s="165" t="str">
        <x:f>IF(AND(AR$5&gt;=$C47,AR$5&lt;=$D47,$A47&lt;&gt;""),"●","")</x:f>
      </x:c>
      <x:c r="AS47" s="165" t="str">
        <x:f>IF(AND(AS$5&gt;=$C47,AS$5&lt;=$D47,$A47&lt;&gt;""),"●","")</x:f>
      </x:c>
      <x:c r="AT47" s="165" t="str">
        <x:f>IF(AND(AT$5&gt;=$C47,AT$5&lt;=$D47,$A47&lt;&gt;""),"●","")</x:f>
      </x:c>
      <x:c r="AU47" s="165" t="str">
        <x:f>IF(AND(AU$5&gt;=$C47,AU$5&lt;=$D47,$A47&lt;&gt;""),"●","")</x:f>
      </x:c>
      <x:c r="AV47" s="165" t="str">
        <x:f>IF(AND(AV$5&gt;=$C47,AV$5&lt;=$D47,$A47&lt;&gt;""),"●","")</x:f>
      </x:c>
      <x:c r="AW47" s="165" t="str">
        <x:f>IF(AND(AW$5&gt;=$C47,AW$5&lt;=$D47,$A47&lt;&gt;""),"●","")</x:f>
      </x:c>
      <x:c r="AX47" s="165" t="str">
        <x:f>IF(AND(AX$5&gt;=$C47,AX$5&lt;=$D47,$A47&lt;&gt;""),"●","")</x:f>
      </x:c>
      <x:c r="AY47" s="165" t="str">
        <x:f>IF(AND(AY$5&gt;=$C47,AY$5&lt;=$D47,$A47&lt;&gt;""),"●","")</x:f>
      </x:c>
      <x:c r="AZ47" s="165" t="str">
        <x:f>IF(AND(AZ$5&gt;=$C47,AZ$5&lt;=$D47,$A47&lt;&gt;""),"●","")</x:f>
      </x:c>
      <x:c r="BA47" s="165" t="str">
        <x:f>IF(AND(BA$5&gt;=$C47,BA$5&lt;=$D47,$A47&lt;&gt;""),"●","")</x:f>
      </x:c>
      <x:c r="BB47" s="165" t="str">
        <x:f>IF(AND(BB$5&gt;=$C47,BB$5&lt;=$D47,$A47&lt;&gt;""),"●","")</x:f>
      </x:c>
      <x:c r="BC47" s="165" t="str">
        <x:f>IF(AND(BC$5&gt;=$C47,BC$5&lt;=$D47,$A47&lt;&gt;""),"●","")</x:f>
      </x:c>
      <x:c r="BD47" s="165" t="str">
        <x:f>IF(AND(BD$5&gt;=$C47,BD$5&lt;=$D47,$A47&lt;&gt;""),"●","")</x:f>
      </x:c>
      <x:c r="BE47" s="165" t="str">
        <x:f>IF(AND(BE$5&gt;=$C47,BE$5&lt;=$D47,$A47&lt;&gt;""),"●","")</x:f>
      </x:c>
      <x:c r="BF47" s="165" t="str">
        <x:f>IF(AND(BF$5&gt;=$C47,BF$5&lt;=$D47,$A47&lt;&gt;""),"●","")</x:f>
      </x:c>
      <x:c r="BG47" s="165" t="str">
        <x:f>IF(AND(BG$5&gt;=$C47,BG$5&lt;=$D47,$A47&lt;&gt;""),"●","")</x:f>
      </x:c>
      <x:c r="BH47" s="165" t="str">
        <x:f>IF(AND(BH$5&gt;=$C47,BH$5&lt;=$D47,$A47&lt;&gt;""),"●","")</x:f>
      </x:c>
      <x:c r="BI47" s="165" t="str">
        <x:f>IF(AND(BI$5&gt;=$C47,BI$5&lt;=$D47,$A47&lt;&gt;""),"●","")</x:f>
      </x:c>
      <x:c r="BJ47" s="165" t="str">
        <x:f>IF(AND(BJ$5&gt;=$C47,BJ$5&lt;=$D47,$A47&lt;&gt;""),"●","")</x:f>
      </x:c>
      <x:c r="BK47" s="165" t="str">
        <x:f>IF(AND(BK$5&gt;=$C47,BK$5&lt;=$D47,$A47&lt;&gt;""),"●","")</x:f>
      </x:c>
      <x:c r="BL47" s="165" t="str">
        <x:f>IF(AND(BL$5&gt;=$C47,BL$5&lt;=$D47,$A47&lt;&gt;""),"●","")</x:f>
      </x:c>
      <x:c r="BM47" s="165" t="str">
        <x:f>IF(AND(BM$5&gt;=$C47,BM$5&lt;=$D47,$A47&lt;&gt;""),"●","")</x:f>
      </x:c>
      <x:c r="BN47" s="165" t="str">
        <x:f>IF(AND(BN$5&gt;=$C47,BN$5&lt;=$D47,$A47&lt;&gt;""),"●","")</x:f>
      </x:c>
      <x:c r="BO47" s="165" t="str">
        <x:f>IF(AND(BO$5&gt;=$C47,BO$5&lt;=$D47,$A47&lt;&gt;""),"●","")</x:f>
      </x:c>
      <x:c r="BP47" s="165" t="str">
        <x:f>IF(AND(BP$5&gt;=$C47,BP$5&lt;=$D47,$A47&lt;&gt;""),"●","")</x:f>
      </x:c>
      <x:c r="BQ47" s="165" t="str">
        <x:f>IF(AND(BQ$5&gt;=$C47,BQ$5&lt;=$D47,$A47&lt;&gt;""),"●","")</x:f>
      </x:c>
      <x:c r="BR47" s="165" t="str">
        <x:f>IF(AND(BR$5&gt;=$C47,BR$5&lt;=$D47,$A47&lt;&gt;""),"●","")</x:f>
      </x:c>
      <x:c r="BS47" s="165" t="str">
        <x:f>IF(AND(BS$5&gt;=$C47,BS$5&lt;=$D47,$A47&lt;&gt;""),"●","")</x:f>
      </x:c>
      <x:c r="BT47" s="165" t="str">
        <x:f>IF(AND(BT$5&gt;=$C47,BT$5&lt;=$D47,$A47&lt;&gt;""),"●","")</x:f>
      </x:c>
      <x:c r="BU47" s="165" t="str">
        <x:f>IF(AND(BU$5&gt;=$C47,BU$5&lt;=$D47,$A47&lt;&gt;""),"●","")</x:f>
      </x:c>
      <x:c r="BV47" s="165" t="str">
        <x:f>IF(AND(BV$5&gt;=$C47,BV$5&lt;=$D47,$A47&lt;&gt;""),"●","")</x:f>
      </x:c>
      <x:c r="BW47" s="165" t="str">
        <x:f>IF(AND(BW$5&gt;=$C47,BW$5&lt;=$D47,$A47&lt;&gt;""),"●","")</x:f>
      </x:c>
    </x:row>
    <x:row r="48">
      <x:c r="A48" s="159" t="str">
        <x:f>IF('รายการสัญญา'!A48="","",'รายการสัญญา'!A48)</x:f>
      </x:c>
      <x:c r="B48" s="159" t="str">
        <x:f>IF('รายการสัญญา'!A48="","",'รายการสัญญา'!C48)</x:f>
      </x:c>
      <x:c r="C48" s="162" t="str">
        <x:f>IF('รายการสัญญา'!A48="","",'รายการสัญญา'!E48)</x:f>
      </x:c>
      <x:c r="D48" s="162" t="str">
        <x:f>IF('รายการสัญญา'!A48="","",'รายการสัญญา'!G48)</x:f>
      </x:c>
      <x:c r="E48" s="159" t="str">
        <x:f>IF('รายการสัญญา'!A48="","",'รายการสัญญา'!K48)</x:f>
      </x:c>
      <x:c r="F48" s="165" t="str">
        <x:f>IF(AND(F$5&gt;=$C48,F$5&lt;=$D48,$A48&lt;&gt;""),"●","")</x:f>
      </x:c>
      <x:c r="G48" s="165" t="str">
        <x:f>IF(AND(G$5&gt;=$C48,G$5&lt;=$D48,$A48&lt;&gt;""),"●","")</x:f>
      </x:c>
      <x:c r="H48" s="165" t="str">
        <x:f>IF(AND(H$5&gt;=$C48,H$5&lt;=$D48,$A48&lt;&gt;""),"●","")</x:f>
      </x:c>
      <x:c r="I48" s="165" t="str">
        <x:f>IF(AND(I$5&gt;=$C48,I$5&lt;=$D48,$A48&lt;&gt;""),"●","")</x:f>
      </x:c>
      <x:c r="J48" s="165" t="str">
        <x:f>IF(AND(J$5&gt;=$C48,J$5&lt;=$D48,$A48&lt;&gt;""),"●","")</x:f>
      </x:c>
      <x:c r="K48" s="165" t="str">
        <x:f>IF(AND(K$5&gt;=$C48,K$5&lt;=$D48,$A48&lt;&gt;""),"●","")</x:f>
      </x:c>
      <x:c r="L48" s="165" t="str">
        <x:f>IF(AND(L$5&gt;=$C48,L$5&lt;=$D48,$A48&lt;&gt;""),"●","")</x:f>
      </x:c>
      <x:c r="M48" s="165" t="str">
        <x:f>IF(AND(M$5&gt;=$C48,M$5&lt;=$D48,$A48&lt;&gt;""),"●","")</x:f>
      </x:c>
      <x:c r="N48" s="165" t="str">
        <x:f>IF(AND(N$5&gt;=$C48,N$5&lt;=$D48,$A48&lt;&gt;""),"●","")</x:f>
      </x:c>
      <x:c r="O48" s="165" t="str">
        <x:f>IF(AND(O$5&gt;=$C48,O$5&lt;=$D48,$A48&lt;&gt;""),"●","")</x:f>
      </x:c>
      <x:c r="P48" s="165" t="str">
        <x:f>IF(AND(P$5&gt;=$C48,P$5&lt;=$D48,$A48&lt;&gt;""),"●","")</x:f>
      </x:c>
      <x:c r="Q48" s="165" t="str">
        <x:f>IF(AND(Q$5&gt;=$C48,Q$5&lt;=$D48,$A48&lt;&gt;""),"●","")</x:f>
      </x:c>
      <x:c r="R48" s="165" t="str">
        <x:f>IF(AND(R$5&gt;=$C48,R$5&lt;=$D48,$A48&lt;&gt;""),"●","")</x:f>
      </x:c>
      <x:c r="S48" s="165" t="str">
        <x:f>IF(AND(S$5&gt;=$C48,S$5&lt;=$D48,$A48&lt;&gt;""),"●","")</x:f>
      </x:c>
      <x:c r="T48" s="165" t="str">
        <x:f>IF(AND(T$5&gt;=$C48,T$5&lt;=$D48,$A48&lt;&gt;""),"●","")</x:f>
      </x:c>
      <x:c r="U48" s="165" t="str">
        <x:f>IF(AND(U$5&gt;=$C48,U$5&lt;=$D48,$A48&lt;&gt;""),"●","")</x:f>
      </x:c>
      <x:c r="V48" s="165" t="str">
        <x:f>IF(AND(V$5&gt;=$C48,V$5&lt;=$D48,$A48&lt;&gt;""),"●","")</x:f>
      </x:c>
      <x:c r="W48" s="165" t="str">
        <x:f>IF(AND(W$5&gt;=$C48,W$5&lt;=$D48,$A48&lt;&gt;""),"●","")</x:f>
      </x:c>
      <x:c r="X48" s="165" t="str">
        <x:f>IF(AND(X$5&gt;=$C48,X$5&lt;=$D48,$A48&lt;&gt;""),"●","")</x:f>
      </x:c>
      <x:c r="Y48" s="165" t="str">
        <x:f>IF(AND(Y$5&gt;=$C48,Y$5&lt;=$D48,$A48&lt;&gt;""),"●","")</x:f>
      </x:c>
      <x:c r="Z48" s="165" t="str">
        <x:f>IF(AND(Z$5&gt;=$C48,Z$5&lt;=$D48,$A48&lt;&gt;""),"●","")</x:f>
      </x:c>
      <x:c r="AA48" s="165" t="str">
        <x:f>IF(AND(AA$5&gt;=$C48,AA$5&lt;=$D48,$A48&lt;&gt;""),"●","")</x:f>
      </x:c>
      <x:c r="AB48" s="165" t="str">
        <x:f>IF(AND(AB$5&gt;=$C48,AB$5&lt;=$D48,$A48&lt;&gt;""),"●","")</x:f>
      </x:c>
      <x:c r="AC48" s="165" t="str">
        <x:f>IF(AND(AC$5&gt;=$C48,AC$5&lt;=$D48,$A48&lt;&gt;""),"●","")</x:f>
      </x:c>
      <x:c r="AD48" s="165" t="str">
        <x:f>IF(AND(AD$5&gt;=$C48,AD$5&lt;=$D48,$A48&lt;&gt;""),"●","")</x:f>
      </x:c>
      <x:c r="AE48" s="165" t="str">
        <x:f>IF(AND(AE$5&gt;=$C48,AE$5&lt;=$D48,$A48&lt;&gt;""),"●","")</x:f>
      </x:c>
      <x:c r="AF48" s="165" t="str">
        <x:f>IF(AND(AF$5&gt;=$C48,AF$5&lt;=$D48,$A48&lt;&gt;""),"●","")</x:f>
      </x:c>
      <x:c r="AG48" s="165" t="str">
        <x:f>IF(AND(AG$5&gt;=$C48,AG$5&lt;=$D48,$A48&lt;&gt;""),"●","")</x:f>
      </x:c>
      <x:c r="AH48" s="165" t="str">
        <x:f>IF(AND(AH$5&gt;=$C48,AH$5&lt;=$D48,$A48&lt;&gt;""),"●","")</x:f>
      </x:c>
      <x:c r="AI48" s="165" t="str">
        <x:f>IF(AND(AI$5&gt;=$C48,AI$5&lt;=$D48,$A48&lt;&gt;""),"●","")</x:f>
      </x:c>
      <x:c r="AJ48" s="165" t="str">
        <x:f>IF(AND(AJ$5&gt;=$C48,AJ$5&lt;=$D48,$A48&lt;&gt;""),"●","")</x:f>
      </x:c>
      <x:c r="AK48" s="165" t="str">
        <x:f>IF(AND(AK$5&gt;=$C48,AK$5&lt;=$D48,$A48&lt;&gt;""),"●","")</x:f>
      </x:c>
      <x:c r="AL48" s="165" t="str">
        <x:f>IF(AND(AL$5&gt;=$C48,AL$5&lt;=$D48,$A48&lt;&gt;""),"●","")</x:f>
      </x:c>
      <x:c r="AM48" s="165" t="str">
        <x:f>IF(AND(AM$5&gt;=$C48,AM$5&lt;=$D48,$A48&lt;&gt;""),"●","")</x:f>
      </x:c>
      <x:c r="AN48" s="165" t="str">
        <x:f>IF(AND(AN$5&gt;=$C48,AN$5&lt;=$D48,$A48&lt;&gt;""),"●","")</x:f>
      </x:c>
      <x:c r="AO48" s="165" t="str">
        <x:f>IF(AND(AO$5&gt;=$C48,AO$5&lt;=$D48,$A48&lt;&gt;""),"●","")</x:f>
      </x:c>
      <x:c r="AP48" s="165" t="str">
        <x:f>IF(AND(AP$5&gt;=$C48,AP$5&lt;=$D48,$A48&lt;&gt;""),"●","")</x:f>
      </x:c>
      <x:c r="AQ48" s="165" t="str">
        <x:f>IF(AND(AQ$5&gt;=$C48,AQ$5&lt;=$D48,$A48&lt;&gt;""),"●","")</x:f>
      </x:c>
      <x:c r="AR48" s="165" t="str">
        <x:f>IF(AND(AR$5&gt;=$C48,AR$5&lt;=$D48,$A48&lt;&gt;""),"●","")</x:f>
      </x:c>
      <x:c r="AS48" s="165" t="str">
        <x:f>IF(AND(AS$5&gt;=$C48,AS$5&lt;=$D48,$A48&lt;&gt;""),"●","")</x:f>
      </x:c>
      <x:c r="AT48" s="165" t="str">
        <x:f>IF(AND(AT$5&gt;=$C48,AT$5&lt;=$D48,$A48&lt;&gt;""),"●","")</x:f>
      </x:c>
      <x:c r="AU48" s="165" t="str">
        <x:f>IF(AND(AU$5&gt;=$C48,AU$5&lt;=$D48,$A48&lt;&gt;""),"●","")</x:f>
      </x:c>
      <x:c r="AV48" s="165" t="str">
        <x:f>IF(AND(AV$5&gt;=$C48,AV$5&lt;=$D48,$A48&lt;&gt;""),"●","")</x:f>
      </x:c>
      <x:c r="AW48" s="165" t="str">
        <x:f>IF(AND(AW$5&gt;=$C48,AW$5&lt;=$D48,$A48&lt;&gt;""),"●","")</x:f>
      </x:c>
      <x:c r="AX48" s="165" t="str">
        <x:f>IF(AND(AX$5&gt;=$C48,AX$5&lt;=$D48,$A48&lt;&gt;""),"●","")</x:f>
      </x:c>
      <x:c r="AY48" s="165" t="str">
        <x:f>IF(AND(AY$5&gt;=$C48,AY$5&lt;=$D48,$A48&lt;&gt;""),"●","")</x:f>
      </x:c>
      <x:c r="AZ48" s="165" t="str">
        <x:f>IF(AND(AZ$5&gt;=$C48,AZ$5&lt;=$D48,$A48&lt;&gt;""),"●","")</x:f>
      </x:c>
      <x:c r="BA48" s="165" t="str">
        <x:f>IF(AND(BA$5&gt;=$C48,BA$5&lt;=$D48,$A48&lt;&gt;""),"●","")</x:f>
      </x:c>
      <x:c r="BB48" s="165" t="str">
        <x:f>IF(AND(BB$5&gt;=$C48,BB$5&lt;=$D48,$A48&lt;&gt;""),"●","")</x:f>
      </x:c>
      <x:c r="BC48" s="165" t="str">
        <x:f>IF(AND(BC$5&gt;=$C48,BC$5&lt;=$D48,$A48&lt;&gt;""),"●","")</x:f>
      </x:c>
      <x:c r="BD48" s="165" t="str">
        <x:f>IF(AND(BD$5&gt;=$C48,BD$5&lt;=$D48,$A48&lt;&gt;""),"●","")</x:f>
      </x:c>
      <x:c r="BE48" s="165" t="str">
        <x:f>IF(AND(BE$5&gt;=$C48,BE$5&lt;=$D48,$A48&lt;&gt;""),"●","")</x:f>
      </x:c>
      <x:c r="BF48" s="165" t="str">
        <x:f>IF(AND(BF$5&gt;=$C48,BF$5&lt;=$D48,$A48&lt;&gt;""),"●","")</x:f>
      </x:c>
      <x:c r="BG48" s="165" t="str">
        <x:f>IF(AND(BG$5&gt;=$C48,BG$5&lt;=$D48,$A48&lt;&gt;""),"●","")</x:f>
      </x:c>
      <x:c r="BH48" s="165" t="str">
        <x:f>IF(AND(BH$5&gt;=$C48,BH$5&lt;=$D48,$A48&lt;&gt;""),"●","")</x:f>
      </x:c>
      <x:c r="BI48" s="165" t="str">
        <x:f>IF(AND(BI$5&gt;=$C48,BI$5&lt;=$D48,$A48&lt;&gt;""),"●","")</x:f>
      </x:c>
      <x:c r="BJ48" s="165" t="str">
        <x:f>IF(AND(BJ$5&gt;=$C48,BJ$5&lt;=$D48,$A48&lt;&gt;""),"●","")</x:f>
      </x:c>
      <x:c r="BK48" s="165" t="str">
        <x:f>IF(AND(BK$5&gt;=$C48,BK$5&lt;=$D48,$A48&lt;&gt;""),"●","")</x:f>
      </x:c>
      <x:c r="BL48" s="165" t="str">
        <x:f>IF(AND(BL$5&gt;=$C48,BL$5&lt;=$D48,$A48&lt;&gt;""),"●","")</x:f>
      </x:c>
      <x:c r="BM48" s="165" t="str">
        <x:f>IF(AND(BM$5&gt;=$C48,BM$5&lt;=$D48,$A48&lt;&gt;""),"●","")</x:f>
      </x:c>
      <x:c r="BN48" s="165" t="str">
        <x:f>IF(AND(BN$5&gt;=$C48,BN$5&lt;=$D48,$A48&lt;&gt;""),"●","")</x:f>
      </x:c>
      <x:c r="BO48" s="165" t="str">
        <x:f>IF(AND(BO$5&gt;=$C48,BO$5&lt;=$D48,$A48&lt;&gt;""),"●","")</x:f>
      </x:c>
      <x:c r="BP48" s="165" t="str">
        <x:f>IF(AND(BP$5&gt;=$C48,BP$5&lt;=$D48,$A48&lt;&gt;""),"●","")</x:f>
      </x:c>
      <x:c r="BQ48" s="165" t="str">
        <x:f>IF(AND(BQ$5&gt;=$C48,BQ$5&lt;=$D48,$A48&lt;&gt;""),"●","")</x:f>
      </x:c>
      <x:c r="BR48" s="165" t="str">
        <x:f>IF(AND(BR$5&gt;=$C48,BR$5&lt;=$D48,$A48&lt;&gt;""),"●","")</x:f>
      </x:c>
      <x:c r="BS48" s="165" t="str">
        <x:f>IF(AND(BS$5&gt;=$C48,BS$5&lt;=$D48,$A48&lt;&gt;""),"●","")</x:f>
      </x:c>
      <x:c r="BT48" s="165" t="str">
        <x:f>IF(AND(BT$5&gt;=$C48,BT$5&lt;=$D48,$A48&lt;&gt;""),"●","")</x:f>
      </x:c>
      <x:c r="BU48" s="165" t="str">
        <x:f>IF(AND(BU$5&gt;=$C48,BU$5&lt;=$D48,$A48&lt;&gt;""),"●","")</x:f>
      </x:c>
      <x:c r="BV48" s="165" t="str">
        <x:f>IF(AND(BV$5&gt;=$C48,BV$5&lt;=$D48,$A48&lt;&gt;""),"●","")</x:f>
      </x:c>
      <x:c r="BW48" s="165" t="str">
        <x:f>IF(AND(BW$5&gt;=$C48,BW$5&lt;=$D48,$A48&lt;&gt;""),"●","")</x:f>
      </x:c>
    </x:row>
    <x:row r="49">
      <x:c r="A49" s="159" t="str">
        <x:f>IF('รายการสัญญา'!A49="","",'รายการสัญญา'!A49)</x:f>
      </x:c>
      <x:c r="B49" s="159" t="str">
        <x:f>IF('รายการสัญญา'!A49="","",'รายการสัญญา'!C49)</x:f>
      </x:c>
      <x:c r="C49" s="162" t="str">
        <x:f>IF('รายการสัญญา'!A49="","",'รายการสัญญา'!E49)</x:f>
      </x:c>
      <x:c r="D49" s="162" t="str">
        <x:f>IF('รายการสัญญา'!A49="","",'รายการสัญญา'!G49)</x:f>
      </x:c>
      <x:c r="E49" s="159" t="str">
        <x:f>IF('รายการสัญญา'!A49="","",'รายการสัญญา'!K49)</x:f>
      </x:c>
      <x:c r="F49" s="165" t="str">
        <x:f>IF(AND(F$5&gt;=$C49,F$5&lt;=$D49,$A49&lt;&gt;""),"●","")</x:f>
      </x:c>
      <x:c r="G49" s="165" t="str">
        <x:f>IF(AND(G$5&gt;=$C49,G$5&lt;=$D49,$A49&lt;&gt;""),"●","")</x:f>
      </x:c>
      <x:c r="H49" s="165" t="str">
        <x:f>IF(AND(H$5&gt;=$C49,H$5&lt;=$D49,$A49&lt;&gt;""),"●","")</x:f>
      </x:c>
      <x:c r="I49" s="165" t="str">
        <x:f>IF(AND(I$5&gt;=$C49,I$5&lt;=$D49,$A49&lt;&gt;""),"●","")</x:f>
      </x:c>
      <x:c r="J49" s="165" t="str">
        <x:f>IF(AND(J$5&gt;=$C49,J$5&lt;=$D49,$A49&lt;&gt;""),"●","")</x:f>
      </x:c>
      <x:c r="K49" s="165" t="str">
        <x:f>IF(AND(K$5&gt;=$C49,K$5&lt;=$D49,$A49&lt;&gt;""),"●","")</x:f>
      </x:c>
      <x:c r="L49" s="165" t="str">
        <x:f>IF(AND(L$5&gt;=$C49,L$5&lt;=$D49,$A49&lt;&gt;""),"●","")</x:f>
      </x:c>
      <x:c r="M49" s="165" t="str">
        <x:f>IF(AND(M$5&gt;=$C49,M$5&lt;=$D49,$A49&lt;&gt;""),"●","")</x:f>
      </x:c>
      <x:c r="N49" s="165" t="str">
        <x:f>IF(AND(N$5&gt;=$C49,N$5&lt;=$D49,$A49&lt;&gt;""),"●","")</x:f>
      </x:c>
      <x:c r="O49" s="165" t="str">
        <x:f>IF(AND(O$5&gt;=$C49,O$5&lt;=$D49,$A49&lt;&gt;""),"●","")</x:f>
      </x:c>
      <x:c r="P49" s="165" t="str">
        <x:f>IF(AND(P$5&gt;=$C49,P$5&lt;=$D49,$A49&lt;&gt;""),"●","")</x:f>
      </x:c>
      <x:c r="Q49" s="165" t="str">
        <x:f>IF(AND(Q$5&gt;=$C49,Q$5&lt;=$D49,$A49&lt;&gt;""),"●","")</x:f>
      </x:c>
      <x:c r="R49" s="165" t="str">
        <x:f>IF(AND(R$5&gt;=$C49,R$5&lt;=$D49,$A49&lt;&gt;""),"●","")</x:f>
      </x:c>
      <x:c r="S49" s="165" t="str">
        <x:f>IF(AND(S$5&gt;=$C49,S$5&lt;=$D49,$A49&lt;&gt;""),"●","")</x:f>
      </x:c>
      <x:c r="T49" s="165" t="str">
        <x:f>IF(AND(T$5&gt;=$C49,T$5&lt;=$D49,$A49&lt;&gt;""),"●","")</x:f>
      </x:c>
      <x:c r="U49" s="165" t="str">
        <x:f>IF(AND(U$5&gt;=$C49,U$5&lt;=$D49,$A49&lt;&gt;""),"●","")</x:f>
      </x:c>
      <x:c r="V49" s="165" t="str">
        <x:f>IF(AND(V$5&gt;=$C49,V$5&lt;=$D49,$A49&lt;&gt;""),"●","")</x:f>
      </x:c>
      <x:c r="W49" s="165" t="str">
        <x:f>IF(AND(W$5&gt;=$C49,W$5&lt;=$D49,$A49&lt;&gt;""),"●","")</x:f>
      </x:c>
      <x:c r="X49" s="165" t="str">
        <x:f>IF(AND(X$5&gt;=$C49,X$5&lt;=$D49,$A49&lt;&gt;""),"●","")</x:f>
      </x:c>
      <x:c r="Y49" s="165" t="str">
        <x:f>IF(AND(Y$5&gt;=$C49,Y$5&lt;=$D49,$A49&lt;&gt;""),"●","")</x:f>
      </x:c>
      <x:c r="Z49" s="165" t="str">
        <x:f>IF(AND(Z$5&gt;=$C49,Z$5&lt;=$D49,$A49&lt;&gt;""),"●","")</x:f>
      </x:c>
      <x:c r="AA49" s="165" t="str">
        <x:f>IF(AND(AA$5&gt;=$C49,AA$5&lt;=$D49,$A49&lt;&gt;""),"●","")</x:f>
      </x:c>
      <x:c r="AB49" s="165" t="str">
        <x:f>IF(AND(AB$5&gt;=$C49,AB$5&lt;=$D49,$A49&lt;&gt;""),"●","")</x:f>
      </x:c>
      <x:c r="AC49" s="165" t="str">
        <x:f>IF(AND(AC$5&gt;=$C49,AC$5&lt;=$D49,$A49&lt;&gt;""),"●","")</x:f>
      </x:c>
      <x:c r="AD49" s="165" t="str">
        <x:f>IF(AND(AD$5&gt;=$C49,AD$5&lt;=$D49,$A49&lt;&gt;""),"●","")</x:f>
      </x:c>
      <x:c r="AE49" s="165" t="str">
        <x:f>IF(AND(AE$5&gt;=$C49,AE$5&lt;=$D49,$A49&lt;&gt;""),"●","")</x:f>
      </x:c>
      <x:c r="AF49" s="165" t="str">
        <x:f>IF(AND(AF$5&gt;=$C49,AF$5&lt;=$D49,$A49&lt;&gt;""),"●","")</x:f>
      </x:c>
      <x:c r="AG49" s="165" t="str">
        <x:f>IF(AND(AG$5&gt;=$C49,AG$5&lt;=$D49,$A49&lt;&gt;""),"●","")</x:f>
      </x:c>
      <x:c r="AH49" s="165" t="str">
        <x:f>IF(AND(AH$5&gt;=$C49,AH$5&lt;=$D49,$A49&lt;&gt;""),"●","")</x:f>
      </x:c>
      <x:c r="AI49" s="165" t="str">
        <x:f>IF(AND(AI$5&gt;=$C49,AI$5&lt;=$D49,$A49&lt;&gt;""),"●","")</x:f>
      </x:c>
      <x:c r="AJ49" s="165" t="str">
        <x:f>IF(AND(AJ$5&gt;=$C49,AJ$5&lt;=$D49,$A49&lt;&gt;""),"●","")</x:f>
      </x:c>
      <x:c r="AK49" s="165" t="str">
        <x:f>IF(AND(AK$5&gt;=$C49,AK$5&lt;=$D49,$A49&lt;&gt;""),"●","")</x:f>
      </x:c>
      <x:c r="AL49" s="165" t="str">
        <x:f>IF(AND(AL$5&gt;=$C49,AL$5&lt;=$D49,$A49&lt;&gt;""),"●","")</x:f>
      </x:c>
      <x:c r="AM49" s="165" t="str">
        <x:f>IF(AND(AM$5&gt;=$C49,AM$5&lt;=$D49,$A49&lt;&gt;""),"●","")</x:f>
      </x:c>
      <x:c r="AN49" s="165" t="str">
        <x:f>IF(AND(AN$5&gt;=$C49,AN$5&lt;=$D49,$A49&lt;&gt;""),"●","")</x:f>
      </x:c>
      <x:c r="AO49" s="165" t="str">
        <x:f>IF(AND(AO$5&gt;=$C49,AO$5&lt;=$D49,$A49&lt;&gt;""),"●","")</x:f>
      </x:c>
      <x:c r="AP49" s="165" t="str">
        <x:f>IF(AND(AP$5&gt;=$C49,AP$5&lt;=$D49,$A49&lt;&gt;""),"●","")</x:f>
      </x:c>
      <x:c r="AQ49" s="165" t="str">
        <x:f>IF(AND(AQ$5&gt;=$C49,AQ$5&lt;=$D49,$A49&lt;&gt;""),"●","")</x:f>
      </x:c>
      <x:c r="AR49" s="165" t="str">
        <x:f>IF(AND(AR$5&gt;=$C49,AR$5&lt;=$D49,$A49&lt;&gt;""),"●","")</x:f>
      </x:c>
      <x:c r="AS49" s="165" t="str">
        <x:f>IF(AND(AS$5&gt;=$C49,AS$5&lt;=$D49,$A49&lt;&gt;""),"●","")</x:f>
      </x:c>
      <x:c r="AT49" s="165" t="str">
        <x:f>IF(AND(AT$5&gt;=$C49,AT$5&lt;=$D49,$A49&lt;&gt;""),"●","")</x:f>
      </x:c>
      <x:c r="AU49" s="165" t="str">
        <x:f>IF(AND(AU$5&gt;=$C49,AU$5&lt;=$D49,$A49&lt;&gt;""),"●","")</x:f>
      </x:c>
      <x:c r="AV49" s="165" t="str">
        <x:f>IF(AND(AV$5&gt;=$C49,AV$5&lt;=$D49,$A49&lt;&gt;""),"●","")</x:f>
      </x:c>
      <x:c r="AW49" s="165" t="str">
        <x:f>IF(AND(AW$5&gt;=$C49,AW$5&lt;=$D49,$A49&lt;&gt;""),"●","")</x:f>
      </x:c>
      <x:c r="AX49" s="165" t="str">
        <x:f>IF(AND(AX$5&gt;=$C49,AX$5&lt;=$D49,$A49&lt;&gt;""),"●","")</x:f>
      </x:c>
      <x:c r="AY49" s="165" t="str">
        <x:f>IF(AND(AY$5&gt;=$C49,AY$5&lt;=$D49,$A49&lt;&gt;""),"●","")</x:f>
      </x:c>
      <x:c r="AZ49" s="165" t="str">
        <x:f>IF(AND(AZ$5&gt;=$C49,AZ$5&lt;=$D49,$A49&lt;&gt;""),"●","")</x:f>
      </x:c>
      <x:c r="BA49" s="165" t="str">
        <x:f>IF(AND(BA$5&gt;=$C49,BA$5&lt;=$D49,$A49&lt;&gt;""),"●","")</x:f>
      </x:c>
      <x:c r="BB49" s="165" t="str">
        <x:f>IF(AND(BB$5&gt;=$C49,BB$5&lt;=$D49,$A49&lt;&gt;""),"●","")</x:f>
      </x:c>
      <x:c r="BC49" s="165" t="str">
        <x:f>IF(AND(BC$5&gt;=$C49,BC$5&lt;=$D49,$A49&lt;&gt;""),"●","")</x:f>
      </x:c>
      <x:c r="BD49" s="165" t="str">
        <x:f>IF(AND(BD$5&gt;=$C49,BD$5&lt;=$D49,$A49&lt;&gt;""),"●","")</x:f>
      </x:c>
      <x:c r="BE49" s="165" t="str">
        <x:f>IF(AND(BE$5&gt;=$C49,BE$5&lt;=$D49,$A49&lt;&gt;""),"●","")</x:f>
      </x:c>
      <x:c r="BF49" s="165" t="str">
        <x:f>IF(AND(BF$5&gt;=$C49,BF$5&lt;=$D49,$A49&lt;&gt;""),"●","")</x:f>
      </x:c>
      <x:c r="BG49" s="165" t="str">
        <x:f>IF(AND(BG$5&gt;=$C49,BG$5&lt;=$D49,$A49&lt;&gt;""),"●","")</x:f>
      </x:c>
      <x:c r="BH49" s="165" t="str">
        <x:f>IF(AND(BH$5&gt;=$C49,BH$5&lt;=$D49,$A49&lt;&gt;""),"●","")</x:f>
      </x:c>
      <x:c r="BI49" s="165" t="str">
        <x:f>IF(AND(BI$5&gt;=$C49,BI$5&lt;=$D49,$A49&lt;&gt;""),"●","")</x:f>
      </x:c>
      <x:c r="BJ49" s="165" t="str">
        <x:f>IF(AND(BJ$5&gt;=$C49,BJ$5&lt;=$D49,$A49&lt;&gt;""),"●","")</x:f>
      </x:c>
      <x:c r="BK49" s="165" t="str">
        <x:f>IF(AND(BK$5&gt;=$C49,BK$5&lt;=$D49,$A49&lt;&gt;""),"●","")</x:f>
      </x:c>
      <x:c r="BL49" s="165" t="str">
        <x:f>IF(AND(BL$5&gt;=$C49,BL$5&lt;=$D49,$A49&lt;&gt;""),"●","")</x:f>
      </x:c>
      <x:c r="BM49" s="165" t="str">
        <x:f>IF(AND(BM$5&gt;=$C49,BM$5&lt;=$D49,$A49&lt;&gt;""),"●","")</x:f>
      </x:c>
      <x:c r="BN49" s="165" t="str">
        <x:f>IF(AND(BN$5&gt;=$C49,BN$5&lt;=$D49,$A49&lt;&gt;""),"●","")</x:f>
      </x:c>
      <x:c r="BO49" s="165" t="str">
        <x:f>IF(AND(BO$5&gt;=$C49,BO$5&lt;=$D49,$A49&lt;&gt;""),"●","")</x:f>
      </x:c>
      <x:c r="BP49" s="165" t="str">
        <x:f>IF(AND(BP$5&gt;=$C49,BP$5&lt;=$D49,$A49&lt;&gt;""),"●","")</x:f>
      </x:c>
      <x:c r="BQ49" s="165" t="str">
        <x:f>IF(AND(BQ$5&gt;=$C49,BQ$5&lt;=$D49,$A49&lt;&gt;""),"●","")</x:f>
      </x:c>
      <x:c r="BR49" s="165" t="str">
        <x:f>IF(AND(BR$5&gt;=$C49,BR$5&lt;=$D49,$A49&lt;&gt;""),"●","")</x:f>
      </x:c>
      <x:c r="BS49" s="165" t="str">
        <x:f>IF(AND(BS$5&gt;=$C49,BS$5&lt;=$D49,$A49&lt;&gt;""),"●","")</x:f>
      </x:c>
      <x:c r="BT49" s="165" t="str">
        <x:f>IF(AND(BT$5&gt;=$C49,BT$5&lt;=$D49,$A49&lt;&gt;""),"●","")</x:f>
      </x:c>
      <x:c r="BU49" s="165" t="str">
        <x:f>IF(AND(BU$5&gt;=$C49,BU$5&lt;=$D49,$A49&lt;&gt;""),"●","")</x:f>
      </x:c>
      <x:c r="BV49" s="165" t="str">
        <x:f>IF(AND(BV$5&gt;=$C49,BV$5&lt;=$D49,$A49&lt;&gt;""),"●","")</x:f>
      </x:c>
      <x:c r="BW49" s="165" t="str">
        <x:f>IF(AND(BW$5&gt;=$C49,BW$5&lt;=$D49,$A49&lt;&gt;""),"●","")</x:f>
      </x:c>
    </x:row>
    <x:row r="50">
      <x:c r="A50" s="159" t="str">
        <x:f>IF('รายการสัญญา'!A50="","",'รายการสัญญา'!A50)</x:f>
      </x:c>
      <x:c r="B50" s="159" t="str">
        <x:f>IF('รายการสัญญา'!A50="","",'รายการสัญญา'!C50)</x:f>
      </x:c>
      <x:c r="C50" s="162" t="str">
        <x:f>IF('รายการสัญญา'!A50="","",'รายการสัญญา'!E50)</x:f>
      </x:c>
      <x:c r="D50" s="162" t="str">
        <x:f>IF('รายการสัญญา'!A50="","",'รายการสัญญา'!G50)</x:f>
      </x:c>
      <x:c r="E50" s="159" t="str">
        <x:f>IF('รายการสัญญา'!A50="","",'รายการสัญญา'!K50)</x:f>
      </x:c>
      <x:c r="F50" s="165" t="str">
        <x:f>IF(AND(F$5&gt;=$C50,F$5&lt;=$D50,$A50&lt;&gt;""),"●","")</x:f>
      </x:c>
      <x:c r="G50" s="165" t="str">
        <x:f>IF(AND(G$5&gt;=$C50,G$5&lt;=$D50,$A50&lt;&gt;""),"●","")</x:f>
      </x:c>
      <x:c r="H50" s="165" t="str">
        <x:f>IF(AND(H$5&gt;=$C50,H$5&lt;=$D50,$A50&lt;&gt;""),"●","")</x:f>
      </x:c>
      <x:c r="I50" s="165" t="str">
        <x:f>IF(AND(I$5&gt;=$C50,I$5&lt;=$D50,$A50&lt;&gt;""),"●","")</x:f>
      </x:c>
      <x:c r="J50" s="165" t="str">
        <x:f>IF(AND(J$5&gt;=$C50,J$5&lt;=$D50,$A50&lt;&gt;""),"●","")</x:f>
      </x:c>
      <x:c r="K50" s="165" t="str">
        <x:f>IF(AND(K$5&gt;=$C50,K$5&lt;=$D50,$A50&lt;&gt;""),"●","")</x:f>
      </x:c>
      <x:c r="L50" s="165" t="str">
        <x:f>IF(AND(L$5&gt;=$C50,L$5&lt;=$D50,$A50&lt;&gt;""),"●","")</x:f>
      </x:c>
      <x:c r="M50" s="165" t="str">
        <x:f>IF(AND(M$5&gt;=$C50,M$5&lt;=$D50,$A50&lt;&gt;""),"●","")</x:f>
      </x:c>
      <x:c r="N50" s="165" t="str">
        <x:f>IF(AND(N$5&gt;=$C50,N$5&lt;=$D50,$A50&lt;&gt;""),"●","")</x:f>
      </x:c>
      <x:c r="O50" s="165" t="str">
        <x:f>IF(AND(O$5&gt;=$C50,O$5&lt;=$D50,$A50&lt;&gt;""),"●","")</x:f>
      </x:c>
      <x:c r="P50" s="165" t="str">
        <x:f>IF(AND(P$5&gt;=$C50,P$5&lt;=$D50,$A50&lt;&gt;""),"●","")</x:f>
      </x:c>
      <x:c r="Q50" s="165" t="str">
        <x:f>IF(AND(Q$5&gt;=$C50,Q$5&lt;=$D50,$A50&lt;&gt;""),"●","")</x:f>
      </x:c>
      <x:c r="R50" s="165" t="str">
        <x:f>IF(AND(R$5&gt;=$C50,R$5&lt;=$D50,$A50&lt;&gt;""),"●","")</x:f>
      </x:c>
      <x:c r="S50" s="165" t="str">
        <x:f>IF(AND(S$5&gt;=$C50,S$5&lt;=$D50,$A50&lt;&gt;""),"●","")</x:f>
      </x:c>
      <x:c r="T50" s="165" t="str">
        <x:f>IF(AND(T$5&gt;=$C50,T$5&lt;=$D50,$A50&lt;&gt;""),"●","")</x:f>
      </x:c>
      <x:c r="U50" s="165" t="str">
        <x:f>IF(AND(U$5&gt;=$C50,U$5&lt;=$D50,$A50&lt;&gt;""),"●","")</x:f>
      </x:c>
      <x:c r="V50" s="165" t="str">
        <x:f>IF(AND(V$5&gt;=$C50,V$5&lt;=$D50,$A50&lt;&gt;""),"●","")</x:f>
      </x:c>
      <x:c r="W50" s="165" t="str">
        <x:f>IF(AND(W$5&gt;=$C50,W$5&lt;=$D50,$A50&lt;&gt;""),"●","")</x:f>
      </x:c>
      <x:c r="X50" s="165" t="str">
        <x:f>IF(AND(X$5&gt;=$C50,X$5&lt;=$D50,$A50&lt;&gt;""),"●","")</x:f>
      </x:c>
      <x:c r="Y50" s="165" t="str">
        <x:f>IF(AND(Y$5&gt;=$C50,Y$5&lt;=$D50,$A50&lt;&gt;""),"●","")</x:f>
      </x:c>
      <x:c r="Z50" s="165" t="str">
        <x:f>IF(AND(Z$5&gt;=$C50,Z$5&lt;=$D50,$A50&lt;&gt;""),"●","")</x:f>
      </x:c>
      <x:c r="AA50" s="165" t="str">
        <x:f>IF(AND(AA$5&gt;=$C50,AA$5&lt;=$D50,$A50&lt;&gt;""),"●","")</x:f>
      </x:c>
      <x:c r="AB50" s="165" t="str">
        <x:f>IF(AND(AB$5&gt;=$C50,AB$5&lt;=$D50,$A50&lt;&gt;""),"●","")</x:f>
      </x:c>
      <x:c r="AC50" s="165" t="str">
        <x:f>IF(AND(AC$5&gt;=$C50,AC$5&lt;=$D50,$A50&lt;&gt;""),"●","")</x:f>
      </x:c>
      <x:c r="AD50" s="165" t="str">
        <x:f>IF(AND(AD$5&gt;=$C50,AD$5&lt;=$D50,$A50&lt;&gt;""),"●","")</x:f>
      </x:c>
      <x:c r="AE50" s="165" t="str">
        <x:f>IF(AND(AE$5&gt;=$C50,AE$5&lt;=$D50,$A50&lt;&gt;""),"●","")</x:f>
      </x:c>
      <x:c r="AF50" s="165" t="str">
        <x:f>IF(AND(AF$5&gt;=$C50,AF$5&lt;=$D50,$A50&lt;&gt;""),"●","")</x:f>
      </x:c>
      <x:c r="AG50" s="165" t="str">
        <x:f>IF(AND(AG$5&gt;=$C50,AG$5&lt;=$D50,$A50&lt;&gt;""),"●","")</x:f>
      </x:c>
      <x:c r="AH50" s="165" t="str">
        <x:f>IF(AND(AH$5&gt;=$C50,AH$5&lt;=$D50,$A50&lt;&gt;""),"●","")</x:f>
      </x:c>
      <x:c r="AI50" s="165" t="str">
        <x:f>IF(AND(AI$5&gt;=$C50,AI$5&lt;=$D50,$A50&lt;&gt;""),"●","")</x:f>
      </x:c>
      <x:c r="AJ50" s="165" t="str">
        <x:f>IF(AND(AJ$5&gt;=$C50,AJ$5&lt;=$D50,$A50&lt;&gt;""),"●","")</x:f>
      </x:c>
      <x:c r="AK50" s="165" t="str">
        <x:f>IF(AND(AK$5&gt;=$C50,AK$5&lt;=$D50,$A50&lt;&gt;""),"●","")</x:f>
      </x:c>
      <x:c r="AL50" s="165" t="str">
        <x:f>IF(AND(AL$5&gt;=$C50,AL$5&lt;=$D50,$A50&lt;&gt;""),"●","")</x:f>
      </x:c>
      <x:c r="AM50" s="165" t="str">
        <x:f>IF(AND(AM$5&gt;=$C50,AM$5&lt;=$D50,$A50&lt;&gt;""),"●","")</x:f>
      </x:c>
      <x:c r="AN50" s="165" t="str">
        <x:f>IF(AND(AN$5&gt;=$C50,AN$5&lt;=$D50,$A50&lt;&gt;""),"●","")</x:f>
      </x:c>
      <x:c r="AO50" s="165" t="str">
        <x:f>IF(AND(AO$5&gt;=$C50,AO$5&lt;=$D50,$A50&lt;&gt;""),"●","")</x:f>
      </x:c>
      <x:c r="AP50" s="165" t="str">
        <x:f>IF(AND(AP$5&gt;=$C50,AP$5&lt;=$D50,$A50&lt;&gt;""),"●","")</x:f>
      </x:c>
      <x:c r="AQ50" s="165" t="str">
        <x:f>IF(AND(AQ$5&gt;=$C50,AQ$5&lt;=$D50,$A50&lt;&gt;""),"●","")</x:f>
      </x:c>
      <x:c r="AR50" s="165" t="str">
        <x:f>IF(AND(AR$5&gt;=$C50,AR$5&lt;=$D50,$A50&lt;&gt;""),"●","")</x:f>
      </x:c>
      <x:c r="AS50" s="165" t="str">
        <x:f>IF(AND(AS$5&gt;=$C50,AS$5&lt;=$D50,$A50&lt;&gt;""),"●","")</x:f>
      </x:c>
      <x:c r="AT50" s="165" t="str">
        <x:f>IF(AND(AT$5&gt;=$C50,AT$5&lt;=$D50,$A50&lt;&gt;""),"●","")</x:f>
      </x:c>
      <x:c r="AU50" s="165" t="str">
        <x:f>IF(AND(AU$5&gt;=$C50,AU$5&lt;=$D50,$A50&lt;&gt;""),"●","")</x:f>
      </x:c>
      <x:c r="AV50" s="165" t="str">
        <x:f>IF(AND(AV$5&gt;=$C50,AV$5&lt;=$D50,$A50&lt;&gt;""),"●","")</x:f>
      </x:c>
      <x:c r="AW50" s="165" t="str">
        <x:f>IF(AND(AW$5&gt;=$C50,AW$5&lt;=$D50,$A50&lt;&gt;""),"●","")</x:f>
      </x:c>
      <x:c r="AX50" s="165" t="str">
        <x:f>IF(AND(AX$5&gt;=$C50,AX$5&lt;=$D50,$A50&lt;&gt;""),"●","")</x:f>
      </x:c>
      <x:c r="AY50" s="165" t="str">
        <x:f>IF(AND(AY$5&gt;=$C50,AY$5&lt;=$D50,$A50&lt;&gt;""),"●","")</x:f>
      </x:c>
      <x:c r="AZ50" s="165" t="str">
        <x:f>IF(AND(AZ$5&gt;=$C50,AZ$5&lt;=$D50,$A50&lt;&gt;""),"●","")</x:f>
      </x:c>
      <x:c r="BA50" s="165" t="str">
        <x:f>IF(AND(BA$5&gt;=$C50,BA$5&lt;=$D50,$A50&lt;&gt;""),"●","")</x:f>
      </x:c>
      <x:c r="BB50" s="165" t="str">
        <x:f>IF(AND(BB$5&gt;=$C50,BB$5&lt;=$D50,$A50&lt;&gt;""),"●","")</x:f>
      </x:c>
      <x:c r="BC50" s="165" t="str">
        <x:f>IF(AND(BC$5&gt;=$C50,BC$5&lt;=$D50,$A50&lt;&gt;""),"●","")</x:f>
      </x:c>
      <x:c r="BD50" s="165" t="str">
        <x:f>IF(AND(BD$5&gt;=$C50,BD$5&lt;=$D50,$A50&lt;&gt;""),"●","")</x:f>
      </x:c>
      <x:c r="BE50" s="165" t="str">
        <x:f>IF(AND(BE$5&gt;=$C50,BE$5&lt;=$D50,$A50&lt;&gt;""),"●","")</x:f>
      </x:c>
      <x:c r="BF50" s="165" t="str">
        <x:f>IF(AND(BF$5&gt;=$C50,BF$5&lt;=$D50,$A50&lt;&gt;""),"●","")</x:f>
      </x:c>
      <x:c r="BG50" s="165" t="str">
        <x:f>IF(AND(BG$5&gt;=$C50,BG$5&lt;=$D50,$A50&lt;&gt;""),"●","")</x:f>
      </x:c>
      <x:c r="BH50" s="165" t="str">
        <x:f>IF(AND(BH$5&gt;=$C50,BH$5&lt;=$D50,$A50&lt;&gt;""),"●","")</x:f>
      </x:c>
      <x:c r="BI50" s="165" t="str">
        <x:f>IF(AND(BI$5&gt;=$C50,BI$5&lt;=$D50,$A50&lt;&gt;""),"●","")</x:f>
      </x:c>
      <x:c r="BJ50" s="165" t="str">
        <x:f>IF(AND(BJ$5&gt;=$C50,BJ$5&lt;=$D50,$A50&lt;&gt;""),"●","")</x:f>
      </x:c>
      <x:c r="BK50" s="165" t="str">
        <x:f>IF(AND(BK$5&gt;=$C50,BK$5&lt;=$D50,$A50&lt;&gt;""),"●","")</x:f>
      </x:c>
      <x:c r="BL50" s="165" t="str">
        <x:f>IF(AND(BL$5&gt;=$C50,BL$5&lt;=$D50,$A50&lt;&gt;""),"●","")</x:f>
      </x:c>
      <x:c r="BM50" s="165" t="str">
        <x:f>IF(AND(BM$5&gt;=$C50,BM$5&lt;=$D50,$A50&lt;&gt;""),"●","")</x:f>
      </x:c>
      <x:c r="BN50" s="165" t="str">
        <x:f>IF(AND(BN$5&gt;=$C50,BN$5&lt;=$D50,$A50&lt;&gt;""),"●","")</x:f>
      </x:c>
      <x:c r="BO50" s="165" t="str">
        <x:f>IF(AND(BO$5&gt;=$C50,BO$5&lt;=$D50,$A50&lt;&gt;""),"●","")</x:f>
      </x:c>
      <x:c r="BP50" s="165" t="str">
        <x:f>IF(AND(BP$5&gt;=$C50,BP$5&lt;=$D50,$A50&lt;&gt;""),"●","")</x:f>
      </x:c>
      <x:c r="BQ50" s="165" t="str">
        <x:f>IF(AND(BQ$5&gt;=$C50,BQ$5&lt;=$D50,$A50&lt;&gt;""),"●","")</x:f>
      </x:c>
      <x:c r="BR50" s="165" t="str">
        <x:f>IF(AND(BR$5&gt;=$C50,BR$5&lt;=$D50,$A50&lt;&gt;""),"●","")</x:f>
      </x:c>
      <x:c r="BS50" s="165" t="str">
        <x:f>IF(AND(BS$5&gt;=$C50,BS$5&lt;=$D50,$A50&lt;&gt;""),"●","")</x:f>
      </x:c>
      <x:c r="BT50" s="165" t="str">
        <x:f>IF(AND(BT$5&gt;=$C50,BT$5&lt;=$D50,$A50&lt;&gt;""),"●","")</x:f>
      </x:c>
      <x:c r="BU50" s="165" t="str">
        <x:f>IF(AND(BU$5&gt;=$C50,BU$5&lt;=$D50,$A50&lt;&gt;""),"●","")</x:f>
      </x:c>
      <x:c r="BV50" s="165" t="str">
        <x:f>IF(AND(BV$5&gt;=$C50,BV$5&lt;=$D50,$A50&lt;&gt;""),"●","")</x:f>
      </x:c>
      <x:c r="BW50" s="165" t="str">
        <x:f>IF(AND(BW$5&gt;=$C50,BW$5&lt;=$D50,$A50&lt;&gt;""),"●","")</x:f>
      </x:c>
    </x:row>
    <x:row r="51">
      <x:c r="A51" s="159" t="str">
        <x:f>IF('รายการสัญญา'!A51="","",'รายการสัญญา'!A51)</x:f>
      </x:c>
      <x:c r="B51" s="159" t="str">
        <x:f>IF('รายการสัญญา'!A51="","",'รายการสัญญา'!C51)</x:f>
      </x:c>
      <x:c r="C51" s="162" t="str">
        <x:f>IF('รายการสัญญา'!A51="","",'รายการสัญญา'!E51)</x:f>
      </x:c>
      <x:c r="D51" s="162" t="str">
        <x:f>IF('รายการสัญญา'!A51="","",'รายการสัญญา'!G51)</x:f>
      </x:c>
      <x:c r="E51" s="159" t="str">
        <x:f>IF('รายการสัญญา'!A51="","",'รายการสัญญา'!K51)</x:f>
      </x:c>
      <x:c r="F51" s="165" t="str">
        <x:f>IF(AND(F$5&gt;=$C51,F$5&lt;=$D51,$A51&lt;&gt;""),"●","")</x:f>
      </x:c>
      <x:c r="G51" s="165" t="str">
        <x:f>IF(AND(G$5&gt;=$C51,G$5&lt;=$D51,$A51&lt;&gt;""),"●","")</x:f>
      </x:c>
      <x:c r="H51" s="165" t="str">
        <x:f>IF(AND(H$5&gt;=$C51,H$5&lt;=$D51,$A51&lt;&gt;""),"●","")</x:f>
      </x:c>
      <x:c r="I51" s="165" t="str">
        <x:f>IF(AND(I$5&gt;=$C51,I$5&lt;=$D51,$A51&lt;&gt;""),"●","")</x:f>
      </x:c>
      <x:c r="J51" s="165" t="str">
        <x:f>IF(AND(J$5&gt;=$C51,J$5&lt;=$D51,$A51&lt;&gt;""),"●","")</x:f>
      </x:c>
      <x:c r="K51" s="165" t="str">
        <x:f>IF(AND(K$5&gt;=$C51,K$5&lt;=$D51,$A51&lt;&gt;""),"●","")</x:f>
      </x:c>
      <x:c r="L51" s="165" t="str">
        <x:f>IF(AND(L$5&gt;=$C51,L$5&lt;=$D51,$A51&lt;&gt;""),"●","")</x:f>
      </x:c>
      <x:c r="M51" s="165" t="str">
        <x:f>IF(AND(M$5&gt;=$C51,M$5&lt;=$D51,$A51&lt;&gt;""),"●","")</x:f>
      </x:c>
      <x:c r="N51" s="165" t="str">
        <x:f>IF(AND(N$5&gt;=$C51,N$5&lt;=$D51,$A51&lt;&gt;""),"●","")</x:f>
      </x:c>
      <x:c r="O51" s="165" t="str">
        <x:f>IF(AND(O$5&gt;=$C51,O$5&lt;=$D51,$A51&lt;&gt;""),"●","")</x:f>
      </x:c>
      <x:c r="P51" s="165" t="str">
        <x:f>IF(AND(P$5&gt;=$C51,P$5&lt;=$D51,$A51&lt;&gt;""),"●","")</x:f>
      </x:c>
      <x:c r="Q51" s="165" t="str">
        <x:f>IF(AND(Q$5&gt;=$C51,Q$5&lt;=$D51,$A51&lt;&gt;""),"●","")</x:f>
      </x:c>
      <x:c r="R51" s="165" t="str">
        <x:f>IF(AND(R$5&gt;=$C51,R$5&lt;=$D51,$A51&lt;&gt;""),"●","")</x:f>
      </x:c>
      <x:c r="S51" s="165" t="str">
        <x:f>IF(AND(S$5&gt;=$C51,S$5&lt;=$D51,$A51&lt;&gt;""),"●","")</x:f>
      </x:c>
      <x:c r="T51" s="165" t="str">
        <x:f>IF(AND(T$5&gt;=$C51,T$5&lt;=$D51,$A51&lt;&gt;""),"●","")</x:f>
      </x:c>
      <x:c r="U51" s="165" t="str">
        <x:f>IF(AND(U$5&gt;=$C51,U$5&lt;=$D51,$A51&lt;&gt;""),"●","")</x:f>
      </x:c>
      <x:c r="V51" s="165" t="str">
        <x:f>IF(AND(V$5&gt;=$C51,V$5&lt;=$D51,$A51&lt;&gt;""),"●","")</x:f>
      </x:c>
      <x:c r="W51" s="165" t="str">
        <x:f>IF(AND(W$5&gt;=$C51,W$5&lt;=$D51,$A51&lt;&gt;""),"●","")</x:f>
      </x:c>
      <x:c r="X51" s="165" t="str">
        <x:f>IF(AND(X$5&gt;=$C51,X$5&lt;=$D51,$A51&lt;&gt;""),"●","")</x:f>
      </x:c>
      <x:c r="Y51" s="165" t="str">
        <x:f>IF(AND(Y$5&gt;=$C51,Y$5&lt;=$D51,$A51&lt;&gt;""),"●","")</x:f>
      </x:c>
      <x:c r="Z51" s="165" t="str">
        <x:f>IF(AND(Z$5&gt;=$C51,Z$5&lt;=$D51,$A51&lt;&gt;""),"●","")</x:f>
      </x:c>
      <x:c r="AA51" s="165" t="str">
        <x:f>IF(AND(AA$5&gt;=$C51,AA$5&lt;=$D51,$A51&lt;&gt;""),"●","")</x:f>
      </x:c>
      <x:c r="AB51" s="165" t="str">
        <x:f>IF(AND(AB$5&gt;=$C51,AB$5&lt;=$D51,$A51&lt;&gt;""),"●","")</x:f>
      </x:c>
      <x:c r="AC51" s="165" t="str">
        <x:f>IF(AND(AC$5&gt;=$C51,AC$5&lt;=$D51,$A51&lt;&gt;""),"●","")</x:f>
      </x:c>
      <x:c r="AD51" s="165" t="str">
        <x:f>IF(AND(AD$5&gt;=$C51,AD$5&lt;=$D51,$A51&lt;&gt;""),"●","")</x:f>
      </x:c>
      <x:c r="AE51" s="165" t="str">
        <x:f>IF(AND(AE$5&gt;=$C51,AE$5&lt;=$D51,$A51&lt;&gt;""),"●","")</x:f>
      </x:c>
      <x:c r="AF51" s="165" t="str">
        <x:f>IF(AND(AF$5&gt;=$C51,AF$5&lt;=$D51,$A51&lt;&gt;""),"●","")</x:f>
      </x:c>
      <x:c r="AG51" s="165" t="str">
        <x:f>IF(AND(AG$5&gt;=$C51,AG$5&lt;=$D51,$A51&lt;&gt;""),"●","")</x:f>
      </x:c>
      <x:c r="AH51" s="165" t="str">
        <x:f>IF(AND(AH$5&gt;=$C51,AH$5&lt;=$D51,$A51&lt;&gt;""),"●","")</x:f>
      </x:c>
      <x:c r="AI51" s="165" t="str">
        <x:f>IF(AND(AI$5&gt;=$C51,AI$5&lt;=$D51,$A51&lt;&gt;""),"●","")</x:f>
      </x:c>
      <x:c r="AJ51" s="165" t="str">
        <x:f>IF(AND(AJ$5&gt;=$C51,AJ$5&lt;=$D51,$A51&lt;&gt;""),"●","")</x:f>
      </x:c>
      <x:c r="AK51" s="165" t="str">
        <x:f>IF(AND(AK$5&gt;=$C51,AK$5&lt;=$D51,$A51&lt;&gt;""),"●","")</x:f>
      </x:c>
      <x:c r="AL51" s="165" t="str">
        <x:f>IF(AND(AL$5&gt;=$C51,AL$5&lt;=$D51,$A51&lt;&gt;""),"●","")</x:f>
      </x:c>
      <x:c r="AM51" s="165" t="str">
        <x:f>IF(AND(AM$5&gt;=$C51,AM$5&lt;=$D51,$A51&lt;&gt;""),"●","")</x:f>
      </x:c>
      <x:c r="AN51" s="165" t="str">
        <x:f>IF(AND(AN$5&gt;=$C51,AN$5&lt;=$D51,$A51&lt;&gt;""),"●","")</x:f>
      </x:c>
      <x:c r="AO51" s="165" t="str">
        <x:f>IF(AND(AO$5&gt;=$C51,AO$5&lt;=$D51,$A51&lt;&gt;""),"●","")</x:f>
      </x:c>
      <x:c r="AP51" s="165" t="str">
        <x:f>IF(AND(AP$5&gt;=$C51,AP$5&lt;=$D51,$A51&lt;&gt;""),"●","")</x:f>
      </x:c>
      <x:c r="AQ51" s="165" t="str">
        <x:f>IF(AND(AQ$5&gt;=$C51,AQ$5&lt;=$D51,$A51&lt;&gt;""),"●","")</x:f>
      </x:c>
      <x:c r="AR51" s="165" t="str">
        <x:f>IF(AND(AR$5&gt;=$C51,AR$5&lt;=$D51,$A51&lt;&gt;""),"●","")</x:f>
      </x:c>
      <x:c r="AS51" s="165" t="str">
        <x:f>IF(AND(AS$5&gt;=$C51,AS$5&lt;=$D51,$A51&lt;&gt;""),"●","")</x:f>
      </x:c>
      <x:c r="AT51" s="165" t="str">
        <x:f>IF(AND(AT$5&gt;=$C51,AT$5&lt;=$D51,$A51&lt;&gt;""),"●","")</x:f>
      </x:c>
      <x:c r="AU51" s="165" t="str">
        <x:f>IF(AND(AU$5&gt;=$C51,AU$5&lt;=$D51,$A51&lt;&gt;""),"●","")</x:f>
      </x:c>
      <x:c r="AV51" s="165" t="str">
        <x:f>IF(AND(AV$5&gt;=$C51,AV$5&lt;=$D51,$A51&lt;&gt;""),"●","")</x:f>
      </x:c>
      <x:c r="AW51" s="165" t="str">
        <x:f>IF(AND(AW$5&gt;=$C51,AW$5&lt;=$D51,$A51&lt;&gt;""),"●","")</x:f>
      </x:c>
      <x:c r="AX51" s="165" t="str">
        <x:f>IF(AND(AX$5&gt;=$C51,AX$5&lt;=$D51,$A51&lt;&gt;""),"●","")</x:f>
      </x:c>
      <x:c r="AY51" s="165" t="str">
        <x:f>IF(AND(AY$5&gt;=$C51,AY$5&lt;=$D51,$A51&lt;&gt;""),"●","")</x:f>
      </x:c>
      <x:c r="AZ51" s="165" t="str">
        <x:f>IF(AND(AZ$5&gt;=$C51,AZ$5&lt;=$D51,$A51&lt;&gt;""),"●","")</x:f>
      </x:c>
      <x:c r="BA51" s="165" t="str">
        <x:f>IF(AND(BA$5&gt;=$C51,BA$5&lt;=$D51,$A51&lt;&gt;""),"●","")</x:f>
      </x:c>
      <x:c r="BB51" s="165" t="str">
        <x:f>IF(AND(BB$5&gt;=$C51,BB$5&lt;=$D51,$A51&lt;&gt;""),"●","")</x:f>
      </x:c>
      <x:c r="BC51" s="165" t="str">
        <x:f>IF(AND(BC$5&gt;=$C51,BC$5&lt;=$D51,$A51&lt;&gt;""),"●","")</x:f>
      </x:c>
      <x:c r="BD51" s="165" t="str">
        <x:f>IF(AND(BD$5&gt;=$C51,BD$5&lt;=$D51,$A51&lt;&gt;""),"●","")</x:f>
      </x:c>
      <x:c r="BE51" s="165" t="str">
        <x:f>IF(AND(BE$5&gt;=$C51,BE$5&lt;=$D51,$A51&lt;&gt;""),"●","")</x:f>
      </x:c>
      <x:c r="BF51" s="165" t="str">
        <x:f>IF(AND(BF$5&gt;=$C51,BF$5&lt;=$D51,$A51&lt;&gt;""),"●","")</x:f>
      </x:c>
      <x:c r="BG51" s="165" t="str">
        <x:f>IF(AND(BG$5&gt;=$C51,BG$5&lt;=$D51,$A51&lt;&gt;""),"●","")</x:f>
      </x:c>
      <x:c r="BH51" s="165" t="str">
        <x:f>IF(AND(BH$5&gt;=$C51,BH$5&lt;=$D51,$A51&lt;&gt;""),"●","")</x:f>
      </x:c>
      <x:c r="BI51" s="165" t="str">
        <x:f>IF(AND(BI$5&gt;=$C51,BI$5&lt;=$D51,$A51&lt;&gt;""),"●","")</x:f>
      </x:c>
      <x:c r="BJ51" s="165" t="str">
        <x:f>IF(AND(BJ$5&gt;=$C51,BJ$5&lt;=$D51,$A51&lt;&gt;""),"●","")</x:f>
      </x:c>
      <x:c r="BK51" s="165" t="str">
        <x:f>IF(AND(BK$5&gt;=$C51,BK$5&lt;=$D51,$A51&lt;&gt;""),"●","")</x:f>
      </x:c>
      <x:c r="BL51" s="165" t="str">
        <x:f>IF(AND(BL$5&gt;=$C51,BL$5&lt;=$D51,$A51&lt;&gt;""),"●","")</x:f>
      </x:c>
      <x:c r="BM51" s="165" t="str">
        <x:f>IF(AND(BM$5&gt;=$C51,BM$5&lt;=$D51,$A51&lt;&gt;""),"●","")</x:f>
      </x:c>
      <x:c r="BN51" s="165" t="str">
        <x:f>IF(AND(BN$5&gt;=$C51,BN$5&lt;=$D51,$A51&lt;&gt;""),"●","")</x:f>
      </x:c>
      <x:c r="BO51" s="165" t="str">
        <x:f>IF(AND(BO$5&gt;=$C51,BO$5&lt;=$D51,$A51&lt;&gt;""),"●","")</x:f>
      </x:c>
      <x:c r="BP51" s="165" t="str">
        <x:f>IF(AND(BP$5&gt;=$C51,BP$5&lt;=$D51,$A51&lt;&gt;""),"●","")</x:f>
      </x:c>
      <x:c r="BQ51" s="165" t="str">
        <x:f>IF(AND(BQ$5&gt;=$C51,BQ$5&lt;=$D51,$A51&lt;&gt;""),"●","")</x:f>
      </x:c>
      <x:c r="BR51" s="165" t="str">
        <x:f>IF(AND(BR$5&gt;=$C51,BR$5&lt;=$D51,$A51&lt;&gt;""),"●","")</x:f>
      </x:c>
      <x:c r="BS51" s="165" t="str">
        <x:f>IF(AND(BS$5&gt;=$C51,BS$5&lt;=$D51,$A51&lt;&gt;""),"●","")</x:f>
      </x:c>
      <x:c r="BT51" s="165" t="str">
        <x:f>IF(AND(BT$5&gt;=$C51,BT$5&lt;=$D51,$A51&lt;&gt;""),"●","")</x:f>
      </x:c>
      <x:c r="BU51" s="165" t="str">
        <x:f>IF(AND(BU$5&gt;=$C51,BU$5&lt;=$D51,$A51&lt;&gt;""),"●","")</x:f>
      </x:c>
      <x:c r="BV51" s="165" t="str">
        <x:f>IF(AND(BV$5&gt;=$C51,BV$5&lt;=$D51,$A51&lt;&gt;""),"●","")</x:f>
      </x:c>
      <x:c r="BW51" s="165" t="str">
        <x:f>IF(AND(BW$5&gt;=$C51,BW$5&lt;=$D51,$A51&lt;&gt;""),"●","")</x:f>
      </x:c>
    </x:row>
    <x:row r="52">
      <x:c r="A52" s="159" t="str">
        <x:f>IF('รายการสัญญา'!A52="","",'รายการสัญญา'!A52)</x:f>
      </x:c>
      <x:c r="B52" s="159" t="str">
        <x:f>IF('รายการสัญญา'!A52="","",'รายการสัญญา'!C52)</x:f>
      </x:c>
      <x:c r="C52" s="162" t="str">
        <x:f>IF('รายการสัญญา'!A52="","",'รายการสัญญา'!E52)</x:f>
      </x:c>
      <x:c r="D52" s="162" t="str">
        <x:f>IF('รายการสัญญา'!A52="","",'รายการสัญญา'!G52)</x:f>
      </x:c>
      <x:c r="E52" s="159" t="str">
        <x:f>IF('รายการสัญญา'!A52="","",'รายการสัญญา'!K52)</x:f>
      </x:c>
      <x:c r="F52" s="165" t="str">
        <x:f>IF(AND(F$5&gt;=$C52,F$5&lt;=$D52,$A52&lt;&gt;""),"●","")</x:f>
      </x:c>
      <x:c r="G52" s="165" t="str">
        <x:f>IF(AND(G$5&gt;=$C52,G$5&lt;=$D52,$A52&lt;&gt;""),"●","")</x:f>
      </x:c>
      <x:c r="H52" s="165" t="str">
        <x:f>IF(AND(H$5&gt;=$C52,H$5&lt;=$D52,$A52&lt;&gt;""),"●","")</x:f>
      </x:c>
      <x:c r="I52" s="165" t="str">
        <x:f>IF(AND(I$5&gt;=$C52,I$5&lt;=$D52,$A52&lt;&gt;""),"●","")</x:f>
      </x:c>
      <x:c r="J52" s="165" t="str">
        <x:f>IF(AND(J$5&gt;=$C52,J$5&lt;=$D52,$A52&lt;&gt;""),"●","")</x:f>
      </x:c>
      <x:c r="K52" s="165" t="str">
        <x:f>IF(AND(K$5&gt;=$C52,K$5&lt;=$D52,$A52&lt;&gt;""),"●","")</x:f>
      </x:c>
      <x:c r="L52" s="165" t="str">
        <x:f>IF(AND(L$5&gt;=$C52,L$5&lt;=$D52,$A52&lt;&gt;""),"●","")</x:f>
      </x:c>
      <x:c r="M52" s="165" t="str">
        <x:f>IF(AND(M$5&gt;=$C52,M$5&lt;=$D52,$A52&lt;&gt;""),"●","")</x:f>
      </x:c>
      <x:c r="N52" s="165" t="str">
        <x:f>IF(AND(N$5&gt;=$C52,N$5&lt;=$D52,$A52&lt;&gt;""),"●","")</x:f>
      </x:c>
      <x:c r="O52" s="165" t="str">
        <x:f>IF(AND(O$5&gt;=$C52,O$5&lt;=$D52,$A52&lt;&gt;""),"●","")</x:f>
      </x:c>
      <x:c r="P52" s="165" t="str">
        <x:f>IF(AND(P$5&gt;=$C52,P$5&lt;=$D52,$A52&lt;&gt;""),"●","")</x:f>
      </x:c>
      <x:c r="Q52" s="165" t="str">
        <x:f>IF(AND(Q$5&gt;=$C52,Q$5&lt;=$D52,$A52&lt;&gt;""),"●","")</x:f>
      </x:c>
      <x:c r="R52" s="165" t="str">
        <x:f>IF(AND(R$5&gt;=$C52,R$5&lt;=$D52,$A52&lt;&gt;""),"●","")</x:f>
      </x:c>
      <x:c r="S52" s="165" t="str">
        <x:f>IF(AND(S$5&gt;=$C52,S$5&lt;=$D52,$A52&lt;&gt;""),"●","")</x:f>
      </x:c>
      <x:c r="T52" s="165" t="str">
        <x:f>IF(AND(T$5&gt;=$C52,T$5&lt;=$D52,$A52&lt;&gt;""),"●","")</x:f>
      </x:c>
      <x:c r="U52" s="165" t="str">
        <x:f>IF(AND(U$5&gt;=$C52,U$5&lt;=$D52,$A52&lt;&gt;""),"●","")</x:f>
      </x:c>
      <x:c r="V52" s="165" t="str">
        <x:f>IF(AND(V$5&gt;=$C52,V$5&lt;=$D52,$A52&lt;&gt;""),"●","")</x:f>
      </x:c>
      <x:c r="W52" s="165" t="str">
        <x:f>IF(AND(W$5&gt;=$C52,W$5&lt;=$D52,$A52&lt;&gt;""),"●","")</x:f>
      </x:c>
      <x:c r="X52" s="165" t="str">
        <x:f>IF(AND(X$5&gt;=$C52,X$5&lt;=$D52,$A52&lt;&gt;""),"●","")</x:f>
      </x:c>
      <x:c r="Y52" s="165" t="str">
        <x:f>IF(AND(Y$5&gt;=$C52,Y$5&lt;=$D52,$A52&lt;&gt;""),"●","")</x:f>
      </x:c>
      <x:c r="Z52" s="165" t="str">
        <x:f>IF(AND(Z$5&gt;=$C52,Z$5&lt;=$D52,$A52&lt;&gt;""),"●","")</x:f>
      </x:c>
      <x:c r="AA52" s="165" t="str">
        <x:f>IF(AND(AA$5&gt;=$C52,AA$5&lt;=$D52,$A52&lt;&gt;""),"●","")</x:f>
      </x:c>
      <x:c r="AB52" s="165" t="str">
        <x:f>IF(AND(AB$5&gt;=$C52,AB$5&lt;=$D52,$A52&lt;&gt;""),"●","")</x:f>
      </x:c>
      <x:c r="AC52" s="165" t="str">
        <x:f>IF(AND(AC$5&gt;=$C52,AC$5&lt;=$D52,$A52&lt;&gt;""),"●","")</x:f>
      </x:c>
      <x:c r="AD52" s="165" t="str">
        <x:f>IF(AND(AD$5&gt;=$C52,AD$5&lt;=$D52,$A52&lt;&gt;""),"●","")</x:f>
      </x:c>
      <x:c r="AE52" s="165" t="str">
        <x:f>IF(AND(AE$5&gt;=$C52,AE$5&lt;=$D52,$A52&lt;&gt;""),"●","")</x:f>
      </x:c>
      <x:c r="AF52" s="165" t="str">
        <x:f>IF(AND(AF$5&gt;=$C52,AF$5&lt;=$D52,$A52&lt;&gt;""),"●","")</x:f>
      </x:c>
      <x:c r="AG52" s="165" t="str">
        <x:f>IF(AND(AG$5&gt;=$C52,AG$5&lt;=$D52,$A52&lt;&gt;""),"●","")</x:f>
      </x:c>
      <x:c r="AH52" s="165" t="str">
        <x:f>IF(AND(AH$5&gt;=$C52,AH$5&lt;=$D52,$A52&lt;&gt;""),"●","")</x:f>
      </x:c>
      <x:c r="AI52" s="165" t="str">
        <x:f>IF(AND(AI$5&gt;=$C52,AI$5&lt;=$D52,$A52&lt;&gt;""),"●","")</x:f>
      </x:c>
      <x:c r="AJ52" s="165" t="str">
        <x:f>IF(AND(AJ$5&gt;=$C52,AJ$5&lt;=$D52,$A52&lt;&gt;""),"●","")</x:f>
      </x:c>
      <x:c r="AK52" s="165" t="str">
        <x:f>IF(AND(AK$5&gt;=$C52,AK$5&lt;=$D52,$A52&lt;&gt;""),"●","")</x:f>
      </x:c>
      <x:c r="AL52" s="165" t="str">
        <x:f>IF(AND(AL$5&gt;=$C52,AL$5&lt;=$D52,$A52&lt;&gt;""),"●","")</x:f>
      </x:c>
      <x:c r="AM52" s="165" t="str">
        <x:f>IF(AND(AM$5&gt;=$C52,AM$5&lt;=$D52,$A52&lt;&gt;""),"●","")</x:f>
      </x:c>
      <x:c r="AN52" s="165" t="str">
        <x:f>IF(AND(AN$5&gt;=$C52,AN$5&lt;=$D52,$A52&lt;&gt;""),"●","")</x:f>
      </x:c>
      <x:c r="AO52" s="165" t="str">
        <x:f>IF(AND(AO$5&gt;=$C52,AO$5&lt;=$D52,$A52&lt;&gt;""),"●","")</x:f>
      </x:c>
      <x:c r="AP52" s="165" t="str">
        <x:f>IF(AND(AP$5&gt;=$C52,AP$5&lt;=$D52,$A52&lt;&gt;""),"●","")</x:f>
      </x:c>
      <x:c r="AQ52" s="165" t="str">
        <x:f>IF(AND(AQ$5&gt;=$C52,AQ$5&lt;=$D52,$A52&lt;&gt;""),"●","")</x:f>
      </x:c>
      <x:c r="AR52" s="165" t="str">
        <x:f>IF(AND(AR$5&gt;=$C52,AR$5&lt;=$D52,$A52&lt;&gt;""),"●","")</x:f>
      </x:c>
      <x:c r="AS52" s="165" t="str">
        <x:f>IF(AND(AS$5&gt;=$C52,AS$5&lt;=$D52,$A52&lt;&gt;""),"●","")</x:f>
      </x:c>
      <x:c r="AT52" s="165" t="str">
        <x:f>IF(AND(AT$5&gt;=$C52,AT$5&lt;=$D52,$A52&lt;&gt;""),"●","")</x:f>
      </x:c>
      <x:c r="AU52" s="165" t="str">
        <x:f>IF(AND(AU$5&gt;=$C52,AU$5&lt;=$D52,$A52&lt;&gt;""),"●","")</x:f>
      </x:c>
      <x:c r="AV52" s="165" t="str">
        <x:f>IF(AND(AV$5&gt;=$C52,AV$5&lt;=$D52,$A52&lt;&gt;""),"●","")</x:f>
      </x:c>
      <x:c r="AW52" s="165" t="str">
        <x:f>IF(AND(AW$5&gt;=$C52,AW$5&lt;=$D52,$A52&lt;&gt;""),"●","")</x:f>
      </x:c>
      <x:c r="AX52" s="165" t="str">
        <x:f>IF(AND(AX$5&gt;=$C52,AX$5&lt;=$D52,$A52&lt;&gt;""),"●","")</x:f>
      </x:c>
      <x:c r="AY52" s="165" t="str">
        <x:f>IF(AND(AY$5&gt;=$C52,AY$5&lt;=$D52,$A52&lt;&gt;""),"●","")</x:f>
      </x:c>
      <x:c r="AZ52" s="165" t="str">
        <x:f>IF(AND(AZ$5&gt;=$C52,AZ$5&lt;=$D52,$A52&lt;&gt;""),"●","")</x:f>
      </x:c>
      <x:c r="BA52" s="165" t="str">
        <x:f>IF(AND(BA$5&gt;=$C52,BA$5&lt;=$D52,$A52&lt;&gt;""),"●","")</x:f>
      </x:c>
      <x:c r="BB52" s="165" t="str">
        <x:f>IF(AND(BB$5&gt;=$C52,BB$5&lt;=$D52,$A52&lt;&gt;""),"●","")</x:f>
      </x:c>
      <x:c r="BC52" s="165" t="str">
        <x:f>IF(AND(BC$5&gt;=$C52,BC$5&lt;=$D52,$A52&lt;&gt;""),"●","")</x:f>
      </x:c>
      <x:c r="BD52" s="165" t="str">
        <x:f>IF(AND(BD$5&gt;=$C52,BD$5&lt;=$D52,$A52&lt;&gt;""),"●","")</x:f>
      </x:c>
      <x:c r="BE52" s="165" t="str">
        <x:f>IF(AND(BE$5&gt;=$C52,BE$5&lt;=$D52,$A52&lt;&gt;""),"●","")</x:f>
      </x:c>
      <x:c r="BF52" s="165" t="str">
        <x:f>IF(AND(BF$5&gt;=$C52,BF$5&lt;=$D52,$A52&lt;&gt;""),"●","")</x:f>
      </x:c>
      <x:c r="BG52" s="165" t="str">
        <x:f>IF(AND(BG$5&gt;=$C52,BG$5&lt;=$D52,$A52&lt;&gt;""),"●","")</x:f>
      </x:c>
      <x:c r="BH52" s="165" t="str">
        <x:f>IF(AND(BH$5&gt;=$C52,BH$5&lt;=$D52,$A52&lt;&gt;""),"●","")</x:f>
      </x:c>
      <x:c r="BI52" s="165" t="str">
        <x:f>IF(AND(BI$5&gt;=$C52,BI$5&lt;=$D52,$A52&lt;&gt;""),"●","")</x:f>
      </x:c>
      <x:c r="BJ52" s="165" t="str">
        <x:f>IF(AND(BJ$5&gt;=$C52,BJ$5&lt;=$D52,$A52&lt;&gt;""),"●","")</x:f>
      </x:c>
      <x:c r="BK52" s="165" t="str">
        <x:f>IF(AND(BK$5&gt;=$C52,BK$5&lt;=$D52,$A52&lt;&gt;""),"●","")</x:f>
      </x:c>
      <x:c r="BL52" s="165" t="str">
        <x:f>IF(AND(BL$5&gt;=$C52,BL$5&lt;=$D52,$A52&lt;&gt;""),"●","")</x:f>
      </x:c>
      <x:c r="BM52" s="165" t="str">
        <x:f>IF(AND(BM$5&gt;=$C52,BM$5&lt;=$D52,$A52&lt;&gt;""),"●","")</x:f>
      </x:c>
      <x:c r="BN52" s="165" t="str">
        <x:f>IF(AND(BN$5&gt;=$C52,BN$5&lt;=$D52,$A52&lt;&gt;""),"●","")</x:f>
      </x:c>
      <x:c r="BO52" s="165" t="str">
        <x:f>IF(AND(BO$5&gt;=$C52,BO$5&lt;=$D52,$A52&lt;&gt;""),"●","")</x:f>
      </x:c>
      <x:c r="BP52" s="165" t="str">
        <x:f>IF(AND(BP$5&gt;=$C52,BP$5&lt;=$D52,$A52&lt;&gt;""),"●","")</x:f>
      </x:c>
      <x:c r="BQ52" s="165" t="str">
        <x:f>IF(AND(BQ$5&gt;=$C52,BQ$5&lt;=$D52,$A52&lt;&gt;""),"●","")</x:f>
      </x:c>
      <x:c r="BR52" s="165" t="str">
        <x:f>IF(AND(BR$5&gt;=$C52,BR$5&lt;=$D52,$A52&lt;&gt;""),"●","")</x:f>
      </x:c>
      <x:c r="BS52" s="165" t="str">
        <x:f>IF(AND(BS$5&gt;=$C52,BS$5&lt;=$D52,$A52&lt;&gt;""),"●","")</x:f>
      </x:c>
      <x:c r="BT52" s="165" t="str">
        <x:f>IF(AND(BT$5&gt;=$C52,BT$5&lt;=$D52,$A52&lt;&gt;""),"●","")</x:f>
      </x:c>
      <x:c r="BU52" s="165" t="str">
        <x:f>IF(AND(BU$5&gt;=$C52,BU$5&lt;=$D52,$A52&lt;&gt;""),"●","")</x:f>
      </x:c>
      <x:c r="BV52" s="165" t="str">
        <x:f>IF(AND(BV$5&gt;=$C52,BV$5&lt;=$D52,$A52&lt;&gt;""),"●","")</x:f>
      </x:c>
      <x:c r="BW52" s="165" t="str">
        <x:f>IF(AND(BW$5&gt;=$C52,BW$5&lt;=$D52,$A52&lt;&gt;""),"●","")</x:f>
      </x:c>
    </x:row>
    <x:row r="53">
      <x:c r="A53" s="159" t="str">
        <x:f>IF('รายการสัญญา'!A53="","",'รายการสัญญา'!A53)</x:f>
      </x:c>
      <x:c r="B53" s="159" t="str">
        <x:f>IF('รายการสัญญา'!A53="","",'รายการสัญญา'!C53)</x:f>
      </x:c>
      <x:c r="C53" s="162" t="str">
        <x:f>IF('รายการสัญญา'!A53="","",'รายการสัญญา'!E53)</x:f>
      </x:c>
      <x:c r="D53" s="162" t="str">
        <x:f>IF('รายการสัญญา'!A53="","",'รายการสัญญา'!G53)</x:f>
      </x:c>
      <x:c r="E53" s="159" t="str">
        <x:f>IF('รายการสัญญา'!A53="","",'รายการสัญญา'!K53)</x:f>
      </x:c>
      <x:c r="F53" s="165" t="str">
        <x:f>IF(AND(F$5&gt;=$C53,F$5&lt;=$D53,$A53&lt;&gt;""),"●","")</x:f>
      </x:c>
      <x:c r="G53" s="165" t="str">
        <x:f>IF(AND(G$5&gt;=$C53,G$5&lt;=$D53,$A53&lt;&gt;""),"●","")</x:f>
      </x:c>
      <x:c r="H53" s="165" t="str">
        <x:f>IF(AND(H$5&gt;=$C53,H$5&lt;=$D53,$A53&lt;&gt;""),"●","")</x:f>
      </x:c>
      <x:c r="I53" s="165" t="str">
        <x:f>IF(AND(I$5&gt;=$C53,I$5&lt;=$D53,$A53&lt;&gt;""),"●","")</x:f>
      </x:c>
      <x:c r="J53" s="165" t="str">
        <x:f>IF(AND(J$5&gt;=$C53,J$5&lt;=$D53,$A53&lt;&gt;""),"●","")</x:f>
      </x:c>
      <x:c r="K53" s="165" t="str">
        <x:f>IF(AND(K$5&gt;=$C53,K$5&lt;=$D53,$A53&lt;&gt;""),"●","")</x:f>
      </x:c>
      <x:c r="L53" s="165" t="str">
        <x:f>IF(AND(L$5&gt;=$C53,L$5&lt;=$D53,$A53&lt;&gt;""),"●","")</x:f>
      </x:c>
      <x:c r="M53" s="165" t="str">
        <x:f>IF(AND(M$5&gt;=$C53,M$5&lt;=$D53,$A53&lt;&gt;""),"●","")</x:f>
      </x:c>
      <x:c r="N53" s="165" t="str">
        <x:f>IF(AND(N$5&gt;=$C53,N$5&lt;=$D53,$A53&lt;&gt;""),"●","")</x:f>
      </x:c>
      <x:c r="O53" s="165" t="str">
        <x:f>IF(AND(O$5&gt;=$C53,O$5&lt;=$D53,$A53&lt;&gt;""),"●","")</x:f>
      </x:c>
      <x:c r="P53" s="165" t="str">
        <x:f>IF(AND(P$5&gt;=$C53,P$5&lt;=$D53,$A53&lt;&gt;""),"●","")</x:f>
      </x:c>
      <x:c r="Q53" s="165" t="str">
        <x:f>IF(AND(Q$5&gt;=$C53,Q$5&lt;=$D53,$A53&lt;&gt;""),"●","")</x:f>
      </x:c>
      <x:c r="R53" s="165" t="str">
        <x:f>IF(AND(R$5&gt;=$C53,R$5&lt;=$D53,$A53&lt;&gt;""),"●","")</x:f>
      </x:c>
      <x:c r="S53" s="165" t="str">
        <x:f>IF(AND(S$5&gt;=$C53,S$5&lt;=$D53,$A53&lt;&gt;""),"●","")</x:f>
      </x:c>
      <x:c r="T53" s="165" t="str">
        <x:f>IF(AND(T$5&gt;=$C53,T$5&lt;=$D53,$A53&lt;&gt;""),"●","")</x:f>
      </x:c>
      <x:c r="U53" s="165" t="str">
        <x:f>IF(AND(U$5&gt;=$C53,U$5&lt;=$D53,$A53&lt;&gt;""),"●","")</x:f>
      </x:c>
      <x:c r="V53" s="165" t="str">
        <x:f>IF(AND(V$5&gt;=$C53,V$5&lt;=$D53,$A53&lt;&gt;""),"●","")</x:f>
      </x:c>
      <x:c r="W53" s="165" t="str">
        <x:f>IF(AND(W$5&gt;=$C53,W$5&lt;=$D53,$A53&lt;&gt;""),"●","")</x:f>
      </x:c>
      <x:c r="X53" s="165" t="str">
        <x:f>IF(AND(X$5&gt;=$C53,X$5&lt;=$D53,$A53&lt;&gt;""),"●","")</x:f>
      </x:c>
      <x:c r="Y53" s="165" t="str">
        <x:f>IF(AND(Y$5&gt;=$C53,Y$5&lt;=$D53,$A53&lt;&gt;""),"●","")</x:f>
      </x:c>
      <x:c r="Z53" s="165" t="str">
        <x:f>IF(AND(Z$5&gt;=$C53,Z$5&lt;=$D53,$A53&lt;&gt;""),"●","")</x:f>
      </x:c>
      <x:c r="AA53" s="165" t="str">
        <x:f>IF(AND(AA$5&gt;=$C53,AA$5&lt;=$D53,$A53&lt;&gt;""),"●","")</x:f>
      </x:c>
      <x:c r="AB53" s="165" t="str">
        <x:f>IF(AND(AB$5&gt;=$C53,AB$5&lt;=$D53,$A53&lt;&gt;""),"●","")</x:f>
      </x:c>
      <x:c r="AC53" s="165" t="str">
        <x:f>IF(AND(AC$5&gt;=$C53,AC$5&lt;=$D53,$A53&lt;&gt;""),"●","")</x:f>
      </x:c>
      <x:c r="AD53" s="165" t="str">
        <x:f>IF(AND(AD$5&gt;=$C53,AD$5&lt;=$D53,$A53&lt;&gt;""),"●","")</x:f>
      </x:c>
      <x:c r="AE53" s="165" t="str">
        <x:f>IF(AND(AE$5&gt;=$C53,AE$5&lt;=$D53,$A53&lt;&gt;""),"●","")</x:f>
      </x:c>
      <x:c r="AF53" s="165" t="str">
        <x:f>IF(AND(AF$5&gt;=$C53,AF$5&lt;=$D53,$A53&lt;&gt;""),"●","")</x:f>
      </x:c>
      <x:c r="AG53" s="165" t="str">
        <x:f>IF(AND(AG$5&gt;=$C53,AG$5&lt;=$D53,$A53&lt;&gt;""),"●","")</x:f>
      </x:c>
      <x:c r="AH53" s="165" t="str">
        <x:f>IF(AND(AH$5&gt;=$C53,AH$5&lt;=$D53,$A53&lt;&gt;""),"●","")</x:f>
      </x:c>
      <x:c r="AI53" s="165" t="str">
        <x:f>IF(AND(AI$5&gt;=$C53,AI$5&lt;=$D53,$A53&lt;&gt;""),"●","")</x:f>
      </x:c>
      <x:c r="AJ53" s="165" t="str">
        <x:f>IF(AND(AJ$5&gt;=$C53,AJ$5&lt;=$D53,$A53&lt;&gt;""),"●","")</x:f>
      </x:c>
      <x:c r="AK53" s="165" t="str">
        <x:f>IF(AND(AK$5&gt;=$C53,AK$5&lt;=$D53,$A53&lt;&gt;""),"●","")</x:f>
      </x:c>
      <x:c r="AL53" s="165" t="str">
        <x:f>IF(AND(AL$5&gt;=$C53,AL$5&lt;=$D53,$A53&lt;&gt;""),"●","")</x:f>
      </x:c>
      <x:c r="AM53" s="165" t="str">
        <x:f>IF(AND(AM$5&gt;=$C53,AM$5&lt;=$D53,$A53&lt;&gt;""),"●","")</x:f>
      </x:c>
      <x:c r="AN53" s="165" t="str">
        <x:f>IF(AND(AN$5&gt;=$C53,AN$5&lt;=$D53,$A53&lt;&gt;""),"●","")</x:f>
      </x:c>
      <x:c r="AO53" s="165" t="str">
        <x:f>IF(AND(AO$5&gt;=$C53,AO$5&lt;=$D53,$A53&lt;&gt;""),"●","")</x:f>
      </x:c>
      <x:c r="AP53" s="165" t="str">
        <x:f>IF(AND(AP$5&gt;=$C53,AP$5&lt;=$D53,$A53&lt;&gt;""),"●","")</x:f>
      </x:c>
      <x:c r="AQ53" s="165" t="str">
        <x:f>IF(AND(AQ$5&gt;=$C53,AQ$5&lt;=$D53,$A53&lt;&gt;""),"●","")</x:f>
      </x:c>
      <x:c r="AR53" s="165" t="str">
        <x:f>IF(AND(AR$5&gt;=$C53,AR$5&lt;=$D53,$A53&lt;&gt;""),"●","")</x:f>
      </x:c>
      <x:c r="AS53" s="165" t="str">
        <x:f>IF(AND(AS$5&gt;=$C53,AS$5&lt;=$D53,$A53&lt;&gt;""),"●","")</x:f>
      </x:c>
      <x:c r="AT53" s="165" t="str">
        <x:f>IF(AND(AT$5&gt;=$C53,AT$5&lt;=$D53,$A53&lt;&gt;""),"●","")</x:f>
      </x:c>
      <x:c r="AU53" s="165" t="str">
        <x:f>IF(AND(AU$5&gt;=$C53,AU$5&lt;=$D53,$A53&lt;&gt;""),"●","")</x:f>
      </x:c>
      <x:c r="AV53" s="165" t="str">
        <x:f>IF(AND(AV$5&gt;=$C53,AV$5&lt;=$D53,$A53&lt;&gt;""),"●","")</x:f>
      </x:c>
      <x:c r="AW53" s="165" t="str">
        <x:f>IF(AND(AW$5&gt;=$C53,AW$5&lt;=$D53,$A53&lt;&gt;""),"●","")</x:f>
      </x:c>
      <x:c r="AX53" s="165" t="str">
        <x:f>IF(AND(AX$5&gt;=$C53,AX$5&lt;=$D53,$A53&lt;&gt;""),"●","")</x:f>
      </x:c>
      <x:c r="AY53" s="165" t="str">
        <x:f>IF(AND(AY$5&gt;=$C53,AY$5&lt;=$D53,$A53&lt;&gt;""),"●","")</x:f>
      </x:c>
      <x:c r="AZ53" s="165" t="str">
        <x:f>IF(AND(AZ$5&gt;=$C53,AZ$5&lt;=$D53,$A53&lt;&gt;""),"●","")</x:f>
      </x:c>
      <x:c r="BA53" s="165" t="str">
        <x:f>IF(AND(BA$5&gt;=$C53,BA$5&lt;=$D53,$A53&lt;&gt;""),"●","")</x:f>
      </x:c>
      <x:c r="BB53" s="165" t="str">
        <x:f>IF(AND(BB$5&gt;=$C53,BB$5&lt;=$D53,$A53&lt;&gt;""),"●","")</x:f>
      </x:c>
      <x:c r="BC53" s="165" t="str">
        <x:f>IF(AND(BC$5&gt;=$C53,BC$5&lt;=$D53,$A53&lt;&gt;""),"●","")</x:f>
      </x:c>
      <x:c r="BD53" s="165" t="str">
        <x:f>IF(AND(BD$5&gt;=$C53,BD$5&lt;=$D53,$A53&lt;&gt;""),"●","")</x:f>
      </x:c>
      <x:c r="BE53" s="165" t="str">
        <x:f>IF(AND(BE$5&gt;=$C53,BE$5&lt;=$D53,$A53&lt;&gt;""),"●","")</x:f>
      </x:c>
      <x:c r="BF53" s="165" t="str">
        <x:f>IF(AND(BF$5&gt;=$C53,BF$5&lt;=$D53,$A53&lt;&gt;""),"●","")</x:f>
      </x:c>
      <x:c r="BG53" s="165" t="str">
        <x:f>IF(AND(BG$5&gt;=$C53,BG$5&lt;=$D53,$A53&lt;&gt;""),"●","")</x:f>
      </x:c>
      <x:c r="BH53" s="165" t="str">
        <x:f>IF(AND(BH$5&gt;=$C53,BH$5&lt;=$D53,$A53&lt;&gt;""),"●","")</x:f>
      </x:c>
      <x:c r="BI53" s="165" t="str">
        <x:f>IF(AND(BI$5&gt;=$C53,BI$5&lt;=$D53,$A53&lt;&gt;""),"●","")</x:f>
      </x:c>
      <x:c r="BJ53" s="165" t="str">
        <x:f>IF(AND(BJ$5&gt;=$C53,BJ$5&lt;=$D53,$A53&lt;&gt;""),"●","")</x:f>
      </x:c>
      <x:c r="BK53" s="165" t="str">
        <x:f>IF(AND(BK$5&gt;=$C53,BK$5&lt;=$D53,$A53&lt;&gt;""),"●","")</x:f>
      </x:c>
      <x:c r="BL53" s="165" t="str">
        <x:f>IF(AND(BL$5&gt;=$C53,BL$5&lt;=$D53,$A53&lt;&gt;""),"●","")</x:f>
      </x:c>
      <x:c r="BM53" s="165" t="str">
        <x:f>IF(AND(BM$5&gt;=$C53,BM$5&lt;=$D53,$A53&lt;&gt;""),"●","")</x:f>
      </x:c>
      <x:c r="BN53" s="165" t="str">
        <x:f>IF(AND(BN$5&gt;=$C53,BN$5&lt;=$D53,$A53&lt;&gt;""),"●","")</x:f>
      </x:c>
      <x:c r="BO53" s="165" t="str">
        <x:f>IF(AND(BO$5&gt;=$C53,BO$5&lt;=$D53,$A53&lt;&gt;""),"●","")</x:f>
      </x:c>
      <x:c r="BP53" s="165" t="str">
        <x:f>IF(AND(BP$5&gt;=$C53,BP$5&lt;=$D53,$A53&lt;&gt;""),"●","")</x:f>
      </x:c>
      <x:c r="BQ53" s="165" t="str">
        <x:f>IF(AND(BQ$5&gt;=$C53,BQ$5&lt;=$D53,$A53&lt;&gt;""),"●","")</x:f>
      </x:c>
      <x:c r="BR53" s="165" t="str">
        <x:f>IF(AND(BR$5&gt;=$C53,BR$5&lt;=$D53,$A53&lt;&gt;""),"●","")</x:f>
      </x:c>
      <x:c r="BS53" s="165" t="str">
        <x:f>IF(AND(BS$5&gt;=$C53,BS$5&lt;=$D53,$A53&lt;&gt;""),"●","")</x:f>
      </x:c>
      <x:c r="BT53" s="165" t="str">
        <x:f>IF(AND(BT$5&gt;=$C53,BT$5&lt;=$D53,$A53&lt;&gt;""),"●","")</x:f>
      </x:c>
      <x:c r="BU53" s="165" t="str">
        <x:f>IF(AND(BU$5&gt;=$C53,BU$5&lt;=$D53,$A53&lt;&gt;""),"●","")</x:f>
      </x:c>
      <x:c r="BV53" s="165" t="str">
        <x:f>IF(AND(BV$5&gt;=$C53,BV$5&lt;=$D53,$A53&lt;&gt;""),"●","")</x:f>
      </x:c>
      <x:c r="BW53" s="165" t="str">
        <x:f>IF(AND(BW$5&gt;=$C53,BW$5&lt;=$D53,$A53&lt;&gt;""),"●","")</x:f>
      </x:c>
    </x:row>
    <x:row r="54">
      <x:c r="A54" s="159" t="str">
        <x:f>IF('รายการสัญญา'!A54="","",'รายการสัญญา'!A54)</x:f>
      </x:c>
      <x:c r="B54" s="159" t="str">
        <x:f>IF('รายการสัญญา'!A54="","",'รายการสัญญา'!C54)</x:f>
      </x:c>
      <x:c r="C54" s="162" t="str">
        <x:f>IF('รายการสัญญา'!A54="","",'รายการสัญญา'!E54)</x:f>
      </x:c>
      <x:c r="D54" s="162" t="str">
        <x:f>IF('รายการสัญญา'!A54="","",'รายการสัญญา'!G54)</x:f>
      </x:c>
      <x:c r="E54" s="159" t="str">
        <x:f>IF('รายการสัญญา'!A54="","",'รายการสัญญา'!K54)</x:f>
      </x:c>
      <x:c r="F54" s="165" t="str">
        <x:f>IF(AND(F$5&gt;=$C54,F$5&lt;=$D54,$A54&lt;&gt;""),"●","")</x:f>
      </x:c>
      <x:c r="G54" s="165" t="str">
        <x:f>IF(AND(G$5&gt;=$C54,G$5&lt;=$D54,$A54&lt;&gt;""),"●","")</x:f>
      </x:c>
      <x:c r="H54" s="165" t="str">
        <x:f>IF(AND(H$5&gt;=$C54,H$5&lt;=$D54,$A54&lt;&gt;""),"●","")</x:f>
      </x:c>
      <x:c r="I54" s="165" t="str">
        <x:f>IF(AND(I$5&gt;=$C54,I$5&lt;=$D54,$A54&lt;&gt;""),"●","")</x:f>
      </x:c>
      <x:c r="J54" s="165" t="str">
        <x:f>IF(AND(J$5&gt;=$C54,J$5&lt;=$D54,$A54&lt;&gt;""),"●","")</x:f>
      </x:c>
      <x:c r="K54" s="165" t="str">
        <x:f>IF(AND(K$5&gt;=$C54,K$5&lt;=$D54,$A54&lt;&gt;""),"●","")</x:f>
      </x:c>
      <x:c r="L54" s="165" t="str">
        <x:f>IF(AND(L$5&gt;=$C54,L$5&lt;=$D54,$A54&lt;&gt;""),"●","")</x:f>
      </x:c>
      <x:c r="M54" s="165" t="str">
        <x:f>IF(AND(M$5&gt;=$C54,M$5&lt;=$D54,$A54&lt;&gt;""),"●","")</x:f>
      </x:c>
      <x:c r="N54" s="165" t="str">
        <x:f>IF(AND(N$5&gt;=$C54,N$5&lt;=$D54,$A54&lt;&gt;""),"●","")</x:f>
      </x:c>
      <x:c r="O54" s="165" t="str">
        <x:f>IF(AND(O$5&gt;=$C54,O$5&lt;=$D54,$A54&lt;&gt;""),"●","")</x:f>
      </x:c>
      <x:c r="P54" s="165" t="str">
        <x:f>IF(AND(P$5&gt;=$C54,P$5&lt;=$D54,$A54&lt;&gt;""),"●","")</x:f>
      </x:c>
      <x:c r="Q54" s="165" t="str">
        <x:f>IF(AND(Q$5&gt;=$C54,Q$5&lt;=$D54,$A54&lt;&gt;""),"●","")</x:f>
      </x:c>
      <x:c r="R54" s="165" t="str">
        <x:f>IF(AND(R$5&gt;=$C54,R$5&lt;=$D54,$A54&lt;&gt;""),"●","")</x:f>
      </x:c>
      <x:c r="S54" s="165" t="str">
        <x:f>IF(AND(S$5&gt;=$C54,S$5&lt;=$D54,$A54&lt;&gt;""),"●","")</x:f>
      </x:c>
      <x:c r="T54" s="165" t="str">
        <x:f>IF(AND(T$5&gt;=$C54,T$5&lt;=$D54,$A54&lt;&gt;""),"●","")</x:f>
      </x:c>
      <x:c r="U54" s="165" t="str">
        <x:f>IF(AND(U$5&gt;=$C54,U$5&lt;=$D54,$A54&lt;&gt;""),"●","")</x:f>
      </x:c>
      <x:c r="V54" s="165" t="str">
        <x:f>IF(AND(V$5&gt;=$C54,V$5&lt;=$D54,$A54&lt;&gt;""),"●","")</x:f>
      </x:c>
      <x:c r="W54" s="165" t="str">
        <x:f>IF(AND(W$5&gt;=$C54,W$5&lt;=$D54,$A54&lt;&gt;""),"●","")</x:f>
      </x:c>
      <x:c r="X54" s="165" t="str">
        <x:f>IF(AND(X$5&gt;=$C54,X$5&lt;=$D54,$A54&lt;&gt;""),"●","")</x:f>
      </x:c>
      <x:c r="Y54" s="165" t="str">
        <x:f>IF(AND(Y$5&gt;=$C54,Y$5&lt;=$D54,$A54&lt;&gt;""),"●","")</x:f>
      </x:c>
      <x:c r="Z54" s="165" t="str">
        <x:f>IF(AND(Z$5&gt;=$C54,Z$5&lt;=$D54,$A54&lt;&gt;""),"●","")</x:f>
      </x:c>
      <x:c r="AA54" s="165" t="str">
        <x:f>IF(AND(AA$5&gt;=$C54,AA$5&lt;=$D54,$A54&lt;&gt;""),"●","")</x:f>
      </x:c>
      <x:c r="AB54" s="165" t="str">
        <x:f>IF(AND(AB$5&gt;=$C54,AB$5&lt;=$D54,$A54&lt;&gt;""),"●","")</x:f>
      </x:c>
      <x:c r="AC54" s="165" t="str">
        <x:f>IF(AND(AC$5&gt;=$C54,AC$5&lt;=$D54,$A54&lt;&gt;""),"●","")</x:f>
      </x:c>
      <x:c r="AD54" s="165" t="str">
        <x:f>IF(AND(AD$5&gt;=$C54,AD$5&lt;=$D54,$A54&lt;&gt;""),"●","")</x:f>
      </x:c>
      <x:c r="AE54" s="165" t="str">
        <x:f>IF(AND(AE$5&gt;=$C54,AE$5&lt;=$D54,$A54&lt;&gt;""),"●","")</x:f>
      </x:c>
      <x:c r="AF54" s="165" t="str">
        <x:f>IF(AND(AF$5&gt;=$C54,AF$5&lt;=$D54,$A54&lt;&gt;""),"●","")</x:f>
      </x:c>
      <x:c r="AG54" s="165" t="str">
        <x:f>IF(AND(AG$5&gt;=$C54,AG$5&lt;=$D54,$A54&lt;&gt;""),"●","")</x:f>
      </x:c>
      <x:c r="AH54" s="165" t="str">
        <x:f>IF(AND(AH$5&gt;=$C54,AH$5&lt;=$D54,$A54&lt;&gt;""),"●","")</x:f>
      </x:c>
      <x:c r="AI54" s="165" t="str">
        <x:f>IF(AND(AI$5&gt;=$C54,AI$5&lt;=$D54,$A54&lt;&gt;""),"●","")</x:f>
      </x:c>
      <x:c r="AJ54" s="165" t="str">
        <x:f>IF(AND(AJ$5&gt;=$C54,AJ$5&lt;=$D54,$A54&lt;&gt;""),"●","")</x:f>
      </x:c>
      <x:c r="AK54" s="165" t="str">
        <x:f>IF(AND(AK$5&gt;=$C54,AK$5&lt;=$D54,$A54&lt;&gt;""),"●","")</x:f>
      </x:c>
      <x:c r="AL54" s="165" t="str">
        <x:f>IF(AND(AL$5&gt;=$C54,AL$5&lt;=$D54,$A54&lt;&gt;""),"●","")</x:f>
      </x:c>
      <x:c r="AM54" s="165" t="str">
        <x:f>IF(AND(AM$5&gt;=$C54,AM$5&lt;=$D54,$A54&lt;&gt;""),"●","")</x:f>
      </x:c>
      <x:c r="AN54" s="165" t="str">
        <x:f>IF(AND(AN$5&gt;=$C54,AN$5&lt;=$D54,$A54&lt;&gt;""),"●","")</x:f>
      </x:c>
      <x:c r="AO54" s="165" t="str">
        <x:f>IF(AND(AO$5&gt;=$C54,AO$5&lt;=$D54,$A54&lt;&gt;""),"●","")</x:f>
      </x:c>
      <x:c r="AP54" s="165" t="str">
        <x:f>IF(AND(AP$5&gt;=$C54,AP$5&lt;=$D54,$A54&lt;&gt;""),"●","")</x:f>
      </x:c>
      <x:c r="AQ54" s="165" t="str">
        <x:f>IF(AND(AQ$5&gt;=$C54,AQ$5&lt;=$D54,$A54&lt;&gt;""),"●","")</x:f>
      </x:c>
      <x:c r="AR54" s="165" t="str">
        <x:f>IF(AND(AR$5&gt;=$C54,AR$5&lt;=$D54,$A54&lt;&gt;""),"●","")</x:f>
      </x:c>
      <x:c r="AS54" s="165" t="str">
        <x:f>IF(AND(AS$5&gt;=$C54,AS$5&lt;=$D54,$A54&lt;&gt;""),"●","")</x:f>
      </x:c>
      <x:c r="AT54" s="165" t="str">
        <x:f>IF(AND(AT$5&gt;=$C54,AT$5&lt;=$D54,$A54&lt;&gt;""),"●","")</x:f>
      </x:c>
      <x:c r="AU54" s="165" t="str">
        <x:f>IF(AND(AU$5&gt;=$C54,AU$5&lt;=$D54,$A54&lt;&gt;""),"●","")</x:f>
      </x:c>
      <x:c r="AV54" s="165" t="str">
        <x:f>IF(AND(AV$5&gt;=$C54,AV$5&lt;=$D54,$A54&lt;&gt;""),"●","")</x:f>
      </x:c>
      <x:c r="AW54" s="165" t="str">
        <x:f>IF(AND(AW$5&gt;=$C54,AW$5&lt;=$D54,$A54&lt;&gt;""),"●","")</x:f>
      </x:c>
      <x:c r="AX54" s="165" t="str">
        <x:f>IF(AND(AX$5&gt;=$C54,AX$5&lt;=$D54,$A54&lt;&gt;""),"●","")</x:f>
      </x:c>
      <x:c r="AY54" s="165" t="str">
        <x:f>IF(AND(AY$5&gt;=$C54,AY$5&lt;=$D54,$A54&lt;&gt;""),"●","")</x:f>
      </x:c>
      <x:c r="AZ54" s="165" t="str">
        <x:f>IF(AND(AZ$5&gt;=$C54,AZ$5&lt;=$D54,$A54&lt;&gt;""),"●","")</x:f>
      </x:c>
      <x:c r="BA54" s="165" t="str">
        <x:f>IF(AND(BA$5&gt;=$C54,BA$5&lt;=$D54,$A54&lt;&gt;""),"●","")</x:f>
      </x:c>
      <x:c r="BB54" s="165" t="str">
        <x:f>IF(AND(BB$5&gt;=$C54,BB$5&lt;=$D54,$A54&lt;&gt;""),"●","")</x:f>
      </x:c>
      <x:c r="BC54" s="165" t="str">
        <x:f>IF(AND(BC$5&gt;=$C54,BC$5&lt;=$D54,$A54&lt;&gt;""),"●","")</x:f>
      </x:c>
      <x:c r="BD54" s="165" t="str">
        <x:f>IF(AND(BD$5&gt;=$C54,BD$5&lt;=$D54,$A54&lt;&gt;""),"●","")</x:f>
      </x:c>
      <x:c r="BE54" s="165" t="str">
        <x:f>IF(AND(BE$5&gt;=$C54,BE$5&lt;=$D54,$A54&lt;&gt;""),"●","")</x:f>
      </x:c>
      <x:c r="BF54" s="165" t="str">
        <x:f>IF(AND(BF$5&gt;=$C54,BF$5&lt;=$D54,$A54&lt;&gt;""),"●","")</x:f>
      </x:c>
      <x:c r="BG54" s="165" t="str">
        <x:f>IF(AND(BG$5&gt;=$C54,BG$5&lt;=$D54,$A54&lt;&gt;""),"●","")</x:f>
      </x:c>
      <x:c r="BH54" s="165" t="str">
        <x:f>IF(AND(BH$5&gt;=$C54,BH$5&lt;=$D54,$A54&lt;&gt;""),"●","")</x:f>
      </x:c>
      <x:c r="BI54" s="165" t="str">
        <x:f>IF(AND(BI$5&gt;=$C54,BI$5&lt;=$D54,$A54&lt;&gt;""),"●","")</x:f>
      </x:c>
      <x:c r="BJ54" s="165" t="str">
        <x:f>IF(AND(BJ$5&gt;=$C54,BJ$5&lt;=$D54,$A54&lt;&gt;""),"●","")</x:f>
      </x:c>
      <x:c r="BK54" s="165" t="str">
        <x:f>IF(AND(BK$5&gt;=$C54,BK$5&lt;=$D54,$A54&lt;&gt;""),"●","")</x:f>
      </x:c>
      <x:c r="BL54" s="165" t="str">
        <x:f>IF(AND(BL$5&gt;=$C54,BL$5&lt;=$D54,$A54&lt;&gt;""),"●","")</x:f>
      </x:c>
      <x:c r="BM54" s="165" t="str">
        <x:f>IF(AND(BM$5&gt;=$C54,BM$5&lt;=$D54,$A54&lt;&gt;""),"●","")</x:f>
      </x:c>
      <x:c r="BN54" s="165" t="str">
        <x:f>IF(AND(BN$5&gt;=$C54,BN$5&lt;=$D54,$A54&lt;&gt;""),"●","")</x:f>
      </x:c>
      <x:c r="BO54" s="165" t="str">
        <x:f>IF(AND(BO$5&gt;=$C54,BO$5&lt;=$D54,$A54&lt;&gt;""),"●","")</x:f>
      </x:c>
      <x:c r="BP54" s="165" t="str">
        <x:f>IF(AND(BP$5&gt;=$C54,BP$5&lt;=$D54,$A54&lt;&gt;""),"●","")</x:f>
      </x:c>
      <x:c r="BQ54" s="165" t="str">
        <x:f>IF(AND(BQ$5&gt;=$C54,BQ$5&lt;=$D54,$A54&lt;&gt;""),"●","")</x:f>
      </x:c>
      <x:c r="BR54" s="165" t="str">
        <x:f>IF(AND(BR$5&gt;=$C54,BR$5&lt;=$D54,$A54&lt;&gt;""),"●","")</x:f>
      </x:c>
      <x:c r="BS54" s="165" t="str">
        <x:f>IF(AND(BS$5&gt;=$C54,BS$5&lt;=$D54,$A54&lt;&gt;""),"●","")</x:f>
      </x:c>
      <x:c r="BT54" s="165" t="str">
        <x:f>IF(AND(BT$5&gt;=$C54,BT$5&lt;=$D54,$A54&lt;&gt;""),"●","")</x:f>
      </x:c>
      <x:c r="BU54" s="165" t="str">
        <x:f>IF(AND(BU$5&gt;=$C54,BU$5&lt;=$D54,$A54&lt;&gt;""),"●","")</x:f>
      </x:c>
      <x:c r="BV54" s="165" t="str">
        <x:f>IF(AND(BV$5&gt;=$C54,BV$5&lt;=$D54,$A54&lt;&gt;""),"●","")</x:f>
      </x:c>
      <x:c r="BW54" s="165" t="str">
        <x:f>IF(AND(BW$5&gt;=$C54,BW$5&lt;=$D54,$A54&lt;&gt;""),"●","")</x:f>
      </x:c>
    </x:row>
    <x:row r="55">
      <x:c r="A55" s="159" t="str">
        <x:f>IF('รายการสัญญา'!A55="","",'รายการสัญญา'!A55)</x:f>
      </x:c>
      <x:c r="B55" s="159" t="str">
        <x:f>IF('รายการสัญญา'!A55="","",'รายการสัญญา'!C55)</x:f>
      </x:c>
      <x:c r="C55" s="162" t="str">
        <x:f>IF('รายการสัญญา'!A55="","",'รายการสัญญา'!E55)</x:f>
      </x:c>
      <x:c r="D55" s="162" t="str">
        <x:f>IF('รายการสัญญา'!A55="","",'รายการสัญญา'!G55)</x:f>
      </x:c>
      <x:c r="E55" s="159" t="str">
        <x:f>IF('รายการสัญญา'!A55="","",'รายการสัญญา'!K55)</x:f>
      </x:c>
      <x:c r="F55" s="165" t="str">
        <x:f>IF(AND(F$5&gt;=$C55,F$5&lt;=$D55,$A55&lt;&gt;""),"●","")</x:f>
      </x:c>
      <x:c r="G55" s="165" t="str">
        <x:f>IF(AND(G$5&gt;=$C55,G$5&lt;=$D55,$A55&lt;&gt;""),"●","")</x:f>
      </x:c>
      <x:c r="H55" s="165" t="str">
        <x:f>IF(AND(H$5&gt;=$C55,H$5&lt;=$D55,$A55&lt;&gt;""),"●","")</x:f>
      </x:c>
      <x:c r="I55" s="165" t="str">
        <x:f>IF(AND(I$5&gt;=$C55,I$5&lt;=$D55,$A55&lt;&gt;""),"●","")</x:f>
      </x:c>
      <x:c r="J55" s="165" t="str">
        <x:f>IF(AND(J$5&gt;=$C55,J$5&lt;=$D55,$A55&lt;&gt;""),"●","")</x:f>
      </x:c>
      <x:c r="K55" s="165" t="str">
        <x:f>IF(AND(K$5&gt;=$C55,K$5&lt;=$D55,$A55&lt;&gt;""),"●","")</x:f>
      </x:c>
      <x:c r="L55" s="165" t="str">
        <x:f>IF(AND(L$5&gt;=$C55,L$5&lt;=$D55,$A55&lt;&gt;""),"●","")</x:f>
      </x:c>
      <x:c r="M55" s="165" t="str">
        <x:f>IF(AND(M$5&gt;=$C55,M$5&lt;=$D55,$A55&lt;&gt;""),"●","")</x:f>
      </x:c>
      <x:c r="N55" s="165" t="str">
        <x:f>IF(AND(N$5&gt;=$C55,N$5&lt;=$D55,$A55&lt;&gt;""),"●","")</x:f>
      </x:c>
      <x:c r="O55" s="165" t="str">
        <x:f>IF(AND(O$5&gt;=$C55,O$5&lt;=$D55,$A55&lt;&gt;""),"●","")</x:f>
      </x:c>
      <x:c r="P55" s="165" t="str">
        <x:f>IF(AND(P$5&gt;=$C55,P$5&lt;=$D55,$A55&lt;&gt;""),"●","")</x:f>
      </x:c>
      <x:c r="Q55" s="165" t="str">
        <x:f>IF(AND(Q$5&gt;=$C55,Q$5&lt;=$D55,$A55&lt;&gt;""),"●","")</x:f>
      </x:c>
      <x:c r="R55" s="165" t="str">
        <x:f>IF(AND(R$5&gt;=$C55,R$5&lt;=$D55,$A55&lt;&gt;""),"●","")</x:f>
      </x:c>
      <x:c r="S55" s="165" t="str">
        <x:f>IF(AND(S$5&gt;=$C55,S$5&lt;=$D55,$A55&lt;&gt;""),"●","")</x:f>
      </x:c>
      <x:c r="T55" s="165" t="str">
        <x:f>IF(AND(T$5&gt;=$C55,T$5&lt;=$D55,$A55&lt;&gt;""),"●","")</x:f>
      </x:c>
      <x:c r="U55" s="165" t="str">
        <x:f>IF(AND(U$5&gt;=$C55,U$5&lt;=$D55,$A55&lt;&gt;""),"●","")</x:f>
      </x:c>
      <x:c r="V55" s="165" t="str">
        <x:f>IF(AND(V$5&gt;=$C55,V$5&lt;=$D55,$A55&lt;&gt;""),"●","")</x:f>
      </x:c>
      <x:c r="W55" s="165" t="str">
        <x:f>IF(AND(W$5&gt;=$C55,W$5&lt;=$D55,$A55&lt;&gt;""),"●","")</x:f>
      </x:c>
      <x:c r="X55" s="165" t="str">
        <x:f>IF(AND(X$5&gt;=$C55,X$5&lt;=$D55,$A55&lt;&gt;""),"●","")</x:f>
      </x:c>
      <x:c r="Y55" s="165" t="str">
        <x:f>IF(AND(Y$5&gt;=$C55,Y$5&lt;=$D55,$A55&lt;&gt;""),"●","")</x:f>
      </x:c>
      <x:c r="Z55" s="165" t="str">
        <x:f>IF(AND(Z$5&gt;=$C55,Z$5&lt;=$D55,$A55&lt;&gt;""),"●","")</x:f>
      </x:c>
      <x:c r="AA55" s="165" t="str">
        <x:f>IF(AND(AA$5&gt;=$C55,AA$5&lt;=$D55,$A55&lt;&gt;""),"●","")</x:f>
      </x:c>
      <x:c r="AB55" s="165" t="str">
        <x:f>IF(AND(AB$5&gt;=$C55,AB$5&lt;=$D55,$A55&lt;&gt;""),"●","")</x:f>
      </x:c>
      <x:c r="AC55" s="165" t="str">
        <x:f>IF(AND(AC$5&gt;=$C55,AC$5&lt;=$D55,$A55&lt;&gt;""),"●","")</x:f>
      </x:c>
      <x:c r="AD55" s="165" t="str">
        <x:f>IF(AND(AD$5&gt;=$C55,AD$5&lt;=$D55,$A55&lt;&gt;""),"●","")</x:f>
      </x:c>
      <x:c r="AE55" s="165" t="str">
        <x:f>IF(AND(AE$5&gt;=$C55,AE$5&lt;=$D55,$A55&lt;&gt;""),"●","")</x:f>
      </x:c>
      <x:c r="AF55" s="165" t="str">
        <x:f>IF(AND(AF$5&gt;=$C55,AF$5&lt;=$D55,$A55&lt;&gt;""),"●","")</x:f>
      </x:c>
      <x:c r="AG55" s="165" t="str">
        <x:f>IF(AND(AG$5&gt;=$C55,AG$5&lt;=$D55,$A55&lt;&gt;""),"●","")</x:f>
      </x:c>
      <x:c r="AH55" s="165" t="str">
        <x:f>IF(AND(AH$5&gt;=$C55,AH$5&lt;=$D55,$A55&lt;&gt;""),"●","")</x:f>
      </x:c>
      <x:c r="AI55" s="165" t="str">
        <x:f>IF(AND(AI$5&gt;=$C55,AI$5&lt;=$D55,$A55&lt;&gt;""),"●","")</x:f>
      </x:c>
      <x:c r="AJ55" s="165" t="str">
        <x:f>IF(AND(AJ$5&gt;=$C55,AJ$5&lt;=$D55,$A55&lt;&gt;""),"●","")</x:f>
      </x:c>
      <x:c r="AK55" s="165" t="str">
        <x:f>IF(AND(AK$5&gt;=$C55,AK$5&lt;=$D55,$A55&lt;&gt;""),"●","")</x:f>
      </x:c>
      <x:c r="AL55" s="165" t="str">
        <x:f>IF(AND(AL$5&gt;=$C55,AL$5&lt;=$D55,$A55&lt;&gt;""),"●","")</x:f>
      </x:c>
      <x:c r="AM55" s="165" t="str">
        <x:f>IF(AND(AM$5&gt;=$C55,AM$5&lt;=$D55,$A55&lt;&gt;""),"●","")</x:f>
      </x:c>
      <x:c r="AN55" s="165" t="str">
        <x:f>IF(AND(AN$5&gt;=$C55,AN$5&lt;=$D55,$A55&lt;&gt;""),"●","")</x:f>
      </x:c>
      <x:c r="AO55" s="165" t="str">
        <x:f>IF(AND(AO$5&gt;=$C55,AO$5&lt;=$D55,$A55&lt;&gt;""),"●","")</x:f>
      </x:c>
      <x:c r="AP55" s="165" t="str">
        <x:f>IF(AND(AP$5&gt;=$C55,AP$5&lt;=$D55,$A55&lt;&gt;""),"●","")</x:f>
      </x:c>
      <x:c r="AQ55" s="165" t="str">
        <x:f>IF(AND(AQ$5&gt;=$C55,AQ$5&lt;=$D55,$A55&lt;&gt;""),"●","")</x:f>
      </x:c>
      <x:c r="AR55" s="165" t="str">
        <x:f>IF(AND(AR$5&gt;=$C55,AR$5&lt;=$D55,$A55&lt;&gt;""),"●","")</x:f>
      </x:c>
      <x:c r="AS55" s="165" t="str">
        <x:f>IF(AND(AS$5&gt;=$C55,AS$5&lt;=$D55,$A55&lt;&gt;""),"●","")</x:f>
      </x:c>
      <x:c r="AT55" s="165" t="str">
        <x:f>IF(AND(AT$5&gt;=$C55,AT$5&lt;=$D55,$A55&lt;&gt;""),"●","")</x:f>
      </x:c>
      <x:c r="AU55" s="165" t="str">
        <x:f>IF(AND(AU$5&gt;=$C55,AU$5&lt;=$D55,$A55&lt;&gt;""),"●","")</x:f>
      </x:c>
      <x:c r="AV55" s="165" t="str">
        <x:f>IF(AND(AV$5&gt;=$C55,AV$5&lt;=$D55,$A55&lt;&gt;""),"●","")</x:f>
      </x:c>
      <x:c r="AW55" s="165" t="str">
        <x:f>IF(AND(AW$5&gt;=$C55,AW$5&lt;=$D55,$A55&lt;&gt;""),"●","")</x:f>
      </x:c>
      <x:c r="AX55" s="165" t="str">
        <x:f>IF(AND(AX$5&gt;=$C55,AX$5&lt;=$D55,$A55&lt;&gt;""),"●","")</x:f>
      </x:c>
      <x:c r="AY55" s="165" t="str">
        <x:f>IF(AND(AY$5&gt;=$C55,AY$5&lt;=$D55,$A55&lt;&gt;""),"●","")</x:f>
      </x:c>
      <x:c r="AZ55" s="165" t="str">
        <x:f>IF(AND(AZ$5&gt;=$C55,AZ$5&lt;=$D55,$A55&lt;&gt;""),"●","")</x:f>
      </x:c>
      <x:c r="BA55" s="165" t="str">
        <x:f>IF(AND(BA$5&gt;=$C55,BA$5&lt;=$D55,$A55&lt;&gt;""),"●","")</x:f>
      </x:c>
      <x:c r="BB55" s="165" t="str">
        <x:f>IF(AND(BB$5&gt;=$C55,BB$5&lt;=$D55,$A55&lt;&gt;""),"●","")</x:f>
      </x:c>
      <x:c r="BC55" s="165" t="str">
        <x:f>IF(AND(BC$5&gt;=$C55,BC$5&lt;=$D55,$A55&lt;&gt;""),"●","")</x:f>
      </x:c>
      <x:c r="BD55" s="165" t="str">
        <x:f>IF(AND(BD$5&gt;=$C55,BD$5&lt;=$D55,$A55&lt;&gt;""),"●","")</x:f>
      </x:c>
      <x:c r="BE55" s="165" t="str">
        <x:f>IF(AND(BE$5&gt;=$C55,BE$5&lt;=$D55,$A55&lt;&gt;""),"●","")</x:f>
      </x:c>
      <x:c r="BF55" s="165" t="str">
        <x:f>IF(AND(BF$5&gt;=$C55,BF$5&lt;=$D55,$A55&lt;&gt;""),"●","")</x:f>
      </x:c>
      <x:c r="BG55" s="165" t="str">
        <x:f>IF(AND(BG$5&gt;=$C55,BG$5&lt;=$D55,$A55&lt;&gt;""),"●","")</x:f>
      </x:c>
      <x:c r="BH55" s="165" t="str">
        <x:f>IF(AND(BH$5&gt;=$C55,BH$5&lt;=$D55,$A55&lt;&gt;""),"●","")</x:f>
      </x:c>
      <x:c r="BI55" s="165" t="str">
        <x:f>IF(AND(BI$5&gt;=$C55,BI$5&lt;=$D55,$A55&lt;&gt;""),"●","")</x:f>
      </x:c>
      <x:c r="BJ55" s="165" t="str">
        <x:f>IF(AND(BJ$5&gt;=$C55,BJ$5&lt;=$D55,$A55&lt;&gt;""),"●","")</x:f>
      </x:c>
      <x:c r="BK55" s="165" t="str">
        <x:f>IF(AND(BK$5&gt;=$C55,BK$5&lt;=$D55,$A55&lt;&gt;""),"●","")</x:f>
      </x:c>
      <x:c r="BL55" s="165" t="str">
        <x:f>IF(AND(BL$5&gt;=$C55,BL$5&lt;=$D55,$A55&lt;&gt;""),"●","")</x:f>
      </x:c>
      <x:c r="BM55" s="165" t="str">
        <x:f>IF(AND(BM$5&gt;=$C55,BM$5&lt;=$D55,$A55&lt;&gt;""),"●","")</x:f>
      </x:c>
      <x:c r="BN55" s="165" t="str">
        <x:f>IF(AND(BN$5&gt;=$C55,BN$5&lt;=$D55,$A55&lt;&gt;""),"●","")</x:f>
      </x:c>
      <x:c r="BO55" s="165" t="str">
        <x:f>IF(AND(BO$5&gt;=$C55,BO$5&lt;=$D55,$A55&lt;&gt;""),"●","")</x:f>
      </x:c>
      <x:c r="BP55" s="165" t="str">
        <x:f>IF(AND(BP$5&gt;=$C55,BP$5&lt;=$D55,$A55&lt;&gt;""),"●","")</x:f>
      </x:c>
      <x:c r="BQ55" s="165" t="str">
        <x:f>IF(AND(BQ$5&gt;=$C55,BQ$5&lt;=$D55,$A55&lt;&gt;""),"●","")</x:f>
      </x:c>
      <x:c r="BR55" s="165" t="str">
        <x:f>IF(AND(BR$5&gt;=$C55,BR$5&lt;=$D55,$A55&lt;&gt;""),"●","")</x:f>
      </x:c>
      <x:c r="BS55" s="165" t="str">
        <x:f>IF(AND(BS$5&gt;=$C55,BS$5&lt;=$D55,$A55&lt;&gt;""),"●","")</x:f>
      </x:c>
      <x:c r="BT55" s="165" t="str">
        <x:f>IF(AND(BT$5&gt;=$C55,BT$5&lt;=$D55,$A55&lt;&gt;""),"●","")</x:f>
      </x:c>
      <x:c r="BU55" s="165" t="str">
        <x:f>IF(AND(BU$5&gt;=$C55,BU$5&lt;=$D55,$A55&lt;&gt;""),"●","")</x:f>
      </x:c>
      <x:c r="BV55" s="165" t="str">
        <x:f>IF(AND(BV$5&gt;=$C55,BV$5&lt;=$D55,$A55&lt;&gt;""),"●","")</x:f>
      </x:c>
      <x:c r="BW55" s="165" t="str">
        <x:f>IF(AND(BW$5&gt;=$C55,BW$5&lt;=$D55,$A55&lt;&gt;""),"●","")</x:f>
      </x:c>
    </x:row>
    <x:row r="56">
      <x:c r="A56" s="159" t="str">
        <x:f>IF('รายการสัญญา'!A56="","",'รายการสัญญา'!A56)</x:f>
      </x:c>
      <x:c r="B56" s="159" t="str">
        <x:f>IF('รายการสัญญา'!A56="","",'รายการสัญญา'!C56)</x:f>
      </x:c>
      <x:c r="C56" s="162" t="str">
        <x:f>IF('รายการสัญญา'!A56="","",'รายการสัญญา'!E56)</x:f>
      </x:c>
      <x:c r="D56" s="162" t="str">
        <x:f>IF('รายการสัญญา'!A56="","",'รายการสัญญา'!G56)</x:f>
      </x:c>
      <x:c r="E56" s="159" t="str">
        <x:f>IF('รายการสัญญา'!A56="","",'รายการสัญญา'!K56)</x:f>
      </x:c>
      <x:c r="F56" s="165" t="str">
        <x:f>IF(AND(F$5&gt;=$C56,F$5&lt;=$D56,$A56&lt;&gt;""),"●","")</x:f>
      </x:c>
      <x:c r="G56" s="165" t="str">
        <x:f>IF(AND(G$5&gt;=$C56,G$5&lt;=$D56,$A56&lt;&gt;""),"●","")</x:f>
      </x:c>
      <x:c r="H56" s="165" t="str">
        <x:f>IF(AND(H$5&gt;=$C56,H$5&lt;=$D56,$A56&lt;&gt;""),"●","")</x:f>
      </x:c>
      <x:c r="I56" s="165" t="str">
        <x:f>IF(AND(I$5&gt;=$C56,I$5&lt;=$D56,$A56&lt;&gt;""),"●","")</x:f>
      </x:c>
      <x:c r="J56" s="165" t="str">
        <x:f>IF(AND(J$5&gt;=$C56,J$5&lt;=$D56,$A56&lt;&gt;""),"●","")</x:f>
      </x:c>
      <x:c r="K56" s="165" t="str">
        <x:f>IF(AND(K$5&gt;=$C56,K$5&lt;=$D56,$A56&lt;&gt;""),"●","")</x:f>
      </x:c>
      <x:c r="L56" s="165" t="str">
        <x:f>IF(AND(L$5&gt;=$C56,L$5&lt;=$D56,$A56&lt;&gt;""),"●","")</x:f>
      </x:c>
      <x:c r="M56" s="165" t="str">
        <x:f>IF(AND(M$5&gt;=$C56,M$5&lt;=$D56,$A56&lt;&gt;""),"●","")</x:f>
      </x:c>
      <x:c r="N56" s="165" t="str">
        <x:f>IF(AND(N$5&gt;=$C56,N$5&lt;=$D56,$A56&lt;&gt;""),"●","")</x:f>
      </x:c>
      <x:c r="O56" s="165" t="str">
        <x:f>IF(AND(O$5&gt;=$C56,O$5&lt;=$D56,$A56&lt;&gt;""),"●","")</x:f>
      </x:c>
      <x:c r="P56" s="165" t="str">
        <x:f>IF(AND(P$5&gt;=$C56,P$5&lt;=$D56,$A56&lt;&gt;""),"●","")</x:f>
      </x:c>
      <x:c r="Q56" s="165" t="str">
        <x:f>IF(AND(Q$5&gt;=$C56,Q$5&lt;=$D56,$A56&lt;&gt;""),"●","")</x:f>
      </x:c>
      <x:c r="R56" s="165" t="str">
        <x:f>IF(AND(R$5&gt;=$C56,R$5&lt;=$D56,$A56&lt;&gt;""),"●","")</x:f>
      </x:c>
      <x:c r="S56" s="165" t="str">
        <x:f>IF(AND(S$5&gt;=$C56,S$5&lt;=$D56,$A56&lt;&gt;""),"●","")</x:f>
      </x:c>
      <x:c r="T56" s="165" t="str">
        <x:f>IF(AND(T$5&gt;=$C56,T$5&lt;=$D56,$A56&lt;&gt;""),"●","")</x:f>
      </x:c>
      <x:c r="U56" s="165" t="str">
        <x:f>IF(AND(U$5&gt;=$C56,U$5&lt;=$D56,$A56&lt;&gt;""),"●","")</x:f>
      </x:c>
      <x:c r="V56" s="165" t="str">
        <x:f>IF(AND(V$5&gt;=$C56,V$5&lt;=$D56,$A56&lt;&gt;""),"●","")</x:f>
      </x:c>
      <x:c r="W56" s="165" t="str">
        <x:f>IF(AND(W$5&gt;=$C56,W$5&lt;=$D56,$A56&lt;&gt;""),"●","")</x:f>
      </x:c>
      <x:c r="X56" s="165" t="str">
        <x:f>IF(AND(X$5&gt;=$C56,X$5&lt;=$D56,$A56&lt;&gt;""),"●","")</x:f>
      </x:c>
      <x:c r="Y56" s="165" t="str">
        <x:f>IF(AND(Y$5&gt;=$C56,Y$5&lt;=$D56,$A56&lt;&gt;""),"●","")</x:f>
      </x:c>
      <x:c r="Z56" s="165" t="str">
        <x:f>IF(AND(Z$5&gt;=$C56,Z$5&lt;=$D56,$A56&lt;&gt;""),"●","")</x:f>
      </x:c>
      <x:c r="AA56" s="165" t="str">
        <x:f>IF(AND(AA$5&gt;=$C56,AA$5&lt;=$D56,$A56&lt;&gt;""),"●","")</x:f>
      </x:c>
      <x:c r="AB56" s="165" t="str">
        <x:f>IF(AND(AB$5&gt;=$C56,AB$5&lt;=$D56,$A56&lt;&gt;""),"●","")</x:f>
      </x:c>
      <x:c r="AC56" s="165" t="str">
        <x:f>IF(AND(AC$5&gt;=$C56,AC$5&lt;=$D56,$A56&lt;&gt;""),"●","")</x:f>
      </x:c>
      <x:c r="AD56" s="165" t="str">
        <x:f>IF(AND(AD$5&gt;=$C56,AD$5&lt;=$D56,$A56&lt;&gt;""),"●","")</x:f>
      </x:c>
      <x:c r="AE56" s="165" t="str">
        <x:f>IF(AND(AE$5&gt;=$C56,AE$5&lt;=$D56,$A56&lt;&gt;""),"●","")</x:f>
      </x:c>
      <x:c r="AF56" s="165" t="str">
        <x:f>IF(AND(AF$5&gt;=$C56,AF$5&lt;=$D56,$A56&lt;&gt;""),"●","")</x:f>
      </x:c>
      <x:c r="AG56" s="165" t="str">
        <x:f>IF(AND(AG$5&gt;=$C56,AG$5&lt;=$D56,$A56&lt;&gt;""),"●","")</x:f>
      </x:c>
      <x:c r="AH56" s="165" t="str">
        <x:f>IF(AND(AH$5&gt;=$C56,AH$5&lt;=$D56,$A56&lt;&gt;""),"●","")</x:f>
      </x:c>
      <x:c r="AI56" s="165" t="str">
        <x:f>IF(AND(AI$5&gt;=$C56,AI$5&lt;=$D56,$A56&lt;&gt;""),"●","")</x:f>
      </x:c>
      <x:c r="AJ56" s="165" t="str">
        <x:f>IF(AND(AJ$5&gt;=$C56,AJ$5&lt;=$D56,$A56&lt;&gt;""),"●","")</x:f>
      </x:c>
      <x:c r="AK56" s="165" t="str">
        <x:f>IF(AND(AK$5&gt;=$C56,AK$5&lt;=$D56,$A56&lt;&gt;""),"●","")</x:f>
      </x:c>
      <x:c r="AL56" s="165" t="str">
        <x:f>IF(AND(AL$5&gt;=$C56,AL$5&lt;=$D56,$A56&lt;&gt;""),"●","")</x:f>
      </x:c>
      <x:c r="AM56" s="165" t="str">
        <x:f>IF(AND(AM$5&gt;=$C56,AM$5&lt;=$D56,$A56&lt;&gt;""),"●","")</x:f>
      </x:c>
      <x:c r="AN56" s="165" t="str">
        <x:f>IF(AND(AN$5&gt;=$C56,AN$5&lt;=$D56,$A56&lt;&gt;""),"●","")</x:f>
      </x:c>
      <x:c r="AO56" s="165" t="str">
        <x:f>IF(AND(AO$5&gt;=$C56,AO$5&lt;=$D56,$A56&lt;&gt;""),"●","")</x:f>
      </x:c>
      <x:c r="AP56" s="165" t="str">
        <x:f>IF(AND(AP$5&gt;=$C56,AP$5&lt;=$D56,$A56&lt;&gt;""),"●","")</x:f>
      </x:c>
      <x:c r="AQ56" s="165" t="str">
        <x:f>IF(AND(AQ$5&gt;=$C56,AQ$5&lt;=$D56,$A56&lt;&gt;""),"●","")</x:f>
      </x:c>
      <x:c r="AR56" s="165" t="str">
        <x:f>IF(AND(AR$5&gt;=$C56,AR$5&lt;=$D56,$A56&lt;&gt;""),"●","")</x:f>
      </x:c>
      <x:c r="AS56" s="165" t="str">
        <x:f>IF(AND(AS$5&gt;=$C56,AS$5&lt;=$D56,$A56&lt;&gt;""),"●","")</x:f>
      </x:c>
      <x:c r="AT56" s="165" t="str">
        <x:f>IF(AND(AT$5&gt;=$C56,AT$5&lt;=$D56,$A56&lt;&gt;""),"●","")</x:f>
      </x:c>
      <x:c r="AU56" s="165" t="str">
        <x:f>IF(AND(AU$5&gt;=$C56,AU$5&lt;=$D56,$A56&lt;&gt;""),"●","")</x:f>
      </x:c>
      <x:c r="AV56" s="165" t="str">
        <x:f>IF(AND(AV$5&gt;=$C56,AV$5&lt;=$D56,$A56&lt;&gt;""),"●","")</x:f>
      </x:c>
      <x:c r="AW56" s="165" t="str">
        <x:f>IF(AND(AW$5&gt;=$C56,AW$5&lt;=$D56,$A56&lt;&gt;""),"●","")</x:f>
      </x:c>
      <x:c r="AX56" s="165" t="str">
        <x:f>IF(AND(AX$5&gt;=$C56,AX$5&lt;=$D56,$A56&lt;&gt;""),"●","")</x:f>
      </x:c>
      <x:c r="AY56" s="165" t="str">
        <x:f>IF(AND(AY$5&gt;=$C56,AY$5&lt;=$D56,$A56&lt;&gt;""),"●","")</x:f>
      </x:c>
      <x:c r="AZ56" s="165" t="str">
        <x:f>IF(AND(AZ$5&gt;=$C56,AZ$5&lt;=$D56,$A56&lt;&gt;""),"●","")</x:f>
      </x:c>
      <x:c r="BA56" s="165" t="str">
        <x:f>IF(AND(BA$5&gt;=$C56,BA$5&lt;=$D56,$A56&lt;&gt;""),"●","")</x:f>
      </x:c>
      <x:c r="BB56" s="165" t="str">
        <x:f>IF(AND(BB$5&gt;=$C56,BB$5&lt;=$D56,$A56&lt;&gt;""),"●","")</x:f>
      </x:c>
      <x:c r="BC56" s="165" t="str">
        <x:f>IF(AND(BC$5&gt;=$C56,BC$5&lt;=$D56,$A56&lt;&gt;""),"●","")</x:f>
      </x:c>
      <x:c r="BD56" s="165" t="str">
        <x:f>IF(AND(BD$5&gt;=$C56,BD$5&lt;=$D56,$A56&lt;&gt;""),"●","")</x:f>
      </x:c>
      <x:c r="BE56" s="165" t="str">
        <x:f>IF(AND(BE$5&gt;=$C56,BE$5&lt;=$D56,$A56&lt;&gt;""),"●","")</x:f>
      </x:c>
      <x:c r="BF56" s="165" t="str">
        <x:f>IF(AND(BF$5&gt;=$C56,BF$5&lt;=$D56,$A56&lt;&gt;""),"●","")</x:f>
      </x:c>
      <x:c r="BG56" s="165" t="str">
        <x:f>IF(AND(BG$5&gt;=$C56,BG$5&lt;=$D56,$A56&lt;&gt;""),"●","")</x:f>
      </x:c>
      <x:c r="BH56" s="165" t="str">
        <x:f>IF(AND(BH$5&gt;=$C56,BH$5&lt;=$D56,$A56&lt;&gt;""),"●","")</x:f>
      </x:c>
      <x:c r="BI56" s="165" t="str">
        <x:f>IF(AND(BI$5&gt;=$C56,BI$5&lt;=$D56,$A56&lt;&gt;""),"●","")</x:f>
      </x:c>
      <x:c r="BJ56" s="165" t="str">
        <x:f>IF(AND(BJ$5&gt;=$C56,BJ$5&lt;=$D56,$A56&lt;&gt;""),"●","")</x:f>
      </x:c>
      <x:c r="BK56" s="165" t="str">
        <x:f>IF(AND(BK$5&gt;=$C56,BK$5&lt;=$D56,$A56&lt;&gt;""),"●","")</x:f>
      </x:c>
      <x:c r="BL56" s="165" t="str">
        <x:f>IF(AND(BL$5&gt;=$C56,BL$5&lt;=$D56,$A56&lt;&gt;""),"●","")</x:f>
      </x:c>
      <x:c r="BM56" s="165" t="str">
        <x:f>IF(AND(BM$5&gt;=$C56,BM$5&lt;=$D56,$A56&lt;&gt;""),"●","")</x:f>
      </x:c>
      <x:c r="BN56" s="165" t="str">
        <x:f>IF(AND(BN$5&gt;=$C56,BN$5&lt;=$D56,$A56&lt;&gt;""),"●","")</x:f>
      </x:c>
      <x:c r="BO56" s="165" t="str">
        <x:f>IF(AND(BO$5&gt;=$C56,BO$5&lt;=$D56,$A56&lt;&gt;""),"●","")</x:f>
      </x:c>
      <x:c r="BP56" s="165" t="str">
        <x:f>IF(AND(BP$5&gt;=$C56,BP$5&lt;=$D56,$A56&lt;&gt;""),"●","")</x:f>
      </x:c>
      <x:c r="BQ56" s="165" t="str">
        <x:f>IF(AND(BQ$5&gt;=$C56,BQ$5&lt;=$D56,$A56&lt;&gt;""),"●","")</x:f>
      </x:c>
      <x:c r="BR56" s="165" t="str">
        <x:f>IF(AND(BR$5&gt;=$C56,BR$5&lt;=$D56,$A56&lt;&gt;""),"●","")</x:f>
      </x:c>
      <x:c r="BS56" s="165" t="str">
        <x:f>IF(AND(BS$5&gt;=$C56,BS$5&lt;=$D56,$A56&lt;&gt;""),"●","")</x:f>
      </x:c>
      <x:c r="BT56" s="165" t="str">
        <x:f>IF(AND(BT$5&gt;=$C56,BT$5&lt;=$D56,$A56&lt;&gt;""),"●","")</x:f>
      </x:c>
      <x:c r="BU56" s="165" t="str">
        <x:f>IF(AND(BU$5&gt;=$C56,BU$5&lt;=$D56,$A56&lt;&gt;""),"●","")</x:f>
      </x:c>
      <x:c r="BV56" s="165" t="str">
        <x:f>IF(AND(BV$5&gt;=$C56,BV$5&lt;=$D56,$A56&lt;&gt;""),"●","")</x:f>
      </x:c>
      <x:c r="BW56" s="165" t="str">
        <x:f>IF(AND(BW$5&gt;=$C56,BW$5&lt;=$D56,$A56&lt;&gt;""),"●","")</x:f>
      </x:c>
    </x:row>
    <x:row r="57">
      <x:c r="A57" s="159" t="str">
        <x:f>IF('รายการสัญญา'!A57="","",'รายการสัญญา'!A57)</x:f>
      </x:c>
      <x:c r="B57" s="159" t="str">
        <x:f>IF('รายการสัญญา'!A57="","",'รายการสัญญา'!C57)</x:f>
      </x:c>
      <x:c r="C57" s="162" t="str">
        <x:f>IF('รายการสัญญา'!A57="","",'รายการสัญญา'!E57)</x:f>
      </x:c>
      <x:c r="D57" s="162" t="str">
        <x:f>IF('รายการสัญญา'!A57="","",'รายการสัญญา'!G57)</x:f>
      </x:c>
      <x:c r="E57" s="159" t="str">
        <x:f>IF('รายการสัญญา'!A57="","",'รายการสัญญา'!K57)</x:f>
      </x:c>
      <x:c r="F57" s="165" t="str">
        <x:f>IF(AND(F$5&gt;=$C57,F$5&lt;=$D57,$A57&lt;&gt;""),"●","")</x:f>
      </x:c>
      <x:c r="G57" s="165" t="str">
        <x:f>IF(AND(G$5&gt;=$C57,G$5&lt;=$D57,$A57&lt;&gt;""),"●","")</x:f>
      </x:c>
      <x:c r="H57" s="165" t="str">
        <x:f>IF(AND(H$5&gt;=$C57,H$5&lt;=$D57,$A57&lt;&gt;""),"●","")</x:f>
      </x:c>
      <x:c r="I57" s="165" t="str">
        <x:f>IF(AND(I$5&gt;=$C57,I$5&lt;=$D57,$A57&lt;&gt;""),"●","")</x:f>
      </x:c>
      <x:c r="J57" s="165" t="str">
        <x:f>IF(AND(J$5&gt;=$C57,J$5&lt;=$D57,$A57&lt;&gt;""),"●","")</x:f>
      </x:c>
      <x:c r="K57" s="165" t="str">
        <x:f>IF(AND(K$5&gt;=$C57,K$5&lt;=$D57,$A57&lt;&gt;""),"●","")</x:f>
      </x:c>
      <x:c r="L57" s="165" t="str">
        <x:f>IF(AND(L$5&gt;=$C57,L$5&lt;=$D57,$A57&lt;&gt;""),"●","")</x:f>
      </x:c>
      <x:c r="M57" s="165" t="str">
        <x:f>IF(AND(M$5&gt;=$C57,M$5&lt;=$D57,$A57&lt;&gt;""),"●","")</x:f>
      </x:c>
      <x:c r="N57" s="165" t="str">
        <x:f>IF(AND(N$5&gt;=$C57,N$5&lt;=$D57,$A57&lt;&gt;""),"●","")</x:f>
      </x:c>
      <x:c r="O57" s="165" t="str">
        <x:f>IF(AND(O$5&gt;=$C57,O$5&lt;=$D57,$A57&lt;&gt;""),"●","")</x:f>
      </x:c>
      <x:c r="P57" s="165" t="str">
        <x:f>IF(AND(P$5&gt;=$C57,P$5&lt;=$D57,$A57&lt;&gt;""),"●","")</x:f>
      </x:c>
      <x:c r="Q57" s="165" t="str">
        <x:f>IF(AND(Q$5&gt;=$C57,Q$5&lt;=$D57,$A57&lt;&gt;""),"●","")</x:f>
      </x:c>
      <x:c r="R57" s="165" t="str">
        <x:f>IF(AND(R$5&gt;=$C57,R$5&lt;=$D57,$A57&lt;&gt;""),"●","")</x:f>
      </x:c>
      <x:c r="S57" s="165" t="str">
        <x:f>IF(AND(S$5&gt;=$C57,S$5&lt;=$D57,$A57&lt;&gt;""),"●","")</x:f>
      </x:c>
      <x:c r="T57" s="165" t="str">
        <x:f>IF(AND(T$5&gt;=$C57,T$5&lt;=$D57,$A57&lt;&gt;""),"●","")</x:f>
      </x:c>
      <x:c r="U57" s="165" t="str">
        <x:f>IF(AND(U$5&gt;=$C57,U$5&lt;=$D57,$A57&lt;&gt;""),"●","")</x:f>
      </x:c>
      <x:c r="V57" s="165" t="str">
        <x:f>IF(AND(V$5&gt;=$C57,V$5&lt;=$D57,$A57&lt;&gt;""),"●","")</x:f>
      </x:c>
      <x:c r="W57" s="165" t="str">
        <x:f>IF(AND(W$5&gt;=$C57,W$5&lt;=$D57,$A57&lt;&gt;""),"●","")</x:f>
      </x:c>
      <x:c r="X57" s="165" t="str">
        <x:f>IF(AND(X$5&gt;=$C57,X$5&lt;=$D57,$A57&lt;&gt;""),"●","")</x:f>
      </x:c>
      <x:c r="Y57" s="165" t="str">
        <x:f>IF(AND(Y$5&gt;=$C57,Y$5&lt;=$D57,$A57&lt;&gt;""),"●","")</x:f>
      </x:c>
      <x:c r="Z57" s="165" t="str">
        <x:f>IF(AND(Z$5&gt;=$C57,Z$5&lt;=$D57,$A57&lt;&gt;""),"●","")</x:f>
      </x:c>
      <x:c r="AA57" s="165" t="str">
        <x:f>IF(AND(AA$5&gt;=$C57,AA$5&lt;=$D57,$A57&lt;&gt;""),"●","")</x:f>
      </x:c>
      <x:c r="AB57" s="165" t="str">
        <x:f>IF(AND(AB$5&gt;=$C57,AB$5&lt;=$D57,$A57&lt;&gt;""),"●","")</x:f>
      </x:c>
      <x:c r="AC57" s="165" t="str">
        <x:f>IF(AND(AC$5&gt;=$C57,AC$5&lt;=$D57,$A57&lt;&gt;""),"●","")</x:f>
      </x:c>
      <x:c r="AD57" s="165" t="str">
        <x:f>IF(AND(AD$5&gt;=$C57,AD$5&lt;=$D57,$A57&lt;&gt;""),"●","")</x:f>
      </x:c>
      <x:c r="AE57" s="165" t="str">
        <x:f>IF(AND(AE$5&gt;=$C57,AE$5&lt;=$D57,$A57&lt;&gt;""),"●","")</x:f>
      </x:c>
      <x:c r="AF57" s="165" t="str">
        <x:f>IF(AND(AF$5&gt;=$C57,AF$5&lt;=$D57,$A57&lt;&gt;""),"●","")</x:f>
      </x:c>
      <x:c r="AG57" s="165" t="str">
        <x:f>IF(AND(AG$5&gt;=$C57,AG$5&lt;=$D57,$A57&lt;&gt;""),"●","")</x:f>
      </x:c>
      <x:c r="AH57" s="165" t="str">
        <x:f>IF(AND(AH$5&gt;=$C57,AH$5&lt;=$D57,$A57&lt;&gt;""),"●","")</x:f>
      </x:c>
      <x:c r="AI57" s="165" t="str">
        <x:f>IF(AND(AI$5&gt;=$C57,AI$5&lt;=$D57,$A57&lt;&gt;""),"●","")</x:f>
      </x:c>
      <x:c r="AJ57" s="165" t="str">
        <x:f>IF(AND(AJ$5&gt;=$C57,AJ$5&lt;=$D57,$A57&lt;&gt;""),"●","")</x:f>
      </x:c>
      <x:c r="AK57" s="165" t="str">
        <x:f>IF(AND(AK$5&gt;=$C57,AK$5&lt;=$D57,$A57&lt;&gt;""),"●","")</x:f>
      </x:c>
      <x:c r="AL57" s="165" t="str">
        <x:f>IF(AND(AL$5&gt;=$C57,AL$5&lt;=$D57,$A57&lt;&gt;""),"●","")</x:f>
      </x:c>
      <x:c r="AM57" s="165" t="str">
        <x:f>IF(AND(AM$5&gt;=$C57,AM$5&lt;=$D57,$A57&lt;&gt;""),"●","")</x:f>
      </x:c>
      <x:c r="AN57" s="165" t="str">
        <x:f>IF(AND(AN$5&gt;=$C57,AN$5&lt;=$D57,$A57&lt;&gt;""),"●","")</x:f>
      </x:c>
      <x:c r="AO57" s="165" t="str">
        <x:f>IF(AND(AO$5&gt;=$C57,AO$5&lt;=$D57,$A57&lt;&gt;""),"●","")</x:f>
      </x:c>
      <x:c r="AP57" s="165" t="str">
        <x:f>IF(AND(AP$5&gt;=$C57,AP$5&lt;=$D57,$A57&lt;&gt;""),"●","")</x:f>
      </x:c>
      <x:c r="AQ57" s="165" t="str">
        <x:f>IF(AND(AQ$5&gt;=$C57,AQ$5&lt;=$D57,$A57&lt;&gt;""),"●","")</x:f>
      </x:c>
      <x:c r="AR57" s="165" t="str">
        <x:f>IF(AND(AR$5&gt;=$C57,AR$5&lt;=$D57,$A57&lt;&gt;""),"●","")</x:f>
      </x:c>
      <x:c r="AS57" s="165" t="str">
        <x:f>IF(AND(AS$5&gt;=$C57,AS$5&lt;=$D57,$A57&lt;&gt;""),"●","")</x:f>
      </x:c>
      <x:c r="AT57" s="165" t="str">
        <x:f>IF(AND(AT$5&gt;=$C57,AT$5&lt;=$D57,$A57&lt;&gt;""),"●","")</x:f>
      </x:c>
      <x:c r="AU57" s="165" t="str">
        <x:f>IF(AND(AU$5&gt;=$C57,AU$5&lt;=$D57,$A57&lt;&gt;""),"●","")</x:f>
      </x:c>
      <x:c r="AV57" s="165" t="str">
        <x:f>IF(AND(AV$5&gt;=$C57,AV$5&lt;=$D57,$A57&lt;&gt;""),"●","")</x:f>
      </x:c>
      <x:c r="AW57" s="165" t="str">
        <x:f>IF(AND(AW$5&gt;=$C57,AW$5&lt;=$D57,$A57&lt;&gt;""),"●","")</x:f>
      </x:c>
      <x:c r="AX57" s="165" t="str">
        <x:f>IF(AND(AX$5&gt;=$C57,AX$5&lt;=$D57,$A57&lt;&gt;""),"●","")</x:f>
      </x:c>
      <x:c r="AY57" s="165" t="str">
        <x:f>IF(AND(AY$5&gt;=$C57,AY$5&lt;=$D57,$A57&lt;&gt;""),"●","")</x:f>
      </x:c>
      <x:c r="AZ57" s="165" t="str">
        <x:f>IF(AND(AZ$5&gt;=$C57,AZ$5&lt;=$D57,$A57&lt;&gt;""),"●","")</x:f>
      </x:c>
      <x:c r="BA57" s="165" t="str">
        <x:f>IF(AND(BA$5&gt;=$C57,BA$5&lt;=$D57,$A57&lt;&gt;""),"●","")</x:f>
      </x:c>
      <x:c r="BB57" s="165" t="str">
        <x:f>IF(AND(BB$5&gt;=$C57,BB$5&lt;=$D57,$A57&lt;&gt;""),"●","")</x:f>
      </x:c>
      <x:c r="BC57" s="165" t="str">
        <x:f>IF(AND(BC$5&gt;=$C57,BC$5&lt;=$D57,$A57&lt;&gt;""),"●","")</x:f>
      </x:c>
      <x:c r="BD57" s="165" t="str">
        <x:f>IF(AND(BD$5&gt;=$C57,BD$5&lt;=$D57,$A57&lt;&gt;""),"●","")</x:f>
      </x:c>
      <x:c r="BE57" s="165" t="str">
        <x:f>IF(AND(BE$5&gt;=$C57,BE$5&lt;=$D57,$A57&lt;&gt;""),"●","")</x:f>
      </x:c>
      <x:c r="BF57" s="165" t="str">
        <x:f>IF(AND(BF$5&gt;=$C57,BF$5&lt;=$D57,$A57&lt;&gt;""),"●","")</x:f>
      </x:c>
      <x:c r="BG57" s="165" t="str">
        <x:f>IF(AND(BG$5&gt;=$C57,BG$5&lt;=$D57,$A57&lt;&gt;""),"●","")</x:f>
      </x:c>
      <x:c r="BH57" s="165" t="str">
        <x:f>IF(AND(BH$5&gt;=$C57,BH$5&lt;=$D57,$A57&lt;&gt;""),"●","")</x:f>
      </x:c>
      <x:c r="BI57" s="165" t="str">
        <x:f>IF(AND(BI$5&gt;=$C57,BI$5&lt;=$D57,$A57&lt;&gt;""),"●","")</x:f>
      </x:c>
      <x:c r="BJ57" s="165" t="str">
        <x:f>IF(AND(BJ$5&gt;=$C57,BJ$5&lt;=$D57,$A57&lt;&gt;""),"●","")</x:f>
      </x:c>
      <x:c r="BK57" s="165" t="str">
        <x:f>IF(AND(BK$5&gt;=$C57,BK$5&lt;=$D57,$A57&lt;&gt;""),"●","")</x:f>
      </x:c>
      <x:c r="BL57" s="165" t="str">
        <x:f>IF(AND(BL$5&gt;=$C57,BL$5&lt;=$D57,$A57&lt;&gt;""),"●","")</x:f>
      </x:c>
      <x:c r="BM57" s="165" t="str">
        <x:f>IF(AND(BM$5&gt;=$C57,BM$5&lt;=$D57,$A57&lt;&gt;""),"●","")</x:f>
      </x:c>
      <x:c r="BN57" s="165" t="str">
        <x:f>IF(AND(BN$5&gt;=$C57,BN$5&lt;=$D57,$A57&lt;&gt;""),"●","")</x:f>
      </x:c>
      <x:c r="BO57" s="165" t="str">
        <x:f>IF(AND(BO$5&gt;=$C57,BO$5&lt;=$D57,$A57&lt;&gt;""),"●","")</x:f>
      </x:c>
      <x:c r="BP57" s="165" t="str">
        <x:f>IF(AND(BP$5&gt;=$C57,BP$5&lt;=$D57,$A57&lt;&gt;""),"●","")</x:f>
      </x:c>
      <x:c r="BQ57" s="165" t="str">
        <x:f>IF(AND(BQ$5&gt;=$C57,BQ$5&lt;=$D57,$A57&lt;&gt;""),"●","")</x:f>
      </x:c>
      <x:c r="BR57" s="165" t="str">
        <x:f>IF(AND(BR$5&gt;=$C57,BR$5&lt;=$D57,$A57&lt;&gt;""),"●","")</x:f>
      </x:c>
      <x:c r="BS57" s="165" t="str">
        <x:f>IF(AND(BS$5&gt;=$C57,BS$5&lt;=$D57,$A57&lt;&gt;""),"●","")</x:f>
      </x:c>
      <x:c r="BT57" s="165" t="str">
        <x:f>IF(AND(BT$5&gt;=$C57,BT$5&lt;=$D57,$A57&lt;&gt;""),"●","")</x:f>
      </x:c>
      <x:c r="BU57" s="165" t="str">
        <x:f>IF(AND(BU$5&gt;=$C57,BU$5&lt;=$D57,$A57&lt;&gt;""),"●","")</x:f>
      </x:c>
      <x:c r="BV57" s="165" t="str">
        <x:f>IF(AND(BV$5&gt;=$C57,BV$5&lt;=$D57,$A57&lt;&gt;""),"●","")</x:f>
      </x:c>
      <x:c r="BW57" s="165" t="str">
        <x:f>IF(AND(BW$5&gt;=$C57,BW$5&lt;=$D57,$A57&lt;&gt;""),"●","")</x:f>
      </x:c>
    </x:row>
    <x:row r="58">
      <x:c r="A58" s="159" t="str">
        <x:f>IF('รายการสัญญา'!A58="","",'รายการสัญญา'!A58)</x:f>
      </x:c>
      <x:c r="B58" s="159" t="str">
        <x:f>IF('รายการสัญญา'!A58="","",'รายการสัญญา'!C58)</x:f>
      </x:c>
      <x:c r="C58" s="162" t="str">
        <x:f>IF('รายการสัญญา'!A58="","",'รายการสัญญา'!E58)</x:f>
      </x:c>
      <x:c r="D58" s="162" t="str">
        <x:f>IF('รายการสัญญา'!A58="","",'รายการสัญญา'!G58)</x:f>
      </x:c>
      <x:c r="E58" s="159" t="str">
        <x:f>IF('รายการสัญญา'!A58="","",'รายการสัญญา'!K58)</x:f>
      </x:c>
      <x:c r="F58" s="165" t="str">
        <x:f>IF(AND(F$5&gt;=$C58,F$5&lt;=$D58,$A58&lt;&gt;""),"●","")</x:f>
      </x:c>
      <x:c r="G58" s="165" t="str">
        <x:f>IF(AND(G$5&gt;=$C58,G$5&lt;=$D58,$A58&lt;&gt;""),"●","")</x:f>
      </x:c>
      <x:c r="H58" s="165" t="str">
        <x:f>IF(AND(H$5&gt;=$C58,H$5&lt;=$D58,$A58&lt;&gt;""),"●","")</x:f>
      </x:c>
      <x:c r="I58" s="165" t="str">
        <x:f>IF(AND(I$5&gt;=$C58,I$5&lt;=$D58,$A58&lt;&gt;""),"●","")</x:f>
      </x:c>
      <x:c r="J58" s="165" t="str">
        <x:f>IF(AND(J$5&gt;=$C58,J$5&lt;=$D58,$A58&lt;&gt;""),"●","")</x:f>
      </x:c>
      <x:c r="K58" s="165" t="str">
        <x:f>IF(AND(K$5&gt;=$C58,K$5&lt;=$D58,$A58&lt;&gt;""),"●","")</x:f>
      </x:c>
      <x:c r="L58" s="165" t="str">
        <x:f>IF(AND(L$5&gt;=$C58,L$5&lt;=$D58,$A58&lt;&gt;""),"●","")</x:f>
      </x:c>
      <x:c r="M58" s="165" t="str">
        <x:f>IF(AND(M$5&gt;=$C58,M$5&lt;=$D58,$A58&lt;&gt;""),"●","")</x:f>
      </x:c>
      <x:c r="N58" s="165" t="str">
        <x:f>IF(AND(N$5&gt;=$C58,N$5&lt;=$D58,$A58&lt;&gt;""),"●","")</x:f>
      </x:c>
      <x:c r="O58" s="165" t="str">
        <x:f>IF(AND(O$5&gt;=$C58,O$5&lt;=$D58,$A58&lt;&gt;""),"●","")</x:f>
      </x:c>
      <x:c r="P58" s="165" t="str">
        <x:f>IF(AND(P$5&gt;=$C58,P$5&lt;=$D58,$A58&lt;&gt;""),"●","")</x:f>
      </x:c>
      <x:c r="Q58" s="165" t="str">
        <x:f>IF(AND(Q$5&gt;=$C58,Q$5&lt;=$D58,$A58&lt;&gt;""),"●","")</x:f>
      </x:c>
      <x:c r="R58" s="165" t="str">
        <x:f>IF(AND(R$5&gt;=$C58,R$5&lt;=$D58,$A58&lt;&gt;""),"●","")</x:f>
      </x:c>
      <x:c r="S58" s="165" t="str">
        <x:f>IF(AND(S$5&gt;=$C58,S$5&lt;=$D58,$A58&lt;&gt;""),"●","")</x:f>
      </x:c>
      <x:c r="T58" s="165" t="str">
        <x:f>IF(AND(T$5&gt;=$C58,T$5&lt;=$D58,$A58&lt;&gt;""),"●","")</x:f>
      </x:c>
      <x:c r="U58" s="165" t="str">
        <x:f>IF(AND(U$5&gt;=$C58,U$5&lt;=$D58,$A58&lt;&gt;""),"●","")</x:f>
      </x:c>
      <x:c r="V58" s="165" t="str">
        <x:f>IF(AND(V$5&gt;=$C58,V$5&lt;=$D58,$A58&lt;&gt;""),"●","")</x:f>
      </x:c>
      <x:c r="W58" s="165" t="str">
        <x:f>IF(AND(W$5&gt;=$C58,W$5&lt;=$D58,$A58&lt;&gt;""),"●","")</x:f>
      </x:c>
      <x:c r="X58" s="165" t="str">
        <x:f>IF(AND(X$5&gt;=$C58,X$5&lt;=$D58,$A58&lt;&gt;""),"●","")</x:f>
      </x:c>
      <x:c r="Y58" s="165" t="str">
        <x:f>IF(AND(Y$5&gt;=$C58,Y$5&lt;=$D58,$A58&lt;&gt;""),"●","")</x:f>
      </x:c>
      <x:c r="Z58" s="165" t="str">
        <x:f>IF(AND(Z$5&gt;=$C58,Z$5&lt;=$D58,$A58&lt;&gt;""),"●","")</x:f>
      </x:c>
      <x:c r="AA58" s="165" t="str">
        <x:f>IF(AND(AA$5&gt;=$C58,AA$5&lt;=$D58,$A58&lt;&gt;""),"●","")</x:f>
      </x:c>
      <x:c r="AB58" s="165" t="str">
        <x:f>IF(AND(AB$5&gt;=$C58,AB$5&lt;=$D58,$A58&lt;&gt;""),"●","")</x:f>
      </x:c>
      <x:c r="AC58" s="165" t="str">
        <x:f>IF(AND(AC$5&gt;=$C58,AC$5&lt;=$D58,$A58&lt;&gt;""),"●","")</x:f>
      </x:c>
      <x:c r="AD58" s="165" t="str">
        <x:f>IF(AND(AD$5&gt;=$C58,AD$5&lt;=$D58,$A58&lt;&gt;""),"●","")</x:f>
      </x:c>
      <x:c r="AE58" s="165" t="str">
        <x:f>IF(AND(AE$5&gt;=$C58,AE$5&lt;=$D58,$A58&lt;&gt;""),"●","")</x:f>
      </x:c>
      <x:c r="AF58" s="165" t="str">
        <x:f>IF(AND(AF$5&gt;=$C58,AF$5&lt;=$D58,$A58&lt;&gt;""),"●","")</x:f>
      </x:c>
      <x:c r="AG58" s="165" t="str">
        <x:f>IF(AND(AG$5&gt;=$C58,AG$5&lt;=$D58,$A58&lt;&gt;""),"●","")</x:f>
      </x:c>
      <x:c r="AH58" s="165" t="str">
        <x:f>IF(AND(AH$5&gt;=$C58,AH$5&lt;=$D58,$A58&lt;&gt;""),"●","")</x:f>
      </x:c>
      <x:c r="AI58" s="165" t="str">
        <x:f>IF(AND(AI$5&gt;=$C58,AI$5&lt;=$D58,$A58&lt;&gt;""),"●","")</x:f>
      </x:c>
      <x:c r="AJ58" s="165" t="str">
        <x:f>IF(AND(AJ$5&gt;=$C58,AJ$5&lt;=$D58,$A58&lt;&gt;""),"●","")</x:f>
      </x:c>
      <x:c r="AK58" s="165" t="str">
        <x:f>IF(AND(AK$5&gt;=$C58,AK$5&lt;=$D58,$A58&lt;&gt;""),"●","")</x:f>
      </x:c>
      <x:c r="AL58" s="165" t="str">
        <x:f>IF(AND(AL$5&gt;=$C58,AL$5&lt;=$D58,$A58&lt;&gt;""),"●","")</x:f>
      </x:c>
      <x:c r="AM58" s="165" t="str">
        <x:f>IF(AND(AM$5&gt;=$C58,AM$5&lt;=$D58,$A58&lt;&gt;""),"●","")</x:f>
      </x:c>
      <x:c r="AN58" s="165" t="str">
        <x:f>IF(AND(AN$5&gt;=$C58,AN$5&lt;=$D58,$A58&lt;&gt;""),"●","")</x:f>
      </x:c>
      <x:c r="AO58" s="165" t="str">
        <x:f>IF(AND(AO$5&gt;=$C58,AO$5&lt;=$D58,$A58&lt;&gt;""),"●","")</x:f>
      </x:c>
      <x:c r="AP58" s="165" t="str">
        <x:f>IF(AND(AP$5&gt;=$C58,AP$5&lt;=$D58,$A58&lt;&gt;""),"●","")</x:f>
      </x:c>
      <x:c r="AQ58" s="165" t="str">
        <x:f>IF(AND(AQ$5&gt;=$C58,AQ$5&lt;=$D58,$A58&lt;&gt;""),"●","")</x:f>
      </x:c>
      <x:c r="AR58" s="165" t="str">
        <x:f>IF(AND(AR$5&gt;=$C58,AR$5&lt;=$D58,$A58&lt;&gt;""),"●","")</x:f>
      </x:c>
      <x:c r="AS58" s="165" t="str">
        <x:f>IF(AND(AS$5&gt;=$C58,AS$5&lt;=$D58,$A58&lt;&gt;""),"●","")</x:f>
      </x:c>
      <x:c r="AT58" s="165" t="str">
        <x:f>IF(AND(AT$5&gt;=$C58,AT$5&lt;=$D58,$A58&lt;&gt;""),"●","")</x:f>
      </x:c>
      <x:c r="AU58" s="165" t="str">
        <x:f>IF(AND(AU$5&gt;=$C58,AU$5&lt;=$D58,$A58&lt;&gt;""),"●","")</x:f>
      </x:c>
      <x:c r="AV58" s="165" t="str">
        <x:f>IF(AND(AV$5&gt;=$C58,AV$5&lt;=$D58,$A58&lt;&gt;""),"●","")</x:f>
      </x:c>
      <x:c r="AW58" s="165" t="str">
        <x:f>IF(AND(AW$5&gt;=$C58,AW$5&lt;=$D58,$A58&lt;&gt;""),"●","")</x:f>
      </x:c>
      <x:c r="AX58" s="165" t="str">
        <x:f>IF(AND(AX$5&gt;=$C58,AX$5&lt;=$D58,$A58&lt;&gt;""),"●","")</x:f>
      </x:c>
      <x:c r="AY58" s="165" t="str">
        <x:f>IF(AND(AY$5&gt;=$C58,AY$5&lt;=$D58,$A58&lt;&gt;""),"●","")</x:f>
      </x:c>
      <x:c r="AZ58" s="165" t="str">
        <x:f>IF(AND(AZ$5&gt;=$C58,AZ$5&lt;=$D58,$A58&lt;&gt;""),"●","")</x:f>
      </x:c>
      <x:c r="BA58" s="165" t="str">
        <x:f>IF(AND(BA$5&gt;=$C58,BA$5&lt;=$D58,$A58&lt;&gt;""),"●","")</x:f>
      </x:c>
      <x:c r="BB58" s="165" t="str">
        <x:f>IF(AND(BB$5&gt;=$C58,BB$5&lt;=$D58,$A58&lt;&gt;""),"●","")</x:f>
      </x:c>
      <x:c r="BC58" s="165" t="str">
        <x:f>IF(AND(BC$5&gt;=$C58,BC$5&lt;=$D58,$A58&lt;&gt;""),"●","")</x:f>
      </x:c>
      <x:c r="BD58" s="165" t="str">
        <x:f>IF(AND(BD$5&gt;=$C58,BD$5&lt;=$D58,$A58&lt;&gt;""),"●","")</x:f>
      </x:c>
      <x:c r="BE58" s="165" t="str">
        <x:f>IF(AND(BE$5&gt;=$C58,BE$5&lt;=$D58,$A58&lt;&gt;""),"●","")</x:f>
      </x:c>
      <x:c r="BF58" s="165" t="str">
        <x:f>IF(AND(BF$5&gt;=$C58,BF$5&lt;=$D58,$A58&lt;&gt;""),"●","")</x:f>
      </x:c>
      <x:c r="BG58" s="165" t="str">
        <x:f>IF(AND(BG$5&gt;=$C58,BG$5&lt;=$D58,$A58&lt;&gt;""),"●","")</x:f>
      </x:c>
      <x:c r="BH58" s="165" t="str">
        <x:f>IF(AND(BH$5&gt;=$C58,BH$5&lt;=$D58,$A58&lt;&gt;""),"●","")</x:f>
      </x:c>
      <x:c r="BI58" s="165" t="str">
        <x:f>IF(AND(BI$5&gt;=$C58,BI$5&lt;=$D58,$A58&lt;&gt;""),"●","")</x:f>
      </x:c>
      <x:c r="BJ58" s="165" t="str">
        <x:f>IF(AND(BJ$5&gt;=$C58,BJ$5&lt;=$D58,$A58&lt;&gt;""),"●","")</x:f>
      </x:c>
      <x:c r="BK58" s="165" t="str">
        <x:f>IF(AND(BK$5&gt;=$C58,BK$5&lt;=$D58,$A58&lt;&gt;""),"●","")</x:f>
      </x:c>
      <x:c r="BL58" s="165" t="str">
        <x:f>IF(AND(BL$5&gt;=$C58,BL$5&lt;=$D58,$A58&lt;&gt;""),"●","")</x:f>
      </x:c>
      <x:c r="BM58" s="165" t="str">
        <x:f>IF(AND(BM$5&gt;=$C58,BM$5&lt;=$D58,$A58&lt;&gt;""),"●","")</x:f>
      </x:c>
      <x:c r="BN58" s="165" t="str">
        <x:f>IF(AND(BN$5&gt;=$C58,BN$5&lt;=$D58,$A58&lt;&gt;""),"●","")</x:f>
      </x:c>
      <x:c r="BO58" s="165" t="str">
        <x:f>IF(AND(BO$5&gt;=$C58,BO$5&lt;=$D58,$A58&lt;&gt;""),"●","")</x:f>
      </x:c>
      <x:c r="BP58" s="165" t="str">
        <x:f>IF(AND(BP$5&gt;=$C58,BP$5&lt;=$D58,$A58&lt;&gt;""),"●","")</x:f>
      </x:c>
      <x:c r="BQ58" s="165" t="str">
        <x:f>IF(AND(BQ$5&gt;=$C58,BQ$5&lt;=$D58,$A58&lt;&gt;""),"●","")</x:f>
      </x:c>
      <x:c r="BR58" s="165" t="str">
        <x:f>IF(AND(BR$5&gt;=$C58,BR$5&lt;=$D58,$A58&lt;&gt;""),"●","")</x:f>
      </x:c>
      <x:c r="BS58" s="165" t="str">
        <x:f>IF(AND(BS$5&gt;=$C58,BS$5&lt;=$D58,$A58&lt;&gt;""),"●","")</x:f>
      </x:c>
      <x:c r="BT58" s="165" t="str">
        <x:f>IF(AND(BT$5&gt;=$C58,BT$5&lt;=$D58,$A58&lt;&gt;""),"●","")</x:f>
      </x:c>
      <x:c r="BU58" s="165" t="str">
        <x:f>IF(AND(BU$5&gt;=$C58,BU$5&lt;=$D58,$A58&lt;&gt;""),"●","")</x:f>
      </x:c>
      <x:c r="BV58" s="165" t="str">
        <x:f>IF(AND(BV$5&gt;=$C58,BV$5&lt;=$D58,$A58&lt;&gt;""),"●","")</x:f>
      </x:c>
      <x:c r="BW58" s="165" t="str">
        <x:f>IF(AND(BW$5&gt;=$C58,BW$5&lt;=$D58,$A58&lt;&gt;""),"●","")</x:f>
      </x:c>
    </x:row>
    <x:row r="59">
      <x:c r="A59" s="159" t="str">
        <x:f>IF('รายการสัญญา'!A59="","",'รายการสัญญา'!A59)</x:f>
      </x:c>
      <x:c r="B59" s="159" t="str">
        <x:f>IF('รายการสัญญา'!A59="","",'รายการสัญญา'!C59)</x:f>
      </x:c>
      <x:c r="C59" s="162" t="str">
        <x:f>IF('รายการสัญญา'!A59="","",'รายการสัญญา'!E59)</x:f>
      </x:c>
      <x:c r="D59" s="162" t="str">
        <x:f>IF('รายการสัญญา'!A59="","",'รายการสัญญา'!G59)</x:f>
      </x:c>
      <x:c r="E59" s="159" t="str">
        <x:f>IF('รายการสัญญา'!A59="","",'รายการสัญญา'!K59)</x:f>
      </x:c>
      <x:c r="F59" s="165" t="str">
        <x:f>IF(AND(F$5&gt;=$C59,F$5&lt;=$D59,$A59&lt;&gt;""),"●","")</x:f>
      </x:c>
      <x:c r="G59" s="165" t="str">
        <x:f>IF(AND(G$5&gt;=$C59,G$5&lt;=$D59,$A59&lt;&gt;""),"●","")</x:f>
      </x:c>
      <x:c r="H59" s="165" t="str">
        <x:f>IF(AND(H$5&gt;=$C59,H$5&lt;=$D59,$A59&lt;&gt;""),"●","")</x:f>
      </x:c>
      <x:c r="I59" s="165" t="str">
        <x:f>IF(AND(I$5&gt;=$C59,I$5&lt;=$D59,$A59&lt;&gt;""),"●","")</x:f>
      </x:c>
      <x:c r="J59" s="165" t="str">
        <x:f>IF(AND(J$5&gt;=$C59,J$5&lt;=$D59,$A59&lt;&gt;""),"●","")</x:f>
      </x:c>
      <x:c r="K59" s="165" t="str">
        <x:f>IF(AND(K$5&gt;=$C59,K$5&lt;=$D59,$A59&lt;&gt;""),"●","")</x:f>
      </x:c>
      <x:c r="L59" s="165" t="str">
        <x:f>IF(AND(L$5&gt;=$C59,L$5&lt;=$D59,$A59&lt;&gt;""),"●","")</x:f>
      </x:c>
      <x:c r="M59" s="165" t="str">
        <x:f>IF(AND(M$5&gt;=$C59,M$5&lt;=$D59,$A59&lt;&gt;""),"●","")</x:f>
      </x:c>
      <x:c r="N59" s="165" t="str">
        <x:f>IF(AND(N$5&gt;=$C59,N$5&lt;=$D59,$A59&lt;&gt;""),"●","")</x:f>
      </x:c>
      <x:c r="O59" s="165" t="str">
        <x:f>IF(AND(O$5&gt;=$C59,O$5&lt;=$D59,$A59&lt;&gt;""),"●","")</x:f>
      </x:c>
      <x:c r="P59" s="165" t="str">
        <x:f>IF(AND(P$5&gt;=$C59,P$5&lt;=$D59,$A59&lt;&gt;""),"●","")</x:f>
      </x:c>
      <x:c r="Q59" s="165" t="str">
        <x:f>IF(AND(Q$5&gt;=$C59,Q$5&lt;=$D59,$A59&lt;&gt;""),"●","")</x:f>
      </x:c>
      <x:c r="R59" s="165" t="str">
        <x:f>IF(AND(R$5&gt;=$C59,R$5&lt;=$D59,$A59&lt;&gt;""),"●","")</x:f>
      </x:c>
      <x:c r="S59" s="165" t="str">
        <x:f>IF(AND(S$5&gt;=$C59,S$5&lt;=$D59,$A59&lt;&gt;""),"●","")</x:f>
      </x:c>
      <x:c r="T59" s="165" t="str">
        <x:f>IF(AND(T$5&gt;=$C59,T$5&lt;=$D59,$A59&lt;&gt;""),"●","")</x:f>
      </x:c>
      <x:c r="U59" s="165" t="str">
        <x:f>IF(AND(U$5&gt;=$C59,U$5&lt;=$D59,$A59&lt;&gt;""),"●","")</x:f>
      </x:c>
      <x:c r="V59" s="165" t="str">
        <x:f>IF(AND(V$5&gt;=$C59,V$5&lt;=$D59,$A59&lt;&gt;""),"●","")</x:f>
      </x:c>
      <x:c r="W59" s="165" t="str">
        <x:f>IF(AND(W$5&gt;=$C59,W$5&lt;=$D59,$A59&lt;&gt;""),"●","")</x:f>
      </x:c>
      <x:c r="X59" s="165" t="str">
        <x:f>IF(AND(X$5&gt;=$C59,X$5&lt;=$D59,$A59&lt;&gt;""),"●","")</x:f>
      </x:c>
      <x:c r="Y59" s="165" t="str">
        <x:f>IF(AND(Y$5&gt;=$C59,Y$5&lt;=$D59,$A59&lt;&gt;""),"●","")</x:f>
      </x:c>
      <x:c r="Z59" s="165" t="str">
        <x:f>IF(AND(Z$5&gt;=$C59,Z$5&lt;=$D59,$A59&lt;&gt;""),"●","")</x:f>
      </x:c>
      <x:c r="AA59" s="165" t="str">
        <x:f>IF(AND(AA$5&gt;=$C59,AA$5&lt;=$D59,$A59&lt;&gt;""),"●","")</x:f>
      </x:c>
      <x:c r="AB59" s="165" t="str">
        <x:f>IF(AND(AB$5&gt;=$C59,AB$5&lt;=$D59,$A59&lt;&gt;""),"●","")</x:f>
      </x:c>
      <x:c r="AC59" s="165" t="str">
        <x:f>IF(AND(AC$5&gt;=$C59,AC$5&lt;=$D59,$A59&lt;&gt;""),"●","")</x:f>
      </x:c>
      <x:c r="AD59" s="165" t="str">
        <x:f>IF(AND(AD$5&gt;=$C59,AD$5&lt;=$D59,$A59&lt;&gt;""),"●","")</x:f>
      </x:c>
      <x:c r="AE59" s="165" t="str">
        <x:f>IF(AND(AE$5&gt;=$C59,AE$5&lt;=$D59,$A59&lt;&gt;""),"●","")</x:f>
      </x:c>
      <x:c r="AF59" s="165" t="str">
        <x:f>IF(AND(AF$5&gt;=$C59,AF$5&lt;=$D59,$A59&lt;&gt;""),"●","")</x:f>
      </x:c>
      <x:c r="AG59" s="165" t="str">
        <x:f>IF(AND(AG$5&gt;=$C59,AG$5&lt;=$D59,$A59&lt;&gt;""),"●","")</x:f>
      </x:c>
      <x:c r="AH59" s="165" t="str">
        <x:f>IF(AND(AH$5&gt;=$C59,AH$5&lt;=$D59,$A59&lt;&gt;""),"●","")</x:f>
      </x:c>
      <x:c r="AI59" s="165" t="str">
        <x:f>IF(AND(AI$5&gt;=$C59,AI$5&lt;=$D59,$A59&lt;&gt;""),"●","")</x:f>
      </x:c>
      <x:c r="AJ59" s="165" t="str">
        <x:f>IF(AND(AJ$5&gt;=$C59,AJ$5&lt;=$D59,$A59&lt;&gt;""),"●","")</x:f>
      </x:c>
      <x:c r="AK59" s="165" t="str">
        <x:f>IF(AND(AK$5&gt;=$C59,AK$5&lt;=$D59,$A59&lt;&gt;""),"●","")</x:f>
      </x:c>
      <x:c r="AL59" s="165" t="str">
        <x:f>IF(AND(AL$5&gt;=$C59,AL$5&lt;=$D59,$A59&lt;&gt;""),"●","")</x:f>
      </x:c>
      <x:c r="AM59" s="165" t="str">
        <x:f>IF(AND(AM$5&gt;=$C59,AM$5&lt;=$D59,$A59&lt;&gt;""),"●","")</x:f>
      </x:c>
      <x:c r="AN59" s="165" t="str">
        <x:f>IF(AND(AN$5&gt;=$C59,AN$5&lt;=$D59,$A59&lt;&gt;""),"●","")</x:f>
      </x:c>
      <x:c r="AO59" s="165" t="str">
        <x:f>IF(AND(AO$5&gt;=$C59,AO$5&lt;=$D59,$A59&lt;&gt;""),"●","")</x:f>
      </x:c>
      <x:c r="AP59" s="165" t="str">
        <x:f>IF(AND(AP$5&gt;=$C59,AP$5&lt;=$D59,$A59&lt;&gt;""),"●","")</x:f>
      </x:c>
      <x:c r="AQ59" s="165" t="str">
        <x:f>IF(AND(AQ$5&gt;=$C59,AQ$5&lt;=$D59,$A59&lt;&gt;""),"●","")</x:f>
      </x:c>
      <x:c r="AR59" s="165" t="str">
        <x:f>IF(AND(AR$5&gt;=$C59,AR$5&lt;=$D59,$A59&lt;&gt;""),"●","")</x:f>
      </x:c>
      <x:c r="AS59" s="165" t="str">
        <x:f>IF(AND(AS$5&gt;=$C59,AS$5&lt;=$D59,$A59&lt;&gt;""),"●","")</x:f>
      </x:c>
      <x:c r="AT59" s="165" t="str">
        <x:f>IF(AND(AT$5&gt;=$C59,AT$5&lt;=$D59,$A59&lt;&gt;""),"●","")</x:f>
      </x:c>
      <x:c r="AU59" s="165" t="str">
        <x:f>IF(AND(AU$5&gt;=$C59,AU$5&lt;=$D59,$A59&lt;&gt;""),"●","")</x:f>
      </x:c>
      <x:c r="AV59" s="165" t="str">
        <x:f>IF(AND(AV$5&gt;=$C59,AV$5&lt;=$D59,$A59&lt;&gt;""),"●","")</x:f>
      </x:c>
      <x:c r="AW59" s="165" t="str">
        <x:f>IF(AND(AW$5&gt;=$C59,AW$5&lt;=$D59,$A59&lt;&gt;""),"●","")</x:f>
      </x:c>
      <x:c r="AX59" s="165" t="str">
        <x:f>IF(AND(AX$5&gt;=$C59,AX$5&lt;=$D59,$A59&lt;&gt;""),"●","")</x:f>
      </x:c>
      <x:c r="AY59" s="165" t="str">
        <x:f>IF(AND(AY$5&gt;=$C59,AY$5&lt;=$D59,$A59&lt;&gt;""),"●","")</x:f>
      </x:c>
      <x:c r="AZ59" s="165" t="str">
        <x:f>IF(AND(AZ$5&gt;=$C59,AZ$5&lt;=$D59,$A59&lt;&gt;""),"●","")</x:f>
      </x:c>
      <x:c r="BA59" s="165" t="str">
        <x:f>IF(AND(BA$5&gt;=$C59,BA$5&lt;=$D59,$A59&lt;&gt;""),"●","")</x:f>
      </x:c>
      <x:c r="BB59" s="165" t="str">
        <x:f>IF(AND(BB$5&gt;=$C59,BB$5&lt;=$D59,$A59&lt;&gt;""),"●","")</x:f>
      </x:c>
      <x:c r="BC59" s="165" t="str">
        <x:f>IF(AND(BC$5&gt;=$C59,BC$5&lt;=$D59,$A59&lt;&gt;""),"●","")</x:f>
      </x:c>
      <x:c r="BD59" s="165" t="str">
        <x:f>IF(AND(BD$5&gt;=$C59,BD$5&lt;=$D59,$A59&lt;&gt;""),"●","")</x:f>
      </x:c>
      <x:c r="BE59" s="165" t="str">
        <x:f>IF(AND(BE$5&gt;=$C59,BE$5&lt;=$D59,$A59&lt;&gt;""),"●","")</x:f>
      </x:c>
      <x:c r="BF59" s="165" t="str">
        <x:f>IF(AND(BF$5&gt;=$C59,BF$5&lt;=$D59,$A59&lt;&gt;""),"●","")</x:f>
      </x:c>
      <x:c r="BG59" s="165" t="str">
        <x:f>IF(AND(BG$5&gt;=$C59,BG$5&lt;=$D59,$A59&lt;&gt;""),"●","")</x:f>
      </x:c>
      <x:c r="BH59" s="165" t="str">
        <x:f>IF(AND(BH$5&gt;=$C59,BH$5&lt;=$D59,$A59&lt;&gt;""),"●","")</x:f>
      </x:c>
      <x:c r="BI59" s="165" t="str">
        <x:f>IF(AND(BI$5&gt;=$C59,BI$5&lt;=$D59,$A59&lt;&gt;""),"●","")</x:f>
      </x:c>
      <x:c r="BJ59" s="165" t="str">
        <x:f>IF(AND(BJ$5&gt;=$C59,BJ$5&lt;=$D59,$A59&lt;&gt;""),"●","")</x:f>
      </x:c>
      <x:c r="BK59" s="165" t="str">
        <x:f>IF(AND(BK$5&gt;=$C59,BK$5&lt;=$D59,$A59&lt;&gt;""),"●","")</x:f>
      </x:c>
      <x:c r="BL59" s="165" t="str">
        <x:f>IF(AND(BL$5&gt;=$C59,BL$5&lt;=$D59,$A59&lt;&gt;""),"●","")</x:f>
      </x:c>
      <x:c r="BM59" s="165" t="str">
        <x:f>IF(AND(BM$5&gt;=$C59,BM$5&lt;=$D59,$A59&lt;&gt;""),"●","")</x:f>
      </x:c>
      <x:c r="BN59" s="165" t="str">
        <x:f>IF(AND(BN$5&gt;=$C59,BN$5&lt;=$D59,$A59&lt;&gt;""),"●","")</x:f>
      </x:c>
      <x:c r="BO59" s="165" t="str">
        <x:f>IF(AND(BO$5&gt;=$C59,BO$5&lt;=$D59,$A59&lt;&gt;""),"●","")</x:f>
      </x:c>
      <x:c r="BP59" s="165" t="str">
        <x:f>IF(AND(BP$5&gt;=$C59,BP$5&lt;=$D59,$A59&lt;&gt;""),"●","")</x:f>
      </x:c>
      <x:c r="BQ59" s="165" t="str">
        <x:f>IF(AND(BQ$5&gt;=$C59,BQ$5&lt;=$D59,$A59&lt;&gt;""),"●","")</x:f>
      </x:c>
      <x:c r="BR59" s="165" t="str">
        <x:f>IF(AND(BR$5&gt;=$C59,BR$5&lt;=$D59,$A59&lt;&gt;""),"●","")</x:f>
      </x:c>
      <x:c r="BS59" s="165" t="str">
        <x:f>IF(AND(BS$5&gt;=$C59,BS$5&lt;=$D59,$A59&lt;&gt;""),"●","")</x:f>
      </x:c>
      <x:c r="BT59" s="165" t="str">
        <x:f>IF(AND(BT$5&gt;=$C59,BT$5&lt;=$D59,$A59&lt;&gt;""),"●","")</x:f>
      </x:c>
      <x:c r="BU59" s="165" t="str">
        <x:f>IF(AND(BU$5&gt;=$C59,BU$5&lt;=$D59,$A59&lt;&gt;""),"●","")</x:f>
      </x:c>
      <x:c r="BV59" s="165" t="str">
        <x:f>IF(AND(BV$5&gt;=$C59,BV$5&lt;=$D59,$A59&lt;&gt;""),"●","")</x:f>
      </x:c>
      <x:c r="BW59" s="165" t="str">
        <x:f>IF(AND(BW$5&gt;=$C59,BW$5&lt;=$D59,$A59&lt;&gt;""),"●","")</x:f>
      </x:c>
    </x:row>
    <x:row r="60">
      <x:c r="A60" s="159" t="str">
        <x:f>IF('รายการสัญญา'!A60="","",'รายการสัญญา'!A60)</x:f>
      </x:c>
      <x:c r="B60" s="159" t="str">
        <x:f>IF('รายการสัญญา'!A60="","",'รายการสัญญา'!C60)</x:f>
      </x:c>
      <x:c r="C60" s="162" t="str">
        <x:f>IF('รายการสัญญา'!A60="","",'รายการสัญญา'!E60)</x:f>
      </x:c>
      <x:c r="D60" s="162" t="str">
        <x:f>IF('รายการสัญญา'!A60="","",'รายการสัญญา'!G60)</x:f>
      </x:c>
      <x:c r="E60" s="159" t="str">
        <x:f>IF('รายการสัญญา'!A60="","",'รายการสัญญา'!K60)</x:f>
      </x:c>
      <x:c r="F60" s="165" t="str">
        <x:f>IF(AND(F$5&gt;=$C60,F$5&lt;=$D60,$A60&lt;&gt;""),"●","")</x:f>
      </x:c>
      <x:c r="G60" s="165" t="str">
        <x:f>IF(AND(G$5&gt;=$C60,G$5&lt;=$D60,$A60&lt;&gt;""),"●","")</x:f>
      </x:c>
      <x:c r="H60" s="165" t="str">
        <x:f>IF(AND(H$5&gt;=$C60,H$5&lt;=$D60,$A60&lt;&gt;""),"●","")</x:f>
      </x:c>
      <x:c r="I60" s="165" t="str">
        <x:f>IF(AND(I$5&gt;=$C60,I$5&lt;=$D60,$A60&lt;&gt;""),"●","")</x:f>
      </x:c>
      <x:c r="J60" s="165" t="str">
        <x:f>IF(AND(J$5&gt;=$C60,J$5&lt;=$D60,$A60&lt;&gt;""),"●","")</x:f>
      </x:c>
      <x:c r="K60" s="165" t="str">
        <x:f>IF(AND(K$5&gt;=$C60,K$5&lt;=$D60,$A60&lt;&gt;""),"●","")</x:f>
      </x:c>
      <x:c r="L60" s="165" t="str">
        <x:f>IF(AND(L$5&gt;=$C60,L$5&lt;=$D60,$A60&lt;&gt;""),"●","")</x:f>
      </x:c>
      <x:c r="M60" s="165" t="str">
        <x:f>IF(AND(M$5&gt;=$C60,M$5&lt;=$D60,$A60&lt;&gt;""),"●","")</x:f>
      </x:c>
      <x:c r="N60" s="165" t="str">
        <x:f>IF(AND(N$5&gt;=$C60,N$5&lt;=$D60,$A60&lt;&gt;""),"●","")</x:f>
      </x:c>
      <x:c r="O60" s="165" t="str">
        <x:f>IF(AND(O$5&gt;=$C60,O$5&lt;=$D60,$A60&lt;&gt;""),"●","")</x:f>
      </x:c>
      <x:c r="P60" s="165" t="str">
        <x:f>IF(AND(P$5&gt;=$C60,P$5&lt;=$D60,$A60&lt;&gt;""),"●","")</x:f>
      </x:c>
      <x:c r="Q60" s="165" t="str">
        <x:f>IF(AND(Q$5&gt;=$C60,Q$5&lt;=$D60,$A60&lt;&gt;""),"●","")</x:f>
      </x:c>
      <x:c r="R60" s="165" t="str">
        <x:f>IF(AND(R$5&gt;=$C60,R$5&lt;=$D60,$A60&lt;&gt;""),"●","")</x:f>
      </x:c>
      <x:c r="S60" s="165" t="str">
        <x:f>IF(AND(S$5&gt;=$C60,S$5&lt;=$D60,$A60&lt;&gt;""),"●","")</x:f>
      </x:c>
      <x:c r="T60" s="165" t="str">
        <x:f>IF(AND(T$5&gt;=$C60,T$5&lt;=$D60,$A60&lt;&gt;""),"●","")</x:f>
      </x:c>
      <x:c r="U60" s="165" t="str">
        <x:f>IF(AND(U$5&gt;=$C60,U$5&lt;=$D60,$A60&lt;&gt;""),"●","")</x:f>
      </x:c>
      <x:c r="V60" s="165" t="str">
        <x:f>IF(AND(V$5&gt;=$C60,V$5&lt;=$D60,$A60&lt;&gt;""),"●","")</x:f>
      </x:c>
      <x:c r="W60" s="165" t="str">
        <x:f>IF(AND(W$5&gt;=$C60,W$5&lt;=$D60,$A60&lt;&gt;""),"●","")</x:f>
      </x:c>
      <x:c r="X60" s="165" t="str">
        <x:f>IF(AND(X$5&gt;=$C60,X$5&lt;=$D60,$A60&lt;&gt;""),"●","")</x:f>
      </x:c>
      <x:c r="Y60" s="165" t="str">
        <x:f>IF(AND(Y$5&gt;=$C60,Y$5&lt;=$D60,$A60&lt;&gt;""),"●","")</x:f>
      </x:c>
      <x:c r="Z60" s="165" t="str">
        <x:f>IF(AND(Z$5&gt;=$C60,Z$5&lt;=$D60,$A60&lt;&gt;""),"●","")</x:f>
      </x:c>
      <x:c r="AA60" s="165" t="str">
        <x:f>IF(AND(AA$5&gt;=$C60,AA$5&lt;=$D60,$A60&lt;&gt;""),"●","")</x:f>
      </x:c>
      <x:c r="AB60" s="165" t="str">
        <x:f>IF(AND(AB$5&gt;=$C60,AB$5&lt;=$D60,$A60&lt;&gt;""),"●","")</x:f>
      </x:c>
      <x:c r="AC60" s="165" t="str">
        <x:f>IF(AND(AC$5&gt;=$C60,AC$5&lt;=$D60,$A60&lt;&gt;""),"●","")</x:f>
      </x:c>
      <x:c r="AD60" s="165" t="str">
        <x:f>IF(AND(AD$5&gt;=$C60,AD$5&lt;=$D60,$A60&lt;&gt;""),"●","")</x:f>
      </x:c>
      <x:c r="AE60" s="165" t="str">
        <x:f>IF(AND(AE$5&gt;=$C60,AE$5&lt;=$D60,$A60&lt;&gt;""),"●","")</x:f>
      </x:c>
      <x:c r="AF60" s="165" t="str">
        <x:f>IF(AND(AF$5&gt;=$C60,AF$5&lt;=$D60,$A60&lt;&gt;""),"●","")</x:f>
      </x:c>
      <x:c r="AG60" s="165" t="str">
        <x:f>IF(AND(AG$5&gt;=$C60,AG$5&lt;=$D60,$A60&lt;&gt;""),"●","")</x:f>
      </x:c>
      <x:c r="AH60" s="165" t="str">
        <x:f>IF(AND(AH$5&gt;=$C60,AH$5&lt;=$D60,$A60&lt;&gt;""),"●","")</x:f>
      </x:c>
      <x:c r="AI60" s="165" t="str">
        <x:f>IF(AND(AI$5&gt;=$C60,AI$5&lt;=$D60,$A60&lt;&gt;""),"●","")</x:f>
      </x:c>
      <x:c r="AJ60" s="165" t="str">
        <x:f>IF(AND(AJ$5&gt;=$C60,AJ$5&lt;=$D60,$A60&lt;&gt;""),"●","")</x:f>
      </x:c>
      <x:c r="AK60" s="165" t="str">
        <x:f>IF(AND(AK$5&gt;=$C60,AK$5&lt;=$D60,$A60&lt;&gt;""),"●","")</x:f>
      </x:c>
      <x:c r="AL60" s="165" t="str">
        <x:f>IF(AND(AL$5&gt;=$C60,AL$5&lt;=$D60,$A60&lt;&gt;""),"●","")</x:f>
      </x:c>
      <x:c r="AM60" s="165" t="str">
        <x:f>IF(AND(AM$5&gt;=$C60,AM$5&lt;=$D60,$A60&lt;&gt;""),"●","")</x:f>
      </x:c>
      <x:c r="AN60" s="165" t="str">
        <x:f>IF(AND(AN$5&gt;=$C60,AN$5&lt;=$D60,$A60&lt;&gt;""),"●","")</x:f>
      </x:c>
      <x:c r="AO60" s="165" t="str">
        <x:f>IF(AND(AO$5&gt;=$C60,AO$5&lt;=$D60,$A60&lt;&gt;""),"●","")</x:f>
      </x:c>
      <x:c r="AP60" s="165" t="str">
        <x:f>IF(AND(AP$5&gt;=$C60,AP$5&lt;=$D60,$A60&lt;&gt;""),"●","")</x:f>
      </x:c>
      <x:c r="AQ60" s="165" t="str">
        <x:f>IF(AND(AQ$5&gt;=$C60,AQ$5&lt;=$D60,$A60&lt;&gt;""),"●","")</x:f>
      </x:c>
      <x:c r="AR60" s="165" t="str">
        <x:f>IF(AND(AR$5&gt;=$C60,AR$5&lt;=$D60,$A60&lt;&gt;""),"●","")</x:f>
      </x:c>
      <x:c r="AS60" s="165" t="str">
        <x:f>IF(AND(AS$5&gt;=$C60,AS$5&lt;=$D60,$A60&lt;&gt;""),"●","")</x:f>
      </x:c>
      <x:c r="AT60" s="165" t="str">
        <x:f>IF(AND(AT$5&gt;=$C60,AT$5&lt;=$D60,$A60&lt;&gt;""),"●","")</x:f>
      </x:c>
      <x:c r="AU60" s="165" t="str">
        <x:f>IF(AND(AU$5&gt;=$C60,AU$5&lt;=$D60,$A60&lt;&gt;""),"●","")</x:f>
      </x:c>
      <x:c r="AV60" s="165" t="str">
        <x:f>IF(AND(AV$5&gt;=$C60,AV$5&lt;=$D60,$A60&lt;&gt;""),"●","")</x:f>
      </x:c>
      <x:c r="AW60" s="165" t="str">
        <x:f>IF(AND(AW$5&gt;=$C60,AW$5&lt;=$D60,$A60&lt;&gt;""),"●","")</x:f>
      </x:c>
      <x:c r="AX60" s="165" t="str">
        <x:f>IF(AND(AX$5&gt;=$C60,AX$5&lt;=$D60,$A60&lt;&gt;""),"●","")</x:f>
      </x:c>
      <x:c r="AY60" s="165" t="str">
        <x:f>IF(AND(AY$5&gt;=$C60,AY$5&lt;=$D60,$A60&lt;&gt;""),"●","")</x:f>
      </x:c>
      <x:c r="AZ60" s="165" t="str">
        <x:f>IF(AND(AZ$5&gt;=$C60,AZ$5&lt;=$D60,$A60&lt;&gt;""),"●","")</x:f>
      </x:c>
      <x:c r="BA60" s="165" t="str">
        <x:f>IF(AND(BA$5&gt;=$C60,BA$5&lt;=$D60,$A60&lt;&gt;""),"●","")</x:f>
      </x:c>
      <x:c r="BB60" s="165" t="str">
        <x:f>IF(AND(BB$5&gt;=$C60,BB$5&lt;=$D60,$A60&lt;&gt;""),"●","")</x:f>
      </x:c>
      <x:c r="BC60" s="165" t="str">
        <x:f>IF(AND(BC$5&gt;=$C60,BC$5&lt;=$D60,$A60&lt;&gt;""),"●","")</x:f>
      </x:c>
      <x:c r="BD60" s="165" t="str">
        <x:f>IF(AND(BD$5&gt;=$C60,BD$5&lt;=$D60,$A60&lt;&gt;""),"●","")</x:f>
      </x:c>
      <x:c r="BE60" s="165" t="str">
        <x:f>IF(AND(BE$5&gt;=$C60,BE$5&lt;=$D60,$A60&lt;&gt;""),"●","")</x:f>
      </x:c>
      <x:c r="BF60" s="165" t="str">
        <x:f>IF(AND(BF$5&gt;=$C60,BF$5&lt;=$D60,$A60&lt;&gt;""),"●","")</x:f>
      </x:c>
      <x:c r="BG60" s="165" t="str">
        <x:f>IF(AND(BG$5&gt;=$C60,BG$5&lt;=$D60,$A60&lt;&gt;""),"●","")</x:f>
      </x:c>
      <x:c r="BH60" s="165" t="str">
        <x:f>IF(AND(BH$5&gt;=$C60,BH$5&lt;=$D60,$A60&lt;&gt;""),"●","")</x:f>
      </x:c>
      <x:c r="BI60" s="165" t="str">
        <x:f>IF(AND(BI$5&gt;=$C60,BI$5&lt;=$D60,$A60&lt;&gt;""),"●","")</x:f>
      </x:c>
      <x:c r="BJ60" s="165" t="str">
        <x:f>IF(AND(BJ$5&gt;=$C60,BJ$5&lt;=$D60,$A60&lt;&gt;""),"●","")</x:f>
      </x:c>
      <x:c r="BK60" s="165" t="str">
        <x:f>IF(AND(BK$5&gt;=$C60,BK$5&lt;=$D60,$A60&lt;&gt;""),"●","")</x:f>
      </x:c>
      <x:c r="BL60" s="165" t="str">
        <x:f>IF(AND(BL$5&gt;=$C60,BL$5&lt;=$D60,$A60&lt;&gt;""),"●","")</x:f>
      </x:c>
      <x:c r="BM60" s="165" t="str">
        <x:f>IF(AND(BM$5&gt;=$C60,BM$5&lt;=$D60,$A60&lt;&gt;""),"●","")</x:f>
      </x:c>
      <x:c r="BN60" s="165" t="str">
        <x:f>IF(AND(BN$5&gt;=$C60,BN$5&lt;=$D60,$A60&lt;&gt;""),"●","")</x:f>
      </x:c>
      <x:c r="BO60" s="165" t="str">
        <x:f>IF(AND(BO$5&gt;=$C60,BO$5&lt;=$D60,$A60&lt;&gt;""),"●","")</x:f>
      </x:c>
      <x:c r="BP60" s="165" t="str">
        <x:f>IF(AND(BP$5&gt;=$C60,BP$5&lt;=$D60,$A60&lt;&gt;""),"●","")</x:f>
      </x:c>
      <x:c r="BQ60" s="165" t="str">
        <x:f>IF(AND(BQ$5&gt;=$C60,BQ$5&lt;=$D60,$A60&lt;&gt;""),"●","")</x:f>
      </x:c>
      <x:c r="BR60" s="165" t="str">
        <x:f>IF(AND(BR$5&gt;=$C60,BR$5&lt;=$D60,$A60&lt;&gt;""),"●","")</x:f>
      </x:c>
      <x:c r="BS60" s="165" t="str">
        <x:f>IF(AND(BS$5&gt;=$C60,BS$5&lt;=$D60,$A60&lt;&gt;""),"●","")</x:f>
      </x:c>
      <x:c r="BT60" s="165" t="str">
        <x:f>IF(AND(BT$5&gt;=$C60,BT$5&lt;=$D60,$A60&lt;&gt;""),"●","")</x:f>
      </x:c>
      <x:c r="BU60" s="165" t="str">
        <x:f>IF(AND(BU$5&gt;=$C60,BU$5&lt;=$D60,$A60&lt;&gt;""),"●","")</x:f>
      </x:c>
      <x:c r="BV60" s="165" t="str">
        <x:f>IF(AND(BV$5&gt;=$C60,BV$5&lt;=$D60,$A60&lt;&gt;""),"●","")</x:f>
      </x:c>
      <x:c r="BW60" s="165" t="str">
        <x:f>IF(AND(BW$5&gt;=$C60,BW$5&lt;=$D60,$A60&lt;&gt;""),"●","")</x:f>
      </x:c>
    </x:row>
    <x:row r="61">
      <x:c r="A61" s="159" t="str">
        <x:f>IF('รายการสัญญา'!A61="","",'รายการสัญญา'!A61)</x:f>
      </x:c>
      <x:c r="B61" s="159" t="str">
        <x:f>IF('รายการสัญญา'!A61="","",'รายการสัญญา'!C61)</x:f>
      </x:c>
      <x:c r="C61" s="162" t="str">
        <x:f>IF('รายการสัญญา'!A61="","",'รายการสัญญา'!E61)</x:f>
      </x:c>
      <x:c r="D61" s="162" t="str">
        <x:f>IF('รายการสัญญา'!A61="","",'รายการสัญญา'!G61)</x:f>
      </x:c>
      <x:c r="E61" s="159" t="str">
        <x:f>IF('รายการสัญญา'!A61="","",'รายการสัญญา'!K61)</x:f>
      </x:c>
      <x:c r="F61" s="165" t="str">
        <x:f>IF(AND(F$5&gt;=$C61,F$5&lt;=$D61,$A61&lt;&gt;""),"●","")</x:f>
      </x:c>
      <x:c r="G61" s="165" t="str">
        <x:f>IF(AND(G$5&gt;=$C61,G$5&lt;=$D61,$A61&lt;&gt;""),"●","")</x:f>
      </x:c>
      <x:c r="H61" s="165" t="str">
        <x:f>IF(AND(H$5&gt;=$C61,H$5&lt;=$D61,$A61&lt;&gt;""),"●","")</x:f>
      </x:c>
      <x:c r="I61" s="165" t="str">
        <x:f>IF(AND(I$5&gt;=$C61,I$5&lt;=$D61,$A61&lt;&gt;""),"●","")</x:f>
      </x:c>
      <x:c r="J61" s="165" t="str">
        <x:f>IF(AND(J$5&gt;=$C61,J$5&lt;=$D61,$A61&lt;&gt;""),"●","")</x:f>
      </x:c>
      <x:c r="K61" s="165" t="str">
        <x:f>IF(AND(K$5&gt;=$C61,K$5&lt;=$D61,$A61&lt;&gt;""),"●","")</x:f>
      </x:c>
      <x:c r="L61" s="165" t="str">
        <x:f>IF(AND(L$5&gt;=$C61,L$5&lt;=$D61,$A61&lt;&gt;""),"●","")</x:f>
      </x:c>
      <x:c r="M61" s="165" t="str">
        <x:f>IF(AND(M$5&gt;=$C61,M$5&lt;=$D61,$A61&lt;&gt;""),"●","")</x:f>
      </x:c>
      <x:c r="N61" s="165" t="str">
        <x:f>IF(AND(N$5&gt;=$C61,N$5&lt;=$D61,$A61&lt;&gt;""),"●","")</x:f>
      </x:c>
      <x:c r="O61" s="165" t="str">
        <x:f>IF(AND(O$5&gt;=$C61,O$5&lt;=$D61,$A61&lt;&gt;""),"●","")</x:f>
      </x:c>
      <x:c r="P61" s="165" t="str">
        <x:f>IF(AND(P$5&gt;=$C61,P$5&lt;=$D61,$A61&lt;&gt;""),"●","")</x:f>
      </x:c>
      <x:c r="Q61" s="165" t="str">
        <x:f>IF(AND(Q$5&gt;=$C61,Q$5&lt;=$D61,$A61&lt;&gt;""),"●","")</x:f>
      </x:c>
      <x:c r="R61" s="165" t="str">
        <x:f>IF(AND(R$5&gt;=$C61,R$5&lt;=$D61,$A61&lt;&gt;""),"●","")</x:f>
      </x:c>
      <x:c r="S61" s="165" t="str">
        <x:f>IF(AND(S$5&gt;=$C61,S$5&lt;=$D61,$A61&lt;&gt;""),"●","")</x:f>
      </x:c>
      <x:c r="T61" s="165" t="str">
        <x:f>IF(AND(T$5&gt;=$C61,T$5&lt;=$D61,$A61&lt;&gt;""),"●","")</x:f>
      </x:c>
      <x:c r="U61" s="165" t="str">
        <x:f>IF(AND(U$5&gt;=$C61,U$5&lt;=$D61,$A61&lt;&gt;""),"●","")</x:f>
      </x:c>
      <x:c r="V61" s="165" t="str">
        <x:f>IF(AND(V$5&gt;=$C61,V$5&lt;=$D61,$A61&lt;&gt;""),"●","")</x:f>
      </x:c>
      <x:c r="W61" s="165" t="str">
        <x:f>IF(AND(W$5&gt;=$C61,W$5&lt;=$D61,$A61&lt;&gt;""),"●","")</x:f>
      </x:c>
      <x:c r="X61" s="165" t="str">
        <x:f>IF(AND(X$5&gt;=$C61,X$5&lt;=$D61,$A61&lt;&gt;""),"●","")</x:f>
      </x:c>
      <x:c r="Y61" s="165" t="str">
        <x:f>IF(AND(Y$5&gt;=$C61,Y$5&lt;=$D61,$A61&lt;&gt;""),"●","")</x:f>
      </x:c>
      <x:c r="Z61" s="165" t="str">
        <x:f>IF(AND(Z$5&gt;=$C61,Z$5&lt;=$D61,$A61&lt;&gt;""),"●","")</x:f>
      </x:c>
      <x:c r="AA61" s="165" t="str">
        <x:f>IF(AND(AA$5&gt;=$C61,AA$5&lt;=$D61,$A61&lt;&gt;""),"●","")</x:f>
      </x:c>
      <x:c r="AB61" s="165" t="str">
        <x:f>IF(AND(AB$5&gt;=$C61,AB$5&lt;=$D61,$A61&lt;&gt;""),"●","")</x:f>
      </x:c>
      <x:c r="AC61" s="165" t="str">
        <x:f>IF(AND(AC$5&gt;=$C61,AC$5&lt;=$D61,$A61&lt;&gt;""),"●","")</x:f>
      </x:c>
      <x:c r="AD61" s="165" t="str">
        <x:f>IF(AND(AD$5&gt;=$C61,AD$5&lt;=$D61,$A61&lt;&gt;""),"●","")</x:f>
      </x:c>
      <x:c r="AE61" s="165" t="str">
        <x:f>IF(AND(AE$5&gt;=$C61,AE$5&lt;=$D61,$A61&lt;&gt;""),"●","")</x:f>
      </x:c>
      <x:c r="AF61" s="165" t="str">
        <x:f>IF(AND(AF$5&gt;=$C61,AF$5&lt;=$D61,$A61&lt;&gt;""),"●","")</x:f>
      </x:c>
      <x:c r="AG61" s="165" t="str">
        <x:f>IF(AND(AG$5&gt;=$C61,AG$5&lt;=$D61,$A61&lt;&gt;""),"●","")</x:f>
      </x:c>
      <x:c r="AH61" s="165" t="str">
        <x:f>IF(AND(AH$5&gt;=$C61,AH$5&lt;=$D61,$A61&lt;&gt;""),"●","")</x:f>
      </x:c>
      <x:c r="AI61" s="165" t="str">
        <x:f>IF(AND(AI$5&gt;=$C61,AI$5&lt;=$D61,$A61&lt;&gt;""),"●","")</x:f>
      </x:c>
      <x:c r="AJ61" s="165" t="str">
        <x:f>IF(AND(AJ$5&gt;=$C61,AJ$5&lt;=$D61,$A61&lt;&gt;""),"●","")</x:f>
      </x:c>
      <x:c r="AK61" s="165" t="str">
        <x:f>IF(AND(AK$5&gt;=$C61,AK$5&lt;=$D61,$A61&lt;&gt;""),"●","")</x:f>
      </x:c>
      <x:c r="AL61" s="165" t="str">
        <x:f>IF(AND(AL$5&gt;=$C61,AL$5&lt;=$D61,$A61&lt;&gt;""),"●","")</x:f>
      </x:c>
      <x:c r="AM61" s="165" t="str">
        <x:f>IF(AND(AM$5&gt;=$C61,AM$5&lt;=$D61,$A61&lt;&gt;""),"●","")</x:f>
      </x:c>
      <x:c r="AN61" s="165" t="str">
        <x:f>IF(AND(AN$5&gt;=$C61,AN$5&lt;=$D61,$A61&lt;&gt;""),"●","")</x:f>
      </x:c>
      <x:c r="AO61" s="165" t="str">
        <x:f>IF(AND(AO$5&gt;=$C61,AO$5&lt;=$D61,$A61&lt;&gt;""),"●","")</x:f>
      </x:c>
      <x:c r="AP61" s="165" t="str">
        <x:f>IF(AND(AP$5&gt;=$C61,AP$5&lt;=$D61,$A61&lt;&gt;""),"●","")</x:f>
      </x:c>
      <x:c r="AQ61" s="165" t="str">
        <x:f>IF(AND(AQ$5&gt;=$C61,AQ$5&lt;=$D61,$A61&lt;&gt;""),"●","")</x:f>
      </x:c>
      <x:c r="AR61" s="165" t="str">
        <x:f>IF(AND(AR$5&gt;=$C61,AR$5&lt;=$D61,$A61&lt;&gt;""),"●","")</x:f>
      </x:c>
      <x:c r="AS61" s="165" t="str">
        <x:f>IF(AND(AS$5&gt;=$C61,AS$5&lt;=$D61,$A61&lt;&gt;""),"●","")</x:f>
      </x:c>
      <x:c r="AT61" s="165" t="str">
        <x:f>IF(AND(AT$5&gt;=$C61,AT$5&lt;=$D61,$A61&lt;&gt;""),"●","")</x:f>
      </x:c>
      <x:c r="AU61" s="165" t="str">
        <x:f>IF(AND(AU$5&gt;=$C61,AU$5&lt;=$D61,$A61&lt;&gt;""),"●","")</x:f>
      </x:c>
      <x:c r="AV61" s="165" t="str">
        <x:f>IF(AND(AV$5&gt;=$C61,AV$5&lt;=$D61,$A61&lt;&gt;""),"●","")</x:f>
      </x:c>
      <x:c r="AW61" s="165" t="str">
        <x:f>IF(AND(AW$5&gt;=$C61,AW$5&lt;=$D61,$A61&lt;&gt;""),"●","")</x:f>
      </x:c>
      <x:c r="AX61" s="165" t="str">
        <x:f>IF(AND(AX$5&gt;=$C61,AX$5&lt;=$D61,$A61&lt;&gt;""),"●","")</x:f>
      </x:c>
      <x:c r="AY61" s="165" t="str">
        <x:f>IF(AND(AY$5&gt;=$C61,AY$5&lt;=$D61,$A61&lt;&gt;""),"●","")</x:f>
      </x:c>
      <x:c r="AZ61" s="165" t="str">
        <x:f>IF(AND(AZ$5&gt;=$C61,AZ$5&lt;=$D61,$A61&lt;&gt;""),"●","")</x:f>
      </x:c>
      <x:c r="BA61" s="165" t="str">
        <x:f>IF(AND(BA$5&gt;=$C61,BA$5&lt;=$D61,$A61&lt;&gt;""),"●","")</x:f>
      </x:c>
      <x:c r="BB61" s="165" t="str">
        <x:f>IF(AND(BB$5&gt;=$C61,BB$5&lt;=$D61,$A61&lt;&gt;""),"●","")</x:f>
      </x:c>
      <x:c r="BC61" s="165" t="str">
        <x:f>IF(AND(BC$5&gt;=$C61,BC$5&lt;=$D61,$A61&lt;&gt;""),"●","")</x:f>
      </x:c>
      <x:c r="BD61" s="165" t="str">
        <x:f>IF(AND(BD$5&gt;=$C61,BD$5&lt;=$D61,$A61&lt;&gt;""),"●","")</x:f>
      </x:c>
      <x:c r="BE61" s="165" t="str">
        <x:f>IF(AND(BE$5&gt;=$C61,BE$5&lt;=$D61,$A61&lt;&gt;""),"●","")</x:f>
      </x:c>
      <x:c r="BF61" s="165" t="str">
        <x:f>IF(AND(BF$5&gt;=$C61,BF$5&lt;=$D61,$A61&lt;&gt;""),"●","")</x:f>
      </x:c>
      <x:c r="BG61" s="165" t="str">
        <x:f>IF(AND(BG$5&gt;=$C61,BG$5&lt;=$D61,$A61&lt;&gt;""),"●","")</x:f>
      </x:c>
      <x:c r="BH61" s="165" t="str">
        <x:f>IF(AND(BH$5&gt;=$C61,BH$5&lt;=$D61,$A61&lt;&gt;""),"●","")</x:f>
      </x:c>
      <x:c r="BI61" s="165" t="str">
        <x:f>IF(AND(BI$5&gt;=$C61,BI$5&lt;=$D61,$A61&lt;&gt;""),"●","")</x:f>
      </x:c>
      <x:c r="BJ61" s="165" t="str">
        <x:f>IF(AND(BJ$5&gt;=$C61,BJ$5&lt;=$D61,$A61&lt;&gt;""),"●","")</x:f>
      </x:c>
      <x:c r="BK61" s="165" t="str">
        <x:f>IF(AND(BK$5&gt;=$C61,BK$5&lt;=$D61,$A61&lt;&gt;""),"●","")</x:f>
      </x:c>
      <x:c r="BL61" s="165" t="str">
        <x:f>IF(AND(BL$5&gt;=$C61,BL$5&lt;=$D61,$A61&lt;&gt;""),"●","")</x:f>
      </x:c>
      <x:c r="BM61" s="165" t="str">
        <x:f>IF(AND(BM$5&gt;=$C61,BM$5&lt;=$D61,$A61&lt;&gt;""),"●","")</x:f>
      </x:c>
      <x:c r="BN61" s="165" t="str">
        <x:f>IF(AND(BN$5&gt;=$C61,BN$5&lt;=$D61,$A61&lt;&gt;""),"●","")</x:f>
      </x:c>
      <x:c r="BO61" s="165" t="str">
        <x:f>IF(AND(BO$5&gt;=$C61,BO$5&lt;=$D61,$A61&lt;&gt;""),"●","")</x:f>
      </x:c>
      <x:c r="BP61" s="165" t="str">
        <x:f>IF(AND(BP$5&gt;=$C61,BP$5&lt;=$D61,$A61&lt;&gt;""),"●","")</x:f>
      </x:c>
      <x:c r="BQ61" s="165" t="str">
        <x:f>IF(AND(BQ$5&gt;=$C61,BQ$5&lt;=$D61,$A61&lt;&gt;""),"●","")</x:f>
      </x:c>
      <x:c r="BR61" s="165" t="str">
        <x:f>IF(AND(BR$5&gt;=$C61,BR$5&lt;=$D61,$A61&lt;&gt;""),"●","")</x:f>
      </x:c>
      <x:c r="BS61" s="165" t="str">
        <x:f>IF(AND(BS$5&gt;=$C61,BS$5&lt;=$D61,$A61&lt;&gt;""),"●","")</x:f>
      </x:c>
      <x:c r="BT61" s="165" t="str">
        <x:f>IF(AND(BT$5&gt;=$C61,BT$5&lt;=$D61,$A61&lt;&gt;""),"●","")</x:f>
      </x:c>
      <x:c r="BU61" s="165" t="str">
        <x:f>IF(AND(BU$5&gt;=$C61,BU$5&lt;=$D61,$A61&lt;&gt;""),"●","")</x:f>
      </x:c>
      <x:c r="BV61" s="165" t="str">
        <x:f>IF(AND(BV$5&gt;=$C61,BV$5&lt;=$D61,$A61&lt;&gt;""),"●","")</x:f>
      </x:c>
      <x:c r="BW61" s="165" t="str">
        <x:f>IF(AND(BW$5&gt;=$C61,BW$5&lt;=$D61,$A61&lt;&gt;""),"●","")</x:f>
      </x:c>
    </x:row>
    <x:row r="62">
      <x:c r="A62" s="159" t="str">
        <x:f>IF('รายการสัญญา'!A62="","",'รายการสัญญา'!A62)</x:f>
      </x:c>
      <x:c r="B62" s="159" t="str">
        <x:f>IF('รายการสัญญา'!A62="","",'รายการสัญญา'!C62)</x:f>
      </x:c>
      <x:c r="C62" s="162" t="str">
        <x:f>IF('รายการสัญญา'!A62="","",'รายการสัญญา'!E62)</x:f>
      </x:c>
      <x:c r="D62" s="162" t="str">
        <x:f>IF('รายการสัญญา'!A62="","",'รายการสัญญา'!G62)</x:f>
      </x:c>
      <x:c r="E62" s="159" t="str">
        <x:f>IF('รายการสัญญา'!A62="","",'รายการสัญญา'!K62)</x:f>
      </x:c>
      <x:c r="F62" s="165" t="str">
        <x:f>IF(AND(F$5&gt;=$C62,F$5&lt;=$D62,$A62&lt;&gt;""),"●","")</x:f>
      </x:c>
      <x:c r="G62" s="165" t="str">
        <x:f>IF(AND(G$5&gt;=$C62,G$5&lt;=$D62,$A62&lt;&gt;""),"●","")</x:f>
      </x:c>
      <x:c r="H62" s="165" t="str">
        <x:f>IF(AND(H$5&gt;=$C62,H$5&lt;=$D62,$A62&lt;&gt;""),"●","")</x:f>
      </x:c>
      <x:c r="I62" s="165" t="str">
        <x:f>IF(AND(I$5&gt;=$C62,I$5&lt;=$D62,$A62&lt;&gt;""),"●","")</x:f>
      </x:c>
      <x:c r="J62" s="165" t="str">
        <x:f>IF(AND(J$5&gt;=$C62,J$5&lt;=$D62,$A62&lt;&gt;""),"●","")</x:f>
      </x:c>
      <x:c r="K62" s="165" t="str">
        <x:f>IF(AND(K$5&gt;=$C62,K$5&lt;=$D62,$A62&lt;&gt;""),"●","")</x:f>
      </x:c>
      <x:c r="L62" s="165" t="str">
        <x:f>IF(AND(L$5&gt;=$C62,L$5&lt;=$D62,$A62&lt;&gt;""),"●","")</x:f>
      </x:c>
      <x:c r="M62" s="165" t="str">
        <x:f>IF(AND(M$5&gt;=$C62,M$5&lt;=$D62,$A62&lt;&gt;""),"●","")</x:f>
      </x:c>
      <x:c r="N62" s="165" t="str">
        <x:f>IF(AND(N$5&gt;=$C62,N$5&lt;=$D62,$A62&lt;&gt;""),"●","")</x:f>
      </x:c>
      <x:c r="O62" s="165" t="str">
        <x:f>IF(AND(O$5&gt;=$C62,O$5&lt;=$D62,$A62&lt;&gt;""),"●","")</x:f>
      </x:c>
      <x:c r="P62" s="165" t="str">
        <x:f>IF(AND(P$5&gt;=$C62,P$5&lt;=$D62,$A62&lt;&gt;""),"●","")</x:f>
      </x:c>
      <x:c r="Q62" s="165" t="str">
        <x:f>IF(AND(Q$5&gt;=$C62,Q$5&lt;=$D62,$A62&lt;&gt;""),"●","")</x:f>
      </x:c>
      <x:c r="R62" s="165" t="str">
        <x:f>IF(AND(R$5&gt;=$C62,R$5&lt;=$D62,$A62&lt;&gt;""),"●","")</x:f>
      </x:c>
      <x:c r="S62" s="165" t="str">
        <x:f>IF(AND(S$5&gt;=$C62,S$5&lt;=$D62,$A62&lt;&gt;""),"●","")</x:f>
      </x:c>
      <x:c r="T62" s="165" t="str">
        <x:f>IF(AND(T$5&gt;=$C62,T$5&lt;=$D62,$A62&lt;&gt;""),"●","")</x:f>
      </x:c>
      <x:c r="U62" s="165" t="str">
        <x:f>IF(AND(U$5&gt;=$C62,U$5&lt;=$D62,$A62&lt;&gt;""),"●","")</x:f>
      </x:c>
      <x:c r="V62" s="165" t="str">
        <x:f>IF(AND(V$5&gt;=$C62,V$5&lt;=$D62,$A62&lt;&gt;""),"●","")</x:f>
      </x:c>
      <x:c r="W62" s="165" t="str">
        <x:f>IF(AND(W$5&gt;=$C62,W$5&lt;=$D62,$A62&lt;&gt;""),"●","")</x:f>
      </x:c>
      <x:c r="X62" s="165" t="str">
        <x:f>IF(AND(X$5&gt;=$C62,X$5&lt;=$D62,$A62&lt;&gt;""),"●","")</x:f>
      </x:c>
      <x:c r="Y62" s="165" t="str">
        <x:f>IF(AND(Y$5&gt;=$C62,Y$5&lt;=$D62,$A62&lt;&gt;""),"●","")</x:f>
      </x:c>
      <x:c r="Z62" s="165" t="str">
        <x:f>IF(AND(Z$5&gt;=$C62,Z$5&lt;=$D62,$A62&lt;&gt;""),"●","")</x:f>
      </x:c>
      <x:c r="AA62" s="165" t="str">
        <x:f>IF(AND(AA$5&gt;=$C62,AA$5&lt;=$D62,$A62&lt;&gt;""),"●","")</x:f>
      </x:c>
      <x:c r="AB62" s="165" t="str">
        <x:f>IF(AND(AB$5&gt;=$C62,AB$5&lt;=$D62,$A62&lt;&gt;""),"●","")</x:f>
      </x:c>
      <x:c r="AC62" s="165" t="str">
        <x:f>IF(AND(AC$5&gt;=$C62,AC$5&lt;=$D62,$A62&lt;&gt;""),"●","")</x:f>
      </x:c>
      <x:c r="AD62" s="165" t="str">
        <x:f>IF(AND(AD$5&gt;=$C62,AD$5&lt;=$D62,$A62&lt;&gt;""),"●","")</x:f>
      </x:c>
      <x:c r="AE62" s="165" t="str">
        <x:f>IF(AND(AE$5&gt;=$C62,AE$5&lt;=$D62,$A62&lt;&gt;""),"●","")</x:f>
      </x:c>
      <x:c r="AF62" s="165" t="str">
        <x:f>IF(AND(AF$5&gt;=$C62,AF$5&lt;=$D62,$A62&lt;&gt;""),"●","")</x:f>
      </x:c>
      <x:c r="AG62" s="165" t="str">
        <x:f>IF(AND(AG$5&gt;=$C62,AG$5&lt;=$D62,$A62&lt;&gt;""),"●","")</x:f>
      </x:c>
      <x:c r="AH62" s="165" t="str">
        <x:f>IF(AND(AH$5&gt;=$C62,AH$5&lt;=$D62,$A62&lt;&gt;""),"●","")</x:f>
      </x:c>
      <x:c r="AI62" s="165" t="str">
        <x:f>IF(AND(AI$5&gt;=$C62,AI$5&lt;=$D62,$A62&lt;&gt;""),"●","")</x:f>
      </x:c>
      <x:c r="AJ62" s="165" t="str">
        <x:f>IF(AND(AJ$5&gt;=$C62,AJ$5&lt;=$D62,$A62&lt;&gt;""),"●","")</x:f>
      </x:c>
      <x:c r="AK62" s="165" t="str">
        <x:f>IF(AND(AK$5&gt;=$C62,AK$5&lt;=$D62,$A62&lt;&gt;""),"●","")</x:f>
      </x:c>
      <x:c r="AL62" s="165" t="str">
        <x:f>IF(AND(AL$5&gt;=$C62,AL$5&lt;=$D62,$A62&lt;&gt;""),"●","")</x:f>
      </x:c>
      <x:c r="AM62" s="165" t="str">
        <x:f>IF(AND(AM$5&gt;=$C62,AM$5&lt;=$D62,$A62&lt;&gt;""),"●","")</x:f>
      </x:c>
      <x:c r="AN62" s="165" t="str">
        <x:f>IF(AND(AN$5&gt;=$C62,AN$5&lt;=$D62,$A62&lt;&gt;""),"●","")</x:f>
      </x:c>
      <x:c r="AO62" s="165" t="str">
        <x:f>IF(AND(AO$5&gt;=$C62,AO$5&lt;=$D62,$A62&lt;&gt;""),"●","")</x:f>
      </x:c>
      <x:c r="AP62" s="165" t="str">
        <x:f>IF(AND(AP$5&gt;=$C62,AP$5&lt;=$D62,$A62&lt;&gt;""),"●","")</x:f>
      </x:c>
      <x:c r="AQ62" s="165" t="str">
        <x:f>IF(AND(AQ$5&gt;=$C62,AQ$5&lt;=$D62,$A62&lt;&gt;""),"●","")</x:f>
      </x:c>
      <x:c r="AR62" s="165" t="str">
        <x:f>IF(AND(AR$5&gt;=$C62,AR$5&lt;=$D62,$A62&lt;&gt;""),"●","")</x:f>
      </x:c>
      <x:c r="AS62" s="165" t="str">
        <x:f>IF(AND(AS$5&gt;=$C62,AS$5&lt;=$D62,$A62&lt;&gt;""),"●","")</x:f>
      </x:c>
      <x:c r="AT62" s="165" t="str">
        <x:f>IF(AND(AT$5&gt;=$C62,AT$5&lt;=$D62,$A62&lt;&gt;""),"●","")</x:f>
      </x:c>
      <x:c r="AU62" s="165" t="str">
        <x:f>IF(AND(AU$5&gt;=$C62,AU$5&lt;=$D62,$A62&lt;&gt;""),"●","")</x:f>
      </x:c>
      <x:c r="AV62" s="165" t="str">
        <x:f>IF(AND(AV$5&gt;=$C62,AV$5&lt;=$D62,$A62&lt;&gt;""),"●","")</x:f>
      </x:c>
      <x:c r="AW62" s="165" t="str">
        <x:f>IF(AND(AW$5&gt;=$C62,AW$5&lt;=$D62,$A62&lt;&gt;""),"●","")</x:f>
      </x:c>
      <x:c r="AX62" s="165" t="str">
        <x:f>IF(AND(AX$5&gt;=$C62,AX$5&lt;=$D62,$A62&lt;&gt;""),"●","")</x:f>
      </x:c>
      <x:c r="AY62" s="165" t="str">
        <x:f>IF(AND(AY$5&gt;=$C62,AY$5&lt;=$D62,$A62&lt;&gt;""),"●","")</x:f>
      </x:c>
      <x:c r="AZ62" s="165" t="str">
        <x:f>IF(AND(AZ$5&gt;=$C62,AZ$5&lt;=$D62,$A62&lt;&gt;""),"●","")</x:f>
      </x:c>
      <x:c r="BA62" s="165" t="str">
        <x:f>IF(AND(BA$5&gt;=$C62,BA$5&lt;=$D62,$A62&lt;&gt;""),"●","")</x:f>
      </x:c>
      <x:c r="BB62" s="165" t="str">
        <x:f>IF(AND(BB$5&gt;=$C62,BB$5&lt;=$D62,$A62&lt;&gt;""),"●","")</x:f>
      </x:c>
      <x:c r="BC62" s="165" t="str">
        <x:f>IF(AND(BC$5&gt;=$C62,BC$5&lt;=$D62,$A62&lt;&gt;""),"●","")</x:f>
      </x:c>
      <x:c r="BD62" s="165" t="str">
        <x:f>IF(AND(BD$5&gt;=$C62,BD$5&lt;=$D62,$A62&lt;&gt;""),"●","")</x:f>
      </x:c>
      <x:c r="BE62" s="165" t="str">
        <x:f>IF(AND(BE$5&gt;=$C62,BE$5&lt;=$D62,$A62&lt;&gt;""),"●","")</x:f>
      </x:c>
      <x:c r="BF62" s="165" t="str">
        <x:f>IF(AND(BF$5&gt;=$C62,BF$5&lt;=$D62,$A62&lt;&gt;""),"●","")</x:f>
      </x:c>
      <x:c r="BG62" s="165" t="str">
        <x:f>IF(AND(BG$5&gt;=$C62,BG$5&lt;=$D62,$A62&lt;&gt;""),"●","")</x:f>
      </x:c>
      <x:c r="BH62" s="165" t="str">
        <x:f>IF(AND(BH$5&gt;=$C62,BH$5&lt;=$D62,$A62&lt;&gt;""),"●","")</x:f>
      </x:c>
      <x:c r="BI62" s="165" t="str">
        <x:f>IF(AND(BI$5&gt;=$C62,BI$5&lt;=$D62,$A62&lt;&gt;""),"●","")</x:f>
      </x:c>
      <x:c r="BJ62" s="165" t="str">
        <x:f>IF(AND(BJ$5&gt;=$C62,BJ$5&lt;=$D62,$A62&lt;&gt;""),"●","")</x:f>
      </x:c>
      <x:c r="BK62" s="165" t="str">
        <x:f>IF(AND(BK$5&gt;=$C62,BK$5&lt;=$D62,$A62&lt;&gt;""),"●","")</x:f>
      </x:c>
      <x:c r="BL62" s="165" t="str">
        <x:f>IF(AND(BL$5&gt;=$C62,BL$5&lt;=$D62,$A62&lt;&gt;""),"●","")</x:f>
      </x:c>
      <x:c r="BM62" s="165" t="str">
        <x:f>IF(AND(BM$5&gt;=$C62,BM$5&lt;=$D62,$A62&lt;&gt;""),"●","")</x:f>
      </x:c>
      <x:c r="BN62" s="165" t="str">
        <x:f>IF(AND(BN$5&gt;=$C62,BN$5&lt;=$D62,$A62&lt;&gt;""),"●","")</x:f>
      </x:c>
      <x:c r="BO62" s="165" t="str">
        <x:f>IF(AND(BO$5&gt;=$C62,BO$5&lt;=$D62,$A62&lt;&gt;""),"●","")</x:f>
      </x:c>
      <x:c r="BP62" s="165" t="str">
        <x:f>IF(AND(BP$5&gt;=$C62,BP$5&lt;=$D62,$A62&lt;&gt;""),"●","")</x:f>
      </x:c>
      <x:c r="BQ62" s="165" t="str">
        <x:f>IF(AND(BQ$5&gt;=$C62,BQ$5&lt;=$D62,$A62&lt;&gt;""),"●","")</x:f>
      </x:c>
      <x:c r="BR62" s="165" t="str">
        <x:f>IF(AND(BR$5&gt;=$C62,BR$5&lt;=$D62,$A62&lt;&gt;""),"●","")</x:f>
      </x:c>
      <x:c r="BS62" s="165" t="str">
        <x:f>IF(AND(BS$5&gt;=$C62,BS$5&lt;=$D62,$A62&lt;&gt;""),"●","")</x:f>
      </x:c>
      <x:c r="BT62" s="165" t="str">
        <x:f>IF(AND(BT$5&gt;=$C62,BT$5&lt;=$D62,$A62&lt;&gt;""),"●","")</x:f>
      </x:c>
      <x:c r="BU62" s="165" t="str">
        <x:f>IF(AND(BU$5&gt;=$C62,BU$5&lt;=$D62,$A62&lt;&gt;""),"●","")</x:f>
      </x:c>
      <x:c r="BV62" s="165" t="str">
        <x:f>IF(AND(BV$5&gt;=$C62,BV$5&lt;=$D62,$A62&lt;&gt;""),"●","")</x:f>
      </x:c>
      <x:c r="BW62" s="165" t="str">
        <x:f>IF(AND(BW$5&gt;=$C62,BW$5&lt;=$D62,$A62&lt;&gt;""),"●","")</x:f>
      </x:c>
    </x:row>
    <x:row r="63">
      <x:c r="A63" s="159" t="str">
        <x:f>IF('รายการสัญญา'!A63="","",'รายการสัญญา'!A63)</x:f>
      </x:c>
      <x:c r="B63" s="159" t="str">
        <x:f>IF('รายการสัญญา'!A63="","",'รายการสัญญา'!C63)</x:f>
      </x:c>
      <x:c r="C63" s="162" t="str">
        <x:f>IF('รายการสัญญา'!A63="","",'รายการสัญญา'!E63)</x:f>
      </x:c>
      <x:c r="D63" s="162" t="str">
        <x:f>IF('รายการสัญญา'!A63="","",'รายการสัญญา'!G63)</x:f>
      </x:c>
      <x:c r="E63" s="159" t="str">
        <x:f>IF('รายการสัญญา'!A63="","",'รายการสัญญา'!K63)</x:f>
      </x:c>
      <x:c r="F63" s="165" t="str">
        <x:f>IF(AND(F$5&gt;=$C63,F$5&lt;=$D63,$A63&lt;&gt;""),"●","")</x:f>
      </x:c>
      <x:c r="G63" s="165" t="str">
        <x:f>IF(AND(G$5&gt;=$C63,G$5&lt;=$D63,$A63&lt;&gt;""),"●","")</x:f>
      </x:c>
      <x:c r="H63" s="165" t="str">
        <x:f>IF(AND(H$5&gt;=$C63,H$5&lt;=$D63,$A63&lt;&gt;""),"●","")</x:f>
      </x:c>
      <x:c r="I63" s="165" t="str">
        <x:f>IF(AND(I$5&gt;=$C63,I$5&lt;=$D63,$A63&lt;&gt;""),"●","")</x:f>
      </x:c>
      <x:c r="J63" s="165" t="str">
        <x:f>IF(AND(J$5&gt;=$C63,J$5&lt;=$D63,$A63&lt;&gt;""),"●","")</x:f>
      </x:c>
      <x:c r="K63" s="165" t="str">
        <x:f>IF(AND(K$5&gt;=$C63,K$5&lt;=$D63,$A63&lt;&gt;""),"●","")</x:f>
      </x:c>
      <x:c r="L63" s="165" t="str">
        <x:f>IF(AND(L$5&gt;=$C63,L$5&lt;=$D63,$A63&lt;&gt;""),"●","")</x:f>
      </x:c>
      <x:c r="M63" s="165" t="str">
        <x:f>IF(AND(M$5&gt;=$C63,M$5&lt;=$D63,$A63&lt;&gt;""),"●","")</x:f>
      </x:c>
      <x:c r="N63" s="165" t="str">
        <x:f>IF(AND(N$5&gt;=$C63,N$5&lt;=$D63,$A63&lt;&gt;""),"●","")</x:f>
      </x:c>
      <x:c r="O63" s="165" t="str">
        <x:f>IF(AND(O$5&gt;=$C63,O$5&lt;=$D63,$A63&lt;&gt;""),"●","")</x:f>
      </x:c>
      <x:c r="P63" s="165" t="str">
        <x:f>IF(AND(P$5&gt;=$C63,P$5&lt;=$D63,$A63&lt;&gt;""),"●","")</x:f>
      </x:c>
      <x:c r="Q63" s="165" t="str">
        <x:f>IF(AND(Q$5&gt;=$C63,Q$5&lt;=$D63,$A63&lt;&gt;""),"●","")</x:f>
      </x:c>
      <x:c r="R63" s="165" t="str">
        <x:f>IF(AND(R$5&gt;=$C63,R$5&lt;=$D63,$A63&lt;&gt;""),"●","")</x:f>
      </x:c>
      <x:c r="S63" s="165" t="str">
        <x:f>IF(AND(S$5&gt;=$C63,S$5&lt;=$D63,$A63&lt;&gt;""),"●","")</x:f>
      </x:c>
      <x:c r="T63" s="165" t="str">
        <x:f>IF(AND(T$5&gt;=$C63,T$5&lt;=$D63,$A63&lt;&gt;""),"●","")</x:f>
      </x:c>
      <x:c r="U63" s="165" t="str">
        <x:f>IF(AND(U$5&gt;=$C63,U$5&lt;=$D63,$A63&lt;&gt;""),"●","")</x:f>
      </x:c>
      <x:c r="V63" s="165" t="str">
        <x:f>IF(AND(V$5&gt;=$C63,V$5&lt;=$D63,$A63&lt;&gt;""),"●","")</x:f>
      </x:c>
      <x:c r="W63" s="165" t="str">
        <x:f>IF(AND(W$5&gt;=$C63,W$5&lt;=$D63,$A63&lt;&gt;""),"●","")</x:f>
      </x:c>
      <x:c r="X63" s="165" t="str">
        <x:f>IF(AND(X$5&gt;=$C63,X$5&lt;=$D63,$A63&lt;&gt;""),"●","")</x:f>
      </x:c>
      <x:c r="Y63" s="165" t="str">
        <x:f>IF(AND(Y$5&gt;=$C63,Y$5&lt;=$D63,$A63&lt;&gt;""),"●","")</x:f>
      </x:c>
      <x:c r="Z63" s="165" t="str">
        <x:f>IF(AND(Z$5&gt;=$C63,Z$5&lt;=$D63,$A63&lt;&gt;""),"●","")</x:f>
      </x:c>
      <x:c r="AA63" s="165" t="str">
        <x:f>IF(AND(AA$5&gt;=$C63,AA$5&lt;=$D63,$A63&lt;&gt;""),"●","")</x:f>
      </x:c>
      <x:c r="AB63" s="165" t="str">
        <x:f>IF(AND(AB$5&gt;=$C63,AB$5&lt;=$D63,$A63&lt;&gt;""),"●","")</x:f>
      </x:c>
      <x:c r="AC63" s="165" t="str">
        <x:f>IF(AND(AC$5&gt;=$C63,AC$5&lt;=$D63,$A63&lt;&gt;""),"●","")</x:f>
      </x:c>
      <x:c r="AD63" s="165" t="str">
        <x:f>IF(AND(AD$5&gt;=$C63,AD$5&lt;=$D63,$A63&lt;&gt;""),"●","")</x:f>
      </x:c>
      <x:c r="AE63" s="165" t="str">
        <x:f>IF(AND(AE$5&gt;=$C63,AE$5&lt;=$D63,$A63&lt;&gt;""),"●","")</x:f>
      </x:c>
      <x:c r="AF63" s="165" t="str">
        <x:f>IF(AND(AF$5&gt;=$C63,AF$5&lt;=$D63,$A63&lt;&gt;""),"●","")</x:f>
      </x:c>
      <x:c r="AG63" s="165" t="str">
        <x:f>IF(AND(AG$5&gt;=$C63,AG$5&lt;=$D63,$A63&lt;&gt;""),"●","")</x:f>
      </x:c>
      <x:c r="AH63" s="165" t="str">
        <x:f>IF(AND(AH$5&gt;=$C63,AH$5&lt;=$D63,$A63&lt;&gt;""),"●","")</x:f>
      </x:c>
      <x:c r="AI63" s="165" t="str">
        <x:f>IF(AND(AI$5&gt;=$C63,AI$5&lt;=$D63,$A63&lt;&gt;""),"●","")</x:f>
      </x:c>
      <x:c r="AJ63" s="165" t="str">
        <x:f>IF(AND(AJ$5&gt;=$C63,AJ$5&lt;=$D63,$A63&lt;&gt;""),"●","")</x:f>
      </x:c>
      <x:c r="AK63" s="165" t="str">
        <x:f>IF(AND(AK$5&gt;=$C63,AK$5&lt;=$D63,$A63&lt;&gt;""),"●","")</x:f>
      </x:c>
      <x:c r="AL63" s="165" t="str">
        <x:f>IF(AND(AL$5&gt;=$C63,AL$5&lt;=$D63,$A63&lt;&gt;""),"●","")</x:f>
      </x:c>
      <x:c r="AM63" s="165" t="str">
        <x:f>IF(AND(AM$5&gt;=$C63,AM$5&lt;=$D63,$A63&lt;&gt;""),"●","")</x:f>
      </x:c>
      <x:c r="AN63" s="165" t="str">
        <x:f>IF(AND(AN$5&gt;=$C63,AN$5&lt;=$D63,$A63&lt;&gt;""),"●","")</x:f>
      </x:c>
      <x:c r="AO63" s="165" t="str">
        <x:f>IF(AND(AO$5&gt;=$C63,AO$5&lt;=$D63,$A63&lt;&gt;""),"●","")</x:f>
      </x:c>
      <x:c r="AP63" s="165" t="str">
        <x:f>IF(AND(AP$5&gt;=$C63,AP$5&lt;=$D63,$A63&lt;&gt;""),"●","")</x:f>
      </x:c>
      <x:c r="AQ63" s="165" t="str">
        <x:f>IF(AND(AQ$5&gt;=$C63,AQ$5&lt;=$D63,$A63&lt;&gt;""),"●","")</x:f>
      </x:c>
      <x:c r="AR63" s="165" t="str">
        <x:f>IF(AND(AR$5&gt;=$C63,AR$5&lt;=$D63,$A63&lt;&gt;""),"●","")</x:f>
      </x:c>
      <x:c r="AS63" s="165" t="str">
        <x:f>IF(AND(AS$5&gt;=$C63,AS$5&lt;=$D63,$A63&lt;&gt;""),"●","")</x:f>
      </x:c>
      <x:c r="AT63" s="165" t="str">
        <x:f>IF(AND(AT$5&gt;=$C63,AT$5&lt;=$D63,$A63&lt;&gt;""),"●","")</x:f>
      </x:c>
      <x:c r="AU63" s="165" t="str">
        <x:f>IF(AND(AU$5&gt;=$C63,AU$5&lt;=$D63,$A63&lt;&gt;""),"●","")</x:f>
      </x:c>
      <x:c r="AV63" s="165" t="str">
        <x:f>IF(AND(AV$5&gt;=$C63,AV$5&lt;=$D63,$A63&lt;&gt;""),"●","")</x:f>
      </x:c>
      <x:c r="AW63" s="165" t="str">
        <x:f>IF(AND(AW$5&gt;=$C63,AW$5&lt;=$D63,$A63&lt;&gt;""),"●","")</x:f>
      </x:c>
      <x:c r="AX63" s="165" t="str">
        <x:f>IF(AND(AX$5&gt;=$C63,AX$5&lt;=$D63,$A63&lt;&gt;""),"●","")</x:f>
      </x:c>
      <x:c r="AY63" s="165" t="str">
        <x:f>IF(AND(AY$5&gt;=$C63,AY$5&lt;=$D63,$A63&lt;&gt;""),"●","")</x:f>
      </x:c>
      <x:c r="AZ63" s="165" t="str">
        <x:f>IF(AND(AZ$5&gt;=$C63,AZ$5&lt;=$D63,$A63&lt;&gt;""),"●","")</x:f>
      </x:c>
      <x:c r="BA63" s="165" t="str">
        <x:f>IF(AND(BA$5&gt;=$C63,BA$5&lt;=$D63,$A63&lt;&gt;""),"●","")</x:f>
      </x:c>
      <x:c r="BB63" s="165" t="str">
        <x:f>IF(AND(BB$5&gt;=$C63,BB$5&lt;=$D63,$A63&lt;&gt;""),"●","")</x:f>
      </x:c>
      <x:c r="BC63" s="165" t="str">
        <x:f>IF(AND(BC$5&gt;=$C63,BC$5&lt;=$D63,$A63&lt;&gt;""),"●","")</x:f>
      </x:c>
      <x:c r="BD63" s="165" t="str">
        <x:f>IF(AND(BD$5&gt;=$C63,BD$5&lt;=$D63,$A63&lt;&gt;""),"●","")</x:f>
      </x:c>
      <x:c r="BE63" s="165" t="str">
        <x:f>IF(AND(BE$5&gt;=$C63,BE$5&lt;=$D63,$A63&lt;&gt;""),"●","")</x:f>
      </x:c>
      <x:c r="BF63" s="165" t="str">
        <x:f>IF(AND(BF$5&gt;=$C63,BF$5&lt;=$D63,$A63&lt;&gt;""),"●","")</x:f>
      </x:c>
      <x:c r="BG63" s="165" t="str">
        <x:f>IF(AND(BG$5&gt;=$C63,BG$5&lt;=$D63,$A63&lt;&gt;""),"●","")</x:f>
      </x:c>
      <x:c r="BH63" s="165" t="str">
        <x:f>IF(AND(BH$5&gt;=$C63,BH$5&lt;=$D63,$A63&lt;&gt;""),"●","")</x:f>
      </x:c>
      <x:c r="BI63" s="165" t="str">
        <x:f>IF(AND(BI$5&gt;=$C63,BI$5&lt;=$D63,$A63&lt;&gt;""),"●","")</x:f>
      </x:c>
      <x:c r="BJ63" s="165" t="str">
        <x:f>IF(AND(BJ$5&gt;=$C63,BJ$5&lt;=$D63,$A63&lt;&gt;""),"●","")</x:f>
      </x:c>
      <x:c r="BK63" s="165" t="str">
        <x:f>IF(AND(BK$5&gt;=$C63,BK$5&lt;=$D63,$A63&lt;&gt;""),"●","")</x:f>
      </x:c>
      <x:c r="BL63" s="165" t="str">
        <x:f>IF(AND(BL$5&gt;=$C63,BL$5&lt;=$D63,$A63&lt;&gt;""),"●","")</x:f>
      </x:c>
      <x:c r="BM63" s="165" t="str">
        <x:f>IF(AND(BM$5&gt;=$C63,BM$5&lt;=$D63,$A63&lt;&gt;""),"●","")</x:f>
      </x:c>
      <x:c r="BN63" s="165" t="str">
        <x:f>IF(AND(BN$5&gt;=$C63,BN$5&lt;=$D63,$A63&lt;&gt;""),"●","")</x:f>
      </x:c>
      <x:c r="BO63" s="165" t="str">
        <x:f>IF(AND(BO$5&gt;=$C63,BO$5&lt;=$D63,$A63&lt;&gt;""),"●","")</x:f>
      </x:c>
      <x:c r="BP63" s="165" t="str">
        <x:f>IF(AND(BP$5&gt;=$C63,BP$5&lt;=$D63,$A63&lt;&gt;""),"●","")</x:f>
      </x:c>
      <x:c r="BQ63" s="165" t="str">
        <x:f>IF(AND(BQ$5&gt;=$C63,BQ$5&lt;=$D63,$A63&lt;&gt;""),"●","")</x:f>
      </x:c>
      <x:c r="BR63" s="165" t="str">
        <x:f>IF(AND(BR$5&gt;=$C63,BR$5&lt;=$D63,$A63&lt;&gt;""),"●","")</x:f>
      </x:c>
      <x:c r="BS63" s="165" t="str">
        <x:f>IF(AND(BS$5&gt;=$C63,BS$5&lt;=$D63,$A63&lt;&gt;""),"●","")</x:f>
      </x:c>
      <x:c r="BT63" s="165" t="str">
        <x:f>IF(AND(BT$5&gt;=$C63,BT$5&lt;=$D63,$A63&lt;&gt;""),"●","")</x:f>
      </x:c>
      <x:c r="BU63" s="165" t="str">
        <x:f>IF(AND(BU$5&gt;=$C63,BU$5&lt;=$D63,$A63&lt;&gt;""),"●","")</x:f>
      </x:c>
      <x:c r="BV63" s="165" t="str">
        <x:f>IF(AND(BV$5&gt;=$C63,BV$5&lt;=$D63,$A63&lt;&gt;""),"●","")</x:f>
      </x:c>
      <x:c r="BW63" s="165" t="str">
        <x:f>IF(AND(BW$5&gt;=$C63,BW$5&lt;=$D63,$A63&lt;&gt;""),"●","")</x:f>
      </x:c>
    </x:row>
    <x:row r="64">
      <x:c r="A64" s="159" t="str">
        <x:f>IF('รายการสัญญา'!A64="","",'รายการสัญญา'!A64)</x:f>
      </x:c>
      <x:c r="B64" s="159" t="str">
        <x:f>IF('รายการสัญญา'!A64="","",'รายการสัญญา'!C64)</x:f>
      </x:c>
      <x:c r="C64" s="162" t="str">
        <x:f>IF('รายการสัญญา'!A64="","",'รายการสัญญา'!E64)</x:f>
      </x:c>
      <x:c r="D64" s="162" t="str">
        <x:f>IF('รายการสัญญา'!A64="","",'รายการสัญญา'!G64)</x:f>
      </x:c>
      <x:c r="E64" s="159" t="str">
        <x:f>IF('รายการสัญญา'!A64="","",'รายการสัญญา'!K64)</x:f>
      </x:c>
      <x:c r="F64" s="165" t="str">
        <x:f>IF(AND(F$5&gt;=$C64,F$5&lt;=$D64,$A64&lt;&gt;""),"●","")</x:f>
      </x:c>
      <x:c r="G64" s="165" t="str">
        <x:f>IF(AND(G$5&gt;=$C64,G$5&lt;=$D64,$A64&lt;&gt;""),"●","")</x:f>
      </x:c>
      <x:c r="H64" s="165" t="str">
        <x:f>IF(AND(H$5&gt;=$C64,H$5&lt;=$D64,$A64&lt;&gt;""),"●","")</x:f>
      </x:c>
      <x:c r="I64" s="165" t="str">
        <x:f>IF(AND(I$5&gt;=$C64,I$5&lt;=$D64,$A64&lt;&gt;""),"●","")</x:f>
      </x:c>
      <x:c r="J64" s="165" t="str">
        <x:f>IF(AND(J$5&gt;=$C64,J$5&lt;=$D64,$A64&lt;&gt;""),"●","")</x:f>
      </x:c>
      <x:c r="K64" s="165" t="str">
        <x:f>IF(AND(K$5&gt;=$C64,K$5&lt;=$D64,$A64&lt;&gt;""),"●","")</x:f>
      </x:c>
      <x:c r="L64" s="165" t="str">
        <x:f>IF(AND(L$5&gt;=$C64,L$5&lt;=$D64,$A64&lt;&gt;""),"●","")</x:f>
      </x:c>
      <x:c r="M64" s="165" t="str">
        <x:f>IF(AND(M$5&gt;=$C64,M$5&lt;=$D64,$A64&lt;&gt;""),"●","")</x:f>
      </x:c>
      <x:c r="N64" s="165" t="str">
        <x:f>IF(AND(N$5&gt;=$C64,N$5&lt;=$D64,$A64&lt;&gt;""),"●","")</x:f>
      </x:c>
      <x:c r="O64" s="165" t="str">
        <x:f>IF(AND(O$5&gt;=$C64,O$5&lt;=$D64,$A64&lt;&gt;""),"●","")</x:f>
      </x:c>
      <x:c r="P64" s="165" t="str">
        <x:f>IF(AND(P$5&gt;=$C64,P$5&lt;=$D64,$A64&lt;&gt;""),"●","")</x:f>
      </x:c>
      <x:c r="Q64" s="165" t="str">
        <x:f>IF(AND(Q$5&gt;=$C64,Q$5&lt;=$D64,$A64&lt;&gt;""),"●","")</x:f>
      </x:c>
      <x:c r="R64" s="165" t="str">
        <x:f>IF(AND(R$5&gt;=$C64,R$5&lt;=$D64,$A64&lt;&gt;""),"●","")</x:f>
      </x:c>
      <x:c r="S64" s="165" t="str">
        <x:f>IF(AND(S$5&gt;=$C64,S$5&lt;=$D64,$A64&lt;&gt;""),"●","")</x:f>
      </x:c>
      <x:c r="T64" s="165" t="str">
        <x:f>IF(AND(T$5&gt;=$C64,T$5&lt;=$D64,$A64&lt;&gt;""),"●","")</x:f>
      </x:c>
      <x:c r="U64" s="165" t="str">
        <x:f>IF(AND(U$5&gt;=$C64,U$5&lt;=$D64,$A64&lt;&gt;""),"●","")</x:f>
      </x:c>
      <x:c r="V64" s="165" t="str">
        <x:f>IF(AND(V$5&gt;=$C64,V$5&lt;=$D64,$A64&lt;&gt;""),"●","")</x:f>
      </x:c>
      <x:c r="W64" s="165" t="str">
        <x:f>IF(AND(W$5&gt;=$C64,W$5&lt;=$D64,$A64&lt;&gt;""),"●","")</x:f>
      </x:c>
      <x:c r="X64" s="165" t="str">
        <x:f>IF(AND(X$5&gt;=$C64,X$5&lt;=$D64,$A64&lt;&gt;""),"●","")</x:f>
      </x:c>
      <x:c r="Y64" s="165" t="str">
        <x:f>IF(AND(Y$5&gt;=$C64,Y$5&lt;=$D64,$A64&lt;&gt;""),"●","")</x:f>
      </x:c>
      <x:c r="Z64" s="165" t="str">
        <x:f>IF(AND(Z$5&gt;=$C64,Z$5&lt;=$D64,$A64&lt;&gt;""),"●","")</x:f>
      </x:c>
      <x:c r="AA64" s="165" t="str">
        <x:f>IF(AND(AA$5&gt;=$C64,AA$5&lt;=$D64,$A64&lt;&gt;""),"●","")</x:f>
      </x:c>
      <x:c r="AB64" s="165" t="str">
        <x:f>IF(AND(AB$5&gt;=$C64,AB$5&lt;=$D64,$A64&lt;&gt;""),"●","")</x:f>
      </x:c>
      <x:c r="AC64" s="165" t="str">
        <x:f>IF(AND(AC$5&gt;=$C64,AC$5&lt;=$D64,$A64&lt;&gt;""),"●","")</x:f>
      </x:c>
      <x:c r="AD64" s="165" t="str">
        <x:f>IF(AND(AD$5&gt;=$C64,AD$5&lt;=$D64,$A64&lt;&gt;""),"●","")</x:f>
      </x:c>
      <x:c r="AE64" s="165" t="str">
        <x:f>IF(AND(AE$5&gt;=$C64,AE$5&lt;=$D64,$A64&lt;&gt;""),"●","")</x:f>
      </x:c>
      <x:c r="AF64" s="165" t="str">
        <x:f>IF(AND(AF$5&gt;=$C64,AF$5&lt;=$D64,$A64&lt;&gt;""),"●","")</x:f>
      </x:c>
      <x:c r="AG64" s="165" t="str">
        <x:f>IF(AND(AG$5&gt;=$C64,AG$5&lt;=$D64,$A64&lt;&gt;""),"●","")</x:f>
      </x:c>
      <x:c r="AH64" s="165" t="str">
        <x:f>IF(AND(AH$5&gt;=$C64,AH$5&lt;=$D64,$A64&lt;&gt;""),"●","")</x:f>
      </x:c>
      <x:c r="AI64" s="165" t="str">
        <x:f>IF(AND(AI$5&gt;=$C64,AI$5&lt;=$D64,$A64&lt;&gt;""),"●","")</x:f>
      </x:c>
      <x:c r="AJ64" s="165" t="str">
        <x:f>IF(AND(AJ$5&gt;=$C64,AJ$5&lt;=$D64,$A64&lt;&gt;""),"●","")</x:f>
      </x:c>
      <x:c r="AK64" s="165" t="str">
        <x:f>IF(AND(AK$5&gt;=$C64,AK$5&lt;=$D64,$A64&lt;&gt;""),"●","")</x:f>
      </x:c>
      <x:c r="AL64" s="165" t="str">
        <x:f>IF(AND(AL$5&gt;=$C64,AL$5&lt;=$D64,$A64&lt;&gt;""),"●","")</x:f>
      </x:c>
      <x:c r="AM64" s="165" t="str">
        <x:f>IF(AND(AM$5&gt;=$C64,AM$5&lt;=$D64,$A64&lt;&gt;""),"●","")</x:f>
      </x:c>
      <x:c r="AN64" s="165" t="str">
        <x:f>IF(AND(AN$5&gt;=$C64,AN$5&lt;=$D64,$A64&lt;&gt;""),"●","")</x:f>
      </x:c>
      <x:c r="AO64" s="165" t="str">
        <x:f>IF(AND(AO$5&gt;=$C64,AO$5&lt;=$D64,$A64&lt;&gt;""),"●","")</x:f>
      </x:c>
      <x:c r="AP64" s="165" t="str">
        <x:f>IF(AND(AP$5&gt;=$C64,AP$5&lt;=$D64,$A64&lt;&gt;""),"●","")</x:f>
      </x:c>
      <x:c r="AQ64" s="165" t="str">
        <x:f>IF(AND(AQ$5&gt;=$C64,AQ$5&lt;=$D64,$A64&lt;&gt;""),"●","")</x:f>
      </x:c>
      <x:c r="AR64" s="165" t="str">
        <x:f>IF(AND(AR$5&gt;=$C64,AR$5&lt;=$D64,$A64&lt;&gt;""),"●","")</x:f>
      </x:c>
      <x:c r="AS64" s="165" t="str">
        <x:f>IF(AND(AS$5&gt;=$C64,AS$5&lt;=$D64,$A64&lt;&gt;""),"●","")</x:f>
      </x:c>
      <x:c r="AT64" s="165" t="str">
        <x:f>IF(AND(AT$5&gt;=$C64,AT$5&lt;=$D64,$A64&lt;&gt;""),"●","")</x:f>
      </x:c>
      <x:c r="AU64" s="165" t="str">
        <x:f>IF(AND(AU$5&gt;=$C64,AU$5&lt;=$D64,$A64&lt;&gt;""),"●","")</x:f>
      </x:c>
      <x:c r="AV64" s="165" t="str">
        <x:f>IF(AND(AV$5&gt;=$C64,AV$5&lt;=$D64,$A64&lt;&gt;""),"●","")</x:f>
      </x:c>
      <x:c r="AW64" s="165" t="str">
        <x:f>IF(AND(AW$5&gt;=$C64,AW$5&lt;=$D64,$A64&lt;&gt;""),"●","")</x:f>
      </x:c>
      <x:c r="AX64" s="165" t="str">
        <x:f>IF(AND(AX$5&gt;=$C64,AX$5&lt;=$D64,$A64&lt;&gt;""),"●","")</x:f>
      </x:c>
      <x:c r="AY64" s="165" t="str">
        <x:f>IF(AND(AY$5&gt;=$C64,AY$5&lt;=$D64,$A64&lt;&gt;""),"●","")</x:f>
      </x:c>
      <x:c r="AZ64" s="165" t="str">
        <x:f>IF(AND(AZ$5&gt;=$C64,AZ$5&lt;=$D64,$A64&lt;&gt;""),"●","")</x:f>
      </x:c>
      <x:c r="BA64" s="165" t="str">
        <x:f>IF(AND(BA$5&gt;=$C64,BA$5&lt;=$D64,$A64&lt;&gt;""),"●","")</x:f>
      </x:c>
      <x:c r="BB64" s="165" t="str">
        <x:f>IF(AND(BB$5&gt;=$C64,BB$5&lt;=$D64,$A64&lt;&gt;""),"●","")</x:f>
      </x:c>
      <x:c r="BC64" s="165" t="str">
        <x:f>IF(AND(BC$5&gt;=$C64,BC$5&lt;=$D64,$A64&lt;&gt;""),"●","")</x:f>
      </x:c>
      <x:c r="BD64" s="165" t="str">
        <x:f>IF(AND(BD$5&gt;=$C64,BD$5&lt;=$D64,$A64&lt;&gt;""),"●","")</x:f>
      </x:c>
      <x:c r="BE64" s="165" t="str">
        <x:f>IF(AND(BE$5&gt;=$C64,BE$5&lt;=$D64,$A64&lt;&gt;""),"●","")</x:f>
      </x:c>
      <x:c r="BF64" s="165" t="str">
        <x:f>IF(AND(BF$5&gt;=$C64,BF$5&lt;=$D64,$A64&lt;&gt;""),"●","")</x:f>
      </x:c>
      <x:c r="BG64" s="165" t="str">
        <x:f>IF(AND(BG$5&gt;=$C64,BG$5&lt;=$D64,$A64&lt;&gt;""),"●","")</x:f>
      </x:c>
      <x:c r="BH64" s="165" t="str">
        <x:f>IF(AND(BH$5&gt;=$C64,BH$5&lt;=$D64,$A64&lt;&gt;""),"●","")</x:f>
      </x:c>
      <x:c r="BI64" s="165" t="str">
        <x:f>IF(AND(BI$5&gt;=$C64,BI$5&lt;=$D64,$A64&lt;&gt;""),"●","")</x:f>
      </x:c>
      <x:c r="BJ64" s="165" t="str">
        <x:f>IF(AND(BJ$5&gt;=$C64,BJ$5&lt;=$D64,$A64&lt;&gt;""),"●","")</x:f>
      </x:c>
      <x:c r="BK64" s="165" t="str">
        <x:f>IF(AND(BK$5&gt;=$C64,BK$5&lt;=$D64,$A64&lt;&gt;""),"●","")</x:f>
      </x:c>
      <x:c r="BL64" s="165" t="str">
        <x:f>IF(AND(BL$5&gt;=$C64,BL$5&lt;=$D64,$A64&lt;&gt;""),"●","")</x:f>
      </x:c>
      <x:c r="BM64" s="165" t="str">
        <x:f>IF(AND(BM$5&gt;=$C64,BM$5&lt;=$D64,$A64&lt;&gt;""),"●","")</x:f>
      </x:c>
      <x:c r="BN64" s="165" t="str">
        <x:f>IF(AND(BN$5&gt;=$C64,BN$5&lt;=$D64,$A64&lt;&gt;""),"●","")</x:f>
      </x:c>
      <x:c r="BO64" s="165" t="str">
        <x:f>IF(AND(BO$5&gt;=$C64,BO$5&lt;=$D64,$A64&lt;&gt;""),"●","")</x:f>
      </x:c>
      <x:c r="BP64" s="165" t="str">
        <x:f>IF(AND(BP$5&gt;=$C64,BP$5&lt;=$D64,$A64&lt;&gt;""),"●","")</x:f>
      </x:c>
      <x:c r="BQ64" s="165" t="str">
        <x:f>IF(AND(BQ$5&gt;=$C64,BQ$5&lt;=$D64,$A64&lt;&gt;""),"●","")</x:f>
      </x:c>
      <x:c r="BR64" s="165" t="str">
        <x:f>IF(AND(BR$5&gt;=$C64,BR$5&lt;=$D64,$A64&lt;&gt;""),"●","")</x:f>
      </x:c>
      <x:c r="BS64" s="165" t="str">
        <x:f>IF(AND(BS$5&gt;=$C64,BS$5&lt;=$D64,$A64&lt;&gt;""),"●","")</x:f>
      </x:c>
      <x:c r="BT64" s="165" t="str">
        <x:f>IF(AND(BT$5&gt;=$C64,BT$5&lt;=$D64,$A64&lt;&gt;""),"●","")</x:f>
      </x:c>
      <x:c r="BU64" s="165" t="str">
        <x:f>IF(AND(BU$5&gt;=$C64,BU$5&lt;=$D64,$A64&lt;&gt;""),"●","")</x:f>
      </x:c>
      <x:c r="BV64" s="165" t="str">
        <x:f>IF(AND(BV$5&gt;=$C64,BV$5&lt;=$D64,$A64&lt;&gt;""),"●","")</x:f>
      </x:c>
      <x:c r="BW64" s="165" t="str">
        <x:f>IF(AND(BW$5&gt;=$C64,BW$5&lt;=$D64,$A64&lt;&gt;""),"●","")</x:f>
      </x:c>
    </x:row>
    <x:row r="65">
      <x:c r="A65" s="159" t="str">
        <x:f>IF('รายการสัญญา'!A65="","",'รายการสัญญา'!A65)</x:f>
      </x:c>
      <x:c r="B65" s="159" t="str">
        <x:f>IF('รายการสัญญา'!A65="","",'รายการสัญญา'!C65)</x:f>
      </x:c>
      <x:c r="C65" s="162" t="str">
        <x:f>IF('รายการสัญญา'!A65="","",'รายการสัญญา'!E65)</x:f>
      </x:c>
      <x:c r="D65" s="162" t="str">
        <x:f>IF('รายการสัญญา'!A65="","",'รายการสัญญา'!G65)</x:f>
      </x:c>
      <x:c r="E65" s="159" t="str">
        <x:f>IF('รายการสัญญา'!A65="","",'รายการสัญญา'!K65)</x:f>
      </x:c>
      <x:c r="F65" s="165" t="str">
        <x:f>IF(AND(F$5&gt;=$C65,F$5&lt;=$D65,$A65&lt;&gt;""),"●","")</x:f>
      </x:c>
      <x:c r="G65" s="165" t="str">
        <x:f>IF(AND(G$5&gt;=$C65,G$5&lt;=$D65,$A65&lt;&gt;""),"●","")</x:f>
      </x:c>
      <x:c r="H65" s="165" t="str">
        <x:f>IF(AND(H$5&gt;=$C65,H$5&lt;=$D65,$A65&lt;&gt;""),"●","")</x:f>
      </x:c>
      <x:c r="I65" s="165" t="str">
        <x:f>IF(AND(I$5&gt;=$C65,I$5&lt;=$D65,$A65&lt;&gt;""),"●","")</x:f>
      </x:c>
      <x:c r="J65" s="165" t="str">
        <x:f>IF(AND(J$5&gt;=$C65,J$5&lt;=$D65,$A65&lt;&gt;""),"●","")</x:f>
      </x:c>
      <x:c r="K65" s="165" t="str">
        <x:f>IF(AND(K$5&gt;=$C65,K$5&lt;=$D65,$A65&lt;&gt;""),"●","")</x:f>
      </x:c>
      <x:c r="L65" s="165" t="str">
        <x:f>IF(AND(L$5&gt;=$C65,L$5&lt;=$D65,$A65&lt;&gt;""),"●","")</x:f>
      </x:c>
      <x:c r="M65" s="165" t="str">
        <x:f>IF(AND(M$5&gt;=$C65,M$5&lt;=$D65,$A65&lt;&gt;""),"●","")</x:f>
      </x:c>
      <x:c r="N65" s="165" t="str">
        <x:f>IF(AND(N$5&gt;=$C65,N$5&lt;=$D65,$A65&lt;&gt;""),"●","")</x:f>
      </x:c>
      <x:c r="O65" s="165" t="str">
        <x:f>IF(AND(O$5&gt;=$C65,O$5&lt;=$D65,$A65&lt;&gt;""),"●","")</x:f>
      </x:c>
      <x:c r="P65" s="165" t="str">
        <x:f>IF(AND(P$5&gt;=$C65,P$5&lt;=$D65,$A65&lt;&gt;""),"●","")</x:f>
      </x:c>
      <x:c r="Q65" s="165" t="str">
        <x:f>IF(AND(Q$5&gt;=$C65,Q$5&lt;=$D65,$A65&lt;&gt;""),"●","")</x:f>
      </x:c>
      <x:c r="R65" s="165" t="str">
        <x:f>IF(AND(R$5&gt;=$C65,R$5&lt;=$D65,$A65&lt;&gt;""),"●","")</x:f>
      </x:c>
      <x:c r="S65" s="165" t="str">
        <x:f>IF(AND(S$5&gt;=$C65,S$5&lt;=$D65,$A65&lt;&gt;""),"●","")</x:f>
      </x:c>
      <x:c r="T65" s="165" t="str">
        <x:f>IF(AND(T$5&gt;=$C65,T$5&lt;=$D65,$A65&lt;&gt;""),"●","")</x:f>
      </x:c>
      <x:c r="U65" s="165" t="str">
        <x:f>IF(AND(U$5&gt;=$C65,U$5&lt;=$D65,$A65&lt;&gt;""),"●","")</x:f>
      </x:c>
      <x:c r="V65" s="165" t="str">
        <x:f>IF(AND(V$5&gt;=$C65,V$5&lt;=$D65,$A65&lt;&gt;""),"●","")</x:f>
      </x:c>
      <x:c r="W65" s="165" t="str">
        <x:f>IF(AND(W$5&gt;=$C65,W$5&lt;=$D65,$A65&lt;&gt;""),"●","")</x:f>
      </x:c>
      <x:c r="X65" s="165" t="str">
        <x:f>IF(AND(X$5&gt;=$C65,X$5&lt;=$D65,$A65&lt;&gt;""),"●","")</x:f>
      </x:c>
      <x:c r="Y65" s="165" t="str">
        <x:f>IF(AND(Y$5&gt;=$C65,Y$5&lt;=$D65,$A65&lt;&gt;""),"●","")</x:f>
      </x:c>
      <x:c r="Z65" s="165" t="str">
        <x:f>IF(AND(Z$5&gt;=$C65,Z$5&lt;=$D65,$A65&lt;&gt;""),"●","")</x:f>
      </x:c>
      <x:c r="AA65" s="165" t="str">
        <x:f>IF(AND(AA$5&gt;=$C65,AA$5&lt;=$D65,$A65&lt;&gt;""),"●","")</x:f>
      </x:c>
      <x:c r="AB65" s="165" t="str">
        <x:f>IF(AND(AB$5&gt;=$C65,AB$5&lt;=$D65,$A65&lt;&gt;""),"●","")</x:f>
      </x:c>
      <x:c r="AC65" s="165" t="str">
        <x:f>IF(AND(AC$5&gt;=$C65,AC$5&lt;=$D65,$A65&lt;&gt;""),"●","")</x:f>
      </x:c>
      <x:c r="AD65" s="165" t="str">
        <x:f>IF(AND(AD$5&gt;=$C65,AD$5&lt;=$D65,$A65&lt;&gt;""),"●","")</x:f>
      </x:c>
      <x:c r="AE65" s="165" t="str">
        <x:f>IF(AND(AE$5&gt;=$C65,AE$5&lt;=$D65,$A65&lt;&gt;""),"●","")</x:f>
      </x:c>
      <x:c r="AF65" s="165" t="str">
        <x:f>IF(AND(AF$5&gt;=$C65,AF$5&lt;=$D65,$A65&lt;&gt;""),"●","")</x:f>
      </x:c>
      <x:c r="AG65" s="165" t="str">
        <x:f>IF(AND(AG$5&gt;=$C65,AG$5&lt;=$D65,$A65&lt;&gt;""),"●","")</x:f>
      </x:c>
      <x:c r="AH65" s="165" t="str">
        <x:f>IF(AND(AH$5&gt;=$C65,AH$5&lt;=$D65,$A65&lt;&gt;""),"●","")</x:f>
      </x:c>
      <x:c r="AI65" s="165" t="str">
        <x:f>IF(AND(AI$5&gt;=$C65,AI$5&lt;=$D65,$A65&lt;&gt;""),"●","")</x:f>
      </x:c>
      <x:c r="AJ65" s="165" t="str">
        <x:f>IF(AND(AJ$5&gt;=$C65,AJ$5&lt;=$D65,$A65&lt;&gt;""),"●","")</x:f>
      </x:c>
      <x:c r="AK65" s="165" t="str">
        <x:f>IF(AND(AK$5&gt;=$C65,AK$5&lt;=$D65,$A65&lt;&gt;""),"●","")</x:f>
      </x:c>
      <x:c r="AL65" s="165" t="str">
        <x:f>IF(AND(AL$5&gt;=$C65,AL$5&lt;=$D65,$A65&lt;&gt;""),"●","")</x:f>
      </x:c>
      <x:c r="AM65" s="165" t="str">
        <x:f>IF(AND(AM$5&gt;=$C65,AM$5&lt;=$D65,$A65&lt;&gt;""),"●","")</x:f>
      </x:c>
      <x:c r="AN65" s="165" t="str">
        <x:f>IF(AND(AN$5&gt;=$C65,AN$5&lt;=$D65,$A65&lt;&gt;""),"●","")</x:f>
      </x:c>
      <x:c r="AO65" s="165" t="str">
        <x:f>IF(AND(AO$5&gt;=$C65,AO$5&lt;=$D65,$A65&lt;&gt;""),"●","")</x:f>
      </x:c>
      <x:c r="AP65" s="165" t="str">
        <x:f>IF(AND(AP$5&gt;=$C65,AP$5&lt;=$D65,$A65&lt;&gt;""),"●","")</x:f>
      </x:c>
      <x:c r="AQ65" s="165" t="str">
        <x:f>IF(AND(AQ$5&gt;=$C65,AQ$5&lt;=$D65,$A65&lt;&gt;""),"●","")</x:f>
      </x:c>
      <x:c r="AR65" s="165" t="str">
        <x:f>IF(AND(AR$5&gt;=$C65,AR$5&lt;=$D65,$A65&lt;&gt;""),"●","")</x:f>
      </x:c>
      <x:c r="AS65" s="165" t="str">
        <x:f>IF(AND(AS$5&gt;=$C65,AS$5&lt;=$D65,$A65&lt;&gt;""),"●","")</x:f>
      </x:c>
      <x:c r="AT65" s="165" t="str">
        <x:f>IF(AND(AT$5&gt;=$C65,AT$5&lt;=$D65,$A65&lt;&gt;""),"●","")</x:f>
      </x:c>
      <x:c r="AU65" s="165" t="str">
        <x:f>IF(AND(AU$5&gt;=$C65,AU$5&lt;=$D65,$A65&lt;&gt;""),"●","")</x:f>
      </x:c>
      <x:c r="AV65" s="165" t="str">
        <x:f>IF(AND(AV$5&gt;=$C65,AV$5&lt;=$D65,$A65&lt;&gt;""),"●","")</x:f>
      </x:c>
      <x:c r="AW65" s="165" t="str">
        <x:f>IF(AND(AW$5&gt;=$C65,AW$5&lt;=$D65,$A65&lt;&gt;""),"●","")</x:f>
      </x:c>
      <x:c r="AX65" s="165" t="str">
        <x:f>IF(AND(AX$5&gt;=$C65,AX$5&lt;=$D65,$A65&lt;&gt;""),"●","")</x:f>
      </x:c>
      <x:c r="AY65" s="165" t="str">
        <x:f>IF(AND(AY$5&gt;=$C65,AY$5&lt;=$D65,$A65&lt;&gt;""),"●","")</x:f>
      </x:c>
      <x:c r="AZ65" s="165" t="str">
        <x:f>IF(AND(AZ$5&gt;=$C65,AZ$5&lt;=$D65,$A65&lt;&gt;""),"●","")</x:f>
      </x:c>
      <x:c r="BA65" s="165" t="str">
        <x:f>IF(AND(BA$5&gt;=$C65,BA$5&lt;=$D65,$A65&lt;&gt;""),"●","")</x:f>
      </x:c>
      <x:c r="BB65" s="165" t="str">
        <x:f>IF(AND(BB$5&gt;=$C65,BB$5&lt;=$D65,$A65&lt;&gt;""),"●","")</x:f>
      </x:c>
      <x:c r="BC65" s="165" t="str">
        <x:f>IF(AND(BC$5&gt;=$C65,BC$5&lt;=$D65,$A65&lt;&gt;""),"●","")</x:f>
      </x:c>
      <x:c r="BD65" s="165" t="str">
        <x:f>IF(AND(BD$5&gt;=$C65,BD$5&lt;=$D65,$A65&lt;&gt;""),"●","")</x:f>
      </x:c>
      <x:c r="BE65" s="165" t="str">
        <x:f>IF(AND(BE$5&gt;=$C65,BE$5&lt;=$D65,$A65&lt;&gt;""),"●","")</x:f>
      </x:c>
      <x:c r="BF65" s="165" t="str">
        <x:f>IF(AND(BF$5&gt;=$C65,BF$5&lt;=$D65,$A65&lt;&gt;""),"●","")</x:f>
      </x:c>
      <x:c r="BG65" s="165" t="str">
        <x:f>IF(AND(BG$5&gt;=$C65,BG$5&lt;=$D65,$A65&lt;&gt;""),"●","")</x:f>
      </x:c>
      <x:c r="BH65" s="165" t="str">
        <x:f>IF(AND(BH$5&gt;=$C65,BH$5&lt;=$D65,$A65&lt;&gt;""),"●","")</x:f>
      </x:c>
      <x:c r="BI65" s="165" t="str">
        <x:f>IF(AND(BI$5&gt;=$C65,BI$5&lt;=$D65,$A65&lt;&gt;""),"●","")</x:f>
      </x:c>
      <x:c r="BJ65" s="165" t="str">
        <x:f>IF(AND(BJ$5&gt;=$C65,BJ$5&lt;=$D65,$A65&lt;&gt;""),"●","")</x:f>
      </x:c>
      <x:c r="BK65" s="165" t="str">
        <x:f>IF(AND(BK$5&gt;=$C65,BK$5&lt;=$D65,$A65&lt;&gt;""),"●","")</x:f>
      </x:c>
      <x:c r="BL65" s="165" t="str">
        <x:f>IF(AND(BL$5&gt;=$C65,BL$5&lt;=$D65,$A65&lt;&gt;""),"●","")</x:f>
      </x:c>
      <x:c r="BM65" s="165" t="str">
        <x:f>IF(AND(BM$5&gt;=$C65,BM$5&lt;=$D65,$A65&lt;&gt;""),"●","")</x:f>
      </x:c>
      <x:c r="BN65" s="165" t="str">
        <x:f>IF(AND(BN$5&gt;=$C65,BN$5&lt;=$D65,$A65&lt;&gt;""),"●","")</x:f>
      </x:c>
      <x:c r="BO65" s="165" t="str">
        <x:f>IF(AND(BO$5&gt;=$C65,BO$5&lt;=$D65,$A65&lt;&gt;""),"●","")</x:f>
      </x:c>
      <x:c r="BP65" s="165" t="str">
        <x:f>IF(AND(BP$5&gt;=$C65,BP$5&lt;=$D65,$A65&lt;&gt;""),"●","")</x:f>
      </x:c>
      <x:c r="BQ65" s="165" t="str">
        <x:f>IF(AND(BQ$5&gt;=$C65,BQ$5&lt;=$D65,$A65&lt;&gt;""),"●","")</x:f>
      </x:c>
      <x:c r="BR65" s="165" t="str">
        <x:f>IF(AND(BR$5&gt;=$C65,BR$5&lt;=$D65,$A65&lt;&gt;""),"●","")</x:f>
      </x:c>
      <x:c r="BS65" s="165" t="str">
        <x:f>IF(AND(BS$5&gt;=$C65,BS$5&lt;=$D65,$A65&lt;&gt;""),"●","")</x:f>
      </x:c>
      <x:c r="BT65" s="165" t="str">
        <x:f>IF(AND(BT$5&gt;=$C65,BT$5&lt;=$D65,$A65&lt;&gt;""),"●","")</x:f>
      </x:c>
      <x:c r="BU65" s="165" t="str">
        <x:f>IF(AND(BU$5&gt;=$C65,BU$5&lt;=$D65,$A65&lt;&gt;""),"●","")</x:f>
      </x:c>
      <x:c r="BV65" s="165" t="str">
        <x:f>IF(AND(BV$5&gt;=$C65,BV$5&lt;=$D65,$A65&lt;&gt;""),"●","")</x:f>
      </x:c>
      <x:c r="BW65" s="165" t="str">
        <x:f>IF(AND(BW$5&gt;=$C65,BW$5&lt;=$D65,$A65&lt;&gt;""),"●","")</x:f>
      </x:c>
    </x:row>
    <x:row r="66">
      <x:c r="A66" s="159" t="str">
        <x:f>IF('รายการสัญญา'!A66="","",'รายการสัญญา'!A66)</x:f>
      </x:c>
      <x:c r="B66" s="159" t="str">
        <x:f>IF('รายการสัญญา'!A66="","",'รายการสัญญา'!C66)</x:f>
      </x:c>
      <x:c r="C66" s="162" t="str">
        <x:f>IF('รายการสัญญา'!A66="","",'รายการสัญญา'!E66)</x:f>
      </x:c>
      <x:c r="D66" s="162" t="str">
        <x:f>IF('รายการสัญญา'!A66="","",'รายการสัญญา'!G66)</x:f>
      </x:c>
      <x:c r="E66" s="159" t="str">
        <x:f>IF('รายการสัญญา'!A66="","",'รายการสัญญา'!K66)</x:f>
      </x:c>
      <x:c r="F66" s="165" t="str">
        <x:f>IF(AND(F$5&gt;=$C66,F$5&lt;=$D66,$A66&lt;&gt;""),"●","")</x:f>
      </x:c>
      <x:c r="G66" s="165" t="str">
        <x:f>IF(AND(G$5&gt;=$C66,G$5&lt;=$D66,$A66&lt;&gt;""),"●","")</x:f>
      </x:c>
      <x:c r="H66" s="165" t="str">
        <x:f>IF(AND(H$5&gt;=$C66,H$5&lt;=$D66,$A66&lt;&gt;""),"●","")</x:f>
      </x:c>
      <x:c r="I66" s="165" t="str">
        <x:f>IF(AND(I$5&gt;=$C66,I$5&lt;=$D66,$A66&lt;&gt;""),"●","")</x:f>
      </x:c>
      <x:c r="J66" s="165" t="str">
        <x:f>IF(AND(J$5&gt;=$C66,J$5&lt;=$D66,$A66&lt;&gt;""),"●","")</x:f>
      </x:c>
      <x:c r="K66" s="165" t="str">
        <x:f>IF(AND(K$5&gt;=$C66,K$5&lt;=$D66,$A66&lt;&gt;""),"●","")</x:f>
      </x:c>
      <x:c r="L66" s="165" t="str">
        <x:f>IF(AND(L$5&gt;=$C66,L$5&lt;=$D66,$A66&lt;&gt;""),"●","")</x:f>
      </x:c>
      <x:c r="M66" s="165" t="str">
        <x:f>IF(AND(M$5&gt;=$C66,M$5&lt;=$D66,$A66&lt;&gt;""),"●","")</x:f>
      </x:c>
      <x:c r="N66" s="165" t="str">
        <x:f>IF(AND(N$5&gt;=$C66,N$5&lt;=$D66,$A66&lt;&gt;""),"●","")</x:f>
      </x:c>
      <x:c r="O66" s="165" t="str">
        <x:f>IF(AND(O$5&gt;=$C66,O$5&lt;=$D66,$A66&lt;&gt;""),"●","")</x:f>
      </x:c>
      <x:c r="P66" s="165" t="str">
        <x:f>IF(AND(P$5&gt;=$C66,P$5&lt;=$D66,$A66&lt;&gt;""),"●","")</x:f>
      </x:c>
      <x:c r="Q66" s="165" t="str">
        <x:f>IF(AND(Q$5&gt;=$C66,Q$5&lt;=$D66,$A66&lt;&gt;""),"●","")</x:f>
      </x:c>
      <x:c r="R66" s="165" t="str">
        <x:f>IF(AND(R$5&gt;=$C66,R$5&lt;=$D66,$A66&lt;&gt;""),"●","")</x:f>
      </x:c>
      <x:c r="S66" s="165" t="str">
        <x:f>IF(AND(S$5&gt;=$C66,S$5&lt;=$D66,$A66&lt;&gt;""),"●","")</x:f>
      </x:c>
      <x:c r="T66" s="165" t="str">
        <x:f>IF(AND(T$5&gt;=$C66,T$5&lt;=$D66,$A66&lt;&gt;""),"●","")</x:f>
      </x:c>
      <x:c r="U66" s="165" t="str">
        <x:f>IF(AND(U$5&gt;=$C66,U$5&lt;=$D66,$A66&lt;&gt;""),"●","")</x:f>
      </x:c>
      <x:c r="V66" s="165" t="str">
        <x:f>IF(AND(V$5&gt;=$C66,V$5&lt;=$D66,$A66&lt;&gt;""),"●","")</x:f>
      </x:c>
      <x:c r="W66" s="165" t="str">
        <x:f>IF(AND(W$5&gt;=$C66,W$5&lt;=$D66,$A66&lt;&gt;""),"●","")</x:f>
      </x:c>
      <x:c r="X66" s="165" t="str">
        <x:f>IF(AND(X$5&gt;=$C66,X$5&lt;=$D66,$A66&lt;&gt;""),"●","")</x:f>
      </x:c>
      <x:c r="Y66" s="165" t="str">
        <x:f>IF(AND(Y$5&gt;=$C66,Y$5&lt;=$D66,$A66&lt;&gt;""),"●","")</x:f>
      </x:c>
      <x:c r="Z66" s="165" t="str">
        <x:f>IF(AND(Z$5&gt;=$C66,Z$5&lt;=$D66,$A66&lt;&gt;""),"●","")</x:f>
      </x:c>
      <x:c r="AA66" s="165" t="str">
        <x:f>IF(AND(AA$5&gt;=$C66,AA$5&lt;=$D66,$A66&lt;&gt;""),"●","")</x:f>
      </x:c>
      <x:c r="AB66" s="165" t="str">
        <x:f>IF(AND(AB$5&gt;=$C66,AB$5&lt;=$D66,$A66&lt;&gt;""),"●","")</x:f>
      </x:c>
      <x:c r="AC66" s="165" t="str">
        <x:f>IF(AND(AC$5&gt;=$C66,AC$5&lt;=$D66,$A66&lt;&gt;""),"●","")</x:f>
      </x:c>
      <x:c r="AD66" s="165" t="str">
        <x:f>IF(AND(AD$5&gt;=$C66,AD$5&lt;=$D66,$A66&lt;&gt;""),"●","")</x:f>
      </x:c>
      <x:c r="AE66" s="165" t="str">
        <x:f>IF(AND(AE$5&gt;=$C66,AE$5&lt;=$D66,$A66&lt;&gt;""),"●","")</x:f>
      </x:c>
      <x:c r="AF66" s="165" t="str">
        <x:f>IF(AND(AF$5&gt;=$C66,AF$5&lt;=$D66,$A66&lt;&gt;""),"●","")</x:f>
      </x:c>
      <x:c r="AG66" s="165" t="str">
        <x:f>IF(AND(AG$5&gt;=$C66,AG$5&lt;=$D66,$A66&lt;&gt;""),"●","")</x:f>
      </x:c>
      <x:c r="AH66" s="165" t="str">
        <x:f>IF(AND(AH$5&gt;=$C66,AH$5&lt;=$D66,$A66&lt;&gt;""),"●","")</x:f>
      </x:c>
      <x:c r="AI66" s="165" t="str">
        <x:f>IF(AND(AI$5&gt;=$C66,AI$5&lt;=$D66,$A66&lt;&gt;""),"●","")</x:f>
      </x:c>
      <x:c r="AJ66" s="165" t="str">
        <x:f>IF(AND(AJ$5&gt;=$C66,AJ$5&lt;=$D66,$A66&lt;&gt;""),"●","")</x:f>
      </x:c>
      <x:c r="AK66" s="165" t="str">
        <x:f>IF(AND(AK$5&gt;=$C66,AK$5&lt;=$D66,$A66&lt;&gt;""),"●","")</x:f>
      </x:c>
      <x:c r="AL66" s="165" t="str">
        <x:f>IF(AND(AL$5&gt;=$C66,AL$5&lt;=$D66,$A66&lt;&gt;""),"●","")</x:f>
      </x:c>
      <x:c r="AM66" s="165" t="str">
        <x:f>IF(AND(AM$5&gt;=$C66,AM$5&lt;=$D66,$A66&lt;&gt;""),"●","")</x:f>
      </x:c>
      <x:c r="AN66" s="165" t="str">
        <x:f>IF(AND(AN$5&gt;=$C66,AN$5&lt;=$D66,$A66&lt;&gt;""),"●","")</x:f>
      </x:c>
      <x:c r="AO66" s="165" t="str">
        <x:f>IF(AND(AO$5&gt;=$C66,AO$5&lt;=$D66,$A66&lt;&gt;""),"●","")</x:f>
      </x:c>
      <x:c r="AP66" s="165" t="str">
        <x:f>IF(AND(AP$5&gt;=$C66,AP$5&lt;=$D66,$A66&lt;&gt;""),"●","")</x:f>
      </x:c>
      <x:c r="AQ66" s="165" t="str">
        <x:f>IF(AND(AQ$5&gt;=$C66,AQ$5&lt;=$D66,$A66&lt;&gt;""),"●","")</x:f>
      </x:c>
      <x:c r="AR66" s="165" t="str">
        <x:f>IF(AND(AR$5&gt;=$C66,AR$5&lt;=$D66,$A66&lt;&gt;""),"●","")</x:f>
      </x:c>
      <x:c r="AS66" s="165" t="str">
        <x:f>IF(AND(AS$5&gt;=$C66,AS$5&lt;=$D66,$A66&lt;&gt;""),"●","")</x:f>
      </x:c>
      <x:c r="AT66" s="165" t="str">
        <x:f>IF(AND(AT$5&gt;=$C66,AT$5&lt;=$D66,$A66&lt;&gt;""),"●","")</x:f>
      </x:c>
      <x:c r="AU66" s="165" t="str">
        <x:f>IF(AND(AU$5&gt;=$C66,AU$5&lt;=$D66,$A66&lt;&gt;""),"●","")</x:f>
      </x:c>
      <x:c r="AV66" s="165" t="str">
        <x:f>IF(AND(AV$5&gt;=$C66,AV$5&lt;=$D66,$A66&lt;&gt;""),"●","")</x:f>
      </x:c>
      <x:c r="AW66" s="165" t="str">
        <x:f>IF(AND(AW$5&gt;=$C66,AW$5&lt;=$D66,$A66&lt;&gt;""),"●","")</x:f>
      </x:c>
      <x:c r="AX66" s="165" t="str">
        <x:f>IF(AND(AX$5&gt;=$C66,AX$5&lt;=$D66,$A66&lt;&gt;""),"●","")</x:f>
      </x:c>
      <x:c r="AY66" s="165" t="str">
        <x:f>IF(AND(AY$5&gt;=$C66,AY$5&lt;=$D66,$A66&lt;&gt;""),"●","")</x:f>
      </x:c>
      <x:c r="AZ66" s="165" t="str">
        <x:f>IF(AND(AZ$5&gt;=$C66,AZ$5&lt;=$D66,$A66&lt;&gt;""),"●","")</x:f>
      </x:c>
      <x:c r="BA66" s="165" t="str">
        <x:f>IF(AND(BA$5&gt;=$C66,BA$5&lt;=$D66,$A66&lt;&gt;""),"●","")</x:f>
      </x:c>
      <x:c r="BB66" s="165" t="str">
        <x:f>IF(AND(BB$5&gt;=$C66,BB$5&lt;=$D66,$A66&lt;&gt;""),"●","")</x:f>
      </x:c>
      <x:c r="BC66" s="165" t="str">
        <x:f>IF(AND(BC$5&gt;=$C66,BC$5&lt;=$D66,$A66&lt;&gt;""),"●","")</x:f>
      </x:c>
      <x:c r="BD66" s="165" t="str">
        <x:f>IF(AND(BD$5&gt;=$C66,BD$5&lt;=$D66,$A66&lt;&gt;""),"●","")</x:f>
      </x:c>
      <x:c r="BE66" s="165" t="str">
        <x:f>IF(AND(BE$5&gt;=$C66,BE$5&lt;=$D66,$A66&lt;&gt;""),"●","")</x:f>
      </x:c>
      <x:c r="BF66" s="165" t="str">
        <x:f>IF(AND(BF$5&gt;=$C66,BF$5&lt;=$D66,$A66&lt;&gt;""),"●","")</x:f>
      </x:c>
      <x:c r="BG66" s="165" t="str">
        <x:f>IF(AND(BG$5&gt;=$C66,BG$5&lt;=$D66,$A66&lt;&gt;""),"●","")</x:f>
      </x:c>
      <x:c r="BH66" s="165" t="str">
        <x:f>IF(AND(BH$5&gt;=$C66,BH$5&lt;=$D66,$A66&lt;&gt;""),"●","")</x:f>
      </x:c>
      <x:c r="BI66" s="165" t="str">
        <x:f>IF(AND(BI$5&gt;=$C66,BI$5&lt;=$D66,$A66&lt;&gt;""),"●","")</x:f>
      </x:c>
      <x:c r="BJ66" s="165" t="str">
        <x:f>IF(AND(BJ$5&gt;=$C66,BJ$5&lt;=$D66,$A66&lt;&gt;""),"●","")</x:f>
      </x:c>
      <x:c r="BK66" s="165" t="str">
        <x:f>IF(AND(BK$5&gt;=$C66,BK$5&lt;=$D66,$A66&lt;&gt;""),"●","")</x:f>
      </x:c>
      <x:c r="BL66" s="165" t="str">
        <x:f>IF(AND(BL$5&gt;=$C66,BL$5&lt;=$D66,$A66&lt;&gt;""),"●","")</x:f>
      </x:c>
      <x:c r="BM66" s="165" t="str">
        <x:f>IF(AND(BM$5&gt;=$C66,BM$5&lt;=$D66,$A66&lt;&gt;""),"●","")</x:f>
      </x:c>
      <x:c r="BN66" s="165" t="str">
        <x:f>IF(AND(BN$5&gt;=$C66,BN$5&lt;=$D66,$A66&lt;&gt;""),"●","")</x:f>
      </x:c>
      <x:c r="BO66" s="165" t="str">
        <x:f>IF(AND(BO$5&gt;=$C66,BO$5&lt;=$D66,$A66&lt;&gt;""),"●","")</x:f>
      </x:c>
      <x:c r="BP66" s="165" t="str">
        <x:f>IF(AND(BP$5&gt;=$C66,BP$5&lt;=$D66,$A66&lt;&gt;""),"●","")</x:f>
      </x:c>
      <x:c r="BQ66" s="165" t="str">
        <x:f>IF(AND(BQ$5&gt;=$C66,BQ$5&lt;=$D66,$A66&lt;&gt;""),"●","")</x:f>
      </x:c>
      <x:c r="BR66" s="165" t="str">
        <x:f>IF(AND(BR$5&gt;=$C66,BR$5&lt;=$D66,$A66&lt;&gt;""),"●","")</x:f>
      </x:c>
      <x:c r="BS66" s="165" t="str">
        <x:f>IF(AND(BS$5&gt;=$C66,BS$5&lt;=$D66,$A66&lt;&gt;""),"●","")</x:f>
      </x:c>
      <x:c r="BT66" s="165" t="str">
        <x:f>IF(AND(BT$5&gt;=$C66,BT$5&lt;=$D66,$A66&lt;&gt;""),"●","")</x:f>
      </x:c>
      <x:c r="BU66" s="165" t="str">
        <x:f>IF(AND(BU$5&gt;=$C66,BU$5&lt;=$D66,$A66&lt;&gt;""),"●","")</x:f>
      </x:c>
      <x:c r="BV66" s="165" t="str">
        <x:f>IF(AND(BV$5&gt;=$C66,BV$5&lt;=$D66,$A66&lt;&gt;""),"●","")</x:f>
      </x:c>
      <x:c r="BW66" s="165" t="str">
        <x:f>IF(AND(BW$5&gt;=$C66,BW$5&lt;=$D66,$A66&lt;&gt;""),"●","")</x:f>
      </x:c>
    </x:row>
    <x:row r="67">
      <x:c r="A67" s="159" t="str">
        <x:f>IF('รายการสัญญา'!A67="","",'รายการสัญญา'!A67)</x:f>
      </x:c>
      <x:c r="B67" s="159" t="str">
        <x:f>IF('รายการสัญญา'!A67="","",'รายการสัญญา'!C67)</x:f>
      </x:c>
      <x:c r="C67" s="162" t="str">
        <x:f>IF('รายการสัญญา'!A67="","",'รายการสัญญา'!E67)</x:f>
      </x:c>
      <x:c r="D67" s="162" t="str">
        <x:f>IF('รายการสัญญา'!A67="","",'รายการสัญญา'!G67)</x:f>
      </x:c>
      <x:c r="E67" s="159" t="str">
        <x:f>IF('รายการสัญญา'!A67="","",'รายการสัญญา'!K67)</x:f>
      </x:c>
      <x:c r="F67" s="165" t="str">
        <x:f>IF(AND(F$5&gt;=$C67,F$5&lt;=$D67,$A67&lt;&gt;""),"●","")</x:f>
      </x:c>
      <x:c r="G67" s="165" t="str">
        <x:f>IF(AND(G$5&gt;=$C67,G$5&lt;=$D67,$A67&lt;&gt;""),"●","")</x:f>
      </x:c>
      <x:c r="H67" s="165" t="str">
        <x:f>IF(AND(H$5&gt;=$C67,H$5&lt;=$D67,$A67&lt;&gt;""),"●","")</x:f>
      </x:c>
      <x:c r="I67" s="165" t="str">
        <x:f>IF(AND(I$5&gt;=$C67,I$5&lt;=$D67,$A67&lt;&gt;""),"●","")</x:f>
      </x:c>
      <x:c r="J67" s="165" t="str">
        <x:f>IF(AND(J$5&gt;=$C67,J$5&lt;=$D67,$A67&lt;&gt;""),"●","")</x:f>
      </x:c>
      <x:c r="K67" s="165" t="str">
        <x:f>IF(AND(K$5&gt;=$C67,K$5&lt;=$D67,$A67&lt;&gt;""),"●","")</x:f>
      </x:c>
      <x:c r="L67" s="165" t="str">
        <x:f>IF(AND(L$5&gt;=$C67,L$5&lt;=$D67,$A67&lt;&gt;""),"●","")</x:f>
      </x:c>
      <x:c r="M67" s="165" t="str">
        <x:f>IF(AND(M$5&gt;=$C67,M$5&lt;=$D67,$A67&lt;&gt;""),"●","")</x:f>
      </x:c>
      <x:c r="N67" s="165" t="str">
        <x:f>IF(AND(N$5&gt;=$C67,N$5&lt;=$D67,$A67&lt;&gt;""),"●","")</x:f>
      </x:c>
      <x:c r="O67" s="165" t="str">
        <x:f>IF(AND(O$5&gt;=$C67,O$5&lt;=$D67,$A67&lt;&gt;""),"●","")</x:f>
      </x:c>
      <x:c r="P67" s="165" t="str">
        <x:f>IF(AND(P$5&gt;=$C67,P$5&lt;=$D67,$A67&lt;&gt;""),"●","")</x:f>
      </x:c>
      <x:c r="Q67" s="165" t="str">
        <x:f>IF(AND(Q$5&gt;=$C67,Q$5&lt;=$D67,$A67&lt;&gt;""),"●","")</x:f>
      </x:c>
      <x:c r="R67" s="165" t="str">
        <x:f>IF(AND(R$5&gt;=$C67,R$5&lt;=$D67,$A67&lt;&gt;""),"●","")</x:f>
      </x:c>
      <x:c r="S67" s="165" t="str">
        <x:f>IF(AND(S$5&gt;=$C67,S$5&lt;=$D67,$A67&lt;&gt;""),"●","")</x:f>
      </x:c>
      <x:c r="T67" s="165" t="str">
        <x:f>IF(AND(T$5&gt;=$C67,T$5&lt;=$D67,$A67&lt;&gt;""),"●","")</x:f>
      </x:c>
      <x:c r="U67" s="165" t="str">
        <x:f>IF(AND(U$5&gt;=$C67,U$5&lt;=$D67,$A67&lt;&gt;""),"●","")</x:f>
      </x:c>
      <x:c r="V67" s="165" t="str">
        <x:f>IF(AND(V$5&gt;=$C67,V$5&lt;=$D67,$A67&lt;&gt;""),"●","")</x:f>
      </x:c>
      <x:c r="W67" s="165" t="str">
        <x:f>IF(AND(W$5&gt;=$C67,W$5&lt;=$D67,$A67&lt;&gt;""),"●","")</x:f>
      </x:c>
      <x:c r="X67" s="165" t="str">
        <x:f>IF(AND(X$5&gt;=$C67,X$5&lt;=$D67,$A67&lt;&gt;""),"●","")</x:f>
      </x:c>
      <x:c r="Y67" s="165" t="str">
        <x:f>IF(AND(Y$5&gt;=$C67,Y$5&lt;=$D67,$A67&lt;&gt;""),"●","")</x:f>
      </x:c>
      <x:c r="Z67" s="165" t="str">
        <x:f>IF(AND(Z$5&gt;=$C67,Z$5&lt;=$D67,$A67&lt;&gt;""),"●","")</x:f>
      </x:c>
      <x:c r="AA67" s="165" t="str">
        <x:f>IF(AND(AA$5&gt;=$C67,AA$5&lt;=$D67,$A67&lt;&gt;""),"●","")</x:f>
      </x:c>
      <x:c r="AB67" s="165" t="str">
        <x:f>IF(AND(AB$5&gt;=$C67,AB$5&lt;=$D67,$A67&lt;&gt;""),"●","")</x:f>
      </x:c>
      <x:c r="AC67" s="165" t="str">
        <x:f>IF(AND(AC$5&gt;=$C67,AC$5&lt;=$D67,$A67&lt;&gt;""),"●","")</x:f>
      </x:c>
      <x:c r="AD67" s="165" t="str">
        <x:f>IF(AND(AD$5&gt;=$C67,AD$5&lt;=$D67,$A67&lt;&gt;""),"●","")</x:f>
      </x:c>
      <x:c r="AE67" s="165" t="str">
        <x:f>IF(AND(AE$5&gt;=$C67,AE$5&lt;=$D67,$A67&lt;&gt;""),"●","")</x:f>
      </x:c>
      <x:c r="AF67" s="165" t="str">
        <x:f>IF(AND(AF$5&gt;=$C67,AF$5&lt;=$D67,$A67&lt;&gt;""),"●","")</x:f>
      </x:c>
      <x:c r="AG67" s="165" t="str">
        <x:f>IF(AND(AG$5&gt;=$C67,AG$5&lt;=$D67,$A67&lt;&gt;""),"●","")</x:f>
      </x:c>
      <x:c r="AH67" s="165" t="str">
        <x:f>IF(AND(AH$5&gt;=$C67,AH$5&lt;=$D67,$A67&lt;&gt;""),"●","")</x:f>
      </x:c>
      <x:c r="AI67" s="165" t="str">
        <x:f>IF(AND(AI$5&gt;=$C67,AI$5&lt;=$D67,$A67&lt;&gt;""),"●","")</x:f>
      </x:c>
      <x:c r="AJ67" s="165" t="str">
        <x:f>IF(AND(AJ$5&gt;=$C67,AJ$5&lt;=$D67,$A67&lt;&gt;""),"●","")</x:f>
      </x:c>
      <x:c r="AK67" s="165" t="str">
        <x:f>IF(AND(AK$5&gt;=$C67,AK$5&lt;=$D67,$A67&lt;&gt;""),"●","")</x:f>
      </x:c>
      <x:c r="AL67" s="165" t="str">
        <x:f>IF(AND(AL$5&gt;=$C67,AL$5&lt;=$D67,$A67&lt;&gt;""),"●","")</x:f>
      </x:c>
      <x:c r="AM67" s="165" t="str">
        <x:f>IF(AND(AM$5&gt;=$C67,AM$5&lt;=$D67,$A67&lt;&gt;""),"●","")</x:f>
      </x:c>
      <x:c r="AN67" s="165" t="str">
        <x:f>IF(AND(AN$5&gt;=$C67,AN$5&lt;=$D67,$A67&lt;&gt;""),"●","")</x:f>
      </x:c>
      <x:c r="AO67" s="165" t="str">
        <x:f>IF(AND(AO$5&gt;=$C67,AO$5&lt;=$D67,$A67&lt;&gt;""),"●","")</x:f>
      </x:c>
      <x:c r="AP67" s="165" t="str">
        <x:f>IF(AND(AP$5&gt;=$C67,AP$5&lt;=$D67,$A67&lt;&gt;""),"●","")</x:f>
      </x:c>
      <x:c r="AQ67" s="165" t="str">
        <x:f>IF(AND(AQ$5&gt;=$C67,AQ$5&lt;=$D67,$A67&lt;&gt;""),"●","")</x:f>
      </x:c>
      <x:c r="AR67" s="165" t="str">
        <x:f>IF(AND(AR$5&gt;=$C67,AR$5&lt;=$D67,$A67&lt;&gt;""),"●","")</x:f>
      </x:c>
      <x:c r="AS67" s="165" t="str">
        <x:f>IF(AND(AS$5&gt;=$C67,AS$5&lt;=$D67,$A67&lt;&gt;""),"●","")</x:f>
      </x:c>
      <x:c r="AT67" s="165" t="str">
        <x:f>IF(AND(AT$5&gt;=$C67,AT$5&lt;=$D67,$A67&lt;&gt;""),"●","")</x:f>
      </x:c>
      <x:c r="AU67" s="165" t="str">
        <x:f>IF(AND(AU$5&gt;=$C67,AU$5&lt;=$D67,$A67&lt;&gt;""),"●","")</x:f>
      </x:c>
      <x:c r="AV67" s="165" t="str">
        <x:f>IF(AND(AV$5&gt;=$C67,AV$5&lt;=$D67,$A67&lt;&gt;""),"●","")</x:f>
      </x:c>
      <x:c r="AW67" s="165" t="str">
        <x:f>IF(AND(AW$5&gt;=$C67,AW$5&lt;=$D67,$A67&lt;&gt;""),"●","")</x:f>
      </x:c>
      <x:c r="AX67" s="165" t="str">
        <x:f>IF(AND(AX$5&gt;=$C67,AX$5&lt;=$D67,$A67&lt;&gt;""),"●","")</x:f>
      </x:c>
      <x:c r="AY67" s="165" t="str">
        <x:f>IF(AND(AY$5&gt;=$C67,AY$5&lt;=$D67,$A67&lt;&gt;""),"●","")</x:f>
      </x:c>
      <x:c r="AZ67" s="165" t="str">
        <x:f>IF(AND(AZ$5&gt;=$C67,AZ$5&lt;=$D67,$A67&lt;&gt;""),"●","")</x:f>
      </x:c>
      <x:c r="BA67" s="165" t="str">
        <x:f>IF(AND(BA$5&gt;=$C67,BA$5&lt;=$D67,$A67&lt;&gt;""),"●","")</x:f>
      </x:c>
      <x:c r="BB67" s="165" t="str">
        <x:f>IF(AND(BB$5&gt;=$C67,BB$5&lt;=$D67,$A67&lt;&gt;""),"●","")</x:f>
      </x:c>
      <x:c r="BC67" s="165" t="str">
        <x:f>IF(AND(BC$5&gt;=$C67,BC$5&lt;=$D67,$A67&lt;&gt;""),"●","")</x:f>
      </x:c>
      <x:c r="BD67" s="165" t="str">
        <x:f>IF(AND(BD$5&gt;=$C67,BD$5&lt;=$D67,$A67&lt;&gt;""),"●","")</x:f>
      </x:c>
      <x:c r="BE67" s="165" t="str">
        <x:f>IF(AND(BE$5&gt;=$C67,BE$5&lt;=$D67,$A67&lt;&gt;""),"●","")</x:f>
      </x:c>
      <x:c r="BF67" s="165" t="str">
        <x:f>IF(AND(BF$5&gt;=$C67,BF$5&lt;=$D67,$A67&lt;&gt;""),"●","")</x:f>
      </x:c>
      <x:c r="BG67" s="165" t="str">
        <x:f>IF(AND(BG$5&gt;=$C67,BG$5&lt;=$D67,$A67&lt;&gt;""),"●","")</x:f>
      </x:c>
      <x:c r="BH67" s="165" t="str">
        <x:f>IF(AND(BH$5&gt;=$C67,BH$5&lt;=$D67,$A67&lt;&gt;""),"●","")</x:f>
      </x:c>
      <x:c r="BI67" s="165" t="str">
        <x:f>IF(AND(BI$5&gt;=$C67,BI$5&lt;=$D67,$A67&lt;&gt;""),"●","")</x:f>
      </x:c>
      <x:c r="BJ67" s="165" t="str">
        <x:f>IF(AND(BJ$5&gt;=$C67,BJ$5&lt;=$D67,$A67&lt;&gt;""),"●","")</x:f>
      </x:c>
      <x:c r="BK67" s="165" t="str">
        <x:f>IF(AND(BK$5&gt;=$C67,BK$5&lt;=$D67,$A67&lt;&gt;""),"●","")</x:f>
      </x:c>
      <x:c r="BL67" s="165" t="str">
        <x:f>IF(AND(BL$5&gt;=$C67,BL$5&lt;=$D67,$A67&lt;&gt;""),"●","")</x:f>
      </x:c>
      <x:c r="BM67" s="165" t="str">
        <x:f>IF(AND(BM$5&gt;=$C67,BM$5&lt;=$D67,$A67&lt;&gt;""),"●","")</x:f>
      </x:c>
      <x:c r="BN67" s="165" t="str">
        <x:f>IF(AND(BN$5&gt;=$C67,BN$5&lt;=$D67,$A67&lt;&gt;""),"●","")</x:f>
      </x:c>
      <x:c r="BO67" s="165" t="str">
        <x:f>IF(AND(BO$5&gt;=$C67,BO$5&lt;=$D67,$A67&lt;&gt;""),"●","")</x:f>
      </x:c>
      <x:c r="BP67" s="165" t="str">
        <x:f>IF(AND(BP$5&gt;=$C67,BP$5&lt;=$D67,$A67&lt;&gt;""),"●","")</x:f>
      </x:c>
      <x:c r="BQ67" s="165" t="str">
        <x:f>IF(AND(BQ$5&gt;=$C67,BQ$5&lt;=$D67,$A67&lt;&gt;""),"●","")</x:f>
      </x:c>
      <x:c r="BR67" s="165" t="str">
        <x:f>IF(AND(BR$5&gt;=$C67,BR$5&lt;=$D67,$A67&lt;&gt;""),"●","")</x:f>
      </x:c>
      <x:c r="BS67" s="165" t="str">
        <x:f>IF(AND(BS$5&gt;=$C67,BS$5&lt;=$D67,$A67&lt;&gt;""),"●","")</x:f>
      </x:c>
      <x:c r="BT67" s="165" t="str">
        <x:f>IF(AND(BT$5&gt;=$C67,BT$5&lt;=$D67,$A67&lt;&gt;""),"●","")</x:f>
      </x:c>
      <x:c r="BU67" s="165" t="str">
        <x:f>IF(AND(BU$5&gt;=$C67,BU$5&lt;=$D67,$A67&lt;&gt;""),"●","")</x:f>
      </x:c>
      <x:c r="BV67" s="165" t="str">
        <x:f>IF(AND(BV$5&gt;=$C67,BV$5&lt;=$D67,$A67&lt;&gt;""),"●","")</x:f>
      </x:c>
      <x:c r="BW67" s="165" t="str">
        <x:f>IF(AND(BW$5&gt;=$C67,BW$5&lt;=$D67,$A67&lt;&gt;""),"●","")</x:f>
      </x:c>
    </x:row>
    <x:row r="68">
      <x:c r="A68" s="159" t="str">
        <x:f>IF('รายการสัญญา'!A68="","",'รายการสัญญา'!A68)</x:f>
      </x:c>
      <x:c r="B68" s="159" t="str">
        <x:f>IF('รายการสัญญา'!A68="","",'รายการสัญญา'!C68)</x:f>
      </x:c>
      <x:c r="C68" s="162" t="str">
        <x:f>IF('รายการสัญญา'!A68="","",'รายการสัญญา'!E68)</x:f>
      </x:c>
      <x:c r="D68" s="162" t="str">
        <x:f>IF('รายการสัญญา'!A68="","",'รายการสัญญา'!G68)</x:f>
      </x:c>
      <x:c r="E68" s="159" t="str">
        <x:f>IF('รายการสัญญา'!A68="","",'รายการสัญญา'!K68)</x:f>
      </x:c>
      <x:c r="F68" s="165" t="str">
        <x:f>IF(AND(F$5&gt;=$C68,F$5&lt;=$D68,$A68&lt;&gt;""),"●","")</x:f>
      </x:c>
      <x:c r="G68" s="165" t="str">
        <x:f>IF(AND(G$5&gt;=$C68,G$5&lt;=$D68,$A68&lt;&gt;""),"●","")</x:f>
      </x:c>
      <x:c r="H68" s="165" t="str">
        <x:f>IF(AND(H$5&gt;=$C68,H$5&lt;=$D68,$A68&lt;&gt;""),"●","")</x:f>
      </x:c>
      <x:c r="I68" s="165" t="str">
        <x:f>IF(AND(I$5&gt;=$C68,I$5&lt;=$D68,$A68&lt;&gt;""),"●","")</x:f>
      </x:c>
      <x:c r="J68" s="165" t="str">
        <x:f>IF(AND(J$5&gt;=$C68,J$5&lt;=$D68,$A68&lt;&gt;""),"●","")</x:f>
      </x:c>
      <x:c r="K68" s="165" t="str">
        <x:f>IF(AND(K$5&gt;=$C68,K$5&lt;=$D68,$A68&lt;&gt;""),"●","")</x:f>
      </x:c>
      <x:c r="L68" s="165" t="str">
        <x:f>IF(AND(L$5&gt;=$C68,L$5&lt;=$D68,$A68&lt;&gt;""),"●","")</x:f>
      </x:c>
      <x:c r="M68" s="165" t="str">
        <x:f>IF(AND(M$5&gt;=$C68,M$5&lt;=$D68,$A68&lt;&gt;""),"●","")</x:f>
      </x:c>
      <x:c r="N68" s="165" t="str">
        <x:f>IF(AND(N$5&gt;=$C68,N$5&lt;=$D68,$A68&lt;&gt;""),"●","")</x:f>
      </x:c>
      <x:c r="O68" s="165" t="str">
        <x:f>IF(AND(O$5&gt;=$C68,O$5&lt;=$D68,$A68&lt;&gt;""),"●","")</x:f>
      </x:c>
      <x:c r="P68" s="165" t="str">
        <x:f>IF(AND(P$5&gt;=$C68,P$5&lt;=$D68,$A68&lt;&gt;""),"●","")</x:f>
      </x:c>
      <x:c r="Q68" s="165" t="str">
        <x:f>IF(AND(Q$5&gt;=$C68,Q$5&lt;=$D68,$A68&lt;&gt;""),"●","")</x:f>
      </x:c>
      <x:c r="R68" s="165" t="str">
        <x:f>IF(AND(R$5&gt;=$C68,R$5&lt;=$D68,$A68&lt;&gt;""),"●","")</x:f>
      </x:c>
      <x:c r="S68" s="165" t="str">
        <x:f>IF(AND(S$5&gt;=$C68,S$5&lt;=$D68,$A68&lt;&gt;""),"●","")</x:f>
      </x:c>
      <x:c r="T68" s="165" t="str">
        <x:f>IF(AND(T$5&gt;=$C68,T$5&lt;=$D68,$A68&lt;&gt;""),"●","")</x:f>
      </x:c>
      <x:c r="U68" s="165" t="str">
        <x:f>IF(AND(U$5&gt;=$C68,U$5&lt;=$D68,$A68&lt;&gt;""),"●","")</x:f>
      </x:c>
      <x:c r="V68" s="165" t="str">
        <x:f>IF(AND(V$5&gt;=$C68,V$5&lt;=$D68,$A68&lt;&gt;""),"●","")</x:f>
      </x:c>
      <x:c r="W68" s="165" t="str">
        <x:f>IF(AND(W$5&gt;=$C68,W$5&lt;=$D68,$A68&lt;&gt;""),"●","")</x:f>
      </x:c>
      <x:c r="X68" s="165" t="str">
        <x:f>IF(AND(X$5&gt;=$C68,X$5&lt;=$D68,$A68&lt;&gt;""),"●","")</x:f>
      </x:c>
      <x:c r="Y68" s="165" t="str">
        <x:f>IF(AND(Y$5&gt;=$C68,Y$5&lt;=$D68,$A68&lt;&gt;""),"●","")</x:f>
      </x:c>
      <x:c r="Z68" s="165" t="str">
        <x:f>IF(AND(Z$5&gt;=$C68,Z$5&lt;=$D68,$A68&lt;&gt;""),"●","")</x:f>
      </x:c>
      <x:c r="AA68" s="165" t="str">
        <x:f>IF(AND(AA$5&gt;=$C68,AA$5&lt;=$D68,$A68&lt;&gt;""),"●","")</x:f>
      </x:c>
      <x:c r="AB68" s="165" t="str">
        <x:f>IF(AND(AB$5&gt;=$C68,AB$5&lt;=$D68,$A68&lt;&gt;""),"●","")</x:f>
      </x:c>
      <x:c r="AC68" s="165" t="str">
        <x:f>IF(AND(AC$5&gt;=$C68,AC$5&lt;=$D68,$A68&lt;&gt;""),"●","")</x:f>
      </x:c>
      <x:c r="AD68" s="165" t="str">
        <x:f>IF(AND(AD$5&gt;=$C68,AD$5&lt;=$D68,$A68&lt;&gt;""),"●","")</x:f>
      </x:c>
      <x:c r="AE68" s="165" t="str">
        <x:f>IF(AND(AE$5&gt;=$C68,AE$5&lt;=$D68,$A68&lt;&gt;""),"●","")</x:f>
      </x:c>
      <x:c r="AF68" s="165" t="str">
        <x:f>IF(AND(AF$5&gt;=$C68,AF$5&lt;=$D68,$A68&lt;&gt;""),"●","")</x:f>
      </x:c>
      <x:c r="AG68" s="165" t="str">
        <x:f>IF(AND(AG$5&gt;=$C68,AG$5&lt;=$D68,$A68&lt;&gt;""),"●","")</x:f>
      </x:c>
      <x:c r="AH68" s="165" t="str">
        <x:f>IF(AND(AH$5&gt;=$C68,AH$5&lt;=$D68,$A68&lt;&gt;""),"●","")</x:f>
      </x:c>
      <x:c r="AI68" s="165" t="str">
        <x:f>IF(AND(AI$5&gt;=$C68,AI$5&lt;=$D68,$A68&lt;&gt;""),"●","")</x:f>
      </x:c>
      <x:c r="AJ68" s="165" t="str">
        <x:f>IF(AND(AJ$5&gt;=$C68,AJ$5&lt;=$D68,$A68&lt;&gt;""),"●","")</x:f>
      </x:c>
      <x:c r="AK68" s="165" t="str">
        <x:f>IF(AND(AK$5&gt;=$C68,AK$5&lt;=$D68,$A68&lt;&gt;""),"●","")</x:f>
      </x:c>
      <x:c r="AL68" s="165" t="str">
        <x:f>IF(AND(AL$5&gt;=$C68,AL$5&lt;=$D68,$A68&lt;&gt;""),"●","")</x:f>
      </x:c>
      <x:c r="AM68" s="165" t="str">
        <x:f>IF(AND(AM$5&gt;=$C68,AM$5&lt;=$D68,$A68&lt;&gt;""),"●","")</x:f>
      </x:c>
      <x:c r="AN68" s="165" t="str">
        <x:f>IF(AND(AN$5&gt;=$C68,AN$5&lt;=$D68,$A68&lt;&gt;""),"●","")</x:f>
      </x:c>
      <x:c r="AO68" s="165" t="str">
        <x:f>IF(AND(AO$5&gt;=$C68,AO$5&lt;=$D68,$A68&lt;&gt;""),"●","")</x:f>
      </x:c>
      <x:c r="AP68" s="165" t="str">
        <x:f>IF(AND(AP$5&gt;=$C68,AP$5&lt;=$D68,$A68&lt;&gt;""),"●","")</x:f>
      </x:c>
      <x:c r="AQ68" s="165" t="str">
        <x:f>IF(AND(AQ$5&gt;=$C68,AQ$5&lt;=$D68,$A68&lt;&gt;""),"●","")</x:f>
      </x:c>
      <x:c r="AR68" s="165" t="str">
        <x:f>IF(AND(AR$5&gt;=$C68,AR$5&lt;=$D68,$A68&lt;&gt;""),"●","")</x:f>
      </x:c>
      <x:c r="AS68" s="165" t="str">
        <x:f>IF(AND(AS$5&gt;=$C68,AS$5&lt;=$D68,$A68&lt;&gt;""),"●","")</x:f>
      </x:c>
      <x:c r="AT68" s="165" t="str">
        <x:f>IF(AND(AT$5&gt;=$C68,AT$5&lt;=$D68,$A68&lt;&gt;""),"●","")</x:f>
      </x:c>
      <x:c r="AU68" s="165" t="str">
        <x:f>IF(AND(AU$5&gt;=$C68,AU$5&lt;=$D68,$A68&lt;&gt;""),"●","")</x:f>
      </x:c>
      <x:c r="AV68" s="165" t="str">
        <x:f>IF(AND(AV$5&gt;=$C68,AV$5&lt;=$D68,$A68&lt;&gt;""),"●","")</x:f>
      </x:c>
      <x:c r="AW68" s="165" t="str">
        <x:f>IF(AND(AW$5&gt;=$C68,AW$5&lt;=$D68,$A68&lt;&gt;""),"●","")</x:f>
      </x:c>
      <x:c r="AX68" s="165" t="str">
        <x:f>IF(AND(AX$5&gt;=$C68,AX$5&lt;=$D68,$A68&lt;&gt;""),"●","")</x:f>
      </x:c>
      <x:c r="AY68" s="165" t="str">
        <x:f>IF(AND(AY$5&gt;=$C68,AY$5&lt;=$D68,$A68&lt;&gt;""),"●","")</x:f>
      </x:c>
      <x:c r="AZ68" s="165" t="str">
        <x:f>IF(AND(AZ$5&gt;=$C68,AZ$5&lt;=$D68,$A68&lt;&gt;""),"●","")</x:f>
      </x:c>
      <x:c r="BA68" s="165" t="str">
        <x:f>IF(AND(BA$5&gt;=$C68,BA$5&lt;=$D68,$A68&lt;&gt;""),"●","")</x:f>
      </x:c>
      <x:c r="BB68" s="165" t="str">
        <x:f>IF(AND(BB$5&gt;=$C68,BB$5&lt;=$D68,$A68&lt;&gt;""),"●","")</x:f>
      </x:c>
      <x:c r="BC68" s="165" t="str">
        <x:f>IF(AND(BC$5&gt;=$C68,BC$5&lt;=$D68,$A68&lt;&gt;""),"●","")</x:f>
      </x:c>
      <x:c r="BD68" s="165" t="str">
        <x:f>IF(AND(BD$5&gt;=$C68,BD$5&lt;=$D68,$A68&lt;&gt;""),"●","")</x:f>
      </x:c>
      <x:c r="BE68" s="165" t="str">
        <x:f>IF(AND(BE$5&gt;=$C68,BE$5&lt;=$D68,$A68&lt;&gt;""),"●","")</x:f>
      </x:c>
      <x:c r="BF68" s="165" t="str">
        <x:f>IF(AND(BF$5&gt;=$C68,BF$5&lt;=$D68,$A68&lt;&gt;""),"●","")</x:f>
      </x:c>
      <x:c r="BG68" s="165" t="str">
        <x:f>IF(AND(BG$5&gt;=$C68,BG$5&lt;=$D68,$A68&lt;&gt;""),"●","")</x:f>
      </x:c>
      <x:c r="BH68" s="165" t="str">
        <x:f>IF(AND(BH$5&gt;=$C68,BH$5&lt;=$D68,$A68&lt;&gt;""),"●","")</x:f>
      </x:c>
      <x:c r="BI68" s="165" t="str">
        <x:f>IF(AND(BI$5&gt;=$C68,BI$5&lt;=$D68,$A68&lt;&gt;""),"●","")</x:f>
      </x:c>
      <x:c r="BJ68" s="165" t="str">
        <x:f>IF(AND(BJ$5&gt;=$C68,BJ$5&lt;=$D68,$A68&lt;&gt;""),"●","")</x:f>
      </x:c>
      <x:c r="BK68" s="165" t="str">
        <x:f>IF(AND(BK$5&gt;=$C68,BK$5&lt;=$D68,$A68&lt;&gt;""),"●","")</x:f>
      </x:c>
      <x:c r="BL68" s="165" t="str">
        <x:f>IF(AND(BL$5&gt;=$C68,BL$5&lt;=$D68,$A68&lt;&gt;""),"●","")</x:f>
      </x:c>
      <x:c r="BM68" s="165" t="str">
        <x:f>IF(AND(BM$5&gt;=$C68,BM$5&lt;=$D68,$A68&lt;&gt;""),"●","")</x:f>
      </x:c>
      <x:c r="BN68" s="165" t="str">
        <x:f>IF(AND(BN$5&gt;=$C68,BN$5&lt;=$D68,$A68&lt;&gt;""),"●","")</x:f>
      </x:c>
      <x:c r="BO68" s="165" t="str">
        <x:f>IF(AND(BO$5&gt;=$C68,BO$5&lt;=$D68,$A68&lt;&gt;""),"●","")</x:f>
      </x:c>
      <x:c r="BP68" s="165" t="str">
        <x:f>IF(AND(BP$5&gt;=$C68,BP$5&lt;=$D68,$A68&lt;&gt;""),"●","")</x:f>
      </x:c>
      <x:c r="BQ68" s="165" t="str">
        <x:f>IF(AND(BQ$5&gt;=$C68,BQ$5&lt;=$D68,$A68&lt;&gt;""),"●","")</x:f>
      </x:c>
      <x:c r="BR68" s="165" t="str">
        <x:f>IF(AND(BR$5&gt;=$C68,BR$5&lt;=$D68,$A68&lt;&gt;""),"●","")</x:f>
      </x:c>
      <x:c r="BS68" s="165" t="str">
        <x:f>IF(AND(BS$5&gt;=$C68,BS$5&lt;=$D68,$A68&lt;&gt;""),"●","")</x:f>
      </x:c>
      <x:c r="BT68" s="165" t="str">
        <x:f>IF(AND(BT$5&gt;=$C68,BT$5&lt;=$D68,$A68&lt;&gt;""),"●","")</x:f>
      </x:c>
      <x:c r="BU68" s="165" t="str">
        <x:f>IF(AND(BU$5&gt;=$C68,BU$5&lt;=$D68,$A68&lt;&gt;""),"●","")</x:f>
      </x:c>
      <x:c r="BV68" s="165" t="str">
        <x:f>IF(AND(BV$5&gt;=$C68,BV$5&lt;=$D68,$A68&lt;&gt;""),"●","")</x:f>
      </x:c>
      <x:c r="BW68" s="165" t="str">
        <x:f>IF(AND(BW$5&gt;=$C68,BW$5&lt;=$D68,$A68&lt;&gt;""),"●","")</x:f>
      </x:c>
    </x:row>
    <x:row r="69">
      <x:c r="A69" s="159" t="str">
        <x:f>IF('รายการสัญญา'!A69="","",'รายการสัญญา'!A69)</x:f>
      </x:c>
      <x:c r="B69" s="159" t="str">
        <x:f>IF('รายการสัญญา'!A69="","",'รายการสัญญา'!C69)</x:f>
      </x:c>
      <x:c r="C69" s="162" t="str">
        <x:f>IF('รายการสัญญา'!A69="","",'รายการสัญญา'!E69)</x:f>
      </x:c>
      <x:c r="D69" s="162" t="str">
        <x:f>IF('รายการสัญญา'!A69="","",'รายการสัญญา'!G69)</x:f>
      </x:c>
      <x:c r="E69" s="159" t="str">
        <x:f>IF('รายการสัญญา'!A69="","",'รายการสัญญา'!K69)</x:f>
      </x:c>
      <x:c r="F69" s="165" t="str">
        <x:f>IF(AND(F$5&gt;=$C69,F$5&lt;=$D69,$A69&lt;&gt;""),"●","")</x:f>
      </x:c>
      <x:c r="G69" s="165" t="str">
        <x:f>IF(AND(G$5&gt;=$C69,G$5&lt;=$D69,$A69&lt;&gt;""),"●","")</x:f>
      </x:c>
      <x:c r="H69" s="165" t="str">
        <x:f>IF(AND(H$5&gt;=$C69,H$5&lt;=$D69,$A69&lt;&gt;""),"●","")</x:f>
      </x:c>
      <x:c r="I69" s="165" t="str">
        <x:f>IF(AND(I$5&gt;=$C69,I$5&lt;=$D69,$A69&lt;&gt;""),"●","")</x:f>
      </x:c>
      <x:c r="J69" s="165" t="str">
        <x:f>IF(AND(J$5&gt;=$C69,J$5&lt;=$D69,$A69&lt;&gt;""),"●","")</x:f>
      </x:c>
      <x:c r="K69" s="165" t="str">
        <x:f>IF(AND(K$5&gt;=$C69,K$5&lt;=$D69,$A69&lt;&gt;""),"●","")</x:f>
      </x:c>
      <x:c r="L69" s="165" t="str">
        <x:f>IF(AND(L$5&gt;=$C69,L$5&lt;=$D69,$A69&lt;&gt;""),"●","")</x:f>
      </x:c>
      <x:c r="M69" s="165" t="str">
        <x:f>IF(AND(M$5&gt;=$C69,M$5&lt;=$D69,$A69&lt;&gt;""),"●","")</x:f>
      </x:c>
      <x:c r="N69" s="165" t="str">
        <x:f>IF(AND(N$5&gt;=$C69,N$5&lt;=$D69,$A69&lt;&gt;""),"●","")</x:f>
      </x:c>
      <x:c r="O69" s="165" t="str">
        <x:f>IF(AND(O$5&gt;=$C69,O$5&lt;=$D69,$A69&lt;&gt;""),"●","")</x:f>
      </x:c>
      <x:c r="P69" s="165" t="str">
        <x:f>IF(AND(P$5&gt;=$C69,P$5&lt;=$D69,$A69&lt;&gt;""),"●","")</x:f>
      </x:c>
      <x:c r="Q69" s="165" t="str">
        <x:f>IF(AND(Q$5&gt;=$C69,Q$5&lt;=$D69,$A69&lt;&gt;""),"●","")</x:f>
      </x:c>
      <x:c r="R69" s="165" t="str">
        <x:f>IF(AND(R$5&gt;=$C69,R$5&lt;=$D69,$A69&lt;&gt;""),"●","")</x:f>
      </x:c>
      <x:c r="S69" s="165" t="str">
        <x:f>IF(AND(S$5&gt;=$C69,S$5&lt;=$D69,$A69&lt;&gt;""),"●","")</x:f>
      </x:c>
      <x:c r="T69" s="165" t="str">
        <x:f>IF(AND(T$5&gt;=$C69,T$5&lt;=$D69,$A69&lt;&gt;""),"●","")</x:f>
      </x:c>
      <x:c r="U69" s="165" t="str">
        <x:f>IF(AND(U$5&gt;=$C69,U$5&lt;=$D69,$A69&lt;&gt;""),"●","")</x:f>
      </x:c>
      <x:c r="V69" s="165" t="str">
        <x:f>IF(AND(V$5&gt;=$C69,V$5&lt;=$D69,$A69&lt;&gt;""),"●","")</x:f>
      </x:c>
      <x:c r="W69" s="165" t="str">
        <x:f>IF(AND(W$5&gt;=$C69,W$5&lt;=$D69,$A69&lt;&gt;""),"●","")</x:f>
      </x:c>
      <x:c r="X69" s="165" t="str">
        <x:f>IF(AND(X$5&gt;=$C69,X$5&lt;=$D69,$A69&lt;&gt;""),"●","")</x:f>
      </x:c>
      <x:c r="Y69" s="165" t="str">
        <x:f>IF(AND(Y$5&gt;=$C69,Y$5&lt;=$D69,$A69&lt;&gt;""),"●","")</x:f>
      </x:c>
      <x:c r="Z69" s="165" t="str">
        <x:f>IF(AND(Z$5&gt;=$C69,Z$5&lt;=$D69,$A69&lt;&gt;""),"●","")</x:f>
      </x:c>
      <x:c r="AA69" s="165" t="str">
        <x:f>IF(AND(AA$5&gt;=$C69,AA$5&lt;=$D69,$A69&lt;&gt;""),"●","")</x:f>
      </x:c>
      <x:c r="AB69" s="165" t="str">
        <x:f>IF(AND(AB$5&gt;=$C69,AB$5&lt;=$D69,$A69&lt;&gt;""),"●","")</x:f>
      </x:c>
      <x:c r="AC69" s="165" t="str">
        <x:f>IF(AND(AC$5&gt;=$C69,AC$5&lt;=$D69,$A69&lt;&gt;""),"●","")</x:f>
      </x:c>
      <x:c r="AD69" s="165" t="str">
        <x:f>IF(AND(AD$5&gt;=$C69,AD$5&lt;=$D69,$A69&lt;&gt;""),"●","")</x:f>
      </x:c>
      <x:c r="AE69" s="165" t="str">
        <x:f>IF(AND(AE$5&gt;=$C69,AE$5&lt;=$D69,$A69&lt;&gt;""),"●","")</x:f>
      </x:c>
      <x:c r="AF69" s="165" t="str">
        <x:f>IF(AND(AF$5&gt;=$C69,AF$5&lt;=$D69,$A69&lt;&gt;""),"●","")</x:f>
      </x:c>
      <x:c r="AG69" s="165" t="str">
        <x:f>IF(AND(AG$5&gt;=$C69,AG$5&lt;=$D69,$A69&lt;&gt;""),"●","")</x:f>
      </x:c>
      <x:c r="AH69" s="165" t="str">
        <x:f>IF(AND(AH$5&gt;=$C69,AH$5&lt;=$D69,$A69&lt;&gt;""),"●","")</x:f>
      </x:c>
      <x:c r="AI69" s="165" t="str">
        <x:f>IF(AND(AI$5&gt;=$C69,AI$5&lt;=$D69,$A69&lt;&gt;""),"●","")</x:f>
      </x:c>
      <x:c r="AJ69" s="165" t="str">
        <x:f>IF(AND(AJ$5&gt;=$C69,AJ$5&lt;=$D69,$A69&lt;&gt;""),"●","")</x:f>
      </x:c>
      <x:c r="AK69" s="165" t="str">
        <x:f>IF(AND(AK$5&gt;=$C69,AK$5&lt;=$D69,$A69&lt;&gt;""),"●","")</x:f>
      </x:c>
      <x:c r="AL69" s="165" t="str">
        <x:f>IF(AND(AL$5&gt;=$C69,AL$5&lt;=$D69,$A69&lt;&gt;""),"●","")</x:f>
      </x:c>
      <x:c r="AM69" s="165" t="str">
        <x:f>IF(AND(AM$5&gt;=$C69,AM$5&lt;=$D69,$A69&lt;&gt;""),"●","")</x:f>
      </x:c>
      <x:c r="AN69" s="165" t="str">
        <x:f>IF(AND(AN$5&gt;=$C69,AN$5&lt;=$D69,$A69&lt;&gt;""),"●","")</x:f>
      </x:c>
      <x:c r="AO69" s="165" t="str">
        <x:f>IF(AND(AO$5&gt;=$C69,AO$5&lt;=$D69,$A69&lt;&gt;""),"●","")</x:f>
      </x:c>
      <x:c r="AP69" s="165" t="str">
        <x:f>IF(AND(AP$5&gt;=$C69,AP$5&lt;=$D69,$A69&lt;&gt;""),"●","")</x:f>
      </x:c>
      <x:c r="AQ69" s="165" t="str">
        <x:f>IF(AND(AQ$5&gt;=$C69,AQ$5&lt;=$D69,$A69&lt;&gt;""),"●","")</x:f>
      </x:c>
      <x:c r="AR69" s="165" t="str">
        <x:f>IF(AND(AR$5&gt;=$C69,AR$5&lt;=$D69,$A69&lt;&gt;""),"●","")</x:f>
      </x:c>
      <x:c r="AS69" s="165" t="str">
        <x:f>IF(AND(AS$5&gt;=$C69,AS$5&lt;=$D69,$A69&lt;&gt;""),"●","")</x:f>
      </x:c>
      <x:c r="AT69" s="165" t="str">
        <x:f>IF(AND(AT$5&gt;=$C69,AT$5&lt;=$D69,$A69&lt;&gt;""),"●","")</x:f>
      </x:c>
      <x:c r="AU69" s="165" t="str">
        <x:f>IF(AND(AU$5&gt;=$C69,AU$5&lt;=$D69,$A69&lt;&gt;""),"●","")</x:f>
      </x:c>
      <x:c r="AV69" s="165" t="str">
        <x:f>IF(AND(AV$5&gt;=$C69,AV$5&lt;=$D69,$A69&lt;&gt;""),"●","")</x:f>
      </x:c>
      <x:c r="AW69" s="165" t="str">
        <x:f>IF(AND(AW$5&gt;=$C69,AW$5&lt;=$D69,$A69&lt;&gt;""),"●","")</x:f>
      </x:c>
      <x:c r="AX69" s="165" t="str">
        <x:f>IF(AND(AX$5&gt;=$C69,AX$5&lt;=$D69,$A69&lt;&gt;""),"●","")</x:f>
      </x:c>
      <x:c r="AY69" s="165" t="str">
        <x:f>IF(AND(AY$5&gt;=$C69,AY$5&lt;=$D69,$A69&lt;&gt;""),"●","")</x:f>
      </x:c>
      <x:c r="AZ69" s="165" t="str">
        <x:f>IF(AND(AZ$5&gt;=$C69,AZ$5&lt;=$D69,$A69&lt;&gt;""),"●","")</x:f>
      </x:c>
      <x:c r="BA69" s="165" t="str">
        <x:f>IF(AND(BA$5&gt;=$C69,BA$5&lt;=$D69,$A69&lt;&gt;""),"●","")</x:f>
      </x:c>
      <x:c r="BB69" s="165" t="str">
        <x:f>IF(AND(BB$5&gt;=$C69,BB$5&lt;=$D69,$A69&lt;&gt;""),"●","")</x:f>
      </x:c>
      <x:c r="BC69" s="165" t="str">
        <x:f>IF(AND(BC$5&gt;=$C69,BC$5&lt;=$D69,$A69&lt;&gt;""),"●","")</x:f>
      </x:c>
      <x:c r="BD69" s="165" t="str">
        <x:f>IF(AND(BD$5&gt;=$C69,BD$5&lt;=$D69,$A69&lt;&gt;""),"●","")</x:f>
      </x:c>
      <x:c r="BE69" s="165" t="str">
        <x:f>IF(AND(BE$5&gt;=$C69,BE$5&lt;=$D69,$A69&lt;&gt;""),"●","")</x:f>
      </x:c>
      <x:c r="BF69" s="165" t="str">
        <x:f>IF(AND(BF$5&gt;=$C69,BF$5&lt;=$D69,$A69&lt;&gt;""),"●","")</x:f>
      </x:c>
      <x:c r="BG69" s="165" t="str">
        <x:f>IF(AND(BG$5&gt;=$C69,BG$5&lt;=$D69,$A69&lt;&gt;""),"●","")</x:f>
      </x:c>
      <x:c r="BH69" s="165" t="str">
        <x:f>IF(AND(BH$5&gt;=$C69,BH$5&lt;=$D69,$A69&lt;&gt;""),"●","")</x:f>
      </x:c>
      <x:c r="BI69" s="165" t="str">
        <x:f>IF(AND(BI$5&gt;=$C69,BI$5&lt;=$D69,$A69&lt;&gt;""),"●","")</x:f>
      </x:c>
      <x:c r="BJ69" s="165" t="str">
        <x:f>IF(AND(BJ$5&gt;=$C69,BJ$5&lt;=$D69,$A69&lt;&gt;""),"●","")</x:f>
      </x:c>
      <x:c r="BK69" s="165" t="str">
        <x:f>IF(AND(BK$5&gt;=$C69,BK$5&lt;=$D69,$A69&lt;&gt;""),"●","")</x:f>
      </x:c>
      <x:c r="BL69" s="165" t="str">
        <x:f>IF(AND(BL$5&gt;=$C69,BL$5&lt;=$D69,$A69&lt;&gt;""),"●","")</x:f>
      </x:c>
      <x:c r="BM69" s="165" t="str">
        <x:f>IF(AND(BM$5&gt;=$C69,BM$5&lt;=$D69,$A69&lt;&gt;""),"●","")</x:f>
      </x:c>
      <x:c r="BN69" s="165" t="str">
        <x:f>IF(AND(BN$5&gt;=$C69,BN$5&lt;=$D69,$A69&lt;&gt;""),"●","")</x:f>
      </x:c>
      <x:c r="BO69" s="165" t="str">
        <x:f>IF(AND(BO$5&gt;=$C69,BO$5&lt;=$D69,$A69&lt;&gt;""),"●","")</x:f>
      </x:c>
      <x:c r="BP69" s="165" t="str">
        <x:f>IF(AND(BP$5&gt;=$C69,BP$5&lt;=$D69,$A69&lt;&gt;""),"●","")</x:f>
      </x:c>
      <x:c r="BQ69" s="165" t="str">
        <x:f>IF(AND(BQ$5&gt;=$C69,BQ$5&lt;=$D69,$A69&lt;&gt;""),"●","")</x:f>
      </x:c>
      <x:c r="BR69" s="165" t="str">
        <x:f>IF(AND(BR$5&gt;=$C69,BR$5&lt;=$D69,$A69&lt;&gt;""),"●","")</x:f>
      </x:c>
      <x:c r="BS69" s="165" t="str">
        <x:f>IF(AND(BS$5&gt;=$C69,BS$5&lt;=$D69,$A69&lt;&gt;""),"●","")</x:f>
      </x:c>
      <x:c r="BT69" s="165" t="str">
        <x:f>IF(AND(BT$5&gt;=$C69,BT$5&lt;=$D69,$A69&lt;&gt;""),"●","")</x:f>
      </x:c>
      <x:c r="BU69" s="165" t="str">
        <x:f>IF(AND(BU$5&gt;=$C69,BU$5&lt;=$D69,$A69&lt;&gt;""),"●","")</x:f>
      </x:c>
      <x:c r="BV69" s="165" t="str">
        <x:f>IF(AND(BV$5&gt;=$C69,BV$5&lt;=$D69,$A69&lt;&gt;""),"●","")</x:f>
      </x:c>
      <x:c r="BW69" s="165" t="str">
        <x:f>IF(AND(BW$5&gt;=$C69,BW$5&lt;=$D69,$A69&lt;&gt;""),"●","")</x:f>
      </x:c>
    </x:row>
    <x:row r="70">
      <x:c r="A70" s="159" t="str">
        <x:f>IF('รายการสัญญา'!A70="","",'รายการสัญญา'!A70)</x:f>
      </x:c>
      <x:c r="B70" s="159" t="str">
        <x:f>IF('รายการสัญญา'!A70="","",'รายการสัญญา'!C70)</x:f>
      </x:c>
      <x:c r="C70" s="162" t="str">
        <x:f>IF('รายการสัญญา'!A70="","",'รายการสัญญา'!E70)</x:f>
      </x:c>
      <x:c r="D70" s="162" t="str">
        <x:f>IF('รายการสัญญา'!A70="","",'รายการสัญญา'!G70)</x:f>
      </x:c>
      <x:c r="E70" s="159" t="str">
        <x:f>IF('รายการสัญญา'!A70="","",'รายการสัญญา'!K70)</x:f>
      </x:c>
      <x:c r="F70" s="165" t="str">
        <x:f>IF(AND(F$5&gt;=$C70,F$5&lt;=$D70,$A70&lt;&gt;""),"●","")</x:f>
      </x:c>
      <x:c r="G70" s="165" t="str">
        <x:f>IF(AND(G$5&gt;=$C70,G$5&lt;=$D70,$A70&lt;&gt;""),"●","")</x:f>
      </x:c>
      <x:c r="H70" s="165" t="str">
        <x:f>IF(AND(H$5&gt;=$C70,H$5&lt;=$D70,$A70&lt;&gt;""),"●","")</x:f>
      </x:c>
      <x:c r="I70" s="165" t="str">
        <x:f>IF(AND(I$5&gt;=$C70,I$5&lt;=$D70,$A70&lt;&gt;""),"●","")</x:f>
      </x:c>
      <x:c r="J70" s="165" t="str">
        <x:f>IF(AND(J$5&gt;=$C70,J$5&lt;=$D70,$A70&lt;&gt;""),"●","")</x:f>
      </x:c>
      <x:c r="K70" s="165" t="str">
        <x:f>IF(AND(K$5&gt;=$C70,K$5&lt;=$D70,$A70&lt;&gt;""),"●","")</x:f>
      </x:c>
      <x:c r="L70" s="165" t="str">
        <x:f>IF(AND(L$5&gt;=$C70,L$5&lt;=$D70,$A70&lt;&gt;""),"●","")</x:f>
      </x:c>
      <x:c r="M70" s="165" t="str">
        <x:f>IF(AND(M$5&gt;=$C70,M$5&lt;=$D70,$A70&lt;&gt;""),"●","")</x:f>
      </x:c>
      <x:c r="N70" s="165" t="str">
        <x:f>IF(AND(N$5&gt;=$C70,N$5&lt;=$D70,$A70&lt;&gt;""),"●","")</x:f>
      </x:c>
      <x:c r="O70" s="165" t="str">
        <x:f>IF(AND(O$5&gt;=$C70,O$5&lt;=$D70,$A70&lt;&gt;""),"●","")</x:f>
      </x:c>
      <x:c r="P70" s="165" t="str">
        <x:f>IF(AND(P$5&gt;=$C70,P$5&lt;=$D70,$A70&lt;&gt;""),"●","")</x:f>
      </x:c>
      <x:c r="Q70" s="165" t="str">
        <x:f>IF(AND(Q$5&gt;=$C70,Q$5&lt;=$D70,$A70&lt;&gt;""),"●","")</x:f>
      </x:c>
      <x:c r="R70" s="165" t="str">
        <x:f>IF(AND(R$5&gt;=$C70,R$5&lt;=$D70,$A70&lt;&gt;""),"●","")</x:f>
      </x:c>
      <x:c r="S70" s="165" t="str">
        <x:f>IF(AND(S$5&gt;=$C70,S$5&lt;=$D70,$A70&lt;&gt;""),"●","")</x:f>
      </x:c>
      <x:c r="T70" s="165" t="str">
        <x:f>IF(AND(T$5&gt;=$C70,T$5&lt;=$D70,$A70&lt;&gt;""),"●","")</x:f>
      </x:c>
      <x:c r="U70" s="165" t="str">
        <x:f>IF(AND(U$5&gt;=$C70,U$5&lt;=$D70,$A70&lt;&gt;""),"●","")</x:f>
      </x:c>
      <x:c r="V70" s="165" t="str">
        <x:f>IF(AND(V$5&gt;=$C70,V$5&lt;=$D70,$A70&lt;&gt;""),"●","")</x:f>
      </x:c>
      <x:c r="W70" s="165" t="str">
        <x:f>IF(AND(W$5&gt;=$C70,W$5&lt;=$D70,$A70&lt;&gt;""),"●","")</x:f>
      </x:c>
      <x:c r="X70" s="165" t="str">
        <x:f>IF(AND(X$5&gt;=$C70,X$5&lt;=$D70,$A70&lt;&gt;""),"●","")</x:f>
      </x:c>
      <x:c r="Y70" s="165" t="str">
        <x:f>IF(AND(Y$5&gt;=$C70,Y$5&lt;=$D70,$A70&lt;&gt;""),"●","")</x:f>
      </x:c>
      <x:c r="Z70" s="165" t="str">
        <x:f>IF(AND(Z$5&gt;=$C70,Z$5&lt;=$D70,$A70&lt;&gt;""),"●","")</x:f>
      </x:c>
      <x:c r="AA70" s="165" t="str">
        <x:f>IF(AND(AA$5&gt;=$C70,AA$5&lt;=$D70,$A70&lt;&gt;""),"●","")</x:f>
      </x:c>
      <x:c r="AB70" s="165" t="str">
        <x:f>IF(AND(AB$5&gt;=$C70,AB$5&lt;=$D70,$A70&lt;&gt;""),"●","")</x:f>
      </x:c>
      <x:c r="AC70" s="165" t="str">
        <x:f>IF(AND(AC$5&gt;=$C70,AC$5&lt;=$D70,$A70&lt;&gt;""),"●","")</x:f>
      </x:c>
      <x:c r="AD70" s="165" t="str">
        <x:f>IF(AND(AD$5&gt;=$C70,AD$5&lt;=$D70,$A70&lt;&gt;""),"●","")</x:f>
      </x:c>
      <x:c r="AE70" s="165" t="str">
        <x:f>IF(AND(AE$5&gt;=$C70,AE$5&lt;=$D70,$A70&lt;&gt;""),"●","")</x:f>
      </x:c>
      <x:c r="AF70" s="165" t="str">
        <x:f>IF(AND(AF$5&gt;=$C70,AF$5&lt;=$D70,$A70&lt;&gt;""),"●","")</x:f>
      </x:c>
      <x:c r="AG70" s="165" t="str">
        <x:f>IF(AND(AG$5&gt;=$C70,AG$5&lt;=$D70,$A70&lt;&gt;""),"●","")</x:f>
      </x:c>
      <x:c r="AH70" s="165" t="str">
        <x:f>IF(AND(AH$5&gt;=$C70,AH$5&lt;=$D70,$A70&lt;&gt;""),"●","")</x:f>
      </x:c>
      <x:c r="AI70" s="165" t="str">
        <x:f>IF(AND(AI$5&gt;=$C70,AI$5&lt;=$D70,$A70&lt;&gt;""),"●","")</x:f>
      </x:c>
      <x:c r="AJ70" s="165" t="str">
        <x:f>IF(AND(AJ$5&gt;=$C70,AJ$5&lt;=$D70,$A70&lt;&gt;""),"●","")</x:f>
      </x:c>
      <x:c r="AK70" s="165" t="str">
        <x:f>IF(AND(AK$5&gt;=$C70,AK$5&lt;=$D70,$A70&lt;&gt;""),"●","")</x:f>
      </x:c>
      <x:c r="AL70" s="165" t="str">
        <x:f>IF(AND(AL$5&gt;=$C70,AL$5&lt;=$D70,$A70&lt;&gt;""),"●","")</x:f>
      </x:c>
      <x:c r="AM70" s="165" t="str">
        <x:f>IF(AND(AM$5&gt;=$C70,AM$5&lt;=$D70,$A70&lt;&gt;""),"●","")</x:f>
      </x:c>
      <x:c r="AN70" s="165" t="str">
        <x:f>IF(AND(AN$5&gt;=$C70,AN$5&lt;=$D70,$A70&lt;&gt;""),"●","")</x:f>
      </x:c>
      <x:c r="AO70" s="165" t="str">
        <x:f>IF(AND(AO$5&gt;=$C70,AO$5&lt;=$D70,$A70&lt;&gt;""),"●","")</x:f>
      </x:c>
      <x:c r="AP70" s="165" t="str">
        <x:f>IF(AND(AP$5&gt;=$C70,AP$5&lt;=$D70,$A70&lt;&gt;""),"●","")</x:f>
      </x:c>
      <x:c r="AQ70" s="165" t="str">
        <x:f>IF(AND(AQ$5&gt;=$C70,AQ$5&lt;=$D70,$A70&lt;&gt;""),"●","")</x:f>
      </x:c>
      <x:c r="AR70" s="165" t="str">
        <x:f>IF(AND(AR$5&gt;=$C70,AR$5&lt;=$D70,$A70&lt;&gt;""),"●","")</x:f>
      </x:c>
      <x:c r="AS70" s="165" t="str">
        <x:f>IF(AND(AS$5&gt;=$C70,AS$5&lt;=$D70,$A70&lt;&gt;""),"●","")</x:f>
      </x:c>
      <x:c r="AT70" s="165" t="str">
        <x:f>IF(AND(AT$5&gt;=$C70,AT$5&lt;=$D70,$A70&lt;&gt;""),"●","")</x:f>
      </x:c>
      <x:c r="AU70" s="165" t="str">
        <x:f>IF(AND(AU$5&gt;=$C70,AU$5&lt;=$D70,$A70&lt;&gt;""),"●","")</x:f>
      </x:c>
      <x:c r="AV70" s="165" t="str">
        <x:f>IF(AND(AV$5&gt;=$C70,AV$5&lt;=$D70,$A70&lt;&gt;""),"●","")</x:f>
      </x:c>
      <x:c r="AW70" s="165" t="str">
        <x:f>IF(AND(AW$5&gt;=$C70,AW$5&lt;=$D70,$A70&lt;&gt;""),"●","")</x:f>
      </x:c>
      <x:c r="AX70" s="165" t="str">
        <x:f>IF(AND(AX$5&gt;=$C70,AX$5&lt;=$D70,$A70&lt;&gt;""),"●","")</x:f>
      </x:c>
      <x:c r="AY70" s="165" t="str">
        <x:f>IF(AND(AY$5&gt;=$C70,AY$5&lt;=$D70,$A70&lt;&gt;""),"●","")</x:f>
      </x:c>
      <x:c r="AZ70" s="165" t="str">
        <x:f>IF(AND(AZ$5&gt;=$C70,AZ$5&lt;=$D70,$A70&lt;&gt;""),"●","")</x:f>
      </x:c>
      <x:c r="BA70" s="165" t="str">
        <x:f>IF(AND(BA$5&gt;=$C70,BA$5&lt;=$D70,$A70&lt;&gt;""),"●","")</x:f>
      </x:c>
      <x:c r="BB70" s="165" t="str">
        <x:f>IF(AND(BB$5&gt;=$C70,BB$5&lt;=$D70,$A70&lt;&gt;""),"●","")</x:f>
      </x:c>
      <x:c r="BC70" s="165" t="str">
        <x:f>IF(AND(BC$5&gt;=$C70,BC$5&lt;=$D70,$A70&lt;&gt;""),"●","")</x:f>
      </x:c>
      <x:c r="BD70" s="165" t="str">
        <x:f>IF(AND(BD$5&gt;=$C70,BD$5&lt;=$D70,$A70&lt;&gt;""),"●","")</x:f>
      </x:c>
      <x:c r="BE70" s="165" t="str">
        <x:f>IF(AND(BE$5&gt;=$C70,BE$5&lt;=$D70,$A70&lt;&gt;""),"●","")</x:f>
      </x:c>
      <x:c r="BF70" s="165" t="str">
        <x:f>IF(AND(BF$5&gt;=$C70,BF$5&lt;=$D70,$A70&lt;&gt;""),"●","")</x:f>
      </x:c>
      <x:c r="BG70" s="165" t="str">
        <x:f>IF(AND(BG$5&gt;=$C70,BG$5&lt;=$D70,$A70&lt;&gt;""),"●","")</x:f>
      </x:c>
      <x:c r="BH70" s="165" t="str">
        <x:f>IF(AND(BH$5&gt;=$C70,BH$5&lt;=$D70,$A70&lt;&gt;""),"●","")</x:f>
      </x:c>
      <x:c r="BI70" s="165" t="str">
        <x:f>IF(AND(BI$5&gt;=$C70,BI$5&lt;=$D70,$A70&lt;&gt;""),"●","")</x:f>
      </x:c>
      <x:c r="BJ70" s="165" t="str">
        <x:f>IF(AND(BJ$5&gt;=$C70,BJ$5&lt;=$D70,$A70&lt;&gt;""),"●","")</x:f>
      </x:c>
      <x:c r="BK70" s="165" t="str">
        <x:f>IF(AND(BK$5&gt;=$C70,BK$5&lt;=$D70,$A70&lt;&gt;""),"●","")</x:f>
      </x:c>
      <x:c r="BL70" s="165" t="str">
        <x:f>IF(AND(BL$5&gt;=$C70,BL$5&lt;=$D70,$A70&lt;&gt;""),"●","")</x:f>
      </x:c>
      <x:c r="BM70" s="165" t="str">
        <x:f>IF(AND(BM$5&gt;=$C70,BM$5&lt;=$D70,$A70&lt;&gt;""),"●","")</x:f>
      </x:c>
      <x:c r="BN70" s="165" t="str">
        <x:f>IF(AND(BN$5&gt;=$C70,BN$5&lt;=$D70,$A70&lt;&gt;""),"●","")</x:f>
      </x:c>
      <x:c r="BO70" s="165" t="str">
        <x:f>IF(AND(BO$5&gt;=$C70,BO$5&lt;=$D70,$A70&lt;&gt;""),"●","")</x:f>
      </x:c>
      <x:c r="BP70" s="165" t="str">
        <x:f>IF(AND(BP$5&gt;=$C70,BP$5&lt;=$D70,$A70&lt;&gt;""),"●","")</x:f>
      </x:c>
      <x:c r="BQ70" s="165" t="str">
        <x:f>IF(AND(BQ$5&gt;=$C70,BQ$5&lt;=$D70,$A70&lt;&gt;""),"●","")</x:f>
      </x:c>
      <x:c r="BR70" s="165" t="str">
        <x:f>IF(AND(BR$5&gt;=$C70,BR$5&lt;=$D70,$A70&lt;&gt;""),"●","")</x:f>
      </x:c>
      <x:c r="BS70" s="165" t="str">
        <x:f>IF(AND(BS$5&gt;=$C70,BS$5&lt;=$D70,$A70&lt;&gt;""),"●","")</x:f>
      </x:c>
      <x:c r="BT70" s="165" t="str">
        <x:f>IF(AND(BT$5&gt;=$C70,BT$5&lt;=$D70,$A70&lt;&gt;""),"●","")</x:f>
      </x:c>
      <x:c r="BU70" s="165" t="str">
        <x:f>IF(AND(BU$5&gt;=$C70,BU$5&lt;=$D70,$A70&lt;&gt;""),"●","")</x:f>
      </x:c>
      <x:c r="BV70" s="165" t="str">
        <x:f>IF(AND(BV$5&gt;=$C70,BV$5&lt;=$D70,$A70&lt;&gt;""),"●","")</x:f>
      </x:c>
      <x:c r="BW70" s="165" t="str">
        <x:f>IF(AND(BW$5&gt;=$C70,BW$5&lt;=$D70,$A70&lt;&gt;""),"●","")</x:f>
      </x:c>
    </x:row>
    <x:row r="71">
      <x:c r="A71" s="159" t="str">
        <x:f>IF('รายการสัญญา'!A71="","",'รายการสัญญา'!A71)</x:f>
      </x:c>
      <x:c r="B71" s="159" t="str">
        <x:f>IF('รายการสัญญา'!A71="","",'รายการสัญญา'!C71)</x:f>
      </x:c>
      <x:c r="C71" s="162" t="str">
        <x:f>IF('รายการสัญญา'!A71="","",'รายการสัญญา'!E71)</x:f>
      </x:c>
      <x:c r="D71" s="162" t="str">
        <x:f>IF('รายการสัญญา'!A71="","",'รายการสัญญา'!G71)</x:f>
      </x:c>
      <x:c r="E71" s="159" t="str">
        <x:f>IF('รายการสัญญา'!A71="","",'รายการสัญญา'!K71)</x:f>
      </x:c>
      <x:c r="F71" s="165" t="str">
        <x:f>IF(AND(F$5&gt;=$C71,F$5&lt;=$D71,$A71&lt;&gt;""),"●","")</x:f>
      </x:c>
      <x:c r="G71" s="165" t="str">
        <x:f>IF(AND(G$5&gt;=$C71,G$5&lt;=$D71,$A71&lt;&gt;""),"●","")</x:f>
      </x:c>
      <x:c r="H71" s="165" t="str">
        <x:f>IF(AND(H$5&gt;=$C71,H$5&lt;=$D71,$A71&lt;&gt;""),"●","")</x:f>
      </x:c>
      <x:c r="I71" s="165" t="str">
        <x:f>IF(AND(I$5&gt;=$C71,I$5&lt;=$D71,$A71&lt;&gt;""),"●","")</x:f>
      </x:c>
      <x:c r="J71" s="165" t="str">
        <x:f>IF(AND(J$5&gt;=$C71,J$5&lt;=$D71,$A71&lt;&gt;""),"●","")</x:f>
      </x:c>
      <x:c r="K71" s="165" t="str">
        <x:f>IF(AND(K$5&gt;=$C71,K$5&lt;=$D71,$A71&lt;&gt;""),"●","")</x:f>
      </x:c>
      <x:c r="L71" s="165" t="str">
        <x:f>IF(AND(L$5&gt;=$C71,L$5&lt;=$D71,$A71&lt;&gt;""),"●","")</x:f>
      </x:c>
      <x:c r="M71" s="165" t="str">
        <x:f>IF(AND(M$5&gt;=$C71,M$5&lt;=$D71,$A71&lt;&gt;""),"●","")</x:f>
      </x:c>
      <x:c r="N71" s="165" t="str">
        <x:f>IF(AND(N$5&gt;=$C71,N$5&lt;=$D71,$A71&lt;&gt;""),"●","")</x:f>
      </x:c>
      <x:c r="O71" s="165" t="str">
        <x:f>IF(AND(O$5&gt;=$C71,O$5&lt;=$D71,$A71&lt;&gt;""),"●","")</x:f>
      </x:c>
      <x:c r="P71" s="165" t="str">
        <x:f>IF(AND(P$5&gt;=$C71,P$5&lt;=$D71,$A71&lt;&gt;""),"●","")</x:f>
      </x:c>
      <x:c r="Q71" s="165" t="str">
        <x:f>IF(AND(Q$5&gt;=$C71,Q$5&lt;=$D71,$A71&lt;&gt;""),"●","")</x:f>
      </x:c>
      <x:c r="R71" s="165" t="str">
        <x:f>IF(AND(R$5&gt;=$C71,R$5&lt;=$D71,$A71&lt;&gt;""),"●","")</x:f>
      </x:c>
      <x:c r="S71" s="165" t="str">
        <x:f>IF(AND(S$5&gt;=$C71,S$5&lt;=$D71,$A71&lt;&gt;""),"●","")</x:f>
      </x:c>
      <x:c r="T71" s="165" t="str">
        <x:f>IF(AND(T$5&gt;=$C71,T$5&lt;=$D71,$A71&lt;&gt;""),"●","")</x:f>
      </x:c>
      <x:c r="U71" s="165" t="str">
        <x:f>IF(AND(U$5&gt;=$C71,U$5&lt;=$D71,$A71&lt;&gt;""),"●","")</x:f>
      </x:c>
      <x:c r="V71" s="165" t="str">
        <x:f>IF(AND(V$5&gt;=$C71,V$5&lt;=$D71,$A71&lt;&gt;""),"●","")</x:f>
      </x:c>
      <x:c r="W71" s="165" t="str">
        <x:f>IF(AND(W$5&gt;=$C71,W$5&lt;=$D71,$A71&lt;&gt;""),"●","")</x:f>
      </x:c>
      <x:c r="X71" s="165" t="str">
        <x:f>IF(AND(X$5&gt;=$C71,X$5&lt;=$D71,$A71&lt;&gt;""),"●","")</x:f>
      </x:c>
      <x:c r="Y71" s="165" t="str">
        <x:f>IF(AND(Y$5&gt;=$C71,Y$5&lt;=$D71,$A71&lt;&gt;""),"●","")</x:f>
      </x:c>
      <x:c r="Z71" s="165" t="str">
        <x:f>IF(AND(Z$5&gt;=$C71,Z$5&lt;=$D71,$A71&lt;&gt;""),"●","")</x:f>
      </x:c>
      <x:c r="AA71" s="165" t="str">
        <x:f>IF(AND(AA$5&gt;=$C71,AA$5&lt;=$D71,$A71&lt;&gt;""),"●","")</x:f>
      </x:c>
      <x:c r="AB71" s="165" t="str">
        <x:f>IF(AND(AB$5&gt;=$C71,AB$5&lt;=$D71,$A71&lt;&gt;""),"●","")</x:f>
      </x:c>
      <x:c r="AC71" s="165" t="str">
        <x:f>IF(AND(AC$5&gt;=$C71,AC$5&lt;=$D71,$A71&lt;&gt;""),"●","")</x:f>
      </x:c>
      <x:c r="AD71" s="165" t="str">
        <x:f>IF(AND(AD$5&gt;=$C71,AD$5&lt;=$D71,$A71&lt;&gt;""),"●","")</x:f>
      </x:c>
      <x:c r="AE71" s="165" t="str">
        <x:f>IF(AND(AE$5&gt;=$C71,AE$5&lt;=$D71,$A71&lt;&gt;""),"●","")</x:f>
      </x:c>
      <x:c r="AF71" s="165" t="str">
        <x:f>IF(AND(AF$5&gt;=$C71,AF$5&lt;=$D71,$A71&lt;&gt;""),"●","")</x:f>
      </x:c>
      <x:c r="AG71" s="165" t="str">
        <x:f>IF(AND(AG$5&gt;=$C71,AG$5&lt;=$D71,$A71&lt;&gt;""),"●","")</x:f>
      </x:c>
      <x:c r="AH71" s="165" t="str">
        <x:f>IF(AND(AH$5&gt;=$C71,AH$5&lt;=$D71,$A71&lt;&gt;""),"●","")</x:f>
      </x:c>
      <x:c r="AI71" s="165" t="str">
        <x:f>IF(AND(AI$5&gt;=$C71,AI$5&lt;=$D71,$A71&lt;&gt;""),"●","")</x:f>
      </x:c>
      <x:c r="AJ71" s="165" t="str">
        <x:f>IF(AND(AJ$5&gt;=$C71,AJ$5&lt;=$D71,$A71&lt;&gt;""),"●","")</x:f>
      </x:c>
      <x:c r="AK71" s="165" t="str">
        <x:f>IF(AND(AK$5&gt;=$C71,AK$5&lt;=$D71,$A71&lt;&gt;""),"●","")</x:f>
      </x:c>
      <x:c r="AL71" s="165" t="str">
        <x:f>IF(AND(AL$5&gt;=$C71,AL$5&lt;=$D71,$A71&lt;&gt;""),"●","")</x:f>
      </x:c>
      <x:c r="AM71" s="165" t="str">
        <x:f>IF(AND(AM$5&gt;=$C71,AM$5&lt;=$D71,$A71&lt;&gt;""),"●","")</x:f>
      </x:c>
      <x:c r="AN71" s="165" t="str">
        <x:f>IF(AND(AN$5&gt;=$C71,AN$5&lt;=$D71,$A71&lt;&gt;""),"●","")</x:f>
      </x:c>
      <x:c r="AO71" s="165" t="str">
        <x:f>IF(AND(AO$5&gt;=$C71,AO$5&lt;=$D71,$A71&lt;&gt;""),"●","")</x:f>
      </x:c>
      <x:c r="AP71" s="165" t="str">
        <x:f>IF(AND(AP$5&gt;=$C71,AP$5&lt;=$D71,$A71&lt;&gt;""),"●","")</x:f>
      </x:c>
      <x:c r="AQ71" s="165" t="str">
        <x:f>IF(AND(AQ$5&gt;=$C71,AQ$5&lt;=$D71,$A71&lt;&gt;""),"●","")</x:f>
      </x:c>
      <x:c r="AR71" s="165" t="str">
        <x:f>IF(AND(AR$5&gt;=$C71,AR$5&lt;=$D71,$A71&lt;&gt;""),"●","")</x:f>
      </x:c>
      <x:c r="AS71" s="165" t="str">
        <x:f>IF(AND(AS$5&gt;=$C71,AS$5&lt;=$D71,$A71&lt;&gt;""),"●","")</x:f>
      </x:c>
      <x:c r="AT71" s="165" t="str">
        <x:f>IF(AND(AT$5&gt;=$C71,AT$5&lt;=$D71,$A71&lt;&gt;""),"●","")</x:f>
      </x:c>
      <x:c r="AU71" s="165" t="str">
        <x:f>IF(AND(AU$5&gt;=$C71,AU$5&lt;=$D71,$A71&lt;&gt;""),"●","")</x:f>
      </x:c>
      <x:c r="AV71" s="165" t="str">
        <x:f>IF(AND(AV$5&gt;=$C71,AV$5&lt;=$D71,$A71&lt;&gt;""),"●","")</x:f>
      </x:c>
      <x:c r="AW71" s="165" t="str">
        <x:f>IF(AND(AW$5&gt;=$C71,AW$5&lt;=$D71,$A71&lt;&gt;""),"●","")</x:f>
      </x:c>
      <x:c r="AX71" s="165" t="str">
        <x:f>IF(AND(AX$5&gt;=$C71,AX$5&lt;=$D71,$A71&lt;&gt;""),"●","")</x:f>
      </x:c>
      <x:c r="AY71" s="165" t="str">
        <x:f>IF(AND(AY$5&gt;=$C71,AY$5&lt;=$D71,$A71&lt;&gt;""),"●","")</x:f>
      </x:c>
      <x:c r="AZ71" s="165" t="str">
        <x:f>IF(AND(AZ$5&gt;=$C71,AZ$5&lt;=$D71,$A71&lt;&gt;""),"●","")</x:f>
      </x:c>
      <x:c r="BA71" s="165" t="str">
        <x:f>IF(AND(BA$5&gt;=$C71,BA$5&lt;=$D71,$A71&lt;&gt;""),"●","")</x:f>
      </x:c>
      <x:c r="BB71" s="165" t="str">
        <x:f>IF(AND(BB$5&gt;=$C71,BB$5&lt;=$D71,$A71&lt;&gt;""),"●","")</x:f>
      </x:c>
      <x:c r="BC71" s="165" t="str">
        <x:f>IF(AND(BC$5&gt;=$C71,BC$5&lt;=$D71,$A71&lt;&gt;""),"●","")</x:f>
      </x:c>
      <x:c r="BD71" s="165" t="str">
        <x:f>IF(AND(BD$5&gt;=$C71,BD$5&lt;=$D71,$A71&lt;&gt;""),"●","")</x:f>
      </x:c>
      <x:c r="BE71" s="165" t="str">
        <x:f>IF(AND(BE$5&gt;=$C71,BE$5&lt;=$D71,$A71&lt;&gt;""),"●","")</x:f>
      </x:c>
      <x:c r="BF71" s="165" t="str">
        <x:f>IF(AND(BF$5&gt;=$C71,BF$5&lt;=$D71,$A71&lt;&gt;""),"●","")</x:f>
      </x:c>
      <x:c r="BG71" s="165" t="str">
        <x:f>IF(AND(BG$5&gt;=$C71,BG$5&lt;=$D71,$A71&lt;&gt;""),"●","")</x:f>
      </x:c>
      <x:c r="BH71" s="165" t="str">
        <x:f>IF(AND(BH$5&gt;=$C71,BH$5&lt;=$D71,$A71&lt;&gt;""),"●","")</x:f>
      </x:c>
      <x:c r="BI71" s="165" t="str">
        <x:f>IF(AND(BI$5&gt;=$C71,BI$5&lt;=$D71,$A71&lt;&gt;""),"●","")</x:f>
      </x:c>
      <x:c r="BJ71" s="165" t="str">
        <x:f>IF(AND(BJ$5&gt;=$C71,BJ$5&lt;=$D71,$A71&lt;&gt;""),"●","")</x:f>
      </x:c>
      <x:c r="BK71" s="165" t="str">
        <x:f>IF(AND(BK$5&gt;=$C71,BK$5&lt;=$D71,$A71&lt;&gt;""),"●","")</x:f>
      </x:c>
      <x:c r="BL71" s="165" t="str">
        <x:f>IF(AND(BL$5&gt;=$C71,BL$5&lt;=$D71,$A71&lt;&gt;""),"●","")</x:f>
      </x:c>
      <x:c r="BM71" s="165" t="str">
        <x:f>IF(AND(BM$5&gt;=$C71,BM$5&lt;=$D71,$A71&lt;&gt;""),"●","")</x:f>
      </x:c>
      <x:c r="BN71" s="165" t="str">
        <x:f>IF(AND(BN$5&gt;=$C71,BN$5&lt;=$D71,$A71&lt;&gt;""),"●","")</x:f>
      </x:c>
      <x:c r="BO71" s="165" t="str">
        <x:f>IF(AND(BO$5&gt;=$C71,BO$5&lt;=$D71,$A71&lt;&gt;""),"●","")</x:f>
      </x:c>
      <x:c r="BP71" s="165" t="str">
        <x:f>IF(AND(BP$5&gt;=$C71,BP$5&lt;=$D71,$A71&lt;&gt;""),"●","")</x:f>
      </x:c>
      <x:c r="BQ71" s="165" t="str">
        <x:f>IF(AND(BQ$5&gt;=$C71,BQ$5&lt;=$D71,$A71&lt;&gt;""),"●","")</x:f>
      </x:c>
      <x:c r="BR71" s="165" t="str">
        <x:f>IF(AND(BR$5&gt;=$C71,BR$5&lt;=$D71,$A71&lt;&gt;""),"●","")</x:f>
      </x:c>
      <x:c r="BS71" s="165" t="str">
        <x:f>IF(AND(BS$5&gt;=$C71,BS$5&lt;=$D71,$A71&lt;&gt;""),"●","")</x:f>
      </x:c>
      <x:c r="BT71" s="165" t="str">
        <x:f>IF(AND(BT$5&gt;=$C71,BT$5&lt;=$D71,$A71&lt;&gt;""),"●","")</x:f>
      </x:c>
      <x:c r="BU71" s="165" t="str">
        <x:f>IF(AND(BU$5&gt;=$C71,BU$5&lt;=$D71,$A71&lt;&gt;""),"●","")</x:f>
      </x:c>
      <x:c r="BV71" s="165" t="str">
        <x:f>IF(AND(BV$5&gt;=$C71,BV$5&lt;=$D71,$A71&lt;&gt;""),"●","")</x:f>
      </x:c>
      <x:c r="BW71" s="165" t="str">
        <x:f>IF(AND(BW$5&gt;=$C71,BW$5&lt;=$D71,$A71&lt;&gt;""),"●","")</x:f>
      </x:c>
    </x:row>
    <x:row r="72">
      <x:c r="A72" s="159" t="str">
        <x:f>IF('รายการสัญญา'!A72="","",'รายการสัญญา'!A72)</x:f>
      </x:c>
      <x:c r="B72" s="159" t="str">
        <x:f>IF('รายการสัญญา'!A72="","",'รายการสัญญา'!C72)</x:f>
      </x:c>
      <x:c r="C72" s="162" t="str">
        <x:f>IF('รายการสัญญา'!A72="","",'รายการสัญญา'!E72)</x:f>
      </x:c>
      <x:c r="D72" s="162" t="str">
        <x:f>IF('รายการสัญญา'!A72="","",'รายการสัญญา'!G72)</x:f>
      </x:c>
      <x:c r="E72" s="159" t="str">
        <x:f>IF('รายการสัญญา'!A72="","",'รายการสัญญา'!K72)</x:f>
      </x:c>
      <x:c r="F72" s="165" t="str">
        <x:f>IF(AND(F$5&gt;=$C72,F$5&lt;=$D72,$A72&lt;&gt;""),"●","")</x:f>
      </x:c>
      <x:c r="G72" s="165" t="str">
        <x:f>IF(AND(G$5&gt;=$C72,G$5&lt;=$D72,$A72&lt;&gt;""),"●","")</x:f>
      </x:c>
      <x:c r="H72" s="165" t="str">
        <x:f>IF(AND(H$5&gt;=$C72,H$5&lt;=$D72,$A72&lt;&gt;""),"●","")</x:f>
      </x:c>
      <x:c r="I72" s="165" t="str">
        <x:f>IF(AND(I$5&gt;=$C72,I$5&lt;=$D72,$A72&lt;&gt;""),"●","")</x:f>
      </x:c>
      <x:c r="J72" s="165" t="str">
        <x:f>IF(AND(J$5&gt;=$C72,J$5&lt;=$D72,$A72&lt;&gt;""),"●","")</x:f>
      </x:c>
      <x:c r="K72" s="165" t="str">
        <x:f>IF(AND(K$5&gt;=$C72,K$5&lt;=$D72,$A72&lt;&gt;""),"●","")</x:f>
      </x:c>
      <x:c r="L72" s="165" t="str">
        <x:f>IF(AND(L$5&gt;=$C72,L$5&lt;=$D72,$A72&lt;&gt;""),"●","")</x:f>
      </x:c>
      <x:c r="M72" s="165" t="str">
        <x:f>IF(AND(M$5&gt;=$C72,M$5&lt;=$D72,$A72&lt;&gt;""),"●","")</x:f>
      </x:c>
      <x:c r="N72" s="165" t="str">
        <x:f>IF(AND(N$5&gt;=$C72,N$5&lt;=$D72,$A72&lt;&gt;""),"●","")</x:f>
      </x:c>
      <x:c r="O72" s="165" t="str">
        <x:f>IF(AND(O$5&gt;=$C72,O$5&lt;=$D72,$A72&lt;&gt;""),"●","")</x:f>
      </x:c>
      <x:c r="P72" s="165" t="str">
        <x:f>IF(AND(P$5&gt;=$C72,P$5&lt;=$D72,$A72&lt;&gt;""),"●","")</x:f>
      </x:c>
      <x:c r="Q72" s="165" t="str">
        <x:f>IF(AND(Q$5&gt;=$C72,Q$5&lt;=$D72,$A72&lt;&gt;""),"●","")</x:f>
      </x:c>
      <x:c r="R72" s="165" t="str">
        <x:f>IF(AND(R$5&gt;=$C72,R$5&lt;=$D72,$A72&lt;&gt;""),"●","")</x:f>
      </x:c>
      <x:c r="S72" s="165" t="str">
        <x:f>IF(AND(S$5&gt;=$C72,S$5&lt;=$D72,$A72&lt;&gt;""),"●","")</x:f>
      </x:c>
      <x:c r="T72" s="165" t="str">
        <x:f>IF(AND(T$5&gt;=$C72,T$5&lt;=$D72,$A72&lt;&gt;""),"●","")</x:f>
      </x:c>
      <x:c r="U72" s="165" t="str">
        <x:f>IF(AND(U$5&gt;=$C72,U$5&lt;=$D72,$A72&lt;&gt;""),"●","")</x:f>
      </x:c>
      <x:c r="V72" s="165" t="str">
        <x:f>IF(AND(V$5&gt;=$C72,V$5&lt;=$D72,$A72&lt;&gt;""),"●","")</x:f>
      </x:c>
      <x:c r="W72" s="165" t="str">
        <x:f>IF(AND(W$5&gt;=$C72,W$5&lt;=$D72,$A72&lt;&gt;""),"●","")</x:f>
      </x:c>
      <x:c r="X72" s="165" t="str">
        <x:f>IF(AND(X$5&gt;=$C72,X$5&lt;=$D72,$A72&lt;&gt;""),"●","")</x:f>
      </x:c>
      <x:c r="Y72" s="165" t="str">
        <x:f>IF(AND(Y$5&gt;=$C72,Y$5&lt;=$D72,$A72&lt;&gt;""),"●","")</x:f>
      </x:c>
      <x:c r="Z72" s="165" t="str">
        <x:f>IF(AND(Z$5&gt;=$C72,Z$5&lt;=$D72,$A72&lt;&gt;""),"●","")</x:f>
      </x:c>
      <x:c r="AA72" s="165" t="str">
        <x:f>IF(AND(AA$5&gt;=$C72,AA$5&lt;=$D72,$A72&lt;&gt;""),"●","")</x:f>
      </x:c>
      <x:c r="AB72" s="165" t="str">
        <x:f>IF(AND(AB$5&gt;=$C72,AB$5&lt;=$D72,$A72&lt;&gt;""),"●","")</x:f>
      </x:c>
      <x:c r="AC72" s="165" t="str">
        <x:f>IF(AND(AC$5&gt;=$C72,AC$5&lt;=$D72,$A72&lt;&gt;""),"●","")</x:f>
      </x:c>
      <x:c r="AD72" s="165" t="str">
        <x:f>IF(AND(AD$5&gt;=$C72,AD$5&lt;=$D72,$A72&lt;&gt;""),"●","")</x:f>
      </x:c>
      <x:c r="AE72" s="165" t="str">
        <x:f>IF(AND(AE$5&gt;=$C72,AE$5&lt;=$D72,$A72&lt;&gt;""),"●","")</x:f>
      </x:c>
      <x:c r="AF72" s="165" t="str">
        <x:f>IF(AND(AF$5&gt;=$C72,AF$5&lt;=$D72,$A72&lt;&gt;""),"●","")</x:f>
      </x:c>
      <x:c r="AG72" s="165" t="str">
        <x:f>IF(AND(AG$5&gt;=$C72,AG$5&lt;=$D72,$A72&lt;&gt;""),"●","")</x:f>
      </x:c>
      <x:c r="AH72" s="165" t="str">
        <x:f>IF(AND(AH$5&gt;=$C72,AH$5&lt;=$D72,$A72&lt;&gt;""),"●","")</x:f>
      </x:c>
      <x:c r="AI72" s="165" t="str">
        <x:f>IF(AND(AI$5&gt;=$C72,AI$5&lt;=$D72,$A72&lt;&gt;""),"●","")</x:f>
      </x:c>
      <x:c r="AJ72" s="165" t="str">
        <x:f>IF(AND(AJ$5&gt;=$C72,AJ$5&lt;=$D72,$A72&lt;&gt;""),"●","")</x:f>
      </x:c>
      <x:c r="AK72" s="165" t="str">
        <x:f>IF(AND(AK$5&gt;=$C72,AK$5&lt;=$D72,$A72&lt;&gt;""),"●","")</x:f>
      </x:c>
      <x:c r="AL72" s="165" t="str">
        <x:f>IF(AND(AL$5&gt;=$C72,AL$5&lt;=$D72,$A72&lt;&gt;""),"●","")</x:f>
      </x:c>
      <x:c r="AM72" s="165" t="str">
        <x:f>IF(AND(AM$5&gt;=$C72,AM$5&lt;=$D72,$A72&lt;&gt;""),"●","")</x:f>
      </x:c>
      <x:c r="AN72" s="165" t="str">
        <x:f>IF(AND(AN$5&gt;=$C72,AN$5&lt;=$D72,$A72&lt;&gt;""),"●","")</x:f>
      </x:c>
      <x:c r="AO72" s="165" t="str">
        <x:f>IF(AND(AO$5&gt;=$C72,AO$5&lt;=$D72,$A72&lt;&gt;""),"●","")</x:f>
      </x:c>
      <x:c r="AP72" s="165" t="str">
        <x:f>IF(AND(AP$5&gt;=$C72,AP$5&lt;=$D72,$A72&lt;&gt;""),"●","")</x:f>
      </x:c>
      <x:c r="AQ72" s="165" t="str">
        <x:f>IF(AND(AQ$5&gt;=$C72,AQ$5&lt;=$D72,$A72&lt;&gt;""),"●","")</x:f>
      </x:c>
      <x:c r="AR72" s="165" t="str">
        <x:f>IF(AND(AR$5&gt;=$C72,AR$5&lt;=$D72,$A72&lt;&gt;""),"●","")</x:f>
      </x:c>
      <x:c r="AS72" s="165" t="str">
        <x:f>IF(AND(AS$5&gt;=$C72,AS$5&lt;=$D72,$A72&lt;&gt;""),"●","")</x:f>
      </x:c>
      <x:c r="AT72" s="165" t="str">
        <x:f>IF(AND(AT$5&gt;=$C72,AT$5&lt;=$D72,$A72&lt;&gt;""),"●","")</x:f>
      </x:c>
      <x:c r="AU72" s="165" t="str">
        <x:f>IF(AND(AU$5&gt;=$C72,AU$5&lt;=$D72,$A72&lt;&gt;""),"●","")</x:f>
      </x:c>
      <x:c r="AV72" s="165" t="str">
        <x:f>IF(AND(AV$5&gt;=$C72,AV$5&lt;=$D72,$A72&lt;&gt;""),"●","")</x:f>
      </x:c>
      <x:c r="AW72" s="165" t="str">
        <x:f>IF(AND(AW$5&gt;=$C72,AW$5&lt;=$D72,$A72&lt;&gt;""),"●","")</x:f>
      </x:c>
      <x:c r="AX72" s="165" t="str">
        <x:f>IF(AND(AX$5&gt;=$C72,AX$5&lt;=$D72,$A72&lt;&gt;""),"●","")</x:f>
      </x:c>
      <x:c r="AY72" s="165" t="str">
        <x:f>IF(AND(AY$5&gt;=$C72,AY$5&lt;=$D72,$A72&lt;&gt;""),"●","")</x:f>
      </x:c>
      <x:c r="AZ72" s="165" t="str">
        <x:f>IF(AND(AZ$5&gt;=$C72,AZ$5&lt;=$D72,$A72&lt;&gt;""),"●","")</x:f>
      </x:c>
      <x:c r="BA72" s="165" t="str">
        <x:f>IF(AND(BA$5&gt;=$C72,BA$5&lt;=$D72,$A72&lt;&gt;""),"●","")</x:f>
      </x:c>
      <x:c r="BB72" s="165" t="str">
        <x:f>IF(AND(BB$5&gt;=$C72,BB$5&lt;=$D72,$A72&lt;&gt;""),"●","")</x:f>
      </x:c>
      <x:c r="BC72" s="165" t="str">
        <x:f>IF(AND(BC$5&gt;=$C72,BC$5&lt;=$D72,$A72&lt;&gt;""),"●","")</x:f>
      </x:c>
      <x:c r="BD72" s="165" t="str">
        <x:f>IF(AND(BD$5&gt;=$C72,BD$5&lt;=$D72,$A72&lt;&gt;""),"●","")</x:f>
      </x:c>
      <x:c r="BE72" s="165" t="str">
        <x:f>IF(AND(BE$5&gt;=$C72,BE$5&lt;=$D72,$A72&lt;&gt;""),"●","")</x:f>
      </x:c>
      <x:c r="BF72" s="165" t="str">
        <x:f>IF(AND(BF$5&gt;=$C72,BF$5&lt;=$D72,$A72&lt;&gt;""),"●","")</x:f>
      </x:c>
      <x:c r="BG72" s="165" t="str">
        <x:f>IF(AND(BG$5&gt;=$C72,BG$5&lt;=$D72,$A72&lt;&gt;""),"●","")</x:f>
      </x:c>
      <x:c r="BH72" s="165" t="str">
        <x:f>IF(AND(BH$5&gt;=$C72,BH$5&lt;=$D72,$A72&lt;&gt;""),"●","")</x:f>
      </x:c>
      <x:c r="BI72" s="165" t="str">
        <x:f>IF(AND(BI$5&gt;=$C72,BI$5&lt;=$D72,$A72&lt;&gt;""),"●","")</x:f>
      </x:c>
      <x:c r="BJ72" s="165" t="str">
        <x:f>IF(AND(BJ$5&gt;=$C72,BJ$5&lt;=$D72,$A72&lt;&gt;""),"●","")</x:f>
      </x:c>
      <x:c r="BK72" s="165" t="str">
        <x:f>IF(AND(BK$5&gt;=$C72,BK$5&lt;=$D72,$A72&lt;&gt;""),"●","")</x:f>
      </x:c>
      <x:c r="BL72" s="165" t="str">
        <x:f>IF(AND(BL$5&gt;=$C72,BL$5&lt;=$D72,$A72&lt;&gt;""),"●","")</x:f>
      </x:c>
      <x:c r="BM72" s="165" t="str">
        <x:f>IF(AND(BM$5&gt;=$C72,BM$5&lt;=$D72,$A72&lt;&gt;""),"●","")</x:f>
      </x:c>
      <x:c r="BN72" s="165" t="str">
        <x:f>IF(AND(BN$5&gt;=$C72,BN$5&lt;=$D72,$A72&lt;&gt;""),"●","")</x:f>
      </x:c>
      <x:c r="BO72" s="165" t="str">
        <x:f>IF(AND(BO$5&gt;=$C72,BO$5&lt;=$D72,$A72&lt;&gt;""),"●","")</x:f>
      </x:c>
      <x:c r="BP72" s="165" t="str">
        <x:f>IF(AND(BP$5&gt;=$C72,BP$5&lt;=$D72,$A72&lt;&gt;""),"●","")</x:f>
      </x:c>
      <x:c r="BQ72" s="165" t="str">
        <x:f>IF(AND(BQ$5&gt;=$C72,BQ$5&lt;=$D72,$A72&lt;&gt;""),"●","")</x:f>
      </x:c>
      <x:c r="BR72" s="165" t="str">
        <x:f>IF(AND(BR$5&gt;=$C72,BR$5&lt;=$D72,$A72&lt;&gt;""),"●","")</x:f>
      </x:c>
      <x:c r="BS72" s="165" t="str">
        <x:f>IF(AND(BS$5&gt;=$C72,BS$5&lt;=$D72,$A72&lt;&gt;""),"●","")</x:f>
      </x:c>
      <x:c r="BT72" s="165" t="str">
        <x:f>IF(AND(BT$5&gt;=$C72,BT$5&lt;=$D72,$A72&lt;&gt;""),"●","")</x:f>
      </x:c>
      <x:c r="BU72" s="165" t="str">
        <x:f>IF(AND(BU$5&gt;=$C72,BU$5&lt;=$D72,$A72&lt;&gt;""),"●","")</x:f>
      </x:c>
      <x:c r="BV72" s="165" t="str">
        <x:f>IF(AND(BV$5&gt;=$C72,BV$5&lt;=$D72,$A72&lt;&gt;""),"●","")</x:f>
      </x:c>
      <x:c r="BW72" s="165" t="str">
        <x:f>IF(AND(BW$5&gt;=$C72,BW$5&lt;=$D72,$A72&lt;&gt;""),"●","")</x:f>
      </x:c>
    </x:row>
    <x:row r="73">
      <x:c r="A73" s="159" t="str">
        <x:f>IF('รายการสัญญา'!A73="","",'รายการสัญญา'!A73)</x:f>
      </x:c>
      <x:c r="B73" s="159" t="str">
        <x:f>IF('รายการสัญญา'!A73="","",'รายการสัญญา'!C73)</x:f>
      </x:c>
      <x:c r="C73" s="162" t="str">
        <x:f>IF('รายการสัญญา'!A73="","",'รายการสัญญา'!E73)</x:f>
      </x:c>
      <x:c r="D73" s="162" t="str">
        <x:f>IF('รายการสัญญา'!A73="","",'รายการสัญญา'!G73)</x:f>
      </x:c>
      <x:c r="E73" s="159" t="str">
        <x:f>IF('รายการสัญญา'!A73="","",'รายการสัญญา'!K73)</x:f>
      </x:c>
      <x:c r="F73" s="165" t="str">
        <x:f>IF(AND(F$5&gt;=$C73,F$5&lt;=$D73,$A73&lt;&gt;""),"●","")</x:f>
      </x:c>
      <x:c r="G73" s="165" t="str">
        <x:f>IF(AND(G$5&gt;=$C73,G$5&lt;=$D73,$A73&lt;&gt;""),"●","")</x:f>
      </x:c>
      <x:c r="H73" s="165" t="str">
        <x:f>IF(AND(H$5&gt;=$C73,H$5&lt;=$D73,$A73&lt;&gt;""),"●","")</x:f>
      </x:c>
      <x:c r="I73" s="165" t="str">
        <x:f>IF(AND(I$5&gt;=$C73,I$5&lt;=$D73,$A73&lt;&gt;""),"●","")</x:f>
      </x:c>
      <x:c r="J73" s="165" t="str">
        <x:f>IF(AND(J$5&gt;=$C73,J$5&lt;=$D73,$A73&lt;&gt;""),"●","")</x:f>
      </x:c>
      <x:c r="K73" s="165" t="str">
        <x:f>IF(AND(K$5&gt;=$C73,K$5&lt;=$D73,$A73&lt;&gt;""),"●","")</x:f>
      </x:c>
      <x:c r="L73" s="165" t="str">
        <x:f>IF(AND(L$5&gt;=$C73,L$5&lt;=$D73,$A73&lt;&gt;""),"●","")</x:f>
      </x:c>
      <x:c r="M73" s="165" t="str">
        <x:f>IF(AND(M$5&gt;=$C73,M$5&lt;=$D73,$A73&lt;&gt;""),"●","")</x:f>
      </x:c>
      <x:c r="N73" s="165" t="str">
        <x:f>IF(AND(N$5&gt;=$C73,N$5&lt;=$D73,$A73&lt;&gt;""),"●","")</x:f>
      </x:c>
      <x:c r="O73" s="165" t="str">
        <x:f>IF(AND(O$5&gt;=$C73,O$5&lt;=$D73,$A73&lt;&gt;""),"●","")</x:f>
      </x:c>
      <x:c r="P73" s="165" t="str">
        <x:f>IF(AND(P$5&gt;=$C73,P$5&lt;=$D73,$A73&lt;&gt;""),"●","")</x:f>
      </x:c>
      <x:c r="Q73" s="165" t="str">
        <x:f>IF(AND(Q$5&gt;=$C73,Q$5&lt;=$D73,$A73&lt;&gt;""),"●","")</x:f>
      </x:c>
      <x:c r="R73" s="165" t="str">
        <x:f>IF(AND(R$5&gt;=$C73,R$5&lt;=$D73,$A73&lt;&gt;""),"●","")</x:f>
      </x:c>
      <x:c r="S73" s="165" t="str">
        <x:f>IF(AND(S$5&gt;=$C73,S$5&lt;=$D73,$A73&lt;&gt;""),"●","")</x:f>
      </x:c>
      <x:c r="T73" s="165" t="str">
        <x:f>IF(AND(T$5&gt;=$C73,T$5&lt;=$D73,$A73&lt;&gt;""),"●","")</x:f>
      </x:c>
      <x:c r="U73" s="165" t="str">
        <x:f>IF(AND(U$5&gt;=$C73,U$5&lt;=$D73,$A73&lt;&gt;""),"●","")</x:f>
      </x:c>
      <x:c r="V73" s="165" t="str">
        <x:f>IF(AND(V$5&gt;=$C73,V$5&lt;=$D73,$A73&lt;&gt;""),"●","")</x:f>
      </x:c>
      <x:c r="W73" s="165" t="str">
        <x:f>IF(AND(W$5&gt;=$C73,W$5&lt;=$D73,$A73&lt;&gt;""),"●","")</x:f>
      </x:c>
      <x:c r="X73" s="165" t="str">
        <x:f>IF(AND(X$5&gt;=$C73,X$5&lt;=$D73,$A73&lt;&gt;""),"●","")</x:f>
      </x:c>
      <x:c r="Y73" s="165" t="str">
        <x:f>IF(AND(Y$5&gt;=$C73,Y$5&lt;=$D73,$A73&lt;&gt;""),"●","")</x:f>
      </x:c>
      <x:c r="Z73" s="165" t="str">
        <x:f>IF(AND(Z$5&gt;=$C73,Z$5&lt;=$D73,$A73&lt;&gt;""),"●","")</x:f>
      </x:c>
      <x:c r="AA73" s="165" t="str">
        <x:f>IF(AND(AA$5&gt;=$C73,AA$5&lt;=$D73,$A73&lt;&gt;""),"●","")</x:f>
      </x:c>
      <x:c r="AB73" s="165" t="str">
        <x:f>IF(AND(AB$5&gt;=$C73,AB$5&lt;=$D73,$A73&lt;&gt;""),"●","")</x:f>
      </x:c>
      <x:c r="AC73" s="165" t="str">
        <x:f>IF(AND(AC$5&gt;=$C73,AC$5&lt;=$D73,$A73&lt;&gt;""),"●","")</x:f>
      </x:c>
      <x:c r="AD73" s="165" t="str">
        <x:f>IF(AND(AD$5&gt;=$C73,AD$5&lt;=$D73,$A73&lt;&gt;""),"●","")</x:f>
      </x:c>
      <x:c r="AE73" s="165" t="str">
        <x:f>IF(AND(AE$5&gt;=$C73,AE$5&lt;=$D73,$A73&lt;&gt;""),"●","")</x:f>
      </x:c>
      <x:c r="AF73" s="165" t="str">
        <x:f>IF(AND(AF$5&gt;=$C73,AF$5&lt;=$D73,$A73&lt;&gt;""),"●","")</x:f>
      </x:c>
      <x:c r="AG73" s="165" t="str">
        <x:f>IF(AND(AG$5&gt;=$C73,AG$5&lt;=$D73,$A73&lt;&gt;""),"●","")</x:f>
      </x:c>
      <x:c r="AH73" s="165" t="str">
        <x:f>IF(AND(AH$5&gt;=$C73,AH$5&lt;=$D73,$A73&lt;&gt;""),"●","")</x:f>
      </x:c>
      <x:c r="AI73" s="165" t="str">
        <x:f>IF(AND(AI$5&gt;=$C73,AI$5&lt;=$D73,$A73&lt;&gt;""),"●","")</x:f>
      </x:c>
      <x:c r="AJ73" s="165" t="str">
        <x:f>IF(AND(AJ$5&gt;=$C73,AJ$5&lt;=$D73,$A73&lt;&gt;""),"●","")</x:f>
      </x:c>
      <x:c r="AK73" s="165" t="str">
        <x:f>IF(AND(AK$5&gt;=$C73,AK$5&lt;=$D73,$A73&lt;&gt;""),"●","")</x:f>
      </x:c>
      <x:c r="AL73" s="165" t="str">
        <x:f>IF(AND(AL$5&gt;=$C73,AL$5&lt;=$D73,$A73&lt;&gt;""),"●","")</x:f>
      </x:c>
      <x:c r="AM73" s="165" t="str">
        <x:f>IF(AND(AM$5&gt;=$C73,AM$5&lt;=$D73,$A73&lt;&gt;""),"●","")</x:f>
      </x:c>
      <x:c r="AN73" s="165" t="str">
        <x:f>IF(AND(AN$5&gt;=$C73,AN$5&lt;=$D73,$A73&lt;&gt;""),"●","")</x:f>
      </x:c>
      <x:c r="AO73" s="165" t="str">
        <x:f>IF(AND(AO$5&gt;=$C73,AO$5&lt;=$D73,$A73&lt;&gt;""),"●","")</x:f>
      </x:c>
      <x:c r="AP73" s="165" t="str">
        <x:f>IF(AND(AP$5&gt;=$C73,AP$5&lt;=$D73,$A73&lt;&gt;""),"●","")</x:f>
      </x:c>
      <x:c r="AQ73" s="165" t="str">
        <x:f>IF(AND(AQ$5&gt;=$C73,AQ$5&lt;=$D73,$A73&lt;&gt;""),"●","")</x:f>
      </x:c>
      <x:c r="AR73" s="165" t="str">
        <x:f>IF(AND(AR$5&gt;=$C73,AR$5&lt;=$D73,$A73&lt;&gt;""),"●","")</x:f>
      </x:c>
      <x:c r="AS73" s="165" t="str">
        <x:f>IF(AND(AS$5&gt;=$C73,AS$5&lt;=$D73,$A73&lt;&gt;""),"●","")</x:f>
      </x:c>
      <x:c r="AT73" s="165" t="str">
        <x:f>IF(AND(AT$5&gt;=$C73,AT$5&lt;=$D73,$A73&lt;&gt;""),"●","")</x:f>
      </x:c>
      <x:c r="AU73" s="165" t="str">
        <x:f>IF(AND(AU$5&gt;=$C73,AU$5&lt;=$D73,$A73&lt;&gt;""),"●","")</x:f>
      </x:c>
      <x:c r="AV73" s="165" t="str">
        <x:f>IF(AND(AV$5&gt;=$C73,AV$5&lt;=$D73,$A73&lt;&gt;""),"●","")</x:f>
      </x:c>
      <x:c r="AW73" s="165" t="str">
        <x:f>IF(AND(AW$5&gt;=$C73,AW$5&lt;=$D73,$A73&lt;&gt;""),"●","")</x:f>
      </x:c>
      <x:c r="AX73" s="165" t="str">
        <x:f>IF(AND(AX$5&gt;=$C73,AX$5&lt;=$D73,$A73&lt;&gt;""),"●","")</x:f>
      </x:c>
      <x:c r="AY73" s="165" t="str">
        <x:f>IF(AND(AY$5&gt;=$C73,AY$5&lt;=$D73,$A73&lt;&gt;""),"●","")</x:f>
      </x:c>
      <x:c r="AZ73" s="165" t="str">
        <x:f>IF(AND(AZ$5&gt;=$C73,AZ$5&lt;=$D73,$A73&lt;&gt;""),"●","")</x:f>
      </x:c>
      <x:c r="BA73" s="165" t="str">
        <x:f>IF(AND(BA$5&gt;=$C73,BA$5&lt;=$D73,$A73&lt;&gt;""),"●","")</x:f>
      </x:c>
      <x:c r="BB73" s="165" t="str">
        <x:f>IF(AND(BB$5&gt;=$C73,BB$5&lt;=$D73,$A73&lt;&gt;""),"●","")</x:f>
      </x:c>
      <x:c r="BC73" s="165" t="str">
        <x:f>IF(AND(BC$5&gt;=$C73,BC$5&lt;=$D73,$A73&lt;&gt;""),"●","")</x:f>
      </x:c>
      <x:c r="BD73" s="165" t="str">
        <x:f>IF(AND(BD$5&gt;=$C73,BD$5&lt;=$D73,$A73&lt;&gt;""),"●","")</x:f>
      </x:c>
      <x:c r="BE73" s="165" t="str">
        <x:f>IF(AND(BE$5&gt;=$C73,BE$5&lt;=$D73,$A73&lt;&gt;""),"●","")</x:f>
      </x:c>
      <x:c r="BF73" s="165" t="str">
        <x:f>IF(AND(BF$5&gt;=$C73,BF$5&lt;=$D73,$A73&lt;&gt;""),"●","")</x:f>
      </x:c>
      <x:c r="BG73" s="165" t="str">
        <x:f>IF(AND(BG$5&gt;=$C73,BG$5&lt;=$D73,$A73&lt;&gt;""),"●","")</x:f>
      </x:c>
      <x:c r="BH73" s="165" t="str">
        <x:f>IF(AND(BH$5&gt;=$C73,BH$5&lt;=$D73,$A73&lt;&gt;""),"●","")</x:f>
      </x:c>
      <x:c r="BI73" s="165" t="str">
        <x:f>IF(AND(BI$5&gt;=$C73,BI$5&lt;=$D73,$A73&lt;&gt;""),"●","")</x:f>
      </x:c>
      <x:c r="BJ73" s="165" t="str">
        <x:f>IF(AND(BJ$5&gt;=$C73,BJ$5&lt;=$D73,$A73&lt;&gt;""),"●","")</x:f>
      </x:c>
      <x:c r="BK73" s="165" t="str">
        <x:f>IF(AND(BK$5&gt;=$C73,BK$5&lt;=$D73,$A73&lt;&gt;""),"●","")</x:f>
      </x:c>
      <x:c r="BL73" s="165" t="str">
        <x:f>IF(AND(BL$5&gt;=$C73,BL$5&lt;=$D73,$A73&lt;&gt;""),"●","")</x:f>
      </x:c>
      <x:c r="BM73" s="165" t="str">
        <x:f>IF(AND(BM$5&gt;=$C73,BM$5&lt;=$D73,$A73&lt;&gt;""),"●","")</x:f>
      </x:c>
      <x:c r="BN73" s="165" t="str">
        <x:f>IF(AND(BN$5&gt;=$C73,BN$5&lt;=$D73,$A73&lt;&gt;""),"●","")</x:f>
      </x:c>
      <x:c r="BO73" s="165" t="str">
        <x:f>IF(AND(BO$5&gt;=$C73,BO$5&lt;=$D73,$A73&lt;&gt;""),"●","")</x:f>
      </x:c>
      <x:c r="BP73" s="165" t="str">
        <x:f>IF(AND(BP$5&gt;=$C73,BP$5&lt;=$D73,$A73&lt;&gt;""),"●","")</x:f>
      </x:c>
      <x:c r="BQ73" s="165" t="str">
        <x:f>IF(AND(BQ$5&gt;=$C73,BQ$5&lt;=$D73,$A73&lt;&gt;""),"●","")</x:f>
      </x:c>
      <x:c r="BR73" s="165" t="str">
        <x:f>IF(AND(BR$5&gt;=$C73,BR$5&lt;=$D73,$A73&lt;&gt;""),"●","")</x:f>
      </x:c>
      <x:c r="BS73" s="165" t="str">
        <x:f>IF(AND(BS$5&gt;=$C73,BS$5&lt;=$D73,$A73&lt;&gt;""),"●","")</x:f>
      </x:c>
      <x:c r="BT73" s="165" t="str">
        <x:f>IF(AND(BT$5&gt;=$C73,BT$5&lt;=$D73,$A73&lt;&gt;""),"●","")</x:f>
      </x:c>
      <x:c r="BU73" s="165" t="str">
        <x:f>IF(AND(BU$5&gt;=$C73,BU$5&lt;=$D73,$A73&lt;&gt;""),"●","")</x:f>
      </x:c>
      <x:c r="BV73" s="165" t="str">
        <x:f>IF(AND(BV$5&gt;=$C73,BV$5&lt;=$D73,$A73&lt;&gt;""),"●","")</x:f>
      </x:c>
      <x:c r="BW73" s="165" t="str">
        <x:f>IF(AND(BW$5&gt;=$C73,BW$5&lt;=$D73,$A73&lt;&gt;""),"●","")</x:f>
      </x:c>
    </x:row>
    <x:row r="74">
      <x:c r="A74" s="159" t="str">
        <x:f>IF('รายการสัญญา'!A74="","",'รายการสัญญา'!A74)</x:f>
      </x:c>
      <x:c r="B74" s="159" t="str">
        <x:f>IF('รายการสัญญา'!A74="","",'รายการสัญญา'!C74)</x:f>
      </x:c>
      <x:c r="C74" s="162" t="str">
        <x:f>IF('รายการสัญญา'!A74="","",'รายการสัญญา'!E74)</x:f>
      </x:c>
      <x:c r="D74" s="162" t="str">
        <x:f>IF('รายการสัญญา'!A74="","",'รายการสัญญา'!G74)</x:f>
      </x:c>
      <x:c r="E74" s="159" t="str">
        <x:f>IF('รายการสัญญา'!A74="","",'รายการสัญญา'!K74)</x:f>
      </x:c>
      <x:c r="F74" s="165" t="str">
        <x:f>IF(AND(F$5&gt;=$C74,F$5&lt;=$D74,$A74&lt;&gt;""),"●","")</x:f>
      </x:c>
      <x:c r="G74" s="165" t="str">
        <x:f>IF(AND(G$5&gt;=$C74,G$5&lt;=$D74,$A74&lt;&gt;""),"●","")</x:f>
      </x:c>
      <x:c r="H74" s="165" t="str">
        <x:f>IF(AND(H$5&gt;=$C74,H$5&lt;=$D74,$A74&lt;&gt;""),"●","")</x:f>
      </x:c>
      <x:c r="I74" s="165" t="str">
        <x:f>IF(AND(I$5&gt;=$C74,I$5&lt;=$D74,$A74&lt;&gt;""),"●","")</x:f>
      </x:c>
      <x:c r="J74" s="165" t="str">
        <x:f>IF(AND(J$5&gt;=$C74,J$5&lt;=$D74,$A74&lt;&gt;""),"●","")</x:f>
      </x:c>
      <x:c r="K74" s="165" t="str">
        <x:f>IF(AND(K$5&gt;=$C74,K$5&lt;=$D74,$A74&lt;&gt;""),"●","")</x:f>
      </x:c>
      <x:c r="L74" s="165" t="str">
        <x:f>IF(AND(L$5&gt;=$C74,L$5&lt;=$D74,$A74&lt;&gt;""),"●","")</x:f>
      </x:c>
      <x:c r="M74" s="165" t="str">
        <x:f>IF(AND(M$5&gt;=$C74,M$5&lt;=$D74,$A74&lt;&gt;""),"●","")</x:f>
      </x:c>
      <x:c r="N74" s="165" t="str">
        <x:f>IF(AND(N$5&gt;=$C74,N$5&lt;=$D74,$A74&lt;&gt;""),"●","")</x:f>
      </x:c>
      <x:c r="O74" s="165" t="str">
        <x:f>IF(AND(O$5&gt;=$C74,O$5&lt;=$D74,$A74&lt;&gt;""),"●","")</x:f>
      </x:c>
      <x:c r="P74" s="165" t="str">
        <x:f>IF(AND(P$5&gt;=$C74,P$5&lt;=$D74,$A74&lt;&gt;""),"●","")</x:f>
      </x:c>
      <x:c r="Q74" s="165" t="str">
        <x:f>IF(AND(Q$5&gt;=$C74,Q$5&lt;=$D74,$A74&lt;&gt;""),"●","")</x:f>
      </x:c>
      <x:c r="R74" s="165" t="str">
        <x:f>IF(AND(R$5&gt;=$C74,R$5&lt;=$D74,$A74&lt;&gt;""),"●","")</x:f>
      </x:c>
      <x:c r="S74" s="165" t="str">
        <x:f>IF(AND(S$5&gt;=$C74,S$5&lt;=$D74,$A74&lt;&gt;""),"●","")</x:f>
      </x:c>
      <x:c r="T74" s="165" t="str">
        <x:f>IF(AND(T$5&gt;=$C74,T$5&lt;=$D74,$A74&lt;&gt;""),"●","")</x:f>
      </x:c>
      <x:c r="U74" s="165" t="str">
        <x:f>IF(AND(U$5&gt;=$C74,U$5&lt;=$D74,$A74&lt;&gt;""),"●","")</x:f>
      </x:c>
      <x:c r="V74" s="165" t="str">
        <x:f>IF(AND(V$5&gt;=$C74,V$5&lt;=$D74,$A74&lt;&gt;""),"●","")</x:f>
      </x:c>
      <x:c r="W74" s="165" t="str">
        <x:f>IF(AND(W$5&gt;=$C74,W$5&lt;=$D74,$A74&lt;&gt;""),"●","")</x:f>
      </x:c>
      <x:c r="X74" s="165" t="str">
        <x:f>IF(AND(X$5&gt;=$C74,X$5&lt;=$D74,$A74&lt;&gt;""),"●","")</x:f>
      </x:c>
      <x:c r="Y74" s="165" t="str">
        <x:f>IF(AND(Y$5&gt;=$C74,Y$5&lt;=$D74,$A74&lt;&gt;""),"●","")</x:f>
      </x:c>
      <x:c r="Z74" s="165" t="str">
        <x:f>IF(AND(Z$5&gt;=$C74,Z$5&lt;=$D74,$A74&lt;&gt;""),"●","")</x:f>
      </x:c>
      <x:c r="AA74" s="165" t="str">
        <x:f>IF(AND(AA$5&gt;=$C74,AA$5&lt;=$D74,$A74&lt;&gt;""),"●","")</x:f>
      </x:c>
      <x:c r="AB74" s="165" t="str">
        <x:f>IF(AND(AB$5&gt;=$C74,AB$5&lt;=$D74,$A74&lt;&gt;""),"●","")</x:f>
      </x:c>
      <x:c r="AC74" s="165" t="str">
        <x:f>IF(AND(AC$5&gt;=$C74,AC$5&lt;=$D74,$A74&lt;&gt;""),"●","")</x:f>
      </x:c>
      <x:c r="AD74" s="165" t="str">
        <x:f>IF(AND(AD$5&gt;=$C74,AD$5&lt;=$D74,$A74&lt;&gt;""),"●","")</x:f>
      </x:c>
      <x:c r="AE74" s="165" t="str">
        <x:f>IF(AND(AE$5&gt;=$C74,AE$5&lt;=$D74,$A74&lt;&gt;""),"●","")</x:f>
      </x:c>
      <x:c r="AF74" s="165" t="str">
        <x:f>IF(AND(AF$5&gt;=$C74,AF$5&lt;=$D74,$A74&lt;&gt;""),"●","")</x:f>
      </x:c>
      <x:c r="AG74" s="165" t="str">
        <x:f>IF(AND(AG$5&gt;=$C74,AG$5&lt;=$D74,$A74&lt;&gt;""),"●","")</x:f>
      </x:c>
      <x:c r="AH74" s="165" t="str">
        <x:f>IF(AND(AH$5&gt;=$C74,AH$5&lt;=$D74,$A74&lt;&gt;""),"●","")</x:f>
      </x:c>
      <x:c r="AI74" s="165" t="str">
        <x:f>IF(AND(AI$5&gt;=$C74,AI$5&lt;=$D74,$A74&lt;&gt;""),"●","")</x:f>
      </x:c>
      <x:c r="AJ74" s="165" t="str">
        <x:f>IF(AND(AJ$5&gt;=$C74,AJ$5&lt;=$D74,$A74&lt;&gt;""),"●","")</x:f>
      </x:c>
      <x:c r="AK74" s="165" t="str">
        <x:f>IF(AND(AK$5&gt;=$C74,AK$5&lt;=$D74,$A74&lt;&gt;""),"●","")</x:f>
      </x:c>
      <x:c r="AL74" s="165" t="str">
        <x:f>IF(AND(AL$5&gt;=$C74,AL$5&lt;=$D74,$A74&lt;&gt;""),"●","")</x:f>
      </x:c>
      <x:c r="AM74" s="165" t="str">
        <x:f>IF(AND(AM$5&gt;=$C74,AM$5&lt;=$D74,$A74&lt;&gt;""),"●","")</x:f>
      </x:c>
      <x:c r="AN74" s="165" t="str">
        <x:f>IF(AND(AN$5&gt;=$C74,AN$5&lt;=$D74,$A74&lt;&gt;""),"●","")</x:f>
      </x:c>
      <x:c r="AO74" s="165" t="str">
        <x:f>IF(AND(AO$5&gt;=$C74,AO$5&lt;=$D74,$A74&lt;&gt;""),"●","")</x:f>
      </x:c>
      <x:c r="AP74" s="165" t="str">
        <x:f>IF(AND(AP$5&gt;=$C74,AP$5&lt;=$D74,$A74&lt;&gt;""),"●","")</x:f>
      </x:c>
      <x:c r="AQ74" s="165" t="str">
        <x:f>IF(AND(AQ$5&gt;=$C74,AQ$5&lt;=$D74,$A74&lt;&gt;""),"●","")</x:f>
      </x:c>
      <x:c r="AR74" s="165" t="str">
        <x:f>IF(AND(AR$5&gt;=$C74,AR$5&lt;=$D74,$A74&lt;&gt;""),"●","")</x:f>
      </x:c>
      <x:c r="AS74" s="165" t="str">
        <x:f>IF(AND(AS$5&gt;=$C74,AS$5&lt;=$D74,$A74&lt;&gt;""),"●","")</x:f>
      </x:c>
      <x:c r="AT74" s="165" t="str">
        <x:f>IF(AND(AT$5&gt;=$C74,AT$5&lt;=$D74,$A74&lt;&gt;""),"●","")</x:f>
      </x:c>
      <x:c r="AU74" s="165" t="str">
        <x:f>IF(AND(AU$5&gt;=$C74,AU$5&lt;=$D74,$A74&lt;&gt;""),"●","")</x:f>
      </x:c>
      <x:c r="AV74" s="165" t="str">
        <x:f>IF(AND(AV$5&gt;=$C74,AV$5&lt;=$D74,$A74&lt;&gt;""),"●","")</x:f>
      </x:c>
      <x:c r="AW74" s="165" t="str">
        <x:f>IF(AND(AW$5&gt;=$C74,AW$5&lt;=$D74,$A74&lt;&gt;""),"●","")</x:f>
      </x:c>
      <x:c r="AX74" s="165" t="str">
        <x:f>IF(AND(AX$5&gt;=$C74,AX$5&lt;=$D74,$A74&lt;&gt;""),"●","")</x:f>
      </x:c>
      <x:c r="AY74" s="165" t="str">
        <x:f>IF(AND(AY$5&gt;=$C74,AY$5&lt;=$D74,$A74&lt;&gt;""),"●","")</x:f>
      </x:c>
      <x:c r="AZ74" s="165" t="str">
        <x:f>IF(AND(AZ$5&gt;=$C74,AZ$5&lt;=$D74,$A74&lt;&gt;""),"●","")</x:f>
      </x:c>
      <x:c r="BA74" s="165" t="str">
        <x:f>IF(AND(BA$5&gt;=$C74,BA$5&lt;=$D74,$A74&lt;&gt;""),"●","")</x:f>
      </x:c>
      <x:c r="BB74" s="165" t="str">
        <x:f>IF(AND(BB$5&gt;=$C74,BB$5&lt;=$D74,$A74&lt;&gt;""),"●","")</x:f>
      </x:c>
      <x:c r="BC74" s="165" t="str">
        <x:f>IF(AND(BC$5&gt;=$C74,BC$5&lt;=$D74,$A74&lt;&gt;""),"●","")</x:f>
      </x:c>
      <x:c r="BD74" s="165" t="str">
        <x:f>IF(AND(BD$5&gt;=$C74,BD$5&lt;=$D74,$A74&lt;&gt;""),"●","")</x:f>
      </x:c>
      <x:c r="BE74" s="165" t="str">
        <x:f>IF(AND(BE$5&gt;=$C74,BE$5&lt;=$D74,$A74&lt;&gt;""),"●","")</x:f>
      </x:c>
      <x:c r="BF74" s="165" t="str">
        <x:f>IF(AND(BF$5&gt;=$C74,BF$5&lt;=$D74,$A74&lt;&gt;""),"●","")</x:f>
      </x:c>
      <x:c r="BG74" s="165" t="str">
        <x:f>IF(AND(BG$5&gt;=$C74,BG$5&lt;=$D74,$A74&lt;&gt;""),"●","")</x:f>
      </x:c>
      <x:c r="BH74" s="165" t="str">
        <x:f>IF(AND(BH$5&gt;=$C74,BH$5&lt;=$D74,$A74&lt;&gt;""),"●","")</x:f>
      </x:c>
      <x:c r="BI74" s="165" t="str">
        <x:f>IF(AND(BI$5&gt;=$C74,BI$5&lt;=$D74,$A74&lt;&gt;""),"●","")</x:f>
      </x:c>
      <x:c r="BJ74" s="165" t="str">
        <x:f>IF(AND(BJ$5&gt;=$C74,BJ$5&lt;=$D74,$A74&lt;&gt;""),"●","")</x:f>
      </x:c>
      <x:c r="BK74" s="165" t="str">
        <x:f>IF(AND(BK$5&gt;=$C74,BK$5&lt;=$D74,$A74&lt;&gt;""),"●","")</x:f>
      </x:c>
      <x:c r="BL74" s="165" t="str">
        <x:f>IF(AND(BL$5&gt;=$C74,BL$5&lt;=$D74,$A74&lt;&gt;""),"●","")</x:f>
      </x:c>
      <x:c r="BM74" s="165" t="str">
        <x:f>IF(AND(BM$5&gt;=$C74,BM$5&lt;=$D74,$A74&lt;&gt;""),"●","")</x:f>
      </x:c>
      <x:c r="BN74" s="165" t="str">
        <x:f>IF(AND(BN$5&gt;=$C74,BN$5&lt;=$D74,$A74&lt;&gt;""),"●","")</x:f>
      </x:c>
      <x:c r="BO74" s="165" t="str">
        <x:f>IF(AND(BO$5&gt;=$C74,BO$5&lt;=$D74,$A74&lt;&gt;""),"●","")</x:f>
      </x:c>
      <x:c r="BP74" s="165" t="str">
        <x:f>IF(AND(BP$5&gt;=$C74,BP$5&lt;=$D74,$A74&lt;&gt;""),"●","")</x:f>
      </x:c>
      <x:c r="BQ74" s="165" t="str">
        <x:f>IF(AND(BQ$5&gt;=$C74,BQ$5&lt;=$D74,$A74&lt;&gt;""),"●","")</x:f>
      </x:c>
      <x:c r="BR74" s="165" t="str">
        <x:f>IF(AND(BR$5&gt;=$C74,BR$5&lt;=$D74,$A74&lt;&gt;""),"●","")</x:f>
      </x:c>
      <x:c r="BS74" s="165" t="str">
        <x:f>IF(AND(BS$5&gt;=$C74,BS$5&lt;=$D74,$A74&lt;&gt;""),"●","")</x:f>
      </x:c>
      <x:c r="BT74" s="165" t="str">
        <x:f>IF(AND(BT$5&gt;=$C74,BT$5&lt;=$D74,$A74&lt;&gt;""),"●","")</x:f>
      </x:c>
      <x:c r="BU74" s="165" t="str">
        <x:f>IF(AND(BU$5&gt;=$C74,BU$5&lt;=$D74,$A74&lt;&gt;""),"●","")</x:f>
      </x:c>
      <x:c r="BV74" s="165" t="str">
        <x:f>IF(AND(BV$5&gt;=$C74,BV$5&lt;=$D74,$A74&lt;&gt;""),"●","")</x:f>
      </x:c>
      <x:c r="BW74" s="165" t="str">
        <x:f>IF(AND(BW$5&gt;=$C74,BW$5&lt;=$D74,$A74&lt;&gt;""),"●","")</x:f>
      </x:c>
    </x:row>
    <x:row r="75">
      <x:c r="A75" s="159" t="str">
        <x:f>IF('รายการสัญญา'!A75="","",'รายการสัญญา'!A75)</x:f>
      </x:c>
      <x:c r="B75" s="159" t="str">
        <x:f>IF('รายการสัญญา'!A75="","",'รายการสัญญา'!C75)</x:f>
      </x:c>
      <x:c r="C75" s="162" t="str">
        <x:f>IF('รายการสัญญา'!A75="","",'รายการสัญญา'!E75)</x:f>
      </x:c>
      <x:c r="D75" s="162" t="str">
        <x:f>IF('รายการสัญญา'!A75="","",'รายการสัญญา'!G75)</x:f>
      </x:c>
      <x:c r="E75" s="159" t="str">
        <x:f>IF('รายการสัญญา'!A75="","",'รายการสัญญา'!K75)</x:f>
      </x:c>
      <x:c r="F75" s="165" t="str">
        <x:f>IF(AND(F$5&gt;=$C75,F$5&lt;=$D75,$A75&lt;&gt;""),"●","")</x:f>
      </x:c>
      <x:c r="G75" s="165" t="str">
        <x:f>IF(AND(G$5&gt;=$C75,G$5&lt;=$D75,$A75&lt;&gt;""),"●","")</x:f>
      </x:c>
      <x:c r="H75" s="165" t="str">
        <x:f>IF(AND(H$5&gt;=$C75,H$5&lt;=$D75,$A75&lt;&gt;""),"●","")</x:f>
      </x:c>
      <x:c r="I75" s="165" t="str">
        <x:f>IF(AND(I$5&gt;=$C75,I$5&lt;=$D75,$A75&lt;&gt;""),"●","")</x:f>
      </x:c>
      <x:c r="J75" s="165" t="str">
        <x:f>IF(AND(J$5&gt;=$C75,J$5&lt;=$D75,$A75&lt;&gt;""),"●","")</x:f>
      </x:c>
      <x:c r="K75" s="165" t="str">
        <x:f>IF(AND(K$5&gt;=$C75,K$5&lt;=$D75,$A75&lt;&gt;""),"●","")</x:f>
      </x:c>
      <x:c r="L75" s="165" t="str">
        <x:f>IF(AND(L$5&gt;=$C75,L$5&lt;=$D75,$A75&lt;&gt;""),"●","")</x:f>
      </x:c>
      <x:c r="M75" s="165" t="str">
        <x:f>IF(AND(M$5&gt;=$C75,M$5&lt;=$D75,$A75&lt;&gt;""),"●","")</x:f>
      </x:c>
      <x:c r="N75" s="165" t="str">
        <x:f>IF(AND(N$5&gt;=$C75,N$5&lt;=$D75,$A75&lt;&gt;""),"●","")</x:f>
      </x:c>
      <x:c r="O75" s="165" t="str">
        <x:f>IF(AND(O$5&gt;=$C75,O$5&lt;=$D75,$A75&lt;&gt;""),"●","")</x:f>
      </x:c>
      <x:c r="P75" s="165" t="str">
        <x:f>IF(AND(P$5&gt;=$C75,P$5&lt;=$D75,$A75&lt;&gt;""),"●","")</x:f>
      </x:c>
      <x:c r="Q75" s="165" t="str">
        <x:f>IF(AND(Q$5&gt;=$C75,Q$5&lt;=$D75,$A75&lt;&gt;""),"●","")</x:f>
      </x:c>
      <x:c r="R75" s="165" t="str">
        <x:f>IF(AND(R$5&gt;=$C75,R$5&lt;=$D75,$A75&lt;&gt;""),"●","")</x:f>
      </x:c>
      <x:c r="S75" s="165" t="str">
        <x:f>IF(AND(S$5&gt;=$C75,S$5&lt;=$D75,$A75&lt;&gt;""),"●","")</x:f>
      </x:c>
      <x:c r="T75" s="165" t="str">
        <x:f>IF(AND(T$5&gt;=$C75,T$5&lt;=$D75,$A75&lt;&gt;""),"●","")</x:f>
      </x:c>
      <x:c r="U75" s="165" t="str">
        <x:f>IF(AND(U$5&gt;=$C75,U$5&lt;=$D75,$A75&lt;&gt;""),"●","")</x:f>
      </x:c>
      <x:c r="V75" s="165" t="str">
        <x:f>IF(AND(V$5&gt;=$C75,V$5&lt;=$D75,$A75&lt;&gt;""),"●","")</x:f>
      </x:c>
      <x:c r="W75" s="165" t="str">
        <x:f>IF(AND(W$5&gt;=$C75,W$5&lt;=$D75,$A75&lt;&gt;""),"●","")</x:f>
      </x:c>
      <x:c r="X75" s="165" t="str">
        <x:f>IF(AND(X$5&gt;=$C75,X$5&lt;=$D75,$A75&lt;&gt;""),"●","")</x:f>
      </x:c>
      <x:c r="Y75" s="165" t="str">
        <x:f>IF(AND(Y$5&gt;=$C75,Y$5&lt;=$D75,$A75&lt;&gt;""),"●","")</x:f>
      </x:c>
      <x:c r="Z75" s="165" t="str">
        <x:f>IF(AND(Z$5&gt;=$C75,Z$5&lt;=$D75,$A75&lt;&gt;""),"●","")</x:f>
      </x:c>
      <x:c r="AA75" s="165" t="str">
        <x:f>IF(AND(AA$5&gt;=$C75,AA$5&lt;=$D75,$A75&lt;&gt;""),"●","")</x:f>
      </x:c>
      <x:c r="AB75" s="165" t="str">
        <x:f>IF(AND(AB$5&gt;=$C75,AB$5&lt;=$D75,$A75&lt;&gt;""),"●","")</x:f>
      </x:c>
      <x:c r="AC75" s="165" t="str">
        <x:f>IF(AND(AC$5&gt;=$C75,AC$5&lt;=$D75,$A75&lt;&gt;""),"●","")</x:f>
      </x:c>
      <x:c r="AD75" s="165" t="str">
        <x:f>IF(AND(AD$5&gt;=$C75,AD$5&lt;=$D75,$A75&lt;&gt;""),"●","")</x:f>
      </x:c>
      <x:c r="AE75" s="165" t="str">
        <x:f>IF(AND(AE$5&gt;=$C75,AE$5&lt;=$D75,$A75&lt;&gt;""),"●","")</x:f>
      </x:c>
      <x:c r="AF75" s="165" t="str">
        <x:f>IF(AND(AF$5&gt;=$C75,AF$5&lt;=$D75,$A75&lt;&gt;""),"●","")</x:f>
      </x:c>
      <x:c r="AG75" s="165" t="str">
        <x:f>IF(AND(AG$5&gt;=$C75,AG$5&lt;=$D75,$A75&lt;&gt;""),"●","")</x:f>
      </x:c>
      <x:c r="AH75" s="165" t="str">
        <x:f>IF(AND(AH$5&gt;=$C75,AH$5&lt;=$D75,$A75&lt;&gt;""),"●","")</x:f>
      </x:c>
      <x:c r="AI75" s="165" t="str">
        <x:f>IF(AND(AI$5&gt;=$C75,AI$5&lt;=$D75,$A75&lt;&gt;""),"●","")</x:f>
      </x:c>
      <x:c r="AJ75" s="165" t="str">
        <x:f>IF(AND(AJ$5&gt;=$C75,AJ$5&lt;=$D75,$A75&lt;&gt;""),"●","")</x:f>
      </x:c>
      <x:c r="AK75" s="165" t="str">
        <x:f>IF(AND(AK$5&gt;=$C75,AK$5&lt;=$D75,$A75&lt;&gt;""),"●","")</x:f>
      </x:c>
      <x:c r="AL75" s="165" t="str">
        <x:f>IF(AND(AL$5&gt;=$C75,AL$5&lt;=$D75,$A75&lt;&gt;""),"●","")</x:f>
      </x:c>
      <x:c r="AM75" s="165" t="str">
        <x:f>IF(AND(AM$5&gt;=$C75,AM$5&lt;=$D75,$A75&lt;&gt;""),"●","")</x:f>
      </x:c>
      <x:c r="AN75" s="165" t="str">
        <x:f>IF(AND(AN$5&gt;=$C75,AN$5&lt;=$D75,$A75&lt;&gt;""),"●","")</x:f>
      </x:c>
      <x:c r="AO75" s="165" t="str">
        <x:f>IF(AND(AO$5&gt;=$C75,AO$5&lt;=$D75,$A75&lt;&gt;""),"●","")</x:f>
      </x:c>
      <x:c r="AP75" s="165" t="str">
        <x:f>IF(AND(AP$5&gt;=$C75,AP$5&lt;=$D75,$A75&lt;&gt;""),"●","")</x:f>
      </x:c>
      <x:c r="AQ75" s="165" t="str">
        <x:f>IF(AND(AQ$5&gt;=$C75,AQ$5&lt;=$D75,$A75&lt;&gt;""),"●","")</x:f>
      </x:c>
      <x:c r="AR75" s="165" t="str">
        <x:f>IF(AND(AR$5&gt;=$C75,AR$5&lt;=$D75,$A75&lt;&gt;""),"●","")</x:f>
      </x:c>
      <x:c r="AS75" s="165" t="str">
        <x:f>IF(AND(AS$5&gt;=$C75,AS$5&lt;=$D75,$A75&lt;&gt;""),"●","")</x:f>
      </x:c>
      <x:c r="AT75" s="165" t="str">
        <x:f>IF(AND(AT$5&gt;=$C75,AT$5&lt;=$D75,$A75&lt;&gt;""),"●","")</x:f>
      </x:c>
      <x:c r="AU75" s="165" t="str">
        <x:f>IF(AND(AU$5&gt;=$C75,AU$5&lt;=$D75,$A75&lt;&gt;""),"●","")</x:f>
      </x:c>
      <x:c r="AV75" s="165" t="str">
        <x:f>IF(AND(AV$5&gt;=$C75,AV$5&lt;=$D75,$A75&lt;&gt;""),"●","")</x:f>
      </x:c>
      <x:c r="AW75" s="165" t="str">
        <x:f>IF(AND(AW$5&gt;=$C75,AW$5&lt;=$D75,$A75&lt;&gt;""),"●","")</x:f>
      </x:c>
      <x:c r="AX75" s="165" t="str">
        <x:f>IF(AND(AX$5&gt;=$C75,AX$5&lt;=$D75,$A75&lt;&gt;""),"●","")</x:f>
      </x:c>
      <x:c r="AY75" s="165" t="str">
        <x:f>IF(AND(AY$5&gt;=$C75,AY$5&lt;=$D75,$A75&lt;&gt;""),"●","")</x:f>
      </x:c>
      <x:c r="AZ75" s="165" t="str">
        <x:f>IF(AND(AZ$5&gt;=$C75,AZ$5&lt;=$D75,$A75&lt;&gt;""),"●","")</x:f>
      </x:c>
      <x:c r="BA75" s="165" t="str">
        <x:f>IF(AND(BA$5&gt;=$C75,BA$5&lt;=$D75,$A75&lt;&gt;""),"●","")</x:f>
      </x:c>
      <x:c r="BB75" s="165" t="str">
        <x:f>IF(AND(BB$5&gt;=$C75,BB$5&lt;=$D75,$A75&lt;&gt;""),"●","")</x:f>
      </x:c>
      <x:c r="BC75" s="165" t="str">
        <x:f>IF(AND(BC$5&gt;=$C75,BC$5&lt;=$D75,$A75&lt;&gt;""),"●","")</x:f>
      </x:c>
      <x:c r="BD75" s="165" t="str">
        <x:f>IF(AND(BD$5&gt;=$C75,BD$5&lt;=$D75,$A75&lt;&gt;""),"●","")</x:f>
      </x:c>
      <x:c r="BE75" s="165" t="str">
        <x:f>IF(AND(BE$5&gt;=$C75,BE$5&lt;=$D75,$A75&lt;&gt;""),"●","")</x:f>
      </x:c>
      <x:c r="BF75" s="165" t="str">
        <x:f>IF(AND(BF$5&gt;=$C75,BF$5&lt;=$D75,$A75&lt;&gt;""),"●","")</x:f>
      </x:c>
      <x:c r="BG75" s="165" t="str">
        <x:f>IF(AND(BG$5&gt;=$C75,BG$5&lt;=$D75,$A75&lt;&gt;""),"●","")</x:f>
      </x:c>
      <x:c r="BH75" s="165" t="str">
        <x:f>IF(AND(BH$5&gt;=$C75,BH$5&lt;=$D75,$A75&lt;&gt;""),"●","")</x:f>
      </x:c>
      <x:c r="BI75" s="165" t="str">
        <x:f>IF(AND(BI$5&gt;=$C75,BI$5&lt;=$D75,$A75&lt;&gt;""),"●","")</x:f>
      </x:c>
      <x:c r="BJ75" s="165" t="str">
        <x:f>IF(AND(BJ$5&gt;=$C75,BJ$5&lt;=$D75,$A75&lt;&gt;""),"●","")</x:f>
      </x:c>
      <x:c r="BK75" s="165" t="str">
        <x:f>IF(AND(BK$5&gt;=$C75,BK$5&lt;=$D75,$A75&lt;&gt;""),"●","")</x:f>
      </x:c>
      <x:c r="BL75" s="165" t="str">
        <x:f>IF(AND(BL$5&gt;=$C75,BL$5&lt;=$D75,$A75&lt;&gt;""),"●","")</x:f>
      </x:c>
      <x:c r="BM75" s="165" t="str">
        <x:f>IF(AND(BM$5&gt;=$C75,BM$5&lt;=$D75,$A75&lt;&gt;""),"●","")</x:f>
      </x:c>
      <x:c r="BN75" s="165" t="str">
        <x:f>IF(AND(BN$5&gt;=$C75,BN$5&lt;=$D75,$A75&lt;&gt;""),"●","")</x:f>
      </x:c>
      <x:c r="BO75" s="165" t="str">
        <x:f>IF(AND(BO$5&gt;=$C75,BO$5&lt;=$D75,$A75&lt;&gt;""),"●","")</x:f>
      </x:c>
      <x:c r="BP75" s="165" t="str">
        <x:f>IF(AND(BP$5&gt;=$C75,BP$5&lt;=$D75,$A75&lt;&gt;""),"●","")</x:f>
      </x:c>
      <x:c r="BQ75" s="165" t="str">
        <x:f>IF(AND(BQ$5&gt;=$C75,BQ$5&lt;=$D75,$A75&lt;&gt;""),"●","")</x:f>
      </x:c>
      <x:c r="BR75" s="165" t="str">
        <x:f>IF(AND(BR$5&gt;=$C75,BR$5&lt;=$D75,$A75&lt;&gt;""),"●","")</x:f>
      </x:c>
      <x:c r="BS75" s="165" t="str">
        <x:f>IF(AND(BS$5&gt;=$C75,BS$5&lt;=$D75,$A75&lt;&gt;""),"●","")</x:f>
      </x:c>
      <x:c r="BT75" s="165" t="str">
        <x:f>IF(AND(BT$5&gt;=$C75,BT$5&lt;=$D75,$A75&lt;&gt;""),"●","")</x:f>
      </x:c>
      <x:c r="BU75" s="165" t="str">
        <x:f>IF(AND(BU$5&gt;=$C75,BU$5&lt;=$D75,$A75&lt;&gt;""),"●","")</x:f>
      </x:c>
      <x:c r="BV75" s="165" t="str">
        <x:f>IF(AND(BV$5&gt;=$C75,BV$5&lt;=$D75,$A75&lt;&gt;""),"●","")</x:f>
      </x:c>
      <x:c r="BW75" s="165" t="str">
        <x:f>IF(AND(BW$5&gt;=$C75,BW$5&lt;=$D75,$A75&lt;&gt;""),"●","")</x:f>
      </x:c>
    </x:row>
    <x:row r="76">
      <x:c r="A76" s="159" t="str">
        <x:f>IF('รายการสัญญา'!A76="","",'รายการสัญญา'!A76)</x:f>
      </x:c>
      <x:c r="B76" s="159" t="str">
        <x:f>IF('รายการสัญญา'!A76="","",'รายการสัญญา'!C76)</x:f>
      </x:c>
      <x:c r="C76" s="162" t="str">
        <x:f>IF('รายการสัญญา'!A76="","",'รายการสัญญา'!E76)</x:f>
      </x:c>
      <x:c r="D76" s="162" t="str">
        <x:f>IF('รายการสัญญา'!A76="","",'รายการสัญญา'!G76)</x:f>
      </x:c>
      <x:c r="E76" s="159" t="str">
        <x:f>IF('รายการสัญญา'!A76="","",'รายการสัญญา'!K76)</x:f>
      </x:c>
      <x:c r="F76" s="165" t="str">
        <x:f>IF(AND(F$5&gt;=$C76,F$5&lt;=$D76,$A76&lt;&gt;""),"●","")</x:f>
      </x:c>
      <x:c r="G76" s="165" t="str">
        <x:f>IF(AND(G$5&gt;=$C76,G$5&lt;=$D76,$A76&lt;&gt;""),"●","")</x:f>
      </x:c>
      <x:c r="H76" s="165" t="str">
        <x:f>IF(AND(H$5&gt;=$C76,H$5&lt;=$D76,$A76&lt;&gt;""),"●","")</x:f>
      </x:c>
      <x:c r="I76" s="165" t="str">
        <x:f>IF(AND(I$5&gt;=$C76,I$5&lt;=$D76,$A76&lt;&gt;""),"●","")</x:f>
      </x:c>
      <x:c r="J76" s="165" t="str">
        <x:f>IF(AND(J$5&gt;=$C76,J$5&lt;=$D76,$A76&lt;&gt;""),"●","")</x:f>
      </x:c>
      <x:c r="K76" s="165" t="str">
        <x:f>IF(AND(K$5&gt;=$C76,K$5&lt;=$D76,$A76&lt;&gt;""),"●","")</x:f>
      </x:c>
      <x:c r="L76" s="165" t="str">
        <x:f>IF(AND(L$5&gt;=$C76,L$5&lt;=$D76,$A76&lt;&gt;""),"●","")</x:f>
      </x:c>
      <x:c r="M76" s="165" t="str">
        <x:f>IF(AND(M$5&gt;=$C76,M$5&lt;=$D76,$A76&lt;&gt;""),"●","")</x:f>
      </x:c>
      <x:c r="N76" s="165" t="str">
        <x:f>IF(AND(N$5&gt;=$C76,N$5&lt;=$D76,$A76&lt;&gt;""),"●","")</x:f>
      </x:c>
      <x:c r="O76" s="165" t="str">
        <x:f>IF(AND(O$5&gt;=$C76,O$5&lt;=$D76,$A76&lt;&gt;""),"●","")</x:f>
      </x:c>
      <x:c r="P76" s="165" t="str">
        <x:f>IF(AND(P$5&gt;=$C76,P$5&lt;=$D76,$A76&lt;&gt;""),"●","")</x:f>
      </x:c>
      <x:c r="Q76" s="165" t="str">
        <x:f>IF(AND(Q$5&gt;=$C76,Q$5&lt;=$D76,$A76&lt;&gt;""),"●","")</x:f>
      </x:c>
      <x:c r="R76" s="165" t="str">
        <x:f>IF(AND(R$5&gt;=$C76,R$5&lt;=$D76,$A76&lt;&gt;""),"●","")</x:f>
      </x:c>
      <x:c r="S76" s="165" t="str">
        <x:f>IF(AND(S$5&gt;=$C76,S$5&lt;=$D76,$A76&lt;&gt;""),"●","")</x:f>
      </x:c>
      <x:c r="T76" s="165" t="str">
        <x:f>IF(AND(T$5&gt;=$C76,T$5&lt;=$D76,$A76&lt;&gt;""),"●","")</x:f>
      </x:c>
      <x:c r="U76" s="165" t="str">
        <x:f>IF(AND(U$5&gt;=$C76,U$5&lt;=$D76,$A76&lt;&gt;""),"●","")</x:f>
      </x:c>
      <x:c r="V76" s="165" t="str">
        <x:f>IF(AND(V$5&gt;=$C76,V$5&lt;=$D76,$A76&lt;&gt;""),"●","")</x:f>
      </x:c>
      <x:c r="W76" s="165" t="str">
        <x:f>IF(AND(W$5&gt;=$C76,W$5&lt;=$D76,$A76&lt;&gt;""),"●","")</x:f>
      </x:c>
      <x:c r="X76" s="165" t="str">
        <x:f>IF(AND(X$5&gt;=$C76,X$5&lt;=$D76,$A76&lt;&gt;""),"●","")</x:f>
      </x:c>
      <x:c r="Y76" s="165" t="str">
        <x:f>IF(AND(Y$5&gt;=$C76,Y$5&lt;=$D76,$A76&lt;&gt;""),"●","")</x:f>
      </x:c>
      <x:c r="Z76" s="165" t="str">
        <x:f>IF(AND(Z$5&gt;=$C76,Z$5&lt;=$D76,$A76&lt;&gt;""),"●","")</x:f>
      </x:c>
      <x:c r="AA76" s="165" t="str">
        <x:f>IF(AND(AA$5&gt;=$C76,AA$5&lt;=$D76,$A76&lt;&gt;""),"●","")</x:f>
      </x:c>
      <x:c r="AB76" s="165" t="str">
        <x:f>IF(AND(AB$5&gt;=$C76,AB$5&lt;=$D76,$A76&lt;&gt;""),"●","")</x:f>
      </x:c>
      <x:c r="AC76" s="165" t="str">
        <x:f>IF(AND(AC$5&gt;=$C76,AC$5&lt;=$D76,$A76&lt;&gt;""),"●","")</x:f>
      </x:c>
      <x:c r="AD76" s="165" t="str">
        <x:f>IF(AND(AD$5&gt;=$C76,AD$5&lt;=$D76,$A76&lt;&gt;""),"●","")</x:f>
      </x:c>
      <x:c r="AE76" s="165" t="str">
        <x:f>IF(AND(AE$5&gt;=$C76,AE$5&lt;=$D76,$A76&lt;&gt;""),"●","")</x:f>
      </x:c>
      <x:c r="AF76" s="165" t="str">
        <x:f>IF(AND(AF$5&gt;=$C76,AF$5&lt;=$D76,$A76&lt;&gt;""),"●","")</x:f>
      </x:c>
      <x:c r="AG76" s="165" t="str">
        <x:f>IF(AND(AG$5&gt;=$C76,AG$5&lt;=$D76,$A76&lt;&gt;""),"●","")</x:f>
      </x:c>
      <x:c r="AH76" s="165" t="str">
        <x:f>IF(AND(AH$5&gt;=$C76,AH$5&lt;=$D76,$A76&lt;&gt;""),"●","")</x:f>
      </x:c>
      <x:c r="AI76" s="165" t="str">
        <x:f>IF(AND(AI$5&gt;=$C76,AI$5&lt;=$D76,$A76&lt;&gt;""),"●","")</x:f>
      </x:c>
      <x:c r="AJ76" s="165" t="str">
        <x:f>IF(AND(AJ$5&gt;=$C76,AJ$5&lt;=$D76,$A76&lt;&gt;""),"●","")</x:f>
      </x:c>
      <x:c r="AK76" s="165" t="str">
        <x:f>IF(AND(AK$5&gt;=$C76,AK$5&lt;=$D76,$A76&lt;&gt;""),"●","")</x:f>
      </x:c>
      <x:c r="AL76" s="165" t="str">
        <x:f>IF(AND(AL$5&gt;=$C76,AL$5&lt;=$D76,$A76&lt;&gt;""),"●","")</x:f>
      </x:c>
      <x:c r="AM76" s="165" t="str">
        <x:f>IF(AND(AM$5&gt;=$C76,AM$5&lt;=$D76,$A76&lt;&gt;""),"●","")</x:f>
      </x:c>
      <x:c r="AN76" s="165" t="str">
        <x:f>IF(AND(AN$5&gt;=$C76,AN$5&lt;=$D76,$A76&lt;&gt;""),"●","")</x:f>
      </x:c>
      <x:c r="AO76" s="165" t="str">
        <x:f>IF(AND(AO$5&gt;=$C76,AO$5&lt;=$D76,$A76&lt;&gt;""),"●","")</x:f>
      </x:c>
      <x:c r="AP76" s="165" t="str">
        <x:f>IF(AND(AP$5&gt;=$C76,AP$5&lt;=$D76,$A76&lt;&gt;""),"●","")</x:f>
      </x:c>
      <x:c r="AQ76" s="165" t="str">
        <x:f>IF(AND(AQ$5&gt;=$C76,AQ$5&lt;=$D76,$A76&lt;&gt;""),"●","")</x:f>
      </x:c>
      <x:c r="AR76" s="165" t="str">
        <x:f>IF(AND(AR$5&gt;=$C76,AR$5&lt;=$D76,$A76&lt;&gt;""),"●","")</x:f>
      </x:c>
      <x:c r="AS76" s="165" t="str">
        <x:f>IF(AND(AS$5&gt;=$C76,AS$5&lt;=$D76,$A76&lt;&gt;""),"●","")</x:f>
      </x:c>
      <x:c r="AT76" s="165" t="str">
        <x:f>IF(AND(AT$5&gt;=$C76,AT$5&lt;=$D76,$A76&lt;&gt;""),"●","")</x:f>
      </x:c>
      <x:c r="AU76" s="165" t="str">
        <x:f>IF(AND(AU$5&gt;=$C76,AU$5&lt;=$D76,$A76&lt;&gt;""),"●","")</x:f>
      </x:c>
      <x:c r="AV76" s="165" t="str">
        <x:f>IF(AND(AV$5&gt;=$C76,AV$5&lt;=$D76,$A76&lt;&gt;""),"●","")</x:f>
      </x:c>
      <x:c r="AW76" s="165" t="str">
        <x:f>IF(AND(AW$5&gt;=$C76,AW$5&lt;=$D76,$A76&lt;&gt;""),"●","")</x:f>
      </x:c>
      <x:c r="AX76" s="165" t="str">
        <x:f>IF(AND(AX$5&gt;=$C76,AX$5&lt;=$D76,$A76&lt;&gt;""),"●","")</x:f>
      </x:c>
      <x:c r="AY76" s="165" t="str">
        <x:f>IF(AND(AY$5&gt;=$C76,AY$5&lt;=$D76,$A76&lt;&gt;""),"●","")</x:f>
      </x:c>
      <x:c r="AZ76" s="165" t="str">
        <x:f>IF(AND(AZ$5&gt;=$C76,AZ$5&lt;=$D76,$A76&lt;&gt;""),"●","")</x:f>
      </x:c>
      <x:c r="BA76" s="165" t="str">
        <x:f>IF(AND(BA$5&gt;=$C76,BA$5&lt;=$D76,$A76&lt;&gt;""),"●","")</x:f>
      </x:c>
      <x:c r="BB76" s="165" t="str">
        <x:f>IF(AND(BB$5&gt;=$C76,BB$5&lt;=$D76,$A76&lt;&gt;""),"●","")</x:f>
      </x:c>
      <x:c r="BC76" s="165" t="str">
        <x:f>IF(AND(BC$5&gt;=$C76,BC$5&lt;=$D76,$A76&lt;&gt;""),"●","")</x:f>
      </x:c>
      <x:c r="BD76" s="165" t="str">
        <x:f>IF(AND(BD$5&gt;=$C76,BD$5&lt;=$D76,$A76&lt;&gt;""),"●","")</x:f>
      </x:c>
      <x:c r="BE76" s="165" t="str">
        <x:f>IF(AND(BE$5&gt;=$C76,BE$5&lt;=$D76,$A76&lt;&gt;""),"●","")</x:f>
      </x:c>
      <x:c r="BF76" s="165" t="str">
        <x:f>IF(AND(BF$5&gt;=$C76,BF$5&lt;=$D76,$A76&lt;&gt;""),"●","")</x:f>
      </x:c>
      <x:c r="BG76" s="165" t="str">
        <x:f>IF(AND(BG$5&gt;=$C76,BG$5&lt;=$D76,$A76&lt;&gt;""),"●","")</x:f>
      </x:c>
      <x:c r="BH76" s="165" t="str">
        <x:f>IF(AND(BH$5&gt;=$C76,BH$5&lt;=$D76,$A76&lt;&gt;""),"●","")</x:f>
      </x:c>
      <x:c r="BI76" s="165" t="str">
        <x:f>IF(AND(BI$5&gt;=$C76,BI$5&lt;=$D76,$A76&lt;&gt;""),"●","")</x:f>
      </x:c>
      <x:c r="BJ76" s="165" t="str">
        <x:f>IF(AND(BJ$5&gt;=$C76,BJ$5&lt;=$D76,$A76&lt;&gt;""),"●","")</x:f>
      </x:c>
      <x:c r="BK76" s="165" t="str">
        <x:f>IF(AND(BK$5&gt;=$C76,BK$5&lt;=$D76,$A76&lt;&gt;""),"●","")</x:f>
      </x:c>
      <x:c r="BL76" s="165" t="str">
        <x:f>IF(AND(BL$5&gt;=$C76,BL$5&lt;=$D76,$A76&lt;&gt;""),"●","")</x:f>
      </x:c>
      <x:c r="BM76" s="165" t="str">
        <x:f>IF(AND(BM$5&gt;=$C76,BM$5&lt;=$D76,$A76&lt;&gt;""),"●","")</x:f>
      </x:c>
      <x:c r="BN76" s="165" t="str">
        <x:f>IF(AND(BN$5&gt;=$C76,BN$5&lt;=$D76,$A76&lt;&gt;""),"●","")</x:f>
      </x:c>
      <x:c r="BO76" s="165" t="str">
        <x:f>IF(AND(BO$5&gt;=$C76,BO$5&lt;=$D76,$A76&lt;&gt;""),"●","")</x:f>
      </x:c>
      <x:c r="BP76" s="165" t="str">
        <x:f>IF(AND(BP$5&gt;=$C76,BP$5&lt;=$D76,$A76&lt;&gt;""),"●","")</x:f>
      </x:c>
      <x:c r="BQ76" s="165" t="str">
        <x:f>IF(AND(BQ$5&gt;=$C76,BQ$5&lt;=$D76,$A76&lt;&gt;""),"●","")</x:f>
      </x:c>
      <x:c r="BR76" s="165" t="str">
        <x:f>IF(AND(BR$5&gt;=$C76,BR$5&lt;=$D76,$A76&lt;&gt;""),"●","")</x:f>
      </x:c>
      <x:c r="BS76" s="165" t="str">
        <x:f>IF(AND(BS$5&gt;=$C76,BS$5&lt;=$D76,$A76&lt;&gt;""),"●","")</x:f>
      </x:c>
      <x:c r="BT76" s="165" t="str">
        <x:f>IF(AND(BT$5&gt;=$C76,BT$5&lt;=$D76,$A76&lt;&gt;""),"●","")</x:f>
      </x:c>
      <x:c r="BU76" s="165" t="str">
        <x:f>IF(AND(BU$5&gt;=$C76,BU$5&lt;=$D76,$A76&lt;&gt;""),"●","")</x:f>
      </x:c>
      <x:c r="BV76" s="165" t="str">
        <x:f>IF(AND(BV$5&gt;=$C76,BV$5&lt;=$D76,$A76&lt;&gt;""),"●","")</x:f>
      </x:c>
      <x:c r="BW76" s="165" t="str">
        <x:f>IF(AND(BW$5&gt;=$C76,BW$5&lt;=$D76,$A76&lt;&gt;""),"●","")</x:f>
      </x:c>
    </x:row>
    <x:row r="77">
      <x:c r="A77" s="159" t="str">
        <x:f>IF('รายการสัญญา'!A77="","",'รายการสัญญา'!A77)</x:f>
      </x:c>
      <x:c r="B77" s="159" t="str">
        <x:f>IF('รายการสัญญา'!A77="","",'รายการสัญญา'!C77)</x:f>
      </x:c>
      <x:c r="C77" s="162" t="str">
        <x:f>IF('รายการสัญญา'!A77="","",'รายการสัญญา'!E77)</x:f>
      </x:c>
      <x:c r="D77" s="162" t="str">
        <x:f>IF('รายการสัญญา'!A77="","",'รายการสัญญา'!G77)</x:f>
      </x:c>
      <x:c r="E77" s="159" t="str">
        <x:f>IF('รายการสัญญา'!A77="","",'รายการสัญญา'!K77)</x:f>
      </x:c>
      <x:c r="F77" s="165" t="str">
        <x:f>IF(AND(F$5&gt;=$C77,F$5&lt;=$D77,$A77&lt;&gt;""),"●","")</x:f>
      </x:c>
      <x:c r="G77" s="165" t="str">
        <x:f>IF(AND(G$5&gt;=$C77,G$5&lt;=$D77,$A77&lt;&gt;""),"●","")</x:f>
      </x:c>
      <x:c r="H77" s="165" t="str">
        <x:f>IF(AND(H$5&gt;=$C77,H$5&lt;=$D77,$A77&lt;&gt;""),"●","")</x:f>
      </x:c>
      <x:c r="I77" s="165" t="str">
        <x:f>IF(AND(I$5&gt;=$C77,I$5&lt;=$D77,$A77&lt;&gt;""),"●","")</x:f>
      </x:c>
      <x:c r="J77" s="165" t="str">
        <x:f>IF(AND(J$5&gt;=$C77,J$5&lt;=$D77,$A77&lt;&gt;""),"●","")</x:f>
      </x:c>
      <x:c r="K77" s="165" t="str">
        <x:f>IF(AND(K$5&gt;=$C77,K$5&lt;=$D77,$A77&lt;&gt;""),"●","")</x:f>
      </x:c>
      <x:c r="L77" s="165" t="str">
        <x:f>IF(AND(L$5&gt;=$C77,L$5&lt;=$D77,$A77&lt;&gt;""),"●","")</x:f>
      </x:c>
      <x:c r="M77" s="165" t="str">
        <x:f>IF(AND(M$5&gt;=$C77,M$5&lt;=$D77,$A77&lt;&gt;""),"●","")</x:f>
      </x:c>
      <x:c r="N77" s="165" t="str">
        <x:f>IF(AND(N$5&gt;=$C77,N$5&lt;=$D77,$A77&lt;&gt;""),"●","")</x:f>
      </x:c>
      <x:c r="O77" s="165" t="str">
        <x:f>IF(AND(O$5&gt;=$C77,O$5&lt;=$D77,$A77&lt;&gt;""),"●","")</x:f>
      </x:c>
      <x:c r="P77" s="165" t="str">
        <x:f>IF(AND(P$5&gt;=$C77,P$5&lt;=$D77,$A77&lt;&gt;""),"●","")</x:f>
      </x:c>
      <x:c r="Q77" s="165" t="str">
        <x:f>IF(AND(Q$5&gt;=$C77,Q$5&lt;=$D77,$A77&lt;&gt;""),"●","")</x:f>
      </x:c>
      <x:c r="R77" s="165" t="str">
        <x:f>IF(AND(R$5&gt;=$C77,R$5&lt;=$D77,$A77&lt;&gt;""),"●","")</x:f>
      </x:c>
      <x:c r="S77" s="165" t="str">
        <x:f>IF(AND(S$5&gt;=$C77,S$5&lt;=$D77,$A77&lt;&gt;""),"●","")</x:f>
      </x:c>
      <x:c r="T77" s="165" t="str">
        <x:f>IF(AND(T$5&gt;=$C77,T$5&lt;=$D77,$A77&lt;&gt;""),"●","")</x:f>
      </x:c>
      <x:c r="U77" s="165" t="str">
        <x:f>IF(AND(U$5&gt;=$C77,U$5&lt;=$D77,$A77&lt;&gt;""),"●","")</x:f>
      </x:c>
      <x:c r="V77" s="165" t="str">
        <x:f>IF(AND(V$5&gt;=$C77,V$5&lt;=$D77,$A77&lt;&gt;""),"●","")</x:f>
      </x:c>
      <x:c r="W77" s="165" t="str">
        <x:f>IF(AND(W$5&gt;=$C77,W$5&lt;=$D77,$A77&lt;&gt;""),"●","")</x:f>
      </x:c>
      <x:c r="X77" s="165" t="str">
        <x:f>IF(AND(X$5&gt;=$C77,X$5&lt;=$D77,$A77&lt;&gt;""),"●","")</x:f>
      </x:c>
      <x:c r="Y77" s="165" t="str">
        <x:f>IF(AND(Y$5&gt;=$C77,Y$5&lt;=$D77,$A77&lt;&gt;""),"●","")</x:f>
      </x:c>
      <x:c r="Z77" s="165" t="str">
        <x:f>IF(AND(Z$5&gt;=$C77,Z$5&lt;=$D77,$A77&lt;&gt;""),"●","")</x:f>
      </x:c>
      <x:c r="AA77" s="165" t="str">
        <x:f>IF(AND(AA$5&gt;=$C77,AA$5&lt;=$D77,$A77&lt;&gt;""),"●","")</x:f>
      </x:c>
      <x:c r="AB77" s="165" t="str">
        <x:f>IF(AND(AB$5&gt;=$C77,AB$5&lt;=$D77,$A77&lt;&gt;""),"●","")</x:f>
      </x:c>
      <x:c r="AC77" s="165" t="str">
        <x:f>IF(AND(AC$5&gt;=$C77,AC$5&lt;=$D77,$A77&lt;&gt;""),"●","")</x:f>
      </x:c>
      <x:c r="AD77" s="165" t="str">
        <x:f>IF(AND(AD$5&gt;=$C77,AD$5&lt;=$D77,$A77&lt;&gt;""),"●","")</x:f>
      </x:c>
      <x:c r="AE77" s="165" t="str">
        <x:f>IF(AND(AE$5&gt;=$C77,AE$5&lt;=$D77,$A77&lt;&gt;""),"●","")</x:f>
      </x:c>
      <x:c r="AF77" s="165" t="str">
        <x:f>IF(AND(AF$5&gt;=$C77,AF$5&lt;=$D77,$A77&lt;&gt;""),"●","")</x:f>
      </x:c>
      <x:c r="AG77" s="165" t="str">
        <x:f>IF(AND(AG$5&gt;=$C77,AG$5&lt;=$D77,$A77&lt;&gt;""),"●","")</x:f>
      </x:c>
      <x:c r="AH77" s="165" t="str">
        <x:f>IF(AND(AH$5&gt;=$C77,AH$5&lt;=$D77,$A77&lt;&gt;""),"●","")</x:f>
      </x:c>
      <x:c r="AI77" s="165" t="str">
        <x:f>IF(AND(AI$5&gt;=$C77,AI$5&lt;=$D77,$A77&lt;&gt;""),"●","")</x:f>
      </x:c>
      <x:c r="AJ77" s="165" t="str">
        <x:f>IF(AND(AJ$5&gt;=$C77,AJ$5&lt;=$D77,$A77&lt;&gt;""),"●","")</x:f>
      </x:c>
      <x:c r="AK77" s="165" t="str">
        <x:f>IF(AND(AK$5&gt;=$C77,AK$5&lt;=$D77,$A77&lt;&gt;""),"●","")</x:f>
      </x:c>
      <x:c r="AL77" s="165" t="str">
        <x:f>IF(AND(AL$5&gt;=$C77,AL$5&lt;=$D77,$A77&lt;&gt;""),"●","")</x:f>
      </x:c>
      <x:c r="AM77" s="165" t="str">
        <x:f>IF(AND(AM$5&gt;=$C77,AM$5&lt;=$D77,$A77&lt;&gt;""),"●","")</x:f>
      </x:c>
      <x:c r="AN77" s="165" t="str">
        <x:f>IF(AND(AN$5&gt;=$C77,AN$5&lt;=$D77,$A77&lt;&gt;""),"●","")</x:f>
      </x:c>
      <x:c r="AO77" s="165" t="str">
        <x:f>IF(AND(AO$5&gt;=$C77,AO$5&lt;=$D77,$A77&lt;&gt;""),"●","")</x:f>
      </x:c>
      <x:c r="AP77" s="165" t="str">
        <x:f>IF(AND(AP$5&gt;=$C77,AP$5&lt;=$D77,$A77&lt;&gt;""),"●","")</x:f>
      </x:c>
      <x:c r="AQ77" s="165" t="str">
        <x:f>IF(AND(AQ$5&gt;=$C77,AQ$5&lt;=$D77,$A77&lt;&gt;""),"●","")</x:f>
      </x:c>
      <x:c r="AR77" s="165" t="str">
        <x:f>IF(AND(AR$5&gt;=$C77,AR$5&lt;=$D77,$A77&lt;&gt;""),"●","")</x:f>
      </x:c>
      <x:c r="AS77" s="165" t="str">
        <x:f>IF(AND(AS$5&gt;=$C77,AS$5&lt;=$D77,$A77&lt;&gt;""),"●","")</x:f>
      </x:c>
      <x:c r="AT77" s="165" t="str">
        <x:f>IF(AND(AT$5&gt;=$C77,AT$5&lt;=$D77,$A77&lt;&gt;""),"●","")</x:f>
      </x:c>
      <x:c r="AU77" s="165" t="str">
        <x:f>IF(AND(AU$5&gt;=$C77,AU$5&lt;=$D77,$A77&lt;&gt;""),"●","")</x:f>
      </x:c>
      <x:c r="AV77" s="165" t="str">
        <x:f>IF(AND(AV$5&gt;=$C77,AV$5&lt;=$D77,$A77&lt;&gt;""),"●","")</x:f>
      </x:c>
      <x:c r="AW77" s="165" t="str">
        <x:f>IF(AND(AW$5&gt;=$C77,AW$5&lt;=$D77,$A77&lt;&gt;""),"●","")</x:f>
      </x:c>
      <x:c r="AX77" s="165" t="str">
        <x:f>IF(AND(AX$5&gt;=$C77,AX$5&lt;=$D77,$A77&lt;&gt;""),"●","")</x:f>
      </x:c>
      <x:c r="AY77" s="165" t="str">
        <x:f>IF(AND(AY$5&gt;=$C77,AY$5&lt;=$D77,$A77&lt;&gt;""),"●","")</x:f>
      </x:c>
      <x:c r="AZ77" s="165" t="str">
        <x:f>IF(AND(AZ$5&gt;=$C77,AZ$5&lt;=$D77,$A77&lt;&gt;""),"●","")</x:f>
      </x:c>
      <x:c r="BA77" s="165" t="str">
        <x:f>IF(AND(BA$5&gt;=$C77,BA$5&lt;=$D77,$A77&lt;&gt;""),"●","")</x:f>
      </x:c>
      <x:c r="BB77" s="165" t="str">
        <x:f>IF(AND(BB$5&gt;=$C77,BB$5&lt;=$D77,$A77&lt;&gt;""),"●","")</x:f>
      </x:c>
      <x:c r="BC77" s="165" t="str">
        <x:f>IF(AND(BC$5&gt;=$C77,BC$5&lt;=$D77,$A77&lt;&gt;""),"●","")</x:f>
      </x:c>
      <x:c r="BD77" s="165" t="str">
        <x:f>IF(AND(BD$5&gt;=$C77,BD$5&lt;=$D77,$A77&lt;&gt;""),"●","")</x:f>
      </x:c>
      <x:c r="BE77" s="165" t="str">
        <x:f>IF(AND(BE$5&gt;=$C77,BE$5&lt;=$D77,$A77&lt;&gt;""),"●","")</x:f>
      </x:c>
      <x:c r="BF77" s="165" t="str">
        <x:f>IF(AND(BF$5&gt;=$C77,BF$5&lt;=$D77,$A77&lt;&gt;""),"●","")</x:f>
      </x:c>
      <x:c r="BG77" s="165" t="str">
        <x:f>IF(AND(BG$5&gt;=$C77,BG$5&lt;=$D77,$A77&lt;&gt;""),"●","")</x:f>
      </x:c>
      <x:c r="BH77" s="165" t="str">
        <x:f>IF(AND(BH$5&gt;=$C77,BH$5&lt;=$D77,$A77&lt;&gt;""),"●","")</x:f>
      </x:c>
      <x:c r="BI77" s="165" t="str">
        <x:f>IF(AND(BI$5&gt;=$C77,BI$5&lt;=$D77,$A77&lt;&gt;""),"●","")</x:f>
      </x:c>
      <x:c r="BJ77" s="165" t="str">
        <x:f>IF(AND(BJ$5&gt;=$C77,BJ$5&lt;=$D77,$A77&lt;&gt;""),"●","")</x:f>
      </x:c>
      <x:c r="BK77" s="165" t="str">
        <x:f>IF(AND(BK$5&gt;=$C77,BK$5&lt;=$D77,$A77&lt;&gt;""),"●","")</x:f>
      </x:c>
      <x:c r="BL77" s="165" t="str">
        <x:f>IF(AND(BL$5&gt;=$C77,BL$5&lt;=$D77,$A77&lt;&gt;""),"●","")</x:f>
      </x:c>
      <x:c r="BM77" s="165" t="str">
        <x:f>IF(AND(BM$5&gt;=$C77,BM$5&lt;=$D77,$A77&lt;&gt;""),"●","")</x:f>
      </x:c>
      <x:c r="BN77" s="165" t="str">
        <x:f>IF(AND(BN$5&gt;=$C77,BN$5&lt;=$D77,$A77&lt;&gt;""),"●","")</x:f>
      </x:c>
      <x:c r="BO77" s="165" t="str">
        <x:f>IF(AND(BO$5&gt;=$C77,BO$5&lt;=$D77,$A77&lt;&gt;""),"●","")</x:f>
      </x:c>
      <x:c r="BP77" s="165" t="str">
        <x:f>IF(AND(BP$5&gt;=$C77,BP$5&lt;=$D77,$A77&lt;&gt;""),"●","")</x:f>
      </x:c>
      <x:c r="BQ77" s="165" t="str">
        <x:f>IF(AND(BQ$5&gt;=$C77,BQ$5&lt;=$D77,$A77&lt;&gt;""),"●","")</x:f>
      </x:c>
      <x:c r="BR77" s="165" t="str">
        <x:f>IF(AND(BR$5&gt;=$C77,BR$5&lt;=$D77,$A77&lt;&gt;""),"●","")</x:f>
      </x:c>
      <x:c r="BS77" s="165" t="str">
        <x:f>IF(AND(BS$5&gt;=$C77,BS$5&lt;=$D77,$A77&lt;&gt;""),"●","")</x:f>
      </x:c>
      <x:c r="BT77" s="165" t="str">
        <x:f>IF(AND(BT$5&gt;=$C77,BT$5&lt;=$D77,$A77&lt;&gt;""),"●","")</x:f>
      </x:c>
      <x:c r="BU77" s="165" t="str">
        <x:f>IF(AND(BU$5&gt;=$C77,BU$5&lt;=$D77,$A77&lt;&gt;""),"●","")</x:f>
      </x:c>
      <x:c r="BV77" s="165" t="str">
        <x:f>IF(AND(BV$5&gt;=$C77,BV$5&lt;=$D77,$A77&lt;&gt;""),"●","")</x:f>
      </x:c>
      <x:c r="BW77" s="165" t="str">
        <x:f>IF(AND(BW$5&gt;=$C77,BW$5&lt;=$D77,$A77&lt;&gt;""),"●","")</x:f>
      </x:c>
    </x:row>
    <x:row r="78">
      <x:c r="A78" s="159" t="str">
        <x:f>IF('รายการสัญญา'!A78="","",'รายการสัญญา'!A78)</x:f>
      </x:c>
      <x:c r="B78" s="159" t="str">
        <x:f>IF('รายการสัญญา'!A78="","",'รายการสัญญา'!C78)</x:f>
      </x:c>
      <x:c r="C78" s="162" t="str">
        <x:f>IF('รายการสัญญา'!A78="","",'รายการสัญญา'!E78)</x:f>
      </x:c>
      <x:c r="D78" s="162" t="str">
        <x:f>IF('รายการสัญญา'!A78="","",'รายการสัญญา'!G78)</x:f>
      </x:c>
      <x:c r="E78" s="159" t="str">
        <x:f>IF('รายการสัญญา'!A78="","",'รายการสัญญา'!K78)</x:f>
      </x:c>
      <x:c r="F78" s="165" t="str">
        <x:f>IF(AND(F$5&gt;=$C78,F$5&lt;=$D78,$A78&lt;&gt;""),"●","")</x:f>
      </x:c>
      <x:c r="G78" s="165" t="str">
        <x:f>IF(AND(G$5&gt;=$C78,G$5&lt;=$D78,$A78&lt;&gt;""),"●","")</x:f>
      </x:c>
      <x:c r="H78" s="165" t="str">
        <x:f>IF(AND(H$5&gt;=$C78,H$5&lt;=$D78,$A78&lt;&gt;""),"●","")</x:f>
      </x:c>
      <x:c r="I78" s="165" t="str">
        <x:f>IF(AND(I$5&gt;=$C78,I$5&lt;=$D78,$A78&lt;&gt;""),"●","")</x:f>
      </x:c>
      <x:c r="J78" s="165" t="str">
        <x:f>IF(AND(J$5&gt;=$C78,J$5&lt;=$D78,$A78&lt;&gt;""),"●","")</x:f>
      </x:c>
      <x:c r="K78" s="165" t="str">
        <x:f>IF(AND(K$5&gt;=$C78,K$5&lt;=$D78,$A78&lt;&gt;""),"●","")</x:f>
      </x:c>
      <x:c r="L78" s="165" t="str">
        <x:f>IF(AND(L$5&gt;=$C78,L$5&lt;=$D78,$A78&lt;&gt;""),"●","")</x:f>
      </x:c>
      <x:c r="M78" s="165" t="str">
        <x:f>IF(AND(M$5&gt;=$C78,M$5&lt;=$D78,$A78&lt;&gt;""),"●","")</x:f>
      </x:c>
      <x:c r="N78" s="165" t="str">
        <x:f>IF(AND(N$5&gt;=$C78,N$5&lt;=$D78,$A78&lt;&gt;""),"●","")</x:f>
      </x:c>
      <x:c r="O78" s="165" t="str">
        <x:f>IF(AND(O$5&gt;=$C78,O$5&lt;=$D78,$A78&lt;&gt;""),"●","")</x:f>
      </x:c>
      <x:c r="P78" s="165" t="str">
        <x:f>IF(AND(P$5&gt;=$C78,P$5&lt;=$D78,$A78&lt;&gt;""),"●","")</x:f>
      </x:c>
      <x:c r="Q78" s="165" t="str">
        <x:f>IF(AND(Q$5&gt;=$C78,Q$5&lt;=$D78,$A78&lt;&gt;""),"●","")</x:f>
      </x:c>
      <x:c r="R78" s="165" t="str">
        <x:f>IF(AND(R$5&gt;=$C78,R$5&lt;=$D78,$A78&lt;&gt;""),"●","")</x:f>
      </x:c>
      <x:c r="S78" s="165" t="str">
        <x:f>IF(AND(S$5&gt;=$C78,S$5&lt;=$D78,$A78&lt;&gt;""),"●","")</x:f>
      </x:c>
      <x:c r="T78" s="165" t="str">
        <x:f>IF(AND(T$5&gt;=$C78,T$5&lt;=$D78,$A78&lt;&gt;""),"●","")</x:f>
      </x:c>
      <x:c r="U78" s="165" t="str">
        <x:f>IF(AND(U$5&gt;=$C78,U$5&lt;=$D78,$A78&lt;&gt;""),"●","")</x:f>
      </x:c>
      <x:c r="V78" s="165" t="str">
        <x:f>IF(AND(V$5&gt;=$C78,V$5&lt;=$D78,$A78&lt;&gt;""),"●","")</x:f>
      </x:c>
      <x:c r="W78" s="165" t="str">
        <x:f>IF(AND(W$5&gt;=$C78,W$5&lt;=$D78,$A78&lt;&gt;""),"●","")</x:f>
      </x:c>
      <x:c r="X78" s="165" t="str">
        <x:f>IF(AND(X$5&gt;=$C78,X$5&lt;=$D78,$A78&lt;&gt;""),"●","")</x:f>
      </x:c>
      <x:c r="Y78" s="165" t="str">
        <x:f>IF(AND(Y$5&gt;=$C78,Y$5&lt;=$D78,$A78&lt;&gt;""),"●","")</x:f>
      </x:c>
      <x:c r="Z78" s="165" t="str">
        <x:f>IF(AND(Z$5&gt;=$C78,Z$5&lt;=$D78,$A78&lt;&gt;""),"●","")</x:f>
      </x:c>
      <x:c r="AA78" s="165" t="str">
        <x:f>IF(AND(AA$5&gt;=$C78,AA$5&lt;=$D78,$A78&lt;&gt;""),"●","")</x:f>
      </x:c>
      <x:c r="AB78" s="165" t="str">
        <x:f>IF(AND(AB$5&gt;=$C78,AB$5&lt;=$D78,$A78&lt;&gt;""),"●","")</x:f>
      </x:c>
      <x:c r="AC78" s="165" t="str">
        <x:f>IF(AND(AC$5&gt;=$C78,AC$5&lt;=$D78,$A78&lt;&gt;""),"●","")</x:f>
      </x:c>
      <x:c r="AD78" s="165" t="str">
        <x:f>IF(AND(AD$5&gt;=$C78,AD$5&lt;=$D78,$A78&lt;&gt;""),"●","")</x:f>
      </x:c>
      <x:c r="AE78" s="165" t="str">
        <x:f>IF(AND(AE$5&gt;=$C78,AE$5&lt;=$D78,$A78&lt;&gt;""),"●","")</x:f>
      </x:c>
      <x:c r="AF78" s="165" t="str">
        <x:f>IF(AND(AF$5&gt;=$C78,AF$5&lt;=$D78,$A78&lt;&gt;""),"●","")</x:f>
      </x:c>
      <x:c r="AG78" s="165" t="str">
        <x:f>IF(AND(AG$5&gt;=$C78,AG$5&lt;=$D78,$A78&lt;&gt;""),"●","")</x:f>
      </x:c>
      <x:c r="AH78" s="165" t="str">
        <x:f>IF(AND(AH$5&gt;=$C78,AH$5&lt;=$D78,$A78&lt;&gt;""),"●","")</x:f>
      </x:c>
      <x:c r="AI78" s="165" t="str">
        <x:f>IF(AND(AI$5&gt;=$C78,AI$5&lt;=$D78,$A78&lt;&gt;""),"●","")</x:f>
      </x:c>
      <x:c r="AJ78" s="165" t="str">
        <x:f>IF(AND(AJ$5&gt;=$C78,AJ$5&lt;=$D78,$A78&lt;&gt;""),"●","")</x:f>
      </x:c>
      <x:c r="AK78" s="165" t="str">
        <x:f>IF(AND(AK$5&gt;=$C78,AK$5&lt;=$D78,$A78&lt;&gt;""),"●","")</x:f>
      </x:c>
      <x:c r="AL78" s="165" t="str">
        <x:f>IF(AND(AL$5&gt;=$C78,AL$5&lt;=$D78,$A78&lt;&gt;""),"●","")</x:f>
      </x:c>
      <x:c r="AM78" s="165" t="str">
        <x:f>IF(AND(AM$5&gt;=$C78,AM$5&lt;=$D78,$A78&lt;&gt;""),"●","")</x:f>
      </x:c>
      <x:c r="AN78" s="165" t="str">
        <x:f>IF(AND(AN$5&gt;=$C78,AN$5&lt;=$D78,$A78&lt;&gt;""),"●","")</x:f>
      </x:c>
      <x:c r="AO78" s="165" t="str">
        <x:f>IF(AND(AO$5&gt;=$C78,AO$5&lt;=$D78,$A78&lt;&gt;""),"●","")</x:f>
      </x:c>
      <x:c r="AP78" s="165" t="str">
        <x:f>IF(AND(AP$5&gt;=$C78,AP$5&lt;=$D78,$A78&lt;&gt;""),"●","")</x:f>
      </x:c>
      <x:c r="AQ78" s="165" t="str">
        <x:f>IF(AND(AQ$5&gt;=$C78,AQ$5&lt;=$D78,$A78&lt;&gt;""),"●","")</x:f>
      </x:c>
      <x:c r="AR78" s="165" t="str">
        <x:f>IF(AND(AR$5&gt;=$C78,AR$5&lt;=$D78,$A78&lt;&gt;""),"●","")</x:f>
      </x:c>
      <x:c r="AS78" s="165" t="str">
        <x:f>IF(AND(AS$5&gt;=$C78,AS$5&lt;=$D78,$A78&lt;&gt;""),"●","")</x:f>
      </x:c>
      <x:c r="AT78" s="165" t="str">
        <x:f>IF(AND(AT$5&gt;=$C78,AT$5&lt;=$D78,$A78&lt;&gt;""),"●","")</x:f>
      </x:c>
      <x:c r="AU78" s="165" t="str">
        <x:f>IF(AND(AU$5&gt;=$C78,AU$5&lt;=$D78,$A78&lt;&gt;""),"●","")</x:f>
      </x:c>
      <x:c r="AV78" s="165" t="str">
        <x:f>IF(AND(AV$5&gt;=$C78,AV$5&lt;=$D78,$A78&lt;&gt;""),"●","")</x:f>
      </x:c>
      <x:c r="AW78" s="165" t="str">
        <x:f>IF(AND(AW$5&gt;=$C78,AW$5&lt;=$D78,$A78&lt;&gt;""),"●","")</x:f>
      </x:c>
      <x:c r="AX78" s="165" t="str">
        <x:f>IF(AND(AX$5&gt;=$C78,AX$5&lt;=$D78,$A78&lt;&gt;""),"●","")</x:f>
      </x:c>
      <x:c r="AY78" s="165" t="str">
        <x:f>IF(AND(AY$5&gt;=$C78,AY$5&lt;=$D78,$A78&lt;&gt;""),"●","")</x:f>
      </x:c>
      <x:c r="AZ78" s="165" t="str">
        <x:f>IF(AND(AZ$5&gt;=$C78,AZ$5&lt;=$D78,$A78&lt;&gt;""),"●","")</x:f>
      </x:c>
      <x:c r="BA78" s="165" t="str">
        <x:f>IF(AND(BA$5&gt;=$C78,BA$5&lt;=$D78,$A78&lt;&gt;""),"●","")</x:f>
      </x:c>
      <x:c r="BB78" s="165" t="str">
        <x:f>IF(AND(BB$5&gt;=$C78,BB$5&lt;=$D78,$A78&lt;&gt;""),"●","")</x:f>
      </x:c>
      <x:c r="BC78" s="165" t="str">
        <x:f>IF(AND(BC$5&gt;=$C78,BC$5&lt;=$D78,$A78&lt;&gt;""),"●","")</x:f>
      </x:c>
      <x:c r="BD78" s="165" t="str">
        <x:f>IF(AND(BD$5&gt;=$C78,BD$5&lt;=$D78,$A78&lt;&gt;""),"●","")</x:f>
      </x:c>
      <x:c r="BE78" s="165" t="str">
        <x:f>IF(AND(BE$5&gt;=$C78,BE$5&lt;=$D78,$A78&lt;&gt;""),"●","")</x:f>
      </x:c>
      <x:c r="BF78" s="165" t="str">
        <x:f>IF(AND(BF$5&gt;=$C78,BF$5&lt;=$D78,$A78&lt;&gt;""),"●","")</x:f>
      </x:c>
      <x:c r="BG78" s="165" t="str">
        <x:f>IF(AND(BG$5&gt;=$C78,BG$5&lt;=$D78,$A78&lt;&gt;""),"●","")</x:f>
      </x:c>
      <x:c r="BH78" s="165" t="str">
        <x:f>IF(AND(BH$5&gt;=$C78,BH$5&lt;=$D78,$A78&lt;&gt;""),"●","")</x:f>
      </x:c>
      <x:c r="BI78" s="165" t="str">
        <x:f>IF(AND(BI$5&gt;=$C78,BI$5&lt;=$D78,$A78&lt;&gt;""),"●","")</x:f>
      </x:c>
      <x:c r="BJ78" s="165" t="str">
        <x:f>IF(AND(BJ$5&gt;=$C78,BJ$5&lt;=$D78,$A78&lt;&gt;""),"●","")</x:f>
      </x:c>
      <x:c r="BK78" s="165" t="str">
        <x:f>IF(AND(BK$5&gt;=$C78,BK$5&lt;=$D78,$A78&lt;&gt;""),"●","")</x:f>
      </x:c>
      <x:c r="BL78" s="165" t="str">
        <x:f>IF(AND(BL$5&gt;=$C78,BL$5&lt;=$D78,$A78&lt;&gt;""),"●","")</x:f>
      </x:c>
      <x:c r="BM78" s="165" t="str">
        <x:f>IF(AND(BM$5&gt;=$C78,BM$5&lt;=$D78,$A78&lt;&gt;""),"●","")</x:f>
      </x:c>
      <x:c r="BN78" s="165" t="str">
        <x:f>IF(AND(BN$5&gt;=$C78,BN$5&lt;=$D78,$A78&lt;&gt;""),"●","")</x:f>
      </x:c>
      <x:c r="BO78" s="165" t="str">
        <x:f>IF(AND(BO$5&gt;=$C78,BO$5&lt;=$D78,$A78&lt;&gt;""),"●","")</x:f>
      </x:c>
      <x:c r="BP78" s="165" t="str">
        <x:f>IF(AND(BP$5&gt;=$C78,BP$5&lt;=$D78,$A78&lt;&gt;""),"●","")</x:f>
      </x:c>
      <x:c r="BQ78" s="165" t="str">
        <x:f>IF(AND(BQ$5&gt;=$C78,BQ$5&lt;=$D78,$A78&lt;&gt;""),"●","")</x:f>
      </x:c>
      <x:c r="BR78" s="165" t="str">
        <x:f>IF(AND(BR$5&gt;=$C78,BR$5&lt;=$D78,$A78&lt;&gt;""),"●","")</x:f>
      </x:c>
      <x:c r="BS78" s="165" t="str">
        <x:f>IF(AND(BS$5&gt;=$C78,BS$5&lt;=$D78,$A78&lt;&gt;""),"●","")</x:f>
      </x:c>
      <x:c r="BT78" s="165" t="str">
        <x:f>IF(AND(BT$5&gt;=$C78,BT$5&lt;=$D78,$A78&lt;&gt;""),"●","")</x:f>
      </x:c>
      <x:c r="BU78" s="165" t="str">
        <x:f>IF(AND(BU$5&gt;=$C78,BU$5&lt;=$D78,$A78&lt;&gt;""),"●","")</x:f>
      </x:c>
      <x:c r="BV78" s="165" t="str">
        <x:f>IF(AND(BV$5&gt;=$C78,BV$5&lt;=$D78,$A78&lt;&gt;""),"●","")</x:f>
      </x:c>
      <x:c r="BW78" s="165" t="str">
        <x:f>IF(AND(BW$5&gt;=$C78,BW$5&lt;=$D78,$A78&lt;&gt;""),"●","")</x:f>
      </x:c>
    </x:row>
    <x:row r="79">
      <x:c r="A79" s="159" t="str">
        <x:f>IF('รายการสัญญา'!A79="","",'รายการสัญญา'!A79)</x:f>
      </x:c>
      <x:c r="B79" s="159" t="str">
        <x:f>IF('รายการสัญญา'!A79="","",'รายการสัญญา'!C79)</x:f>
      </x:c>
      <x:c r="C79" s="162" t="str">
        <x:f>IF('รายการสัญญา'!A79="","",'รายการสัญญา'!E79)</x:f>
      </x:c>
      <x:c r="D79" s="162" t="str">
        <x:f>IF('รายการสัญญา'!A79="","",'รายการสัญญา'!G79)</x:f>
      </x:c>
      <x:c r="E79" s="159" t="str">
        <x:f>IF('รายการสัญญา'!A79="","",'รายการสัญญา'!K79)</x:f>
      </x:c>
      <x:c r="F79" s="165" t="str">
        <x:f>IF(AND(F$5&gt;=$C79,F$5&lt;=$D79,$A79&lt;&gt;""),"●","")</x:f>
      </x:c>
      <x:c r="G79" s="165" t="str">
        <x:f>IF(AND(G$5&gt;=$C79,G$5&lt;=$D79,$A79&lt;&gt;""),"●","")</x:f>
      </x:c>
      <x:c r="H79" s="165" t="str">
        <x:f>IF(AND(H$5&gt;=$C79,H$5&lt;=$D79,$A79&lt;&gt;""),"●","")</x:f>
      </x:c>
      <x:c r="I79" s="165" t="str">
        <x:f>IF(AND(I$5&gt;=$C79,I$5&lt;=$D79,$A79&lt;&gt;""),"●","")</x:f>
      </x:c>
      <x:c r="J79" s="165" t="str">
        <x:f>IF(AND(J$5&gt;=$C79,J$5&lt;=$D79,$A79&lt;&gt;""),"●","")</x:f>
      </x:c>
      <x:c r="K79" s="165" t="str">
        <x:f>IF(AND(K$5&gt;=$C79,K$5&lt;=$D79,$A79&lt;&gt;""),"●","")</x:f>
      </x:c>
      <x:c r="L79" s="165" t="str">
        <x:f>IF(AND(L$5&gt;=$C79,L$5&lt;=$D79,$A79&lt;&gt;""),"●","")</x:f>
      </x:c>
      <x:c r="M79" s="165" t="str">
        <x:f>IF(AND(M$5&gt;=$C79,M$5&lt;=$D79,$A79&lt;&gt;""),"●","")</x:f>
      </x:c>
      <x:c r="N79" s="165" t="str">
        <x:f>IF(AND(N$5&gt;=$C79,N$5&lt;=$D79,$A79&lt;&gt;""),"●","")</x:f>
      </x:c>
      <x:c r="O79" s="165" t="str">
        <x:f>IF(AND(O$5&gt;=$C79,O$5&lt;=$D79,$A79&lt;&gt;""),"●","")</x:f>
      </x:c>
      <x:c r="P79" s="165" t="str">
        <x:f>IF(AND(P$5&gt;=$C79,P$5&lt;=$D79,$A79&lt;&gt;""),"●","")</x:f>
      </x:c>
      <x:c r="Q79" s="165" t="str">
        <x:f>IF(AND(Q$5&gt;=$C79,Q$5&lt;=$D79,$A79&lt;&gt;""),"●","")</x:f>
      </x:c>
      <x:c r="R79" s="165" t="str">
        <x:f>IF(AND(R$5&gt;=$C79,R$5&lt;=$D79,$A79&lt;&gt;""),"●","")</x:f>
      </x:c>
      <x:c r="S79" s="165" t="str">
        <x:f>IF(AND(S$5&gt;=$C79,S$5&lt;=$D79,$A79&lt;&gt;""),"●","")</x:f>
      </x:c>
      <x:c r="T79" s="165" t="str">
        <x:f>IF(AND(T$5&gt;=$C79,T$5&lt;=$D79,$A79&lt;&gt;""),"●","")</x:f>
      </x:c>
      <x:c r="U79" s="165" t="str">
        <x:f>IF(AND(U$5&gt;=$C79,U$5&lt;=$D79,$A79&lt;&gt;""),"●","")</x:f>
      </x:c>
      <x:c r="V79" s="165" t="str">
        <x:f>IF(AND(V$5&gt;=$C79,V$5&lt;=$D79,$A79&lt;&gt;""),"●","")</x:f>
      </x:c>
      <x:c r="W79" s="165" t="str">
        <x:f>IF(AND(W$5&gt;=$C79,W$5&lt;=$D79,$A79&lt;&gt;""),"●","")</x:f>
      </x:c>
      <x:c r="X79" s="165" t="str">
        <x:f>IF(AND(X$5&gt;=$C79,X$5&lt;=$D79,$A79&lt;&gt;""),"●","")</x:f>
      </x:c>
      <x:c r="Y79" s="165" t="str">
        <x:f>IF(AND(Y$5&gt;=$C79,Y$5&lt;=$D79,$A79&lt;&gt;""),"●","")</x:f>
      </x:c>
      <x:c r="Z79" s="165" t="str">
        <x:f>IF(AND(Z$5&gt;=$C79,Z$5&lt;=$D79,$A79&lt;&gt;""),"●","")</x:f>
      </x:c>
      <x:c r="AA79" s="165" t="str">
        <x:f>IF(AND(AA$5&gt;=$C79,AA$5&lt;=$D79,$A79&lt;&gt;""),"●","")</x:f>
      </x:c>
      <x:c r="AB79" s="165" t="str">
        <x:f>IF(AND(AB$5&gt;=$C79,AB$5&lt;=$D79,$A79&lt;&gt;""),"●","")</x:f>
      </x:c>
      <x:c r="AC79" s="165" t="str">
        <x:f>IF(AND(AC$5&gt;=$C79,AC$5&lt;=$D79,$A79&lt;&gt;""),"●","")</x:f>
      </x:c>
      <x:c r="AD79" s="165" t="str">
        <x:f>IF(AND(AD$5&gt;=$C79,AD$5&lt;=$D79,$A79&lt;&gt;""),"●","")</x:f>
      </x:c>
      <x:c r="AE79" s="165" t="str">
        <x:f>IF(AND(AE$5&gt;=$C79,AE$5&lt;=$D79,$A79&lt;&gt;""),"●","")</x:f>
      </x:c>
      <x:c r="AF79" s="165" t="str">
        <x:f>IF(AND(AF$5&gt;=$C79,AF$5&lt;=$D79,$A79&lt;&gt;""),"●","")</x:f>
      </x:c>
      <x:c r="AG79" s="165" t="str">
        <x:f>IF(AND(AG$5&gt;=$C79,AG$5&lt;=$D79,$A79&lt;&gt;""),"●","")</x:f>
      </x:c>
      <x:c r="AH79" s="165" t="str">
        <x:f>IF(AND(AH$5&gt;=$C79,AH$5&lt;=$D79,$A79&lt;&gt;""),"●","")</x:f>
      </x:c>
      <x:c r="AI79" s="165" t="str">
        <x:f>IF(AND(AI$5&gt;=$C79,AI$5&lt;=$D79,$A79&lt;&gt;""),"●","")</x:f>
      </x:c>
      <x:c r="AJ79" s="165" t="str">
        <x:f>IF(AND(AJ$5&gt;=$C79,AJ$5&lt;=$D79,$A79&lt;&gt;""),"●","")</x:f>
      </x:c>
      <x:c r="AK79" s="165" t="str">
        <x:f>IF(AND(AK$5&gt;=$C79,AK$5&lt;=$D79,$A79&lt;&gt;""),"●","")</x:f>
      </x:c>
      <x:c r="AL79" s="165" t="str">
        <x:f>IF(AND(AL$5&gt;=$C79,AL$5&lt;=$D79,$A79&lt;&gt;""),"●","")</x:f>
      </x:c>
      <x:c r="AM79" s="165" t="str">
        <x:f>IF(AND(AM$5&gt;=$C79,AM$5&lt;=$D79,$A79&lt;&gt;""),"●","")</x:f>
      </x:c>
      <x:c r="AN79" s="165" t="str">
        <x:f>IF(AND(AN$5&gt;=$C79,AN$5&lt;=$D79,$A79&lt;&gt;""),"●","")</x:f>
      </x:c>
      <x:c r="AO79" s="165" t="str">
        <x:f>IF(AND(AO$5&gt;=$C79,AO$5&lt;=$D79,$A79&lt;&gt;""),"●","")</x:f>
      </x:c>
      <x:c r="AP79" s="165" t="str">
        <x:f>IF(AND(AP$5&gt;=$C79,AP$5&lt;=$D79,$A79&lt;&gt;""),"●","")</x:f>
      </x:c>
      <x:c r="AQ79" s="165" t="str">
        <x:f>IF(AND(AQ$5&gt;=$C79,AQ$5&lt;=$D79,$A79&lt;&gt;""),"●","")</x:f>
      </x:c>
      <x:c r="AR79" s="165" t="str">
        <x:f>IF(AND(AR$5&gt;=$C79,AR$5&lt;=$D79,$A79&lt;&gt;""),"●","")</x:f>
      </x:c>
      <x:c r="AS79" s="165" t="str">
        <x:f>IF(AND(AS$5&gt;=$C79,AS$5&lt;=$D79,$A79&lt;&gt;""),"●","")</x:f>
      </x:c>
      <x:c r="AT79" s="165" t="str">
        <x:f>IF(AND(AT$5&gt;=$C79,AT$5&lt;=$D79,$A79&lt;&gt;""),"●","")</x:f>
      </x:c>
      <x:c r="AU79" s="165" t="str">
        <x:f>IF(AND(AU$5&gt;=$C79,AU$5&lt;=$D79,$A79&lt;&gt;""),"●","")</x:f>
      </x:c>
      <x:c r="AV79" s="165" t="str">
        <x:f>IF(AND(AV$5&gt;=$C79,AV$5&lt;=$D79,$A79&lt;&gt;""),"●","")</x:f>
      </x:c>
      <x:c r="AW79" s="165" t="str">
        <x:f>IF(AND(AW$5&gt;=$C79,AW$5&lt;=$D79,$A79&lt;&gt;""),"●","")</x:f>
      </x:c>
      <x:c r="AX79" s="165" t="str">
        <x:f>IF(AND(AX$5&gt;=$C79,AX$5&lt;=$D79,$A79&lt;&gt;""),"●","")</x:f>
      </x:c>
      <x:c r="AY79" s="165" t="str">
        <x:f>IF(AND(AY$5&gt;=$C79,AY$5&lt;=$D79,$A79&lt;&gt;""),"●","")</x:f>
      </x:c>
      <x:c r="AZ79" s="165" t="str">
        <x:f>IF(AND(AZ$5&gt;=$C79,AZ$5&lt;=$D79,$A79&lt;&gt;""),"●","")</x:f>
      </x:c>
      <x:c r="BA79" s="165" t="str">
        <x:f>IF(AND(BA$5&gt;=$C79,BA$5&lt;=$D79,$A79&lt;&gt;""),"●","")</x:f>
      </x:c>
      <x:c r="BB79" s="165" t="str">
        <x:f>IF(AND(BB$5&gt;=$C79,BB$5&lt;=$D79,$A79&lt;&gt;""),"●","")</x:f>
      </x:c>
      <x:c r="BC79" s="165" t="str">
        <x:f>IF(AND(BC$5&gt;=$C79,BC$5&lt;=$D79,$A79&lt;&gt;""),"●","")</x:f>
      </x:c>
      <x:c r="BD79" s="165" t="str">
        <x:f>IF(AND(BD$5&gt;=$C79,BD$5&lt;=$D79,$A79&lt;&gt;""),"●","")</x:f>
      </x:c>
      <x:c r="BE79" s="165" t="str">
        <x:f>IF(AND(BE$5&gt;=$C79,BE$5&lt;=$D79,$A79&lt;&gt;""),"●","")</x:f>
      </x:c>
      <x:c r="BF79" s="165" t="str">
        <x:f>IF(AND(BF$5&gt;=$C79,BF$5&lt;=$D79,$A79&lt;&gt;""),"●","")</x:f>
      </x:c>
      <x:c r="BG79" s="165" t="str">
        <x:f>IF(AND(BG$5&gt;=$C79,BG$5&lt;=$D79,$A79&lt;&gt;""),"●","")</x:f>
      </x:c>
      <x:c r="BH79" s="165" t="str">
        <x:f>IF(AND(BH$5&gt;=$C79,BH$5&lt;=$D79,$A79&lt;&gt;""),"●","")</x:f>
      </x:c>
      <x:c r="BI79" s="165" t="str">
        <x:f>IF(AND(BI$5&gt;=$C79,BI$5&lt;=$D79,$A79&lt;&gt;""),"●","")</x:f>
      </x:c>
      <x:c r="BJ79" s="165" t="str">
        <x:f>IF(AND(BJ$5&gt;=$C79,BJ$5&lt;=$D79,$A79&lt;&gt;""),"●","")</x:f>
      </x:c>
      <x:c r="BK79" s="165" t="str">
        <x:f>IF(AND(BK$5&gt;=$C79,BK$5&lt;=$D79,$A79&lt;&gt;""),"●","")</x:f>
      </x:c>
      <x:c r="BL79" s="165" t="str">
        <x:f>IF(AND(BL$5&gt;=$C79,BL$5&lt;=$D79,$A79&lt;&gt;""),"●","")</x:f>
      </x:c>
      <x:c r="BM79" s="165" t="str">
        <x:f>IF(AND(BM$5&gt;=$C79,BM$5&lt;=$D79,$A79&lt;&gt;""),"●","")</x:f>
      </x:c>
      <x:c r="BN79" s="165" t="str">
        <x:f>IF(AND(BN$5&gt;=$C79,BN$5&lt;=$D79,$A79&lt;&gt;""),"●","")</x:f>
      </x:c>
      <x:c r="BO79" s="165" t="str">
        <x:f>IF(AND(BO$5&gt;=$C79,BO$5&lt;=$D79,$A79&lt;&gt;""),"●","")</x:f>
      </x:c>
      <x:c r="BP79" s="165" t="str">
        <x:f>IF(AND(BP$5&gt;=$C79,BP$5&lt;=$D79,$A79&lt;&gt;""),"●","")</x:f>
      </x:c>
      <x:c r="BQ79" s="165" t="str">
        <x:f>IF(AND(BQ$5&gt;=$C79,BQ$5&lt;=$D79,$A79&lt;&gt;""),"●","")</x:f>
      </x:c>
      <x:c r="BR79" s="165" t="str">
        <x:f>IF(AND(BR$5&gt;=$C79,BR$5&lt;=$D79,$A79&lt;&gt;""),"●","")</x:f>
      </x:c>
      <x:c r="BS79" s="165" t="str">
        <x:f>IF(AND(BS$5&gt;=$C79,BS$5&lt;=$D79,$A79&lt;&gt;""),"●","")</x:f>
      </x:c>
      <x:c r="BT79" s="165" t="str">
        <x:f>IF(AND(BT$5&gt;=$C79,BT$5&lt;=$D79,$A79&lt;&gt;""),"●","")</x:f>
      </x:c>
      <x:c r="BU79" s="165" t="str">
        <x:f>IF(AND(BU$5&gt;=$C79,BU$5&lt;=$D79,$A79&lt;&gt;""),"●","")</x:f>
      </x:c>
      <x:c r="BV79" s="165" t="str">
        <x:f>IF(AND(BV$5&gt;=$C79,BV$5&lt;=$D79,$A79&lt;&gt;""),"●","")</x:f>
      </x:c>
      <x:c r="BW79" s="165" t="str">
        <x:f>IF(AND(BW$5&gt;=$C79,BW$5&lt;=$D79,$A79&lt;&gt;""),"●","")</x:f>
      </x:c>
    </x:row>
    <x:row r="80">
      <x:c r="A80" s="159" t="str">
        <x:f>IF('รายการสัญญา'!A80="","",'รายการสัญญา'!A80)</x:f>
      </x:c>
      <x:c r="B80" s="159" t="str">
        <x:f>IF('รายการสัญญา'!A80="","",'รายการสัญญา'!C80)</x:f>
      </x:c>
      <x:c r="C80" s="162" t="str">
        <x:f>IF('รายการสัญญา'!A80="","",'รายการสัญญา'!E80)</x:f>
      </x:c>
      <x:c r="D80" s="162" t="str">
        <x:f>IF('รายการสัญญา'!A80="","",'รายการสัญญา'!G80)</x:f>
      </x:c>
      <x:c r="E80" s="159" t="str">
        <x:f>IF('รายการสัญญา'!A80="","",'รายการสัญญา'!K80)</x:f>
      </x:c>
      <x:c r="F80" s="165" t="str">
        <x:f>IF(AND(F$5&gt;=$C80,F$5&lt;=$D80,$A80&lt;&gt;""),"●","")</x:f>
      </x:c>
      <x:c r="G80" s="165" t="str">
        <x:f>IF(AND(G$5&gt;=$C80,G$5&lt;=$D80,$A80&lt;&gt;""),"●","")</x:f>
      </x:c>
      <x:c r="H80" s="165" t="str">
        <x:f>IF(AND(H$5&gt;=$C80,H$5&lt;=$D80,$A80&lt;&gt;""),"●","")</x:f>
      </x:c>
      <x:c r="I80" s="165" t="str">
        <x:f>IF(AND(I$5&gt;=$C80,I$5&lt;=$D80,$A80&lt;&gt;""),"●","")</x:f>
      </x:c>
      <x:c r="J80" s="165" t="str">
        <x:f>IF(AND(J$5&gt;=$C80,J$5&lt;=$D80,$A80&lt;&gt;""),"●","")</x:f>
      </x:c>
      <x:c r="K80" s="165" t="str">
        <x:f>IF(AND(K$5&gt;=$C80,K$5&lt;=$D80,$A80&lt;&gt;""),"●","")</x:f>
      </x:c>
      <x:c r="L80" s="165" t="str">
        <x:f>IF(AND(L$5&gt;=$C80,L$5&lt;=$D80,$A80&lt;&gt;""),"●","")</x:f>
      </x:c>
      <x:c r="M80" s="165" t="str">
        <x:f>IF(AND(M$5&gt;=$C80,M$5&lt;=$D80,$A80&lt;&gt;""),"●","")</x:f>
      </x:c>
      <x:c r="N80" s="165" t="str">
        <x:f>IF(AND(N$5&gt;=$C80,N$5&lt;=$D80,$A80&lt;&gt;""),"●","")</x:f>
      </x:c>
      <x:c r="O80" s="165" t="str">
        <x:f>IF(AND(O$5&gt;=$C80,O$5&lt;=$D80,$A80&lt;&gt;""),"●","")</x:f>
      </x:c>
      <x:c r="P80" s="165" t="str">
        <x:f>IF(AND(P$5&gt;=$C80,P$5&lt;=$D80,$A80&lt;&gt;""),"●","")</x:f>
      </x:c>
      <x:c r="Q80" s="165" t="str">
        <x:f>IF(AND(Q$5&gt;=$C80,Q$5&lt;=$D80,$A80&lt;&gt;""),"●","")</x:f>
      </x:c>
      <x:c r="R80" s="165" t="str">
        <x:f>IF(AND(R$5&gt;=$C80,R$5&lt;=$D80,$A80&lt;&gt;""),"●","")</x:f>
      </x:c>
      <x:c r="S80" s="165" t="str">
        <x:f>IF(AND(S$5&gt;=$C80,S$5&lt;=$D80,$A80&lt;&gt;""),"●","")</x:f>
      </x:c>
      <x:c r="T80" s="165" t="str">
        <x:f>IF(AND(T$5&gt;=$C80,T$5&lt;=$D80,$A80&lt;&gt;""),"●","")</x:f>
      </x:c>
      <x:c r="U80" s="165" t="str">
        <x:f>IF(AND(U$5&gt;=$C80,U$5&lt;=$D80,$A80&lt;&gt;""),"●","")</x:f>
      </x:c>
      <x:c r="V80" s="165" t="str">
        <x:f>IF(AND(V$5&gt;=$C80,V$5&lt;=$D80,$A80&lt;&gt;""),"●","")</x:f>
      </x:c>
      <x:c r="W80" s="165" t="str">
        <x:f>IF(AND(W$5&gt;=$C80,W$5&lt;=$D80,$A80&lt;&gt;""),"●","")</x:f>
      </x:c>
      <x:c r="X80" s="165" t="str">
        <x:f>IF(AND(X$5&gt;=$C80,X$5&lt;=$D80,$A80&lt;&gt;""),"●","")</x:f>
      </x:c>
      <x:c r="Y80" s="165" t="str">
        <x:f>IF(AND(Y$5&gt;=$C80,Y$5&lt;=$D80,$A80&lt;&gt;""),"●","")</x:f>
      </x:c>
      <x:c r="Z80" s="165" t="str">
        <x:f>IF(AND(Z$5&gt;=$C80,Z$5&lt;=$D80,$A80&lt;&gt;""),"●","")</x:f>
      </x:c>
      <x:c r="AA80" s="165" t="str">
        <x:f>IF(AND(AA$5&gt;=$C80,AA$5&lt;=$D80,$A80&lt;&gt;""),"●","")</x:f>
      </x:c>
      <x:c r="AB80" s="165" t="str">
        <x:f>IF(AND(AB$5&gt;=$C80,AB$5&lt;=$D80,$A80&lt;&gt;""),"●","")</x:f>
      </x:c>
      <x:c r="AC80" s="165" t="str">
        <x:f>IF(AND(AC$5&gt;=$C80,AC$5&lt;=$D80,$A80&lt;&gt;""),"●","")</x:f>
      </x:c>
      <x:c r="AD80" s="165" t="str">
        <x:f>IF(AND(AD$5&gt;=$C80,AD$5&lt;=$D80,$A80&lt;&gt;""),"●","")</x:f>
      </x:c>
      <x:c r="AE80" s="165" t="str">
        <x:f>IF(AND(AE$5&gt;=$C80,AE$5&lt;=$D80,$A80&lt;&gt;""),"●","")</x:f>
      </x:c>
      <x:c r="AF80" s="165" t="str">
        <x:f>IF(AND(AF$5&gt;=$C80,AF$5&lt;=$D80,$A80&lt;&gt;""),"●","")</x:f>
      </x:c>
      <x:c r="AG80" s="165" t="str">
        <x:f>IF(AND(AG$5&gt;=$C80,AG$5&lt;=$D80,$A80&lt;&gt;""),"●","")</x:f>
      </x:c>
      <x:c r="AH80" s="165" t="str">
        <x:f>IF(AND(AH$5&gt;=$C80,AH$5&lt;=$D80,$A80&lt;&gt;""),"●","")</x:f>
      </x:c>
      <x:c r="AI80" s="165" t="str">
        <x:f>IF(AND(AI$5&gt;=$C80,AI$5&lt;=$D80,$A80&lt;&gt;""),"●","")</x:f>
      </x:c>
      <x:c r="AJ80" s="165" t="str">
        <x:f>IF(AND(AJ$5&gt;=$C80,AJ$5&lt;=$D80,$A80&lt;&gt;""),"●","")</x:f>
      </x:c>
      <x:c r="AK80" s="165" t="str">
        <x:f>IF(AND(AK$5&gt;=$C80,AK$5&lt;=$D80,$A80&lt;&gt;""),"●","")</x:f>
      </x:c>
      <x:c r="AL80" s="165" t="str">
        <x:f>IF(AND(AL$5&gt;=$C80,AL$5&lt;=$D80,$A80&lt;&gt;""),"●","")</x:f>
      </x:c>
      <x:c r="AM80" s="165" t="str">
        <x:f>IF(AND(AM$5&gt;=$C80,AM$5&lt;=$D80,$A80&lt;&gt;""),"●","")</x:f>
      </x:c>
      <x:c r="AN80" s="165" t="str">
        <x:f>IF(AND(AN$5&gt;=$C80,AN$5&lt;=$D80,$A80&lt;&gt;""),"●","")</x:f>
      </x:c>
      <x:c r="AO80" s="165" t="str">
        <x:f>IF(AND(AO$5&gt;=$C80,AO$5&lt;=$D80,$A80&lt;&gt;""),"●","")</x:f>
      </x:c>
      <x:c r="AP80" s="165" t="str">
        <x:f>IF(AND(AP$5&gt;=$C80,AP$5&lt;=$D80,$A80&lt;&gt;""),"●","")</x:f>
      </x:c>
      <x:c r="AQ80" s="165" t="str">
        <x:f>IF(AND(AQ$5&gt;=$C80,AQ$5&lt;=$D80,$A80&lt;&gt;""),"●","")</x:f>
      </x:c>
      <x:c r="AR80" s="165" t="str">
        <x:f>IF(AND(AR$5&gt;=$C80,AR$5&lt;=$D80,$A80&lt;&gt;""),"●","")</x:f>
      </x:c>
      <x:c r="AS80" s="165" t="str">
        <x:f>IF(AND(AS$5&gt;=$C80,AS$5&lt;=$D80,$A80&lt;&gt;""),"●","")</x:f>
      </x:c>
      <x:c r="AT80" s="165" t="str">
        <x:f>IF(AND(AT$5&gt;=$C80,AT$5&lt;=$D80,$A80&lt;&gt;""),"●","")</x:f>
      </x:c>
      <x:c r="AU80" s="165" t="str">
        <x:f>IF(AND(AU$5&gt;=$C80,AU$5&lt;=$D80,$A80&lt;&gt;""),"●","")</x:f>
      </x:c>
      <x:c r="AV80" s="165" t="str">
        <x:f>IF(AND(AV$5&gt;=$C80,AV$5&lt;=$D80,$A80&lt;&gt;""),"●","")</x:f>
      </x:c>
      <x:c r="AW80" s="165" t="str">
        <x:f>IF(AND(AW$5&gt;=$C80,AW$5&lt;=$D80,$A80&lt;&gt;""),"●","")</x:f>
      </x:c>
      <x:c r="AX80" s="165" t="str">
        <x:f>IF(AND(AX$5&gt;=$C80,AX$5&lt;=$D80,$A80&lt;&gt;""),"●","")</x:f>
      </x:c>
      <x:c r="AY80" s="165" t="str">
        <x:f>IF(AND(AY$5&gt;=$C80,AY$5&lt;=$D80,$A80&lt;&gt;""),"●","")</x:f>
      </x:c>
      <x:c r="AZ80" s="165" t="str">
        <x:f>IF(AND(AZ$5&gt;=$C80,AZ$5&lt;=$D80,$A80&lt;&gt;""),"●","")</x:f>
      </x:c>
      <x:c r="BA80" s="165" t="str">
        <x:f>IF(AND(BA$5&gt;=$C80,BA$5&lt;=$D80,$A80&lt;&gt;""),"●","")</x:f>
      </x:c>
      <x:c r="BB80" s="165" t="str">
        <x:f>IF(AND(BB$5&gt;=$C80,BB$5&lt;=$D80,$A80&lt;&gt;""),"●","")</x:f>
      </x:c>
      <x:c r="BC80" s="165" t="str">
        <x:f>IF(AND(BC$5&gt;=$C80,BC$5&lt;=$D80,$A80&lt;&gt;""),"●","")</x:f>
      </x:c>
      <x:c r="BD80" s="165" t="str">
        <x:f>IF(AND(BD$5&gt;=$C80,BD$5&lt;=$D80,$A80&lt;&gt;""),"●","")</x:f>
      </x:c>
      <x:c r="BE80" s="165" t="str">
        <x:f>IF(AND(BE$5&gt;=$C80,BE$5&lt;=$D80,$A80&lt;&gt;""),"●","")</x:f>
      </x:c>
      <x:c r="BF80" s="165" t="str">
        <x:f>IF(AND(BF$5&gt;=$C80,BF$5&lt;=$D80,$A80&lt;&gt;""),"●","")</x:f>
      </x:c>
      <x:c r="BG80" s="165" t="str">
        <x:f>IF(AND(BG$5&gt;=$C80,BG$5&lt;=$D80,$A80&lt;&gt;""),"●","")</x:f>
      </x:c>
      <x:c r="BH80" s="165" t="str">
        <x:f>IF(AND(BH$5&gt;=$C80,BH$5&lt;=$D80,$A80&lt;&gt;""),"●","")</x:f>
      </x:c>
      <x:c r="BI80" s="165" t="str">
        <x:f>IF(AND(BI$5&gt;=$C80,BI$5&lt;=$D80,$A80&lt;&gt;""),"●","")</x:f>
      </x:c>
      <x:c r="BJ80" s="165" t="str">
        <x:f>IF(AND(BJ$5&gt;=$C80,BJ$5&lt;=$D80,$A80&lt;&gt;""),"●","")</x:f>
      </x:c>
      <x:c r="BK80" s="165" t="str">
        <x:f>IF(AND(BK$5&gt;=$C80,BK$5&lt;=$D80,$A80&lt;&gt;""),"●","")</x:f>
      </x:c>
      <x:c r="BL80" s="165" t="str">
        <x:f>IF(AND(BL$5&gt;=$C80,BL$5&lt;=$D80,$A80&lt;&gt;""),"●","")</x:f>
      </x:c>
      <x:c r="BM80" s="165" t="str">
        <x:f>IF(AND(BM$5&gt;=$C80,BM$5&lt;=$D80,$A80&lt;&gt;""),"●","")</x:f>
      </x:c>
      <x:c r="BN80" s="165" t="str">
        <x:f>IF(AND(BN$5&gt;=$C80,BN$5&lt;=$D80,$A80&lt;&gt;""),"●","")</x:f>
      </x:c>
      <x:c r="BO80" s="165" t="str">
        <x:f>IF(AND(BO$5&gt;=$C80,BO$5&lt;=$D80,$A80&lt;&gt;""),"●","")</x:f>
      </x:c>
      <x:c r="BP80" s="165" t="str">
        <x:f>IF(AND(BP$5&gt;=$C80,BP$5&lt;=$D80,$A80&lt;&gt;""),"●","")</x:f>
      </x:c>
      <x:c r="BQ80" s="165" t="str">
        <x:f>IF(AND(BQ$5&gt;=$C80,BQ$5&lt;=$D80,$A80&lt;&gt;""),"●","")</x:f>
      </x:c>
      <x:c r="BR80" s="165" t="str">
        <x:f>IF(AND(BR$5&gt;=$C80,BR$5&lt;=$D80,$A80&lt;&gt;""),"●","")</x:f>
      </x:c>
      <x:c r="BS80" s="165" t="str">
        <x:f>IF(AND(BS$5&gt;=$C80,BS$5&lt;=$D80,$A80&lt;&gt;""),"●","")</x:f>
      </x:c>
      <x:c r="BT80" s="165" t="str">
        <x:f>IF(AND(BT$5&gt;=$C80,BT$5&lt;=$D80,$A80&lt;&gt;""),"●","")</x:f>
      </x:c>
      <x:c r="BU80" s="165" t="str">
        <x:f>IF(AND(BU$5&gt;=$C80,BU$5&lt;=$D80,$A80&lt;&gt;""),"●","")</x:f>
      </x:c>
      <x:c r="BV80" s="165" t="str">
        <x:f>IF(AND(BV$5&gt;=$C80,BV$5&lt;=$D80,$A80&lt;&gt;""),"●","")</x:f>
      </x:c>
      <x:c r="BW80" s="165" t="str">
        <x:f>IF(AND(BW$5&gt;=$C80,BW$5&lt;=$D80,$A80&lt;&gt;""),"●","")</x:f>
      </x:c>
    </x:row>
    <x:row r="81">
      <x:c r="A81" s="159" t="str">
        <x:f>IF('รายการสัญญา'!A81="","",'รายการสัญญา'!A81)</x:f>
      </x:c>
      <x:c r="B81" s="159" t="str">
        <x:f>IF('รายการสัญญา'!A81="","",'รายการสัญญา'!C81)</x:f>
      </x:c>
      <x:c r="C81" s="162" t="str">
        <x:f>IF('รายการสัญญา'!A81="","",'รายการสัญญา'!E81)</x:f>
      </x:c>
      <x:c r="D81" s="162" t="str">
        <x:f>IF('รายการสัญญา'!A81="","",'รายการสัญญา'!G81)</x:f>
      </x:c>
      <x:c r="E81" s="159" t="str">
        <x:f>IF('รายการสัญญา'!A81="","",'รายการสัญญา'!K81)</x:f>
      </x:c>
      <x:c r="F81" s="165" t="str">
        <x:f>IF(AND(F$5&gt;=$C81,F$5&lt;=$D81,$A81&lt;&gt;""),"●","")</x:f>
      </x:c>
      <x:c r="G81" s="165" t="str">
        <x:f>IF(AND(G$5&gt;=$C81,G$5&lt;=$D81,$A81&lt;&gt;""),"●","")</x:f>
      </x:c>
      <x:c r="H81" s="165" t="str">
        <x:f>IF(AND(H$5&gt;=$C81,H$5&lt;=$D81,$A81&lt;&gt;""),"●","")</x:f>
      </x:c>
      <x:c r="I81" s="165" t="str">
        <x:f>IF(AND(I$5&gt;=$C81,I$5&lt;=$D81,$A81&lt;&gt;""),"●","")</x:f>
      </x:c>
      <x:c r="J81" s="165" t="str">
        <x:f>IF(AND(J$5&gt;=$C81,J$5&lt;=$D81,$A81&lt;&gt;""),"●","")</x:f>
      </x:c>
      <x:c r="K81" s="165" t="str">
        <x:f>IF(AND(K$5&gt;=$C81,K$5&lt;=$D81,$A81&lt;&gt;""),"●","")</x:f>
      </x:c>
      <x:c r="L81" s="165" t="str">
        <x:f>IF(AND(L$5&gt;=$C81,L$5&lt;=$D81,$A81&lt;&gt;""),"●","")</x:f>
      </x:c>
      <x:c r="M81" s="165" t="str">
        <x:f>IF(AND(M$5&gt;=$C81,M$5&lt;=$D81,$A81&lt;&gt;""),"●","")</x:f>
      </x:c>
      <x:c r="N81" s="165" t="str">
        <x:f>IF(AND(N$5&gt;=$C81,N$5&lt;=$D81,$A81&lt;&gt;""),"●","")</x:f>
      </x:c>
      <x:c r="O81" s="165" t="str">
        <x:f>IF(AND(O$5&gt;=$C81,O$5&lt;=$D81,$A81&lt;&gt;""),"●","")</x:f>
      </x:c>
      <x:c r="P81" s="165" t="str">
        <x:f>IF(AND(P$5&gt;=$C81,P$5&lt;=$D81,$A81&lt;&gt;""),"●","")</x:f>
      </x:c>
      <x:c r="Q81" s="165" t="str">
        <x:f>IF(AND(Q$5&gt;=$C81,Q$5&lt;=$D81,$A81&lt;&gt;""),"●","")</x:f>
      </x:c>
      <x:c r="R81" s="165" t="str">
        <x:f>IF(AND(R$5&gt;=$C81,R$5&lt;=$D81,$A81&lt;&gt;""),"●","")</x:f>
      </x:c>
      <x:c r="S81" s="165" t="str">
        <x:f>IF(AND(S$5&gt;=$C81,S$5&lt;=$D81,$A81&lt;&gt;""),"●","")</x:f>
      </x:c>
      <x:c r="T81" s="165" t="str">
        <x:f>IF(AND(T$5&gt;=$C81,T$5&lt;=$D81,$A81&lt;&gt;""),"●","")</x:f>
      </x:c>
      <x:c r="U81" s="165" t="str">
        <x:f>IF(AND(U$5&gt;=$C81,U$5&lt;=$D81,$A81&lt;&gt;""),"●","")</x:f>
      </x:c>
      <x:c r="V81" s="165" t="str">
        <x:f>IF(AND(V$5&gt;=$C81,V$5&lt;=$D81,$A81&lt;&gt;""),"●","")</x:f>
      </x:c>
      <x:c r="W81" s="165" t="str">
        <x:f>IF(AND(W$5&gt;=$C81,W$5&lt;=$D81,$A81&lt;&gt;""),"●","")</x:f>
      </x:c>
      <x:c r="X81" s="165" t="str">
        <x:f>IF(AND(X$5&gt;=$C81,X$5&lt;=$D81,$A81&lt;&gt;""),"●","")</x:f>
      </x:c>
      <x:c r="Y81" s="165" t="str">
        <x:f>IF(AND(Y$5&gt;=$C81,Y$5&lt;=$D81,$A81&lt;&gt;""),"●","")</x:f>
      </x:c>
      <x:c r="Z81" s="165" t="str">
        <x:f>IF(AND(Z$5&gt;=$C81,Z$5&lt;=$D81,$A81&lt;&gt;""),"●","")</x:f>
      </x:c>
      <x:c r="AA81" s="165" t="str">
        <x:f>IF(AND(AA$5&gt;=$C81,AA$5&lt;=$D81,$A81&lt;&gt;""),"●","")</x:f>
      </x:c>
      <x:c r="AB81" s="165" t="str">
        <x:f>IF(AND(AB$5&gt;=$C81,AB$5&lt;=$D81,$A81&lt;&gt;""),"●","")</x:f>
      </x:c>
      <x:c r="AC81" s="165" t="str">
        <x:f>IF(AND(AC$5&gt;=$C81,AC$5&lt;=$D81,$A81&lt;&gt;""),"●","")</x:f>
      </x:c>
      <x:c r="AD81" s="165" t="str">
        <x:f>IF(AND(AD$5&gt;=$C81,AD$5&lt;=$D81,$A81&lt;&gt;""),"●","")</x:f>
      </x:c>
      <x:c r="AE81" s="165" t="str">
        <x:f>IF(AND(AE$5&gt;=$C81,AE$5&lt;=$D81,$A81&lt;&gt;""),"●","")</x:f>
      </x:c>
      <x:c r="AF81" s="165" t="str">
        <x:f>IF(AND(AF$5&gt;=$C81,AF$5&lt;=$D81,$A81&lt;&gt;""),"●","")</x:f>
      </x:c>
      <x:c r="AG81" s="165" t="str">
        <x:f>IF(AND(AG$5&gt;=$C81,AG$5&lt;=$D81,$A81&lt;&gt;""),"●","")</x:f>
      </x:c>
      <x:c r="AH81" s="165" t="str">
        <x:f>IF(AND(AH$5&gt;=$C81,AH$5&lt;=$D81,$A81&lt;&gt;""),"●","")</x:f>
      </x:c>
      <x:c r="AI81" s="165" t="str">
        <x:f>IF(AND(AI$5&gt;=$C81,AI$5&lt;=$D81,$A81&lt;&gt;""),"●","")</x:f>
      </x:c>
      <x:c r="AJ81" s="165" t="str">
        <x:f>IF(AND(AJ$5&gt;=$C81,AJ$5&lt;=$D81,$A81&lt;&gt;""),"●","")</x:f>
      </x:c>
      <x:c r="AK81" s="165" t="str">
        <x:f>IF(AND(AK$5&gt;=$C81,AK$5&lt;=$D81,$A81&lt;&gt;""),"●","")</x:f>
      </x:c>
      <x:c r="AL81" s="165" t="str">
        <x:f>IF(AND(AL$5&gt;=$C81,AL$5&lt;=$D81,$A81&lt;&gt;""),"●","")</x:f>
      </x:c>
      <x:c r="AM81" s="165" t="str">
        <x:f>IF(AND(AM$5&gt;=$C81,AM$5&lt;=$D81,$A81&lt;&gt;""),"●","")</x:f>
      </x:c>
      <x:c r="AN81" s="165" t="str">
        <x:f>IF(AND(AN$5&gt;=$C81,AN$5&lt;=$D81,$A81&lt;&gt;""),"●","")</x:f>
      </x:c>
      <x:c r="AO81" s="165" t="str">
        <x:f>IF(AND(AO$5&gt;=$C81,AO$5&lt;=$D81,$A81&lt;&gt;""),"●","")</x:f>
      </x:c>
      <x:c r="AP81" s="165" t="str">
        <x:f>IF(AND(AP$5&gt;=$C81,AP$5&lt;=$D81,$A81&lt;&gt;""),"●","")</x:f>
      </x:c>
      <x:c r="AQ81" s="165" t="str">
        <x:f>IF(AND(AQ$5&gt;=$C81,AQ$5&lt;=$D81,$A81&lt;&gt;""),"●","")</x:f>
      </x:c>
      <x:c r="AR81" s="165" t="str">
        <x:f>IF(AND(AR$5&gt;=$C81,AR$5&lt;=$D81,$A81&lt;&gt;""),"●","")</x:f>
      </x:c>
      <x:c r="AS81" s="165" t="str">
        <x:f>IF(AND(AS$5&gt;=$C81,AS$5&lt;=$D81,$A81&lt;&gt;""),"●","")</x:f>
      </x:c>
      <x:c r="AT81" s="165" t="str">
        <x:f>IF(AND(AT$5&gt;=$C81,AT$5&lt;=$D81,$A81&lt;&gt;""),"●","")</x:f>
      </x:c>
      <x:c r="AU81" s="165" t="str">
        <x:f>IF(AND(AU$5&gt;=$C81,AU$5&lt;=$D81,$A81&lt;&gt;""),"●","")</x:f>
      </x:c>
      <x:c r="AV81" s="165" t="str">
        <x:f>IF(AND(AV$5&gt;=$C81,AV$5&lt;=$D81,$A81&lt;&gt;""),"●","")</x:f>
      </x:c>
      <x:c r="AW81" s="165" t="str">
        <x:f>IF(AND(AW$5&gt;=$C81,AW$5&lt;=$D81,$A81&lt;&gt;""),"●","")</x:f>
      </x:c>
      <x:c r="AX81" s="165" t="str">
        <x:f>IF(AND(AX$5&gt;=$C81,AX$5&lt;=$D81,$A81&lt;&gt;""),"●","")</x:f>
      </x:c>
      <x:c r="AY81" s="165" t="str">
        <x:f>IF(AND(AY$5&gt;=$C81,AY$5&lt;=$D81,$A81&lt;&gt;""),"●","")</x:f>
      </x:c>
      <x:c r="AZ81" s="165" t="str">
        <x:f>IF(AND(AZ$5&gt;=$C81,AZ$5&lt;=$D81,$A81&lt;&gt;""),"●","")</x:f>
      </x:c>
      <x:c r="BA81" s="165" t="str">
        <x:f>IF(AND(BA$5&gt;=$C81,BA$5&lt;=$D81,$A81&lt;&gt;""),"●","")</x:f>
      </x:c>
      <x:c r="BB81" s="165" t="str">
        <x:f>IF(AND(BB$5&gt;=$C81,BB$5&lt;=$D81,$A81&lt;&gt;""),"●","")</x:f>
      </x:c>
      <x:c r="BC81" s="165" t="str">
        <x:f>IF(AND(BC$5&gt;=$C81,BC$5&lt;=$D81,$A81&lt;&gt;""),"●","")</x:f>
      </x:c>
      <x:c r="BD81" s="165" t="str">
        <x:f>IF(AND(BD$5&gt;=$C81,BD$5&lt;=$D81,$A81&lt;&gt;""),"●","")</x:f>
      </x:c>
      <x:c r="BE81" s="165" t="str">
        <x:f>IF(AND(BE$5&gt;=$C81,BE$5&lt;=$D81,$A81&lt;&gt;""),"●","")</x:f>
      </x:c>
      <x:c r="BF81" s="165" t="str">
        <x:f>IF(AND(BF$5&gt;=$C81,BF$5&lt;=$D81,$A81&lt;&gt;""),"●","")</x:f>
      </x:c>
      <x:c r="BG81" s="165" t="str">
        <x:f>IF(AND(BG$5&gt;=$C81,BG$5&lt;=$D81,$A81&lt;&gt;""),"●","")</x:f>
      </x:c>
      <x:c r="BH81" s="165" t="str">
        <x:f>IF(AND(BH$5&gt;=$C81,BH$5&lt;=$D81,$A81&lt;&gt;""),"●","")</x:f>
      </x:c>
      <x:c r="BI81" s="165" t="str">
        <x:f>IF(AND(BI$5&gt;=$C81,BI$5&lt;=$D81,$A81&lt;&gt;""),"●","")</x:f>
      </x:c>
      <x:c r="BJ81" s="165" t="str">
        <x:f>IF(AND(BJ$5&gt;=$C81,BJ$5&lt;=$D81,$A81&lt;&gt;""),"●","")</x:f>
      </x:c>
      <x:c r="BK81" s="165" t="str">
        <x:f>IF(AND(BK$5&gt;=$C81,BK$5&lt;=$D81,$A81&lt;&gt;""),"●","")</x:f>
      </x:c>
      <x:c r="BL81" s="165" t="str">
        <x:f>IF(AND(BL$5&gt;=$C81,BL$5&lt;=$D81,$A81&lt;&gt;""),"●","")</x:f>
      </x:c>
      <x:c r="BM81" s="165" t="str">
        <x:f>IF(AND(BM$5&gt;=$C81,BM$5&lt;=$D81,$A81&lt;&gt;""),"●","")</x:f>
      </x:c>
      <x:c r="BN81" s="165" t="str">
        <x:f>IF(AND(BN$5&gt;=$C81,BN$5&lt;=$D81,$A81&lt;&gt;""),"●","")</x:f>
      </x:c>
      <x:c r="BO81" s="165" t="str">
        <x:f>IF(AND(BO$5&gt;=$C81,BO$5&lt;=$D81,$A81&lt;&gt;""),"●","")</x:f>
      </x:c>
      <x:c r="BP81" s="165" t="str">
        <x:f>IF(AND(BP$5&gt;=$C81,BP$5&lt;=$D81,$A81&lt;&gt;""),"●","")</x:f>
      </x:c>
      <x:c r="BQ81" s="165" t="str">
        <x:f>IF(AND(BQ$5&gt;=$C81,BQ$5&lt;=$D81,$A81&lt;&gt;""),"●","")</x:f>
      </x:c>
      <x:c r="BR81" s="165" t="str">
        <x:f>IF(AND(BR$5&gt;=$C81,BR$5&lt;=$D81,$A81&lt;&gt;""),"●","")</x:f>
      </x:c>
      <x:c r="BS81" s="165" t="str">
        <x:f>IF(AND(BS$5&gt;=$C81,BS$5&lt;=$D81,$A81&lt;&gt;""),"●","")</x:f>
      </x:c>
      <x:c r="BT81" s="165" t="str">
        <x:f>IF(AND(BT$5&gt;=$C81,BT$5&lt;=$D81,$A81&lt;&gt;""),"●","")</x:f>
      </x:c>
      <x:c r="BU81" s="165" t="str">
        <x:f>IF(AND(BU$5&gt;=$C81,BU$5&lt;=$D81,$A81&lt;&gt;""),"●","")</x:f>
      </x:c>
      <x:c r="BV81" s="165" t="str">
        <x:f>IF(AND(BV$5&gt;=$C81,BV$5&lt;=$D81,$A81&lt;&gt;""),"●","")</x:f>
      </x:c>
      <x:c r="BW81" s="165" t="str">
        <x:f>IF(AND(BW$5&gt;=$C81,BW$5&lt;=$D81,$A81&lt;&gt;""),"●","")</x:f>
      </x:c>
    </x:row>
    <x:row r="82">
      <x:c r="A82" s="159" t="str">
        <x:f>IF('รายการสัญญา'!A82="","",'รายการสัญญา'!A82)</x:f>
      </x:c>
      <x:c r="B82" s="159" t="str">
        <x:f>IF('รายการสัญญา'!A82="","",'รายการสัญญา'!C82)</x:f>
      </x:c>
      <x:c r="C82" s="162" t="str">
        <x:f>IF('รายการสัญญา'!A82="","",'รายการสัญญา'!E82)</x:f>
      </x:c>
      <x:c r="D82" s="162" t="str">
        <x:f>IF('รายการสัญญา'!A82="","",'รายการสัญญา'!G82)</x:f>
      </x:c>
      <x:c r="E82" s="159" t="str">
        <x:f>IF('รายการสัญญา'!A82="","",'รายการสัญญา'!K82)</x:f>
      </x:c>
      <x:c r="F82" s="165" t="str">
        <x:f>IF(AND(F$5&gt;=$C82,F$5&lt;=$D82,$A82&lt;&gt;""),"●","")</x:f>
      </x:c>
      <x:c r="G82" s="165" t="str">
        <x:f>IF(AND(G$5&gt;=$C82,G$5&lt;=$D82,$A82&lt;&gt;""),"●","")</x:f>
      </x:c>
      <x:c r="H82" s="165" t="str">
        <x:f>IF(AND(H$5&gt;=$C82,H$5&lt;=$D82,$A82&lt;&gt;""),"●","")</x:f>
      </x:c>
      <x:c r="I82" s="165" t="str">
        <x:f>IF(AND(I$5&gt;=$C82,I$5&lt;=$D82,$A82&lt;&gt;""),"●","")</x:f>
      </x:c>
      <x:c r="J82" s="165" t="str">
        <x:f>IF(AND(J$5&gt;=$C82,J$5&lt;=$D82,$A82&lt;&gt;""),"●","")</x:f>
      </x:c>
      <x:c r="K82" s="165" t="str">
        <x:f>IF(AND(K$5&gt;=$C82,K$5&lt;=$D82,$A82&lt;&gt;""),"●","")</x:f>
      </x:c>
      <x:c r="L82" s="165" t="str">
        <x:f>IF(AND(L$5&gt;=$C82,L$5&lt;=$D82,$A82&lt;&gt;""),"●","")</x:f>
      </x:c>
      <x:c r="M82" s="165" t="str">
        <x:f>IF(AND(M$5&gt;=$C82,M$5&lt;=$D82,$A82&lt;&gt;""),"●","")</x:f>
      </x:c>
      <x:c r="N82" s="165" t="str">
        <x:f>IF(AND(N$5&gt;=$C82,N$5&lt;=$D82,$A82&lt;&gt;""),"●","")</x:f>
      </x:c>
      <x:c r="O82" s="165" t="str">
        <x:f>IF(AND(O$5&gt;=$C82,O$5&lt;=$D82,$A82&lt;&gt;""),"●","")</x:f>
      </x:c>
      <x:c r="P82" s="165" t="str">
        <x:f>IF(AND(P$5&gt;=$C82,P$5&lt;=$D82,$A82&lt;&gt;""),"●","")</x:f>
      </x:c>
      <x:c r="Q82" s="165" t="str">
        <x:f>IF(AND(Q$5&gt;=$C82,Q$5&lt;=$D82,$A82&lt;&gt;""),"●","")</x:f>
      </x:c>
      <x:c r="R82" s="165" t="str">
        <x:f>IF(AND(R$5&gt;=$C82,R$5&lt;=$D82,$A82&lt;&gt;""),"●","")</x:f>
      </x:c>
      <x:c r="S82" s="165" t="str">
        <x:f>IF(AND(S$5&gt;=$C82,S$5&lt;=$D82,$A82&lt;&gt;""),"●","")</x:f>
      </x:c>
      <x:c r="T82" s="165" t="str">
        <x:f>IF(AND(T$5&gt;=$C82,T$5&lt;=$D82,$A82&lt;&gt;""),"●","")</x:f>
      </x:c>
      <x:c r="U82" s="165" t="str">
        <x:f>IF(AND(U$5&gt;=$C82,U$5&lt;=$D82,$A82&lt;&gt;""),"●","")</x:f>
      </x:c>
      <x:c r="V82" s="165" t="str">
        <x:f>IF(AND(V$5&gt;=$C82,V$5&lt;=$D82,$A82&lt;&gt;""),"●","")</x:f>
      </x:c>
      <x:c r="W82" s="165" t="str">
        <x:f>IF(AND(W$5&gt;=$C82,W$5&lt;=$D82,$A82&lt;&gt;""),"●","")</x:f>
      </x:c>
      <x:c r="X82" s="165" t="str">
        <x:f>IF(AND(X$5&gt;=$C82,X$5&lt;=$D82,$A82&lt;&gt;""),"●","")</x:f>
      </x:c>
      <x:c r="Y82" s="165" t="str">
        <x:f>IF(AND(Y$5&gt;=$C82,Y$5&lt;=$D82,$A82&lt;&gt;""),"●","")</x:f>
      </x:c>
      <x:c r="Z82" s="165" t="str">
        <x:f>IF(AND(Z$5&gt;=$C82,Z$5&lt;=$D82,$A82&lt;&gt;""),"●","")</x:f>
      </x:c>
      <x:c r="AA82" s="165" t="str">
        <x:f>IF(AND(AA$5&gt;=$C82,AA$5&lt;=$D82,$A82&lt;&gt;""),"●","")</x:f>
      </x:c>
      <x:c r="AB82" s="165" t="str">
        <x:f>IF(AND(AB$5&gt;=$C82,AB$5&lt;=$D82,$A82&lt;&gt;""),"●","")</x:f>
      </x:c>
      <x:c r="AC82" s="165" t="str">
        <x:f>IF(AND(AC$5&gt;=$C82,AC$5&lt;=$D82,$A82&lt;&gt;""),"●","")</x:f>
      </x:c>
      <x:c r="AD82" s="165" t="str">
        <x:f>IF(AND(AD$5&gt;=$C82,AD$5&lt;=$D82,$A82&lt;&gt;""),"●","")</x:f>
      </x:c>
      <x:c r="AE82" s="165" t="str">
        <x:f>IF(AND(AE$5&gt;=$C82,AE$5&lt;=$D82,$A82&lt;&gt;""),"●","")</x:f>
      </x:c>
      <x:c r="AF82" s="165" t="str">
        <x:f>IF(AND(AF$5&gt;=$C82,AF$5&lt;=$D82,$A82&lt;&gt;""),"●","")</x:f>
      </x:c>
      <x:c r="AG82" s="165" t="str">
        <x:f>IF(AND(AG$5&gt;=$C82,AG$5&lt;=$D82,$A82&lt;&gt;""),"●","")</x:f>
      </x:c>
      <x:c r="AH82" s="165" t="str">
        <x:f>IF(AND(AH$5&gt;=$C82,AH$5&lt;=$D82,$A82&lt;&gt;""),"●","")</x:f>
      </x:c>
      <x:c r="AI82" s="165" t="str">
        <x:f>IF(AND(AI$5&gt;=$C82,AI$5&lt;=$D82,$A82&lt;&gt;""),"●","")</x:f>
      </x:c>
      <x:c r="AJ82" s="165" t="str">
        <x:f>IF(AND(AJ$5&gt;=$C82,AJ$5&lt;=$D82,$A82&lt;&gt;""),"●","")</x:f>
      </x:c>
      <x:c r="AK82" s="165" t="str">
        <x:f>IF(AND(AK$5&gt;=$C82,AK$5&lt;=$D82,$A82&lt;&gt;""),"●","")</x:f>
      </x:c>
      <x:c r="AL82" s="165" t="str">
        <x:f>IF(AND(AL$5&gt;=$C82,AL$5&lt;=$D82,$A82&lt;&gt;""),"●","")</x:f>
      </x:c>
      <x:c r="AM82" s="165" t="str">
        <x:f>IF(AND(AM$5&gt;=$C82,AM$5&lt;=$D82,$A82&lt;&gt;""),"●","")</x:f>
      </x:c>
      <x:c r="AN82" s="165" t="str">
        <x:f>IF(AND(AN$5&gt;=$C82,AN$5&lt;=$D82,$A82&lt;&gt;""),"●","")</x:f>
      </x:c>
      <x:c r="AO82" s="165" t="str">
        <x:f>IF(AND(AO$5&gt;=$C82,AO$5&lt;=$D82,$A82&lt;&gt;""),"●","")</x:f>
      </x:c>
      <x:c r="AP82" s="165" t="str">
        <x:f>IF(AND(AP$5&gt;=$C82,AP$5&lt;=$D82,$A82&lt;&gt;""),"●","")</x:f>
      </x:c>
      <x:c r="AQ82" s="165" t="str">
        <x:f>IF(AND(AQ$5&gt;=$C82,AQ$5&lt;=$D82,$A82&lt;&gt;""),"●","")</x:f>
      </x:c>
      <x:c r="AR82" s="165" t="str">
        <x:f>IF(AND(AR$5&gt;=$C82,AR$5&lt;=$D82,$A82&lt;&gt;""),"●","")</x:f>
      </x:c>
      <x:c r="AS82" s="165" t="str">
        <x:f>IF(AND(AS$5&gt;=$C82,AS$5&lt;=$D82,$A82&lt;&gt;""),"●","")</x:f>
      </x:c>
      <x:c r="AT82" s="165" t="str">
        <x:f>IF(AND(AT$5&gt;=$C82,AT$5&lt;=$D82,$A82&lt;&gt;""),"●","")</x:f>
      </x:c>
      <x:c r="AU82" s="165" t="str">
        <x:f>IF(AND(AU$5&gt;=$C82,AU$5&lt;=$D82,$A82&lt;&gt;""),"●","")</x:f>
      </x:c>
      <x:c r="AV82" s="165" t="str">
        <x:f>IF(AND(AV$5&gt;=$C82,AV$5&lt;=$D82,$A82&lt;&gt;""),"●","")</x:f>
      </x:c>
      <x:c r="AW82" s="165" t="str">
        <x:f>IF(AND(AW$5&gt;=$C82,AW$5&lt;=$D82,$A82&lt;&gt;""),"●","")</x:f>
      </x:c>
      <x:c r="AX82" s="165" t="str">
        <x:f>IF(AND(AX$5&gt;=$C82,AX$5&lt;=$D82,$A82&lt;&gt;""),"●","")</x:f>
      </x:c>
      <x:c r="AY82" s="165" t="str">
        <x:f>IF(AND(AY$5&gt;=$C82,AY$5&lt;=$D82,$A82&lt;&gt;""),"●","")</x:f>
      </x:c>
      <x:c r="AZ82" s="165" t="str">
        <x:f>IF(AND(AZ$5&gt;=$C82,AZ$5&lt;=$D82,$A82&lt;&gt;""),"●","")</x:f>
      </x:c>
      <x:c r="BA82" s="165" t="str">
        <x:f>IF(AND(BA$5&gt;=$C82,BA$5&lt;=$D82,$A82&lt;&gt;""),"●","")</x:f>
      </x:c>
      <x:c r="BB82" s="165" t="str">
        <x:f>IF(AND(BB$5&gt;=$C82,BB$5&lt;=$D82,$A82&lt;&gt;""),"●","")</x:f>
      </x:c>
      <x:c r="BC82" s="165" t="str">
        <x:f>IF(AND(BC$5&gt;=$C82,BC$5&lt;=$D82,$A82&lt;&gt;""),"●","")</x:f>
      </x:c>
      <x:c r="BD82" s="165" t="str">
        <x:f>IF(AND(BD$5&gt;=$C82,BD$5&lt;=$D82,$A82&lt;&gt;""),"●","")</x:f>
      </x:c>
      <x:c r="BE82" s="165" t="str">
        <x:f>IF(AND(BE$5&gt;=$C82,BE$5&lt;=$D82,$A82&lt;&gt;""),"●","")</x:f>
      </x:c>
      <x:c r="BF82" s="165" t="str">
        <x:f>IF(AND(BF$5&gt;=$C82,BF$5&lt;=$D82,$A82&lt;&gt;""),"●","")</x:f>
      </x:c>
      <x:c r="BG82" s="165" t="str">
        <x:f>IF(AND(BG$5&gt;=$C82,BG$5&lt;=$D82,$A82&lt;&gt;""),"●","")</x:f>
      </x:c>
      <x:c r="BH82" s="165" t="str">
        <x:f>IF(AND(BH$5&gt;=$C82,BH$5&lt;=$D82,$A82&lt;&gt;""),"●","")</x:f>
      </x:c>
      <x:c r="BI82" s="165" t="str">
        <x:f>IF(AND(BI$5&gt;=$C82,BI$5&lt;=$D82,$A82&lt;&gt;""),"●","")</x:f>
      </x:c>
      <x:c r="BJ82" s="165" t="str">
        <x:f>IF(AND(BJ$5&gt;=$C82,BJ$5&lt;=$D82,$A82&lt;&gt;""),"●","")</x:f>
      </x:c>
      <x:c r="BK82" s="165" t="str">
        <x:f>IF(AND(BK$5&gt;=$C82,BK$5&lt;=$D82,$A82&lt;&gt;""),"●","")</x:f>
      </x:c>
      <x:c r="BL82" s="165" t="str">
        <x:f>IF(AND(BL$5&gt;=$C82,BL$5&lt;=$D82,$A82&lt;&gt;""),"●","")</x:f>
      </x:c>
      <x:c r="BM82" s="165" t="str">
        <x:f>IF(AND(BM$5&gt;=$C82,BM$5&lt;=$D82,$A82&lt;&gt;""),"●","")</x:f>
      </x:c>
      <x:c r="BN82" s="165" t="str">
        <x:f>IF(AND(BN$5&gt;=$C82,BN$5&lt;=$D82,$A82&lt;&gt;""),"●","")</x:f>
      </x:c>
      <x:c r="BO82" s="165" t="str">
        <x:f>IF(AND(BO$5&gt;=$C82,BO$5&lt;=$D82,$A82&lt;&gt;""),"●","")</x:f>
      </x:c>
      <x:c r="BP82" s="165" t="str">
        <x:f>IF(AND(BP$5&gt;=$C82,BP$5&lt;=$D82,$A82&lt;&gt;""),"●","")</x:f>
      </x:c>
      <x:c r="BQ82" s="165" t="str">
        <x:f>IF(AND(BQ$5&gt;=$C82,BQ$5&lt;=$D82,$A82&lt;&gt;""),"●","")</x:f>
      </x:c>
      <x:c r="BR82" s="165" t="str">
        <x:f>IF(AND(BR$5&gt;=$C82,BR$5&lt;=$D82,$A82&lt;&gt;""),"●","")</x:f>
      </x:c>
      <x:c r="BS82" s="165" t="str">
        <x:f>IF(AND(BS$5&gt;=$C82,BS$5&lt;=$D82,$A82&lt;&gt;""),"●","")</x:f>
      </x:c>
      <x:c r="BT82" s="165" t="str">
        <x:f>IF(AND(BT$5&gt;=$C82,BT$5&lt;=$D82,$A82&lt;&gt;""),"●","")</x:f>
      </x:c>
      <x:c r="BU82" s="165" t="str">
        <x:f>IF(AND(BU$5&gt;=$C82,BU$5&lt;=$D82,$A82&lt;&gt;""),"●","")</x:f>
      </x:c>
      <x:c r="BV82" s="165" t="str">
        <x:f>IF(AND(BV$5&gt;=$C82,BV$5&lt;=$D82,$A82&lt;&gt;""),"●","")</x:f>
      </x:c>
      <x:c r="BW82" s="165" t="str">
        <x:f>IF(AND(BW$5&gt;=$C82,BW$5&lt;=$D82,$A82&lt;&gt;""),"●","")</x:f>
      </x:c>
    </x:row>
    <x:row r="83">
      <x:c r="A83" s="159" t="str">
        <x:f>IF('รายการสัญญา'!A83="","",'รายการสัญญา'!A83)</x:f>
      </x:c>
      <x:c r="B83" s="159" t="str">
        <x:f>IF('รายการสัญญา'!A83="","",'รายการสัญญา'!C83)</x:f>
      </x:c>
      <x:c r="C83" s="162" t="str">
        <x:f>IF('รายการสัญญา'!A83="","",'รายการสัญญา'!E83)</x:f>
      </x:c>
      <x:c r="D83" s="162" t="str">
        <x:f>IF('รายการสัญญา'!A83="","",'รายการสัญญา'!G83)</x:f>
      </x:c>
      <x:c r="E83" s="159" t="str">
        <x:f>IF('รายการสัญญา'!A83="","",'รายการสัญญา'!K83)</x:f>
      </x:c>
      <x:c r="F83" s="165" t="str">
        <x:f>IF(AND(F$5&gt;=$C83,F$5&lt;=$D83,$A83&lt;&gt;""),"●","")</x:f>
      </x:c>
      <x:c r="G83" s="165" t="str">
        <x:f>IF(AND(G$5&gt;=$C83,G$5&lt;=$D83,$A83&lt;&gt;""),"●","")</x:f>
      </x:c>
      <x:c r="H83" s="165" t="str">
        <x:f>IF(AND(H$5&gt;=$C83,H$5&lt;=$D83,$A83&lt;&gt;""),"●","")</x:f>
      </x:c>
      <x:c r="I83" s="165" t="str">
        <x:f>IF(AND(I$5&gt;=$C83,I$5&lt;=$D83,$A83&lt;&gt;""),"●","")</x:f>
      </x:c>
      <x:c r="J83" s="165" t="str">
        <x:f>IF(AND(J$5&gt;=$C83,J$5&lt;=$D83,$A83&lt;&gt;""),"●","")</x:f>
      </x:c>
      <x:c r="K83" s="165" t="str">
        <x:f>IF(AND(K$5&gt;=$C83,K$5&lt;=$D83,$A83&lt;&gt;""),"●","")</x:f>
      </x:c>
      <x:c r="L83" s="165" t="str">
        <x:f>IF(AND(L$5&gt;=$C83,L$5&lt;=$D83,$A83&lt;&gt;""),"●","")</x:f>
      </x:c>
      <x:c r="M83" s="165" t="str">
        <x:f>IF(AND(M$5&gt;=$C83,M$5&lt;=$D83,$A83&lt;&gt;""),"●","")</x:f>
      </x:c>
      <x:c r="N83" s="165" t="str">
        <x:f>IF(AND(N$5&gt;=$C83,N$5&lt;=$D83,$A83&lt;&gt;""),"●","")</x:f>
      </x:c>
      <x:c r="O83" s="165" t="str">
        <x:f>IF(AND(O$5&gt;=$C83,O$5&lt;=$D83,$A83&lt;&gt;""),"●","")</x:f>
      </x:c>
      <x:c r="P83" s="165" t="str">
        <x:f>IF(AND(P$5&gt;=$C83,P$5&lt;=$D83,$A83&lt;&gt;""),"●","")</x:f>
      </x:c>
      <x:c r="Q83" s="165" t="str">
        <x:f>IF(AND(Q$5&gt;=$C83,Q$5&lt;=$D83,$A83&lt;&gt;""),"●","")</x:f>
      </x:c>
      <x:c r="R83" s="165" t="str">
        <x:f>IF(AND(R$5&gt;=$C83,R$5&lt;=$D83,$A83&lt;&gt;""),"●","")</x:f>
      </x:c>
      <x:c r="S83" s="165" t="str">
        <x:f>IF(AND(S$5&gt;=$C83,S$5&lt;=$D83,$A83&lt;&gt;""),"●","")</x:f>
      </x:c>
      <x:c r="T83" s="165" t="str">
        <x:f>IF(AND(T$5&gt;=$C83,T$5&lt;=$D83,$A83&lt;&gt;""),"●","")</x:f>
      </x:c>
      <x:c r="U83" s="165" t="str">
        <x:f>IF(AND(U$5&gt;=$C83,U$5&lt;=$D83,$A83&lt;&gt;""),"●","")</x:f>
      </x:c>
      <x:c r="V83" s="165" t="str">
        <x:f>IF(AND(V$5&gt;=$C83,V$5&lt;=$D83,$A83&lt;&gt;""),"●","")</x:f>
      </x:c>
      <x:c r="W83" s="165" t="str">
        <x:f>IF(AND(W$5&gt;=$C83,W$5&lt;=$D83,$A83&lt;&gt;""),"●","")</x:f>
      </x:c>
      <x:c r="X83" s="165" t="str">
        <x:f>IF(AND(X$5&gt;=$C83,X$5&lt;=$D83,$A83&lt;&gt;""),"●","")</x:f>
      </x:c>
      <x:c r="Y83" s="165" t="str">
        <x:f>IF(AND(Y$5&gt;=$C83,Y$5&lt;=$D83,$A83&lt;&gt;""),"●","")</x:f>
      </x:c>
      <x:c r="Z83" s="165" t="str">
        <x:f>IF(AND(Z$5&gt;=$C83,Z$5&lt;=$D83,$A83&lt;&gt;""),"●","")</x:f>
      </x:c>
      <x:c r="AA83" s="165" t="str">
        <x:f>IF(AND(AA$5&gt;=$C83,AA$5&lt;=$D83,$A83&lt;&gt;""),"●","")</x:f>
      </x:c>
      <x:c r="AB83" s="165" t="str">
        <x:f>IF(AND(AB$5&gt;=$C83,AB$5&lt;=$D83,$A83&lt;&gt;""),"●","")</x:f>
      </x:c>
      <x:c r="AC83" s="165" t="str">
        <x:f>IF(AND(AC$5&gt;=$C83,AC$5&lt;=$D83,$A83&lt;&gt;""),"●","")</x:f>
      </x:c>
      <x:c r="AD83" s="165" t="str">
        <x:f>IF(AND(AD$5&gt;=$C83,AD$5&lt;=$D83,$A83&lt;&gt;""),"●","")</x:f>
      </x:c>
      <x:c r="AE83" s="165" t="str">
        <x:f>IF(AND(AE$5&gt;=$C83,AE$5&lt;=$D83,$A83&lt;&gt;""),"●","")</x:f>
      </x:c>
      <x:c r="AF83" s="165" t="str">
        <x:f>IF(AND(AF$5&gt;=$C83,AF$5&lt;=$D83,$A83&lt;&gt;""),"●","")</x:f>
      </x:c>
      <x:c r="AG83" s="165" t="str">
        <x:f>IF(AND(AG$5&gt;=$C83,AG$5&lt;=$D83,$A83&lt;&gt;""),"●","")</x:f>
      </x:c>
      <x:c r="AH83" s="165" t="str">
        <x:f>IF(AND(AH$5&gt;=$C83,AH$5&lt;=$D83,$A83&lt;&gt;""),"●","")</x:f>
      </x:c>
      <x:c r="AI83" s="165" t="str">
        <x:f>IF(AND(AI$5&gt;=$C83,AI$5&lt;=$D83,$A83&lt;&gt;""),"●","")</x:f>
      </x:c>
      <x:c r="AJ83" s="165" t="str">
        <x:f>IF(AND(AJ$5&gt;=$C83,AJ$5&lt;=$D83,$A83&lt;&gt;""),"●","")</x:f>
      </x:c>
      <x:c r="AK83" s="165" t="str">
        <x:f>IF(AND(AK$5&gt;=$C83,AK$5&lt;=$D83,$A83&lt;&gt;""),"●","")</x:f>
      </x:c>
      <x:c r="AL83" s="165" t="str">
        <x:f>IF(AND(AL$5&gt;=$C83,AL$5&lt;=$D83,$A83&lt;&gt;""),"●","")</x:f>
      </x:c>
      <x:c r="AM83" s="165" t="str">
        <x:f>IF(AND(AM$5&gt;=$C83,AM$5&lt;=$D83,$A83&lt;&gt;""),"●","")</x:f>
      </x:c>
      <x:c r="AN83" s="165" t="str">
        <x:f>IF(AND(AN$5&gt;=$C83,AN$5&lt;=$D83,$A83&lt;&gt;""),"●","")</x:f>
      </x:c>
      <x:c r="AO83" s="165" t="str">
        <x:f>IF(AND(AO$5&gt;=$C83,AO$5&lt;=$D83,$A83&lt;&gt;""),"●","")</x:f>
      </x:c>
      <x:c r="AP83" s="165" t="str">
        <x:f>IF(AND(AP$5&gt;=$C83,AP$5&lt;=$D83,$A83&lt;&gt;""),"●","")</x:f>
      </x:c>
      <x:c r="AQ83" s="165" t="str">
        <x:f>IF(AND(AQ$5&gt;=$C83,AQ$5&lt;=$D83,$A83&lt;&gt;""),"●","")</x:f>
      </x:c>
      <x:c r="AR83" s="165" t="str">
        <x:f>IF(AND(AR$5&gt;=$C83,AR$5&lt;=$D83,$A83&lt;&gt;""),"●","")</x:f>
      </x:c>
      <x:c r="AS83" s="165" t="str">
        <x:f>IF(AND(AS$5&gt;=$C83,AS$5&lt;=$D83,$A83&lt;&gt;""),"●","")</x:f>
      </x:c>
      <x:c r="AT83" s="165" t="str">
        <x:f>IF(AND(AT$5&gt;=$C83,AT$5&lt;=$D83,$A83&lt;&gt;""),"●","")</x:f>
      </x:c>
      <x:c r="AU83" s="165" t="str">
        <x:f>IF(AND(AU$5&gt;=$C83,AU$5&lt;=$D83,$A83&lt;&gt;""),"●","")</x:f>
      </x:c>
      <x:c r="AV83" s="165" t="str">
        <x:f>IF(AND(AV$5&gt;=$C83,AV$5&lt;=$D83,$A83&lt;&gt;""),"●","")</x:f>
      </x:c>
      <x:c r="AW83" s="165" t="str">
        <x:f>IF(AND(AW$5&gt;=$C83,AW$5&lt;=$D83,$A83&lt;&gt;""),"●","")</x:f>
      </x:c>
      <x:c r="AX83" s="165" t="str">
        <x:f>IF(AND(AX$5&gt;=$C83,AX$5&lt;=$D83,$A83&lt;&gt;""),"●","")</x:f>
      </x:c>
      <x:c r="AY83" s="165" t="str">
        <x:f>IF(AND(AY$5&gt;=$C83,AY$5&lt;=$D83,$A83&lt;&gt;""),"●","")</x:f>
      </x:c>
      <x:c r="AZ83" s="165" t="str">
        <x:f>IF(AND(AZ$5&gt;=$C83,AZ$5&lt;=$D83,$A83&lt;&gt;""),"●","")</x:f>
      </x:c>
      <x:c r="BA83" s="165" t="str">
        <x:f>IF(AND(BA$5&gt;=$C83,BA$5&lt;=$D83,$A83&lt;&gt;""),"●","")</x:f>
      </x:c>
      <x:c r="BB83" s="165" t="str">
        <x:f>IF(AND(BB$5&gt;=$C83,BB$5&lt;=$D83,$A83&lt;&gt;""),"●","")</x:f>
      </x:c>
      <x:c r="BC83" s="165" t="str">
        <x:f>IF(AND(BC$5&gt;=$C83,BC$5&lt;=$D83,$A83&lt;&gt;""),"●","")</x:f>
      </x:c>
      <x:c r="BD83" s="165" t="str">
        <x:f>IF(AND(BD$5&gt;=$C83,BD$5&lt;=$D83,$A83&lt;&gt;""),"●","")</x:f>
      </x:c>
      <x:c r="BE83" s="165" t="str">
        <x:f>IF(AND(BE$5&gt;=$C83,BE$5&lt;=$D83,$A83&lt;&gt;""),"●","")</x:f>
      </x:c>
      <x:c r="BF83" s="165" t="str">
        <x:f>IF(AND(BF$5&gt;=$C83,BF$5&lt;=$D83,$A83&lt;&gt;""),"●","")</x:f>
      </x:c>
      <x:c r="BG83" s="165" t="str">
        <x:f>IF(AND(BG$5&gt;=$C83,BG$5&lt;=$D83,$A83&lt;&gt;""),"●","")</x:f>
      </x:c>
      <x:c r="BH83" s="165" t="str">
        <x:f>IF(AND(BH$5&gt;=$C83,BH$5&lt;=$D83,$A83&lt;&gt;""),"●","")</x:f>
      </x:c>
      <x:c r="BI83" s="165" t="str">
        <x:f>IF(AND(BI$5&gt;=$C83,BI$5&lt;=$D83,$A83&lt;&gt;""),"●","")</x:f>
      </x:c>
      <x:c r="BJ83" s="165" t="str">
        <x:f>IF(AND(BJ$5&gt;=$C83,BJ$5&lt;=$D83,$A83&lt;&gt;""),"●","")</x:f>
      </x:c>
      <x:c r="BK83" s="165" t="str">
        <x:f>IF(AND(BK$5&gt;=$C83,BK$5&lt;=$D83,$A83&lt;&gt;""),"●","")</x:f>
      </x:c>
      <x:c r="BL83" s="165" t="str">
        <x:f>IF(AND(BL$5&gt;=$C83,BL$5&lt;=$D83,$A83&lt;&gt;""),"●","")</x:f>
      </x:c>
      <x:c r="BM83" s="165" t="str">
        <x:f>IF(AND(BM$5&gt;=$C83,BM$5&lt;=$D83,$A83&lt;&gt;""),"●","")</x:f>
      </x:c>
      <x:c r="BN83" s="165" t="str">
        <x:f>IF(AND(BN$5&gt;=$C83,BN$5&lt;=$D83,$A83&lt;&gt;""),"●","")</x:f>
      </x:c>
      <x:c r="BO83" s="165" t="str">
        <x:f>IF(AND(BO$5&gt;=$C83,BO$5&lt;=$D83,$A83&lt;&gt;""),"●","")</x:f>
      </x:c>
      <x:c r="BP83" s="165" t="str">
        <x:f>IF(AND(BP$5&gt;=$C83,BP$5&lt;=$D83,$A83&lt;&gt;""),"●","")</x:f>
      </x:c>
      <x:c r="BQ83" s="165" t="str">
        <x:f>IF(AND(BQ$5&gt;=$C83,BQ$5&lt;=$D83,$A83&lt;&gt;""),"●","")</x:f>
      </x:c>
      <x:c r="BR83" s="165" t="str">
        <x:f>IF(AND(BR$5&gt;=$C83,BR$5&lt;=$D83,$A83&lt;&gt;""),"●","")</x:f>
      </x:c>
      <x:c r="BS83" s="165" t="str">
        <x:f>IF(AND(BS$5&gt;=$C83,BS$5&lt;=$D83,$A83&lt;&gt;""),"●","")</x:f>
      </x:c>
      <x:c r="BT83" s="165" t="str">
        <x:f>IF(AND(BT$5&gt;=$C83,BT$5&lt;=$D83,$A83&lt;&gt;""),"●","")</x:f>
      </x:c>
      <x:c r="BU83" s="165" t="str">
        <x:f>IF(AND(BU$5&gt;=$C83,BU$5&lt;=$D83,$A83&lt;&gt;""),"●","")</x:f>
      </x:c>
      <x:c r="BV83" s="165" t="str">
        <x:f>IF(AND(BV$5&gt;=$C83,BV$5&lt;=$D83,$A83&lt;&gt;""),"●","")</x:f>
      </x:c>
      <x:c r="BW83" s="165" t="str">
        <x:f>IF(AND(BW$5&gt;=$C83,BW$5&lt;=$D83,$A83&lt;&gt;""),"●","")</x:f>
      </x:c>
    </x:row>
    <x:row r="84">
      <x:c r="A84" s="159" t="str">
        <x:f>IF('รายการสัญญา'!A84="","",'รายการสัญญา'!A84)</x:f>
      </x:c>
      <x:c r="B84" s="159" t="str">
        <x:f>IF('รายการสัญญา'!A84="","",'รายการสัญญา'!C84)</x:f>
      </x:c>
      <x:c r="C84" s="162" t="str">
        <x:f>IF('รายการสัญญา'!A84="","",'รายการสัญญา'!E84)</x:f>
      </x:c>
      <x:c r="D84" s="162" t="str">
        <x:f>IF('รายการสัญญา'!A84="","",'รายการสัญญา'!G84)</x:f>
      </x:c>
      <x:c r="E84" s="159" t="str">
        <x:f>IF('รายการสัญญา'!A84="","",'รายการสัญญา'!K84)</x:f>
      </x:c>
      <x:c r="F84" s="165" t="str">
        <x:f>IF(AND(F$5&gt;=$C84,F$5&lt;=$D84,$A84&lt;&gt;""),"●","")</x:f>
      </x:c>
      <x:c r="G84" s="165" t="str">
        <x:f>IF(AND(G$5&gt;=$C84,G$5&lt;=$D84,$A84&lt;&gt;""),"●","")</x:f>
      </x:c>
      <x:c r="H84" s="165" t="str">
        <x:f>IF(AND(H$5&gt;=$C84,H$5&lt;=$D84,$A84&lt;&gt;""),"●","")</x:f>
      </x:c>
      <x:c r="I84" s="165" t="str">
        <x:f>IF(AND(I$5&gt;=$C84,I$5&lt;=$D84,$A84&lt;&gt;""),"●","")</x:f>
      </x:c>
      <x:c r="J84" s="165" t="str">
        <x:f>IF(AND(J$5&gt;=$C84,J$5&lt;=$D84,$A84&lt;&gt;""),"●","")</x:f>
      </x:c>
      <x:c r="K84" s="165" t="str">
        <x:f>IF(AND(K$5&gt;=$C84,K$5&lt;=$D84,$A84&lt;&gt;""),"●","")</x:f>
      </x:c>
      <x:c r="L84" s="165" t="str">
        <x:f>IF(AND(L$5&gt;=$C84,L$5&lt;=$D84,$A84&lt;&gt;""),"●","")</x:f>
      </x:c>
      <x:c r="M84" s="165" t="str">
        <x:f>IF(AND(M$5&gt;=$C84,M$5&lt;=$D84,$A84&lt;&gt;""),"●","")</x:f>
      </x:c>
      <x:c r="N84" s="165" t="str">
        <x:f>IF(AND(N$5&gt;=$C84,N$5&lt;=$D84,$A84&lt;&gt;""),"●","")</x:f>
      </x:c>
      <x:c r="O84" s="165" t="str">
        <x:f>IF(AND(O$5&gt;=$C84,O$5&lt;=$D84,$A84&lt;&gt;""),"●","")</x:f>
      </x:c>
      <x:c r="P84" s="165" t="str">
        <x:f>IF(AND(P$5&gt;=$C84,P$5&lt;=$D84,$A84&lt;&gt;""),"●","")</x:f>
      </x:c>
      <x:c r="Q84" s="165" t="str">
        <x:f>IF(AND(Q$5&gt;=$C84,Q$5&lt;=$D84,$A84&lt;&gt;""),"●","")</x:f>
      </x:c>
      <x:c r="R84" s="165" t="str">
        <x:f>IF(AND(R$5&gt;=$C84,R$5&lt;=$D84,$A84&lt;&gt;""),"●","")</x:f>
      </x:c>
      <x:c r="S84" s="165" t="str">
        <x:f>IF(AND(S$5&gt;=$C84,S$5&lt;=$D84,$A84&lt;&gt;""),"●","")</x:f>
      </x:c>
      <x:c r="T84" s="165" t="str">
        <x:f>IF(AND(T$5&gt;=$C84,T$5&lt;=$D84,$A84&lt;&gt;""),"●","")</x:f>
      </x:c>
      <x:c r="U84" s="165" t="str">
        <x:f>IF(AND(U$5&gt;=$C84,U$5&lt;=$D84,$A84&lt;&gt;""),"●","")</x:f>
      </x:c>
      <x:c r="V84" s="165" t="str">
        <x:f>IF(AND(V$5&gt;=$C84,V$5&lt;=$D84,$A84&lt;&gt;""),"●","")</x:f>
      </x:c>
      <x:c r="W84" s="165" t="str">
        <x:f>IF(AND(W$5&gt;=$C84,W$5&lt;=$D84,$A84&lt;&gt;""),"●","")</x:f>
      </x:c>
      <x:c r="X84" s="165" t="str">
        <x:f>IF(AND(X$5&gt;=$C84,X$5&lt;=$D84,$A84&lt;&gt;""),"●","")</x:f>
      </x:c>
      <x:c r="Y84" s="165" t="str">
        <x:f>IF(AND(Y$5&gt;=$C84,Y$5&lt;=$D84,$A84&lt;&gt;""),"●","")</x:f>
      </x:c>
      <x:c r="Z84" s="165" t="str">
        <x:f>IF(AND(Z$5&gt;=$C84,Z$5&lt;=$D84,$A84&lt;&gt;""),"●","")</x:f>
      </x:c>
      <x:c r="AA84" s="165" t="str">
        <x:f>IF(AND(AA$5&gt;=$C84,AA$5&lt;=$D84,$A84&lt;&gt;""),"●","")</x:f>
      </x:c>
      <x:c r="AB84" s="165" t="str">
        <x:f>IF(AND(AB$5&gt;=$C84,AB$5&lt;=$D84,$A84&lt;&gt;""),"●","")</x:f>
      </x:c>
      <x:c r="AC84" s="165" t="str">
        <x:f>IF(AND(AC$5&gt;=$C84,AC$5&lt;=$D84,$A84&lt;&gt;""),"●","")</x:f>
      </x:c>
      <x:c r="AD84" s="165" t="str">
        <x:f>IF(AND(AD$5&gt;=$C84,AD$5&lt;=$D84,$A84&lt;&gt;""),"●","")</x:f>
      </x:c>
      <x:c r="AE84" s="165" t="str">
        <x:f>IF(AND(AE$5&gt;=$C84,AE$5&lt;=$D84,$A84&lt;&gt;""),"●","")</x:f>
      </x:c>
      <x:c r="AF84" s="165" t="str">
        <x:f>IF(AND(AF$5&gt;=$C84,AF$5&lt;=$D84,$A84&lt;&gt;""),"●","")</x:f>
      </x:c>
      <x:c r="AG84" s="165" t="str">
        <x:f>IF(AND(AG$5&gt;=$C84,AG$5&lt;=$D84,$A84&lt;&gt;""),"●","")</x:f>
      </x:c>
      <x:c r="AH84" s="165" t="str">
        <x:f>IF(AND(AH$5&gt;=$C84,AH$5&lt;=$D84,$A84&lt;&gt;""),"●","")</x:f>
      </x:c>
      <x:c r="AI84" s="165" t="str">
        <x:f>IF(AND(AI$5&gt;=$C84,AI$5&lt;=$D84,$A84&lt;&gt;""),"●","")</x:f>
      </x:c>
      <x:c r="AJ84" s="165" t="str">
        <x:f>IF(AND(AJ$5&gt;=$C84,AJ$5&lt;=$D84,$A84&lt;&gt;""),"●","")</x:f>
      </x:c>
      <x:c r="AK84" s="165" t="str">
        <x:f>IF(AND(AK$5&gt;=$C84,AK$5&lt;=$D84,$A84&lt;&gt;""),"●","")</x:f>
      </x:c>
      <x:c r="AL84" s="165" t="str">
        <x:f>IF(AND(AL$5&gt;=$C84,AL$5&lt;=$D84,$A84&lt;&gt;""),"●","")</x:f>
      </x:c>
      <x:c r="AM84" s="165" t="str">
        <x:f>IF(AND(AM$5&gt;=$C84,AM$5&lt;=$D84,$A84&lt;&gt;""),"●","")</x:f>
      </x:c>
      <x:c r="AN84" s="165" t="str">
        <x:f>IF(AND(AN$5&gt;=$C84,AN$5&lt;=$D84,$A84&lt;&gt;""),"●","")</x:f>
      </x:c>
      <x:c r="AO84" s="165" t="str">
        <x:f>IF(AND(AO$5&gt;=$C84,AO$5&lt;=$D84,$A84&lt;&gt;""),"●","")</x:f>
      </x:c>
      <x:c r="AP84" s="165" t="str">
        <x:f>IF(AND(AP$5&gt;=$C84,AP$5&lt;=$D84,$A84&lt;&gt;""),"●","")</x:f>
      </x:c>
      <x:c r="AQ84" s="165" t="str">
        <x:f>IF(AND(AQ$5&gt;=$C84,AQ$5&lt;=$D84,$A84&lt;&gt;""),"●","")</x:f>
      </x:c>
      <x:c r="AR84" s="165" t="str">
        <x:f>IF(AND(AR$5&gt;=$C84,AR$5&lt;=$D84,$A84&lt;&gt;""),"●","")</x:f>
      </x:c>
      <x:c r="AS84" s="165" t="str">
        <x:f>IF(AND(AS$5&gt;=$C84,AS$5&lt;=$D84,$A84&lt;&gt;""),"●","")</x:f>
      </x:c>
      <x:c r="AT84" s="165" t="str">
        <x:f>IF(AND(AT$5&gt;=$C84,AT$5&lt;=$D84,$A84&lt;&gt;""),"●","")</x:f>
      </x:c>
      <x:c r="AU84" s="165" t="str">
        <x:f>IF(AND(AU$5&gt;=$C84,AU$5&lt;=$D84,$A84&lt;&gt;""),"●","")</x:f>
      </x:c>
      <x:c r="AV84" s="165" t="str">
        <x:f>IF(AND(AV$5&gt;=$C84,AV$5&lt;=$D84,$A84&lt;&gt;""),"●","")</x:f>
      </x:c>
      <x:c r="AW84" s="165" t="str">
        <x:f>IF(AND(AW$5&gt;=$C84,AW$5&lt;=$D84,$A84&lt;&gt;""),"●","")</x:f>
      </x:c>
      <x:c r="AX84" s="165" t="str">
        <x:f>IF(AND(AX$5&gt;=$C84,AX$5&lt;=$D84,$A84&lt;&gt;""),"●","")</x:f>
      </x:c>
      <x:c r="AY84" s="165" t="str">
        <x:f>IF(AND(AY$5&gt;=$C84,AY$5&lt;=$D84,$A84&lt;&gt;""),"●","")</x:f>
      </x:c>
      <x:c r="AZ84" s="165" t="str">
        <x:f>IF(AND(AZ$5&gt;=$C84,AZ$5&lt;=$D84,$A84&lt;&gt;""),"●","")</x:f>
      </x:c>
      <x:c r="BA84" s="165" t="str">
        <x:f>IF(AND(BA$5&gt;=$C84,BA$5&lt;=$D84,$A84&lt;&gt;""),"●","")</x:f>
      </x:c>
      <x:c r="BB84" s="165" t="str">
        <x:f>IF(AND(BB$5&gt;=$C84,BB$5&lt;=$D84,$A84&lt;&gt;""),"●","")</x:f>
      </x:c>
      <x:c r="BC84" s="165" t="str">
        <x:f>IF(AND(BC$5&gt;=$C84,BC$5&lt;=$D84,$A84&lt;&gt;""),"●","")</x:f>
      </x:c>
      <x:c r="BD84" s="165" t="str">
        <x:f>IF(AND(BD$5&gt;=$C84,BD$5&lt;=$D84,$A84&lt;&gt;""),"●","")</x:f>
      </x:c>
      <x:c r="BE84" s="165" t="str">
        <x:f>IF(AND(BE$5&gt;=$C84,BE$5&lt;=$D84,$A84&lt;&gt;""),"●","")</x:f>
      </x:c>
      <x:c r="BF84" s="165" t="str">
        <x:f>IF(AND(BF$5&gt;=$C84,BF$5&lt;=$D84,$A84&lt;&gt;""),"●","")</x:f>
      </x:c>
      <x:c r="BG84" s="165" t="str">
        <x:f>IF(AND(BG$5&gt;=$C84,BG$5&lt;=$D84,$A84&lt;&gt;""),"●","")</x:f>
      </x:c>
      <x:c r="BH84" s="165" t="str">
        <x:f>IF(AND(BH$5&gt;=$C84,BH$5&lt;=$D84,$A84&lt;&gt;""),"●","")</x:f>
      </x:c>
      <x:c r="BI84" s="165" t="str">
        <x:f>IF(AND(BI$5&gt;=$C84,BI$5&lt;=$D84,$A84&lt;&gt;""),"●","")</x:f>
      </x:c>
      <x:c r="BJ84" s="165" t="str">
        <x:f>IF(AND(BJ$5&gt;=$C84,BJ$5&lt;=$D84,$A84&lt;&gt;""),"●","")</x:f>
      </x:c>
      <x:c r="BK84" s="165" t="str">
        <x:f>IF(AND(BK$5&gt;=$C84,BK$5&lt;=$D84,$A84&lt;&gt;""),"●","")</x:f>
      </x:c>
      <x:c r="BL84" s="165" t="str">
        <x:f>IF(AND(BL$5&gt;=$C84,BL$5&lt;=$D84,$A84&lt;&gt;""),"●","")</x:f>
      </x:c>
      <x:c r="BM84" s="165" t="str">
        <x:f>IF(AND(BM$5&gt;=$C84,BM$5&lt;=$D84,$A84&lt;&gt;""),"●","")</x:f>
      </x:c>
      <x:c r="BN84" s="165" t="str">
        <x:f>IF(AND(BN$5&gt;=$C84,BN$5&lt;=$D84,$A84&lt;&gt;""),"●","")</x:f>
      </x:c>
      <x:c r="BO84" s="165" t="str">
        <x:f>IF(AND(BO$5&gt;=$C84,BO$5&lt;=$D84,$A84&lt;&gt;""),"●","")</x:f>
      </x:c>
      <x:c r="BP84" s="165" t="str">
        <x:f>IF(AND(BP$5&gt;=$C84,BP$5&lt;=$D84,$A84&lt;&gt;""),"●","")</x:f>
      </x:c>
      <x:c r="BQ84" s="165" t="str">
        <x:f>IF(AND(BQ$5&gt;=$C84,BQ$5&lt;=$D84,$A84&lt;&gt;""),"●","")</x:f>
      </x:c>
      <x:c r="BR84" s="165" t="str">
        <x:f>IF(AND(BR$5&gt;=$C84,BR$5&lt;=$D84,$A84&lt;&gt;""),"●","")</x:f>
      </x:c>
      <x:c r="BS84" s="165" t="str">
        <x:f>IF(AND(BS$5&gt;=$C84,BS$5&lt;=$D84,$A84&lt;&gt;""),"●","")</x:f>
      </x:c>
      <x:c r="BT84" s="165" t="str">
        <x:f>IF(AND(BT$5&gt;=$C84,BT$5&lt;=$D84,$A84&lt;&gt;""),"●","")</x:f>
      </x:c>
      <x:c r="BU84" s="165" t="str">
        <x:f>IF(AND(BU$5&gt;=$C84,BU$5&lt;=$D84,$A84&lt;&gt;""),"●","")</x:f>
      </x:c>
      <x:c r="BV84" s="165" t="str">
        <x:f>IF(AND(BV$5&gt;=$C84,BV$5&lt;=$D84,$A84&lt;&gt;""),"●","")</x:f>
      </x:c>
      <x:c r="BW84" s="165" t="str">
        <x:f>IF(AND(BW$5&gt;=$C84,BW$5&lt;=$D84,$A84&lt;&gt;""),"●","")</x:f>
      </x:c>
    </x:row>
    <x:row r="85">
      <x:c r="A85" s="159" t="str">
        <x:f>IF('รายการสัญญา'!A85="","",'รายการสัญญา'!A85)</x:f>
      </x:c>
      <x:c r="B85" s="159" t="str">
        <x:f>IF('รายการสัญญา'!A85="","",'รายการสัญญา'!C85)</x:f>
      </x:c>
      <x:c r="C85" s="162" t="str">
        <x:f>IF('รายการสัญญา'!A85="","",'รายการสัญญา'!E85)</x:f>
      </x:c>
      <x:c r="D85" s="162" t="str">
        <x:f>IF('รายการสัญญา'!A85="","",'รายการสัญญา'!G85)</x:f>
      </x:c>
      <x:c r="E85" s="159" t="str">
        <x:f>IF('รายการสัญญา'!A85="","",'รายการสัญญา'!K85)</x:f>
      </x:c>
      <x:c r="F85" s="165" t="str">
        <x:f>IF(AND(F$5&gt;=$C85,F$5&lt;=$D85,$A85&lt;&gt;""),"●","")</x:f>
      </x:c>
      <x:c r="G85" s="165" t="str">
        <x:f>IF(AND(G$5&gt;=$C85,G$5&lt;=$D85,$A85&lt;&gt;""),"●","")</x:f>
      </x:c>
      <x:c r="H85" s="165" t="str">
        <x:f>IF(AND(H$5&gt;=$C85,H$5&lt;=$D85,$A85&lt;&gt;""),"●","")</x:f>
      </x:c>
      <x:c r="I85" s="165" t="str">
        <x:f>IF(AND(I$5&gt;=$C85,I$5&lt;=$D85,$A85&lt;&gt;""),"●","")</x:f>
      </x:c>
      <x:c r="J85" s="165" t="str">
        <x:f>IF(AND(J$5&gt;=$C85,J$5&lt;=$D85,$A85&lt;&gt;""),"●","")</x:f>
      </x:c>
      <x:c r="K85" s="165" t="str">
        <x:f>IF(AND(K$5&gt;=$C85,K$5&lt;=$D85,$A85&lt;&gt;""),"●","")</x:f>
      </x:c>
      <x:c r="L85" s="165" t="str">
        <x:f>IF(AND(L$5&gt;=$C85,L$5&lt;=$D85,$A85&lt;&gt;""),"●","")</x:f>
      </x:c>
      <x:c r="M85" s="165" t="str">
        <x:f>IF(AND(M$5&gt;=$C85,M$5&lt;=$D85,$A85&lt;&gt;""),"●","")</x:f>
      </x:c>
      <x:c r="N85" s="165" t="str">
        <x:f>IF(AND(N$5&gt;=$C85,N$5&lt;=$D85,$A85&lt;&gt;""),"●","")</x:f>
      </x:c>
      <x:c r="O85" s="165" t="str">
        <x:f>IF(AND(O$5&gt;=$C85,O$5&lt;=$D85,$A85&lt;&gt;""),"●","")</x:f>
      </x:c>
      <x:c r="P85" s="165" t="str">
        <x:f>IF(AND(P$5&gt;=$C85,P$5&lt;=$D85,$A85&lt;&gt;""),"●","")</x:f>
      </x:c>
      <x:c r="Q85" s="165" t="str">
        <x:f>IF(AND(Q$5&gt;=$C85,Q$5&lt;=$D85,$A85&lt;&gt;""),"●","")</x:f>
      </x:c>
      <x:c r="R85" s="165" t="str">
        <x:f>IF(AND(R$5&gt;=$C85,R$5&lt;=$D85,$A85&lt;&gt;""),"●","")</x:f>
      </x:c>
      <x:c r="S85" s="165" t="str">
        <x:f>IF(AND(S$5&gt;=$C85,S$5&lt;=$D85,$A85&lt;&gt;""),"●","")</x:f>
      </x:c>
      <x:c r="T85" s="165" t="str">
        <x:f>IF(AND(T$5&gt;=$C85,T$5&lt;=$D85,$A85&lt;&gt;""),"●","")</x:f>
      </x:c>
      <x:c r="U85" s="165" t="str">
        <x:f>IF(AND(U$5&gt;=$C85,U$5&lt;=$D85,$A85&lt;&gt;""),"●","")</x:f>
      </x:c>
      <x:c r="V85" s="165" t="str">
        <x:f>IF(AND(V$5&gt;=$C85,V$5&lt;=$D85,$A85&lt;&gt;""),"●","")</x:f>
      </x:c>
      <x:c r="W85" s="165" t="str">
        <x:f>IF(AND(W$5&gt;=$C85,W$5&lt;=$D85,$A85&lt;&gt;""),"●","")</x:f>
      </x:c>
      <x:c r="X85" s="165" t="str">
        <x:f>IF(AND(X$5&gt;=$C85,X$5&lt;=$D85,$A85&lt;&gt;""),"●","")</x:f>
      </x:c>
      <x:c r="Y85" s="165" t="str">
        <x:f>IF(AND(Y$5&gt;=$C85,Y$5&lt;=$D85,$A85&lt;&gt;""),"●","")</x:f>
      </x:c>
      <x:c r="Z85" s="165" t="str">
        <x:f>IF(AND(Z$5&gt;=$C85,Z$5&lt;=$D85,$A85&lt;&gt;""),"●","")</x:f>
      </x:c>
      <x:c r="AA85" s="165" t="str">
        <x:f>IF(AND(AA$5&gt;=$C85,AA$5&lt;=$D85,$A85&lt;&gt;""),"●","")</x:f>
      </x:c>
      <x:c r="AB85" s="165" t="str">
        <x:f>IF(AND(AB$5&gt;=$C85,AB$5&lt;=$D85,$A85&lt;&gt;""),"●","")</x:f>
      </x:c>
      <x:c r="AC85" s="165" t="str">
        <x:f>IF(AND(AC$5&gt;=$C85,AC$5&lt;=$D85,$A85&lt;&gt;""),"●","")</x:f>
      </x:c>
      <x:c r="AD85" s="165" t="str">
        <x:f>IF(AND(AD$5&gt;=$C85,AD$5&lt;=$D85,$A85&lt;&gt;""),"●","")</x:f>
      </x:c>
      <x:c r="AE85" s="165" t="str">
        <x:f>IF(AND(AE$5&gt;=$C85,AE$5&lt;=$D85,$A85&lt;&gt;""),"●","")</x:f>
      </x:c>
      <x:c r="AF85" s="165" t="str">
        <x:f>IF(AND(AF$5&gt;=$C85,AF$5&lt;=$D85,$A85&lt;&gt;""),"●","")</x:f>
      </x:c>
      <x:c r="AG85" s="165" t="str">
        <x:f>IF(AND(AG$5&gt;=$C85,AG$5&lt;=$D85,$A85&lt;&gt;""),"●","")</x:f>
      </x:c>
      <x:c r="AH85" s="165" t="str">
        <x:f>IF(AND(AH$5&gt;=$C85,AH$5&lt;=$D85,$A85&lt;&gt;""),"●","")</x:f>
      </x:c>
      <x:c r="AI85" s="165" t="str">
        <x:f>IF(AND(AI$5&gt;=$C85,AI$5&lt;=$D85,$A85&lt;&gt;""),"●","")</x:f>
      </x:c>
      <x:c r="AJ85" s="165" t="str">
        <x:f>IF(AND(AJ$5&gt;=$C85,AJ$5&lt;=$D85,$A85&lt;&gt;""),"●","")</x:f>
      </x:c>
      <x:c r="AK85" s="165" t="str">
        <x:f>IF(AND(AK$5&gt;=$C85,AK$5&lt;=$D85,$A85&lt;&gt;""),"●","")</x:f>
      </x:c>
      <x:c r="AL85" s="165" t="str">
        <x:f>IF(AND(AL$5&gt;=$C85,AL$5&lt;=$D85,$A85&lt;&gt;""),"●","")</x:f>
      </x:c>
      <x:c r="AM85" s="165" t="str">
        <x:f>IF(AND(AM$5&gt;=$C85,AM$5&lt;=$D85,$A85&lt;&gt;""),"●","")</x:f>
      </x:c>
      <x:c r="AN85" s="165" t="str">
        <x:f>IF(AND(AN$5&gt;=$C85,AN$5&lt;=$D85,$A85&lt;&gt;""),"●","")</x:f>
      </x:c>
      <x:c r="AO85" s="165" t="str">
        <x:f>IF(AND(AO$5&gt;=$C85,AO$5&lt;=$D85,$A85&lt;&gt;""),"●","")</x:f>
      </x:c>
      <x:c r="AP85" s="165" t="str">
        <x:f>IF(AND(AP$5&gt;=$C85,AP$5&lt;=$D85,$A85&lt;&gt;""),"●","")</x:f>
      </x:c>
      <x:c r="AQ85" s="165" t="str">
        <x:f>IF(AND(AQ$5&gt;=$C85,AQ$5&lt;=$D85,$A85&lt;&gt;""),"●","")</x:f>
      </x:c>
      <x:c r="AR85" s="165" t="str">
        <x:f>IF(AND(AR$5&gt;=$C85,AR$5&lt;=$D85,$A85&lt;&gt;""),"●","")</x:f>
      </x:c>
      <x:c r="AS85" s="165" t="str">
        <x:f>IF(AND(AS$5&gt;=$C85,AS$5&lt;=$D85,$A85&lt;&gt;""),"●","")</x:f>
      </x:c>
      <x:c r="AT85" s="165" t="str">
        <x:f>IF(AND(AT$5&gt;=$C85,AT$5&lt;=$D85,$A85&lt;&gt;""),"●","")</x:f>
      </x:c>
      <x:c r="AU85" s="165" t="str">
        <x:f>IF(AND(AU$5&gt;=$C85,AU$5&lt;=$D85,$A85&lt;&gt;""),"●","")</x:f>
      </x:c>
      <x:c r="AV85" s="165" t="str">
        <x:f>IF(AND(AV$5&gt;=$C85,AV$5&lt;=$D85,$A85&lt;&gt;""),"●","")</x:f>
      </x:c>
      <x:c r="AW85" s="165" t="str">
        <x:f>IF(AND(AW$5&gt;=$C85,AW$5&lt;=$D85,$A85&lt;&gt;""),"●","")</x:f>
      </x:c>
      <x:c r="AX85" s="165" t="str">
        <x:f>IF(AND(AX$5&gt;=$C85,AX$5&lt;=$D85,$A85&lt;&gt;""),"●","")</x:f>
      </x:c>
      <x:c r="AY85" s="165" t="str">
        <x:f>IF(AND(AY$5&gt;=$C85,AY$5&lt;=$D85,$A85&lt;&gt;""),"●","")</x:f>
      </x:c>
      <x:c r="AZ85" s="165" t="str">
        <x:f>IF(AND(AZ$5&gt;=$C85,AZ$5&lt;=$D85,$A85&lt;&gt;""),"●","")</x:f>
      </x:c>
      <x:c r="BA85" s="165" t="str">
        <x:f>IF(AND(BA$5&gt;=$C85,BA$5&lt;=$D85,$A85&lt;&gt;""),"●","")</x:f>
      </x:c>
      <x:c r="BB85" s="165" t="str">
        <x:f>IF(AND(BB$5&gt;=$C85,BB$5&lt;=$D85,$A85&lt;&gt;""),"●","")</x:f>
      </x:c>
      <x:c r="BC85" s="165" t="str">
        <x:f>IF(AND(BC$5&gt;=$C85,BC$5&lt;=$D85,$A85&lt;&gt;""),"●","")</x:f>
      </x:c>
      <x:c r="BD85" s="165" t="str">
        <x:f>IF(AND(BD$5&gt;=$C85,BD$5&lt;=$D85,$A85&lt;&gt;""),"●","")</x:f>
      </x:c>
      <x:c r="BE85" s="165" t="str">
        <x:f>IF(AND(BE$5&gt;=$C85,BE$5&lt;=$D85,$A85&lt;&gt;""),"●","")</x:f>
      </x:c>
      <x:c r="BF85" s="165" t="str">
        <x:f>IF(AND(BF$5&gt;=$C85,BF$5&lt;=$D85,$A85&lt;&gt;""),"●","")</x:f>
      </x:c>
      <x:c r="BG85" s="165" t="str">
        <x:f>IF(AND(BG$5&gt;=$C85,BG$5&lt;=$D85,$A85&lt;&gt;""),"●","")</x:f>
      </x:c>
      <x:c r="BH85" s="165" t="str">
        <x:f>IF(AND(BH$5&gt;=$C85,BH$5&lt;=$D85,$A85&lt;&gt;""),"●","")</x:f>
      </x:c>
      <x:c r="BI85" s="165" t="str">
        <x:f>IF(AND(BI$5&gt;=$C85,BI$5&lt;=$D85,$A85&lt;&gt;""),"●","")</x:f>
      </x:c>
      <x:c r="BJ85" s="165" t="str">
        <x:f>IF(AND(BJ$5&gt;=$C85,BJ$5&lt;=$D85,$A85&lt;&gt;""),"●","")</x:f>
      </x:c>
      <x:c r="BK85" s="165" t="str">
        <x:f>IF(AND(BK$5&gt;=$C85,BK$5&lt;=$D85,$A85&lt;&gt;""),"●","")</x:f>
      </x:c>
      <x:c r="BL85" s="165" t="str">
        <x:f>IF(AND(BL$5&gt;=$C85,BL$5&lt;=$D85,$A85&lt;&gt;""),"●","")</x:f>
      </x:c>
      <x:c r="BM85" s="165" t="str">
        <x:f>IF(AND(BM$5&gt;=$C85,BM$5&lt;=$D85,$A85&lt;&gt;""),"●","")</x:f>
      </x:c>
      <x:c r="BN85" s="165" t="str">
        <x:f>IF(AND(BN$5&gt;=$C85,BN$5&lt;=$D85,$A85&lt;&gt;""),"●","")</x:f>
      </x:c>
      <x:c r="BO85" s="165" t="str">
        <x:f>IF(AND(BO$5&gt;=$C85,BO$5&lt;=$D85,$A85&lt;&gt;""),"●","")</x:f>
      </x:c>
      <x:c r="BP85" s="165" t="str">
        <x:f>IF(AND(BP$5&gt;=$C85,BP$5&lt;=$D85,$A85&lt;&gt;""),"●","")</x:f>
      </x:c>
      <x:c r="BQ85" s="165" t="str">
        <x:f>IF(AND(BQ$5&gt;=$C85,BQ$5&lt;=$D85,$A85&lt;&gt;""),"●","")</x:f>
      </x:c>
      <x:c r="BR85" s="165" t="str">
        <x:f>IF(AND(BR$5&gt;=$C85,BR$5&lt;=$D85,$A85&lt;&gt;""),"●","")</x:f>
      </x:c>
      <x:c r="BS85" s="165" t="str">
        <x:f>IF(AND(BS$5&gt;=$C85,BS$5&lt;=$D85,$A85&lt;&gt;""),"●","")</x:f>
      </x:c>
      <x:c r="BT85" s="165" t="str">
        <x:f>IF(AND(BT$5&gt;=$C85,BT$5&lt;=$D85,$A85&lt;&gt;""),"●","")</x:f>
      </x:c>
      <x:c r="BU85" s="165" t="str">
        <x:f>IF(AND(BU$5&gt;=$C85,BU$5&lt;=$D85,$A85&lt;&gt;""),"●","")</x:f>
      </x:c>
      <x:c r="BV85" s="165" t="str">
        <x:f>IF(AND(BV$5&gt;=$C85,BV$5&lt;=$D85,$A85&lt;&gt;""),"●","")</x:f>
      </x:c>
      <x:c r="BW85" s="165" t="str">
        <x:f>IF(AND(BW$5&gt;=$C85,BW$5&lt;=$D85,$A85&lt;&gt;""),"●","")</x:f>
      </x:c>
    </x:row>
    <x:row r="86">
      <x:c r="A86" s="159" t="str">
        <x:f>IF('รายการสัญญา'!A86="","",'รายการสัญญา'!A86)</x:f>
      </x:c>
      <x:c r="B86" s="159" t="str">
        <x:f>IF('รายการสัญญา'!A86="","",'รายการสัญญา'!C86)</x:f>
      </x:c>
      <x:c r="C86" s="162" t="str">
        <x:f>IF('รายการสัญญา'!A86="","",'รายการสัญญา'!E86)</x:f>
      </x:c>
      <x:c r="D86" s="162" t="str">
        <x:f>IF('รายการสัญญา'!A86="","",'รายการสัญญา'!G86)</x:f>
      </x:c>
      <x:c r="E86" s="159" t="str">
        <x:f>IF('รายการสัญญา'!A86="","",'รายการสัญญา'!K86)</x:f>
      </x:c>
      <x:c r="F86" s="165" t="str">
        <x:f>IF(AND(F$5&gt;=$C86,F$5&lt;=$D86,$A86&lt;&gt;""),"●","")</x:f>
      </x:c>
      <x:c r="G86" s="165" t="str">
        <x:f>IF(AND(G$5&gt;=$C86,G$5&lt;=$D86,$A86&lt;&gt;""),"●","")</x:f>
      </x:c>
      <x:c r="H86" s="165" t="str">
        <x:f>IF(AND(H$5&gt;=$C86,H$5&lt;=$D86,$A86&lt;&gt;""),"●","")</x:f>
      </x:c>
      <x:c r="I86" s="165" t="str">
        <x:f>IF(AND(I$5&gt;=$C86,I$5&lt;=$D86,$A86&lt;&gt;""),"●","")</x:f>
      </x:c>
      <x:c r="J86" s="165" t="str">
        <x:f>IF(AND(J$5&gt;=$C86,J$5&lt;=$D86,$A86&lt;&gt;""),"●","")</x:f>
      </x:c>
      <x:c r="K86" s="165" t="str">
        <x:f>IF(AND(K$5&gt;=$C86,K$5&lt;=$D86,$A86&lt;&gt;""),"●","")</x:f>
      </x:c>
      <x:c r="L86" s="165" t="str">
        <x:f>IF(AND(L$5&gt;=$C86,L$5&lt;=$D86,$A86&lt;&gt;""),"●","")</x:f>
      </x:c>
      <x:c r="M86" s="165" t="str">
        <x:f>IF(AND(M$5&gt;=$C86,M$5&lt;=$D86,$A86&lt;&gt;""),"●","")</x:f>
      </x:c>
      <x:c r="N86" s="165" t="str">
        <x:f>IF(AND(N$5&gt;=$C86,N$5&lt;=$D86,$A86&lt;&gt;""),"●","")</x:f>
      </x:c>
      <x:c r="O86" s="165" t="str">
        <x:f>IF(AND(O$5&gt;=$C86,O$5&lt;=$D86,$A86&lt;&gt;""),"●","")</x:f>
      </x:c>
      <x:c r="P86" s="165" t="str">
        <x:f>IF(AND(P$5&gt;=$C86,P$5&lt;=$D86,$A86&lt;&gt;""),"●","")</x:f>
      </x:c>
      <x:c r="Q86" s="165" t="str">
        <x:f>IF(AND(Q$5&gt;=$C86,Q$5&lt;=$D86,$A86&lt;&gt;""),"●","")</x:f>
      </x:c>
      <x:c r="R86" s="165" t="str">
        <x:f>IF(AND(R$5&gt;=$C86,R$5&lt;=$D86,$A86&lt;&gt;""),"●","")</x:f>
      </x:c>
      <x:c r="S86" s="165" t="str">
        <x:f>IF(AND(S$5&gt;=$C86,S$5&lt;=$D86,$A86&lt;&gt;""),"●","")</x:f>
      </x:c>
      <x:c r="T86" s="165" t="str">
        <x:f>IF(AND(T$5&gt;=$C86,T$5&lt;=$D86,$A86&lt;&gt;""),"●","")</x:f>
      </x:c>
      <x:c r="U86" s="165" t="str">
        <x:f>IF(AND(U$5&gt;=$C86,U$5&lt;=$D86,$A86&lt;&gt;""),"●","")</x:f>
      </x:c>
      <x:c r="V86" s="165" t="str">
        <x:f>IF(AND(V$5&gt;=$C86,V$5&lt;=$D86,$A86&lt;&gt;""),"●","")</x:f>
      </x:c>
      <x:c r="W86" s="165" t="str">
        <x:f>IF(AND(W$5&gt;=$C86,W$5&lt;=$D86,$A86&lt;&gt;""),"●","")</x:f>
      </x:c>
      <x:c r="X86" s="165" t="str">
        <x:f>IF(AND(X$5&gt;=$C86,X$5&lt;=$D86,$A86&lt;&gt;""),"●","")</x:f>
      </x:c>
      <x:c r="Y86" s="165" t="str">
        <x:f>IF(AND(Y$5&gt;=$C86,Y$5&lt;=$D86,$A86&lt;&gt;""),"●","")</x:f>
      </x:c>
      <x:c r="Z86" s="165" t="str">
        <x:f>IF(AND(Z$5&gt;=$C86,Z$5&lt;=$D86,$A86&lt;&gt;""),"●","")</x:f>
      </x:c>
      <x:c r="AA86" s="165" t="str">
        <x:f>IF(AND(AA$5&gt;=$C86,AA$5&lt;=$D86,$A86&lt;&gt;""),"●","")</x:f>
      </x:c>
      <x:c r="AB86" s="165" t="str">
        <x:f>IF(AND(AB$5&gt;=$C86,AB$5&lt;=$D86,$A86&lt;&gt;""),"●","")</x:f>
      </x:c>
      <x:c r="AC86" s="165" t="str">
        <x:f>IF(AND(AC$5&gt;=$C86,AC$5&lt;=$D86,$A86&lt;&gt;""),"●","")</x:f>
      </x:c>
      <x:c r="AD86" s="165" t="str">
        <x:f>IF(AND(AD$5&gt;=$C86,AD$5&lt;=$D86,$A86&lt;&gt;""),"●","")</x:f>
      </x:c>
      <x:c r="AE86" s="165" t="str">
        <x:f>IF(AND(AE$5&gt;=$C86,AE$5&lt;=$D86,$A86&lt;&gt;""),"●","")</x:f>
      </x:c>
      <x:c r="AF86" s="165" t="str">
        <x:f>IF(AND(AF$5&gt;=$C86,AF$5&lt;=$D86,$A86&lt;&gt;""),"●","")</x:f>
      </x:c>
      <x:c r="AG86" s="165" t="str">
        <x:f>IF(AND(AG$5&gt;=$C86,AG$5&lt;=$D86,$A86&lt;&gt;""),"●","")</x:f>
      </x:c>
      <x:c r="AH86" s="165" t="str">
        <x:f>IF(AND(AH$5&gt;=$C86,AH$5&lt;=$D86,$A86&lt;&gt;""),"●","")</x:f>
      </x:c>
      <x:c r="AI86" s="165" t="str">
        <x:f>IF(AND(AI$5&gt;=$C86,AI$5&lt;=$D86,$A86&lt;&gt;""),"●","")</x:f>
      </x:c>
      <x:c r="AJ86" s="165" t="str">
        <x:f>IF(AND(AJ$5&gt;=$C86,AJ$5&lt;=$D86,$A86&lt;&gt;""),"●","")</x:f>
      </x:c>
      <x:c r="AK86" s="165" t="str">
        <x:f>IF(AND(AK$5&gt;=$C86,AK$5&lt;=$D86,$A86&lt;&gt;""),"●","")</x:f>
      </x:c>
      <x:c r="AL86" s="165" t="str">
        <x:f>IF(AND(AL$5&gt;=$C86,AL$5&lt;=$D86,$A86&lt;&gt;""),"●","")</x:f>
      </x:c>
      <x:c r="AM86" s="165" t="str">
        <x:f>IF(AND(AM$5&gt;=$C86,AM$5&lt;=$D86,$A86&lt;&gt;""),"●","")</x:f>
      </x:c>
      <x:c r="AN86" s="165" t="str">
        <x:f>IF(AND(AN$5&gt;=$C86,AN$5&lt;=$D86,$A86&lt;&gt;""),"●","")</x:f>
      </x:c>
      <x:c r="AO86" s="165" t="str">
        <x:f>IF(AND(AO$5&gt;=$C86,AO$5&lt;=$D86,$A86&lt;&gt;""),"●","")</x:f>
      </x:c>
      <x:c r="AP86" s="165" t="str">
        <x:f>IF(AND(AP$5&gt;=$C86,AP$5&lt;=$D86,$A86&lt;&gt;""),"●","")</x:f>
      </x:c>
      <x:c r="AQ86" s="165" t="str">
        <x:f>IF(AND(AQ$5&gt;=$C86,AQ$5&lt;=$D86,$A86&lt;&gt;""),"●","")</x:f>
      </x:c>
      <x:c r="AR86" s="165" t="str">
        <x:f>IF(AND(AR$5&gt;=$C86,AR$5&lt;=$D86,$A86&lt;&gt;""),"●","")</x:f>
      </x:c>
      <x:c r="AS86" s="165" t="str">
        <x:f>IF(AND(AS$5&gt;=$C86,AS$5&lt;=$D86,$A86&lt;&gt;""),"●","")</x:f>
      </x:c>
      <x:c r="AT86" s="165" t="str">
        <x:f>IF(AND(AT$5&gt;=$C86,AT$5&lt;=$D86,$A86&lt;&gt;""),"●","")</x:f>
      </x:c>
      <x:c r="AU86" s="165" t="str">
        <x:f>IF(AND(AU$5&gt;=$C86,AU$5&lt;=$D86,$A86&lt;&gt;""),"●","")</x:f>
      </x:c>
      <x:c r="AV86" s="165" t="str">
        <x:f>IF(AND(AV$5&gt;=$C86,AV$5&lt;=$D86,$A86&lt;&gt;""),"●","")</x:f>
      </x:c>
      <x:c r="AW86" s="165" t="str">
        <x:f>IF(AND(AW$5&gt;=$C86,AW$5&lt;=$D86,$A86&lt;&gt;""),"●","")</x:f>
      </x:c>
      <x:c r="AX86" s="165" t="str">
        <x:f>IF(AND(AX$5&gt;=$C86,AX$5&lt;=$D86,$A86&lt;&gt;""),"●","")</x:f>
      </x:c>
      <x:c r="AY86" s="165" t="str">
        <x:f>IF(AND(AY$5&gt;=$C86,AY$5&lt;=$D86,$A86&lt;&gt;""),"●","")</x:f>
      </x:c>
      <x:c r="AZ86" s="165" t="str">
        <x:f>IF(AND(AZ$5&gt;=$C86,AZ$5&lt;=$D86,$A86&lt;&gt;""),"●","")</x:f>
      </x:c>
      <x:c r="BA86" s="165" t="str">
        <x:f>IF(AND(BA$5&gt;=$C86,BA$5&lt;=$D86,$A86&lt;&gt;""),"●","")</x:f>
      </x:c>
      <x:c r="BB86" s="165" t="str">
        <x:f>IF(AND(BB$5&gt;=$C86,BB$5&lt;=$D86,$A86&lt;&gt;""),"●","")</x:f>
      </x:c>
      <x:c r="BC86" s="165" t="str">
        <x:f>IF(AND(BC$5&gt;=$C86,BC$5&lt;=$D86,$A86&lt;&gt;""),"●","")</x:f>
      </x:c>
      <x:c r="BD86" s="165" t="str">
        <x:f>IF(AND(BD$5&gt;=$C86,BD$5&lt;=$D86,$A86&lt;&gt;""),"●","")</x:f>
      </x:c>
      <x:c r="BE86" s="165" t="str">
        <x:f>IF(AND(BE$5&gt;=$C86,BE$5&lt;=$D86,$A86&lt;&gt;""),"●","")</x:f>
      </x:c>
      <x:c r="BF86" s="165" t="str">
        <x:f>IF(AND(BF$5&gt;=$C86,BF$5&lt;=$D86,$A86&lt;&gt;""),"●","")</x:f>
      </x:c>
      <x:c r="BG86" s="165" t="str">
        <x:f>IF(AND(BG$5&gt;=$C86,BG$5&lt;=$D86,$A86&lt;&gt;""),"●","")</x:f>
      </x:c>
      <x:c r="BH86" s="165" t="str">
        <x:f>IF(AND(BH$5&gt;=$C86,BH$5&lt;=$D86,$A86&lt;&gt;""),"●","")</x:f>
      </x:c>
      <x:c r="BI86" s="165" t="str">
        <x:f>IF(AND(BI$5&gt;=$C86,BI$5&lt;=$D86,$A86&lt;&gt;""),"●","")</x:f>
      </x:c>
      <x:c r="BJ86" s="165" t="str">
        <x:f>IF(AND(BJ$5&gt;=$C86,BJ$5&lt;=$D86,$A86&lt;&gt;""),"●","")</x:f>
      </x:c>
      <x:c r="BK86" s="165" t="str">
        <x:f>IF(AND(BK$5&gt;=$C86,BK$5&lt;=$D86,$A86&lt;&gt;""),"●","")</x:f>
      </x:c>
      <x:c r="BL86" s="165" t="str">
        <x:f>IF(AND(BL$5&gt;=$C86,BL$5&lt;=$D86,$A86&lt;&gt;""),"●","")</x:f>
      </x:c>
      <x:c r="BM86" s="165" t="str">
        <x:f>IF(AND(BM$5&gt;=$C86,BM$5&lt;=$D86,$A86&lt;&gt;""),"●","")</x:f>
      </x:c>
      <x:c r="BN86" s="165" t="str">
        <x:f>IF(AND(BN$5&gt;=$C86,BN$5&lt;=$D86,$A86&lt;&gt;""),"●","")</x:f>
      </x:c>
      <x:c r="BO86" s="165" t="str">
        <x:f>IF(AND(BO$5&gt;=$C86,BO$5&lt;=$D86,$A86&lt;&gt;""),"●","")</x:f>
      </x:c>
      <x:c r="BP86" s="165" t="str">
        <x:f>IF(AND(BP$5&gt;=$C86,BP$5&lt;=$D86,$A86&lt;&gt;""),"●","")</x:f>
      </x:c>
      <x:c r="BQ86" s="165" t="str">
        <x:f>IF(AND(BQ$5&gt;=$C86,BQ$5&lt;=$D86,$A86&lt;&gt;""),"●","")</x:f>
      </x:c>
      <x:c r="BR86" s="165" t="str">
        <x:f>IF(AND(BR$5&gt;=$C86,BR$5&lt;=$D86,$A86&lt;&gt;""),"●","")</x:f>
      </x:c>
      <x:c r="BS86" s="165" t="str">
        <x:f>IF(AND(BS$5&gt;=$C86,BS$5&lt;=$D86,$A86&lt;&gt;""),"●","")</x:f>
      </x:c>
      <x:c r="BT86" s="165" t="str">
        <x:f>IF(AND(BT$5&gt;=$C86,BT$5&lt;=$D86,$A86&lt;&gt;""),"●","")</x:f>
      </x:c>
      <x:c r="BU86" s="165" t="str">
        <x:f>IF(AND(BU$5&gt;=$C86,BU$5&lt;=$D86,$A86&lt;&gt;""),"●","")</x:f>
      </x:c>
      <x:c r="BV86" s="165" t="str">
        <x:f>IF(AND(BV$5&gt;=$C86,BV$5&lt;=$D86,$A86&lt;&gt;""),"●","")</x:f>
      </x:c>
      <x:c r="BW86" s="165" t="str">
        <x:f>IF(AND(BW$5&gt;=$C86,BW$5&lt;=$D86,$A86&lt;&gt;""),"●","")</x:f>
      </x:c>
    </x:row>
    <x:row r="87">
      <x:c r="A87" s="159" t="str">
        <x:f>IF('รายการสัญญา'!A87="","",'รายการสัญญา'!A87)</x:f>
      </x:c>
      <x:c r="B87" s="159" t="str">
        <x:f>IF('รายการสัญญา'!A87="","",'รายการสัญญา'!C87)</x:f>
      </x:c>
      <x:c r="C87" s="162" t="str">
        <x:f>IF('รายการสัญญา'!A87="","",'รายการสัญญา'!E87)</x:f>
      </x:c>
      <x:c r="D87" s="162" t="str">
        <x:f>IF('รายการสัญญา'!A87="","",'รายการสัญญา'!G87)</x:f>
      </x:c>
      <x:c r="E87" s="159" t="str">
        <x:f>IF('รายการสัญญา'!A87="","",'รายการสัญญา'!K87)</x:f>
      </x:c>
      <x:c r="F87" s="165" t="str">
        <x:f>IF(AND(F$5&gt;=$C87,F$5&lt;=$D87,$A87&lt;&gt;""),"●","")</x:f>
      </x:c>
      <x:c r="G87" s="165" t="str">
        <x:f>IF(AND(G$5&gt;=$C87,G$5&lt;=$D87,$A87&lt;&gt;""),"●","")</x:f>
      </x:c>
      <x:c r="H87" s="165" t="str">
        <x:f>IF(AND(H$5&gt;=$C87,H$5&lt;=$D87,$A87&lt;&gt;""),"●","")</x:f>
      </x:c>
      <x:c r="I87" s="165" t="str">
        <x:f>IF(AND(I$5&gt;=$C87,I$5&lt;=$D87,$A87&lt;&gt;""),"●","")</x:f>
      </x:c>
      <x:c r="J87" s="165" t="str">
        <x:f>IF(AND(J$5&gt;=$C87,J$5&lt;=$D87,$A87&lt;&gt;""),"●","")</x:f>
      </x:c>
      <x:c r="K87" s="165" t="str">
        <x:f>IF(AND(K$5&gt;=$C87,K$5&lt;=$D87,$A87&lt;&gt;""),"●","")</x:f>
      </x:c>
      <x:c r="L87" s="165" t="str">
        <x:f>IF(AND(L$5&gt;=$C87,L$5&lt;=$D87,$A87&lt;&gt;""),"●","")</x:f>
      </x:c>
      <x:c r="M87" s="165" t="str">
        <x:f>IF(AND(M$5&gt;=$C87,M$5&lt;=$D87,$A87&lt;&gt;""),"●","")</x:f>
      </x:c>
      <x:c r="N87" s="165" t="str">
        <x:f>IF(AND(N$5&gt;=$C87,N$5&lt;=$D87,$A87&lt;&gt;""),"●","")</x:f>
      </x:c>
      <x:c r="O87" s="165" t="str">
        <x:f>IF(AND(O$5&gt;=$C87,O$5&lt;=$D87,$A87&lt;&gt;""),"●","")</x:f>
      </x:c>
      <x:c r="P87" s="165" t="str">
        <x:f>IF(AND(P$5&gt;=$C87,P$5&lt;=$D87,$A87&lt;&gt;""),"●","")</x:f>
      </x:c>
      <x:c r="Q87" s="165" t="str">
        <x:f>IF(AND(Q$5&gt;=$C87,Q$5&lt;=$D87,$A87&lt;&gt;""),"●","")</x:f>
      </x:c>
      <x:c r="R87" s="165" t="str">
        <x:f>IF(AND(R$5&gt;=$C87,R$5&lt;=$D87,$A87&lt;&gt;""),"●","")</x:f>
      </x:c>
      <x:c r="S87" s="165" t="str">
        <x:f>IF(AND(S$5&gt;=$C87,S$5&lt;=$D87,$A87&lt;&gt;""),"●","")</x:f>
      </x:c>
      <x:c r="T87" s="165" t="str">
        <x:f>IF(AND(T$5&gt;=$C87,T$5&lt;=$D87,$A87&lt;&gt;""),"●","")</x:f>
      </x:c>
      <x:c r="U87" s="165" t="str">
        <x:f>IF(AND(U$5&gt;=$C87,U$5&lt;=$D87,$A87&lt;&gt;""),"●","")</x:f>
      </x:c>
      <x:c r="V87" s="165" t="str">
        <x:f>IF(AND(V$5&gt;=$C87,V$5&lt;=$D87,$A87&lt;&gt;""),"●","")</x:f>
      </x:c>
      <x:c r="W87" s="165" t="str">
        <x:f>IF(AND(W$5&gt;=$C87,W$5&lt;=$D87,$A87&lt;&gt;""),"●","")</x:f>
      </x:c>
      <x:c r="X87" s="165" t="str">
        <x:f>IF(AND(X$5&gt;=$C87,X$5&lt;=$D87,$A87&lt;&gt;""),"●","")</x:f>
      </x:c>
      <x:c r="Y87" s="165" t="str">
        <x:f>IF(AND(Y$5&gt;=$C87,Y$5&lt;=$D87,$A87&lt;&gt;""),"●","")</x:f>
      </x:c>
      <x:c r="Z87" s="165" t="str">
        <x:f>IF(AND(Z$5&gt;=$C87,Z$5&lt;=$D87,$A87&lt;&gt;""),"●","")</x:f>
      </x:c>
      <x:c r="AA87" s="165" t="str">
        <x:f>IF(AND(AA$5&gt;=$C87,AA$5&lt;=$D87,$A87&lt;&gt;""),"●","")</x:f>
      </x:c>
      <x:c r="AB87" s="165" t="str">
        <x:f>IF(AND(AB$5&gt;=$C87,AB$5&lt;=$D87,$A87&lt;&gt;""),"●","")</x:f>
      </x:c>
      <x:c r="AC87" s="165" t="str">
        <x:f>IF(AND(AC$5&gt;=$C87,AC$5&lt;=$D87,$A87&lt;&gt;""),"●","")</x:f>
      </x:c>
      <x:c r="AD87" s="165" t="str">
        <x:f>IF(AND(AD$5&gt;=$C87,AD$5&lt;=$D87,$A87&lt;&gt;""),"●","")</x:f>
      </x:c>
      <x:c r="AE87" s="165" t="str">
        <x:f>IF(AND(AE$5&gt;=$C87,AE$5&lt;=$D87,$A87&lt;&gt;""),"●","")</x:f>
      </x:c>
      <x:c r="AF87" s="165" t="str">
        <x:f>IF(AND(AF$5&gt;=$C87,AF$5&lt;=$D87,$A87&lt;&gt;""),"●","")</x:f>
      </x:c>
      <x:c r="AG87" s="165" t="str">
        <x:f>IF(AND(AG$5&gt;=$C87,AG$5&lt;=$D87,$A87&lt;&gt;""),"●","")</x:f>
      </x:c>
      <x:c r="AH87" s="165" t="str">
        <x:f>IF(AND(AH$5&gt;=$C87,AH$5&lt;=$D87,$A87&lt;&gt;""),"●","")</x:f>
      </x:c>
      <x:c r="AI87" s="165" t="str">
        <x:f>IF(AND(AI$5&gt;=$C87,AI$5&lt;=$D87,$A87&lt;&gt;""),"●","")</x:f>
      </x:c>
      <x:c r="AJ87" s="165" t="str">
        <x:f>IF(AND(AJ$5&gt;=$C87,AJ$5&lt;=$D87,$A87&lt;&gt;""),"●","")</x:f>
      </x:c>
      <x:c r="AK87" s="165" t="str">
        <x:f>IF(AND(AK$5&gt;=$C87,AK$5&lt;=$D87,$A87&lt;&gt;""),"●","")</x:f>
      </x:c>
      <x:c r="AL87" s="165" t="str">
        <x:f>IF(AND(AL$5&gt;=$C87,AL$5&lt;=$D87,$A87&lt;&gt;""),"●","")</x:f>
      </x:c>
      <x:c r="AM87" s="165" t="str">
        <x:f>IF(AND(AM$5&gt;=$C87,AM$5&lt;=$D87,$A87&lt;&gt;""),"●","")</x:f>
      </x:c>
      <x:c r="AN87" s="165" t="str">
        <x:f>IF(AND(AN$5&gt;=$C87,AN$5&lt;=$D87,$A87&lt;&gt;""),"●","")</x:f>
      </x:c>
      <x:c r="AO87" s="165" t="str">
        <x:f>IF(AND(AO$5&gt;=$C87,AO$5&lt;=$D87,$A87&lt;&gt;""),"●","")</x:f>
      </x:c>
      <x:c r="AP87" s="165" t="str">
        <x:f>IF(AND(AP$5&gt;=$C87,AP$5&lt;=$D87,$A87&lt;&gt;""),"●","")</x:f>
      </x:c>
      <x:c r="AQ87" s="165" t="str">
        <x:f>IF(AND(AQ$5&gt;=$C87,AQ$5&lt;=$D87,$A87&lt;&gt;""),"●","")</x:f>
      </x:c>
      <x:c r="AR87" s="165" t="str">
        <x:f>IF(AND(AR$5&gt;=$C87,AR$5&lt;=$D87,$A87&lt;&gt;""),"●","")</x:f>
      </x:c>
      <x:c r="AS87" s="165" t="str">
        <x:f>IF(AND(AS$5&gt;=$C87,AS$5&lt;=$D87,$A87&lt;&gt;""),"●","")</x:f>
      </x:c>
      <x:c r="AT87" s="165" t="str">
        <x:f>IF(AND(AT$5&gt;=$C87,AT$5&lt;=$D87,$A87&lt;&gt;""),"●","")</x:f>
      </x:c>
      <x:c r="AU87" s="165" t="str">
        <x:f>IF(AND(AU$5&gt;=$C87,AU$5&lt;=$D87,$A87&lt;&gt;""),"●","")</x:f>
      </x:c>
      <x:c r="AV87" s="165" t="str">
        <x:f>IF(AND(AV$5&gt;=$C87,AV$5&lt;=$D87,$A87&lt;&gt;""),"●","")</x:f>
      </x:c>
      <x:c r="AW87" s="165" t="str">
        <x:f>IF(AND(AW$5&gt;=$C87,AW$5&lt;=$D87,$A87&lt;&gt;""),"●","")</x:f>
      </x:c>
      <x:c r="AX87" s="165" t="str">
        <x:f>IF(AND(AX$5&gt;=$C87,AX$5&lt;=$D87,$A87&lt;&gt;""),"●","")</x:f>
      </x:c>
      <x:c r="AY87" s="165" t="str">
        <x:f>IF(AND(AY$5&gt;=$C87,AY$5&lt;=$D87,$A87&lt;&gt;""),"●","")</x:f>
      </x:c>
      <x:c r="AZ87" s="165" t="str">
        <x:f>IF(AND(AZ$5&gt;=$C87,AZ$5&lt;=$D87,$A87&lt;&gt;""),"●","")</x:f>
      </x:c>
      <x:c r="BA87" s="165" t="str">
        <x:f>IF(AND(BA$5&gt;=$C87,BA$5&lt;=$D87,$A87&lt;&gt;""),"●","")</x:f>
      </x:c>
      <x:c r="BB87" s="165" t="str">
        <x:f>IF(AND(BB$5&gt;=$C87,BB$5&lt;=$D87,$A87&lt;&gt;""),"●","")</x:f>
      </x:c>
      <x:c r="BC87" s="165" t="str">
        <x:f>IF(AND(BC$5&gt;=$C87,BC$5&lt;=$D87,$A87&lt;&gt;""),"●","")</x:f>
      </x:c>
      <x:c r="BD87" s="165" t="str">
        <x:f>IF(AND(BD$5&gt;=$C87,BD$5&lt;=$D87,$A87&lt;&gt;""),"●","")</x:f>
      </x:c>
      <x:c r="BE87" s="165" t="str">
        <x:f>IF(AND(BE$5&gt;=$C87,BE$5&lt;=$D87,$A87&lt;&gt;""),"●","")</x:f>
      </x:c>
      <x:c r="BF87" s="165" t="str">
        <x:f>IF(AND(BF$5&gt;=$C87,BF$5&lt;=$D87,$A87&lt;&gt;""),"●","")</x:f>
      </x:c>
      <x:c r="BG87" s="165" t="str">
        <x:f>IF(AND(BG$5&gt;=$C87,BG$5&lt;=$D87,$A87&lt;&gt;""),"●","")</x:f>
      </x:c>
      <x:c r="BH87" s="165" t="str">
        <x:f>IF(AND(BH$5&gt;=$C87,BH$5&lt;=$D87,$A87&lt;&gt;""),"●","")</x:f>
      </x:c>
      <x:c r="BI87" s="165" t="str">
        <x:f>IF(AND(BI$5&gt;=$C87,BI$5&lt;=$D87,$A87&lt;&gt;""),"●","")</x:f>
      </x:c>
      <x:c r="BJ87" s="165" t="str">
        <x:f>IF(AND(BJ$5&gt;=$C87,BJ$5&lt;=$D87,$A87&lt;&gt;""),"●","")</x:f>
      </x:c>
      <x:c r="BK87" s="165" t="str">
        <x:f>IF(AND(BK$5&gt;=$C87,BK$5&lt;=$D87,$A87&lt;&gt;""),"●","")</x:f>
      </x:c>
      <x:c r="BL87" s="165" t="str">
        <x:f>IF(AND(BL$5&gt;=$C87,BL$5&lt;=$D87,$A87&lt;&gt;""),"●","")</x:f>
      </x:c>
      <x:c r="BM87" s="165" t="str">
        <x:f>IF(AND(BM$5&gt;=$C87,BM$5&lt;=$D87,$A87&lt;&gt;""),"●","")</x:f>
      </x:c>
      <x:c r="BN87" s="165" t="str">
        <x:f>IF(AND(BN$5&gt;=$C87,BN$5&lt;=$D87,$A87&lt;&gt;""),"●","")</x:f>
      </x:c>
      <x:c r="BO87" s="165" t="str">
        <x:f>IF(AND(BO$5&gt;=$C87,BO$5&lt;=$D87,$A87&lt;&gt;""),"●","")</x:f>
      </x:c>
      <x:c r="BP87" s="165" t="str">
        <x:f>IF(AND(BP$5&gt;=$C87,BP$5&lt;=$D87,$A87&lt;&gt;""),"●","")</x:f>
      </x:c>
      <x:c r="BQ87" s="165" t="str">
        <x:f>IF(AND(BQ$5&gt;=$C87,BQ$5&lt;=$D87,$A87&lt;&gt;""),"●","")</x:f>
      </x:c>
      <x:c r="BR87" s="165" t="str">
        <x:f>IF(AND(BR$5&gt;=$C87,BR$5&lt;=$D87,$A87&lt;&gt;""),"●","")</x:f>
      </x:c>
      <x:c r="BS87" s="165" t="str">
        <x:f>IF(AND(BS$5&gt;=$C87,BS$5&lt;=$D87,$A87&lt;&gt;""),"●","")</x:f>
      </x:c>
      <x:c r="BT87" s="165" t="str">
        <x:f>IF(AND(BT$5&gt;=$C87,BT$5&lt;=$D87,$A87&lt;&gt;""),"●","")</x:f>
      </x:c>
      <x:c r="BU87" s="165" t="str">
        <x:f>IF(AND(BU$5&gt;=$C87,BU$5&lt;=$D87,$A87&lt;&gt;""),"●","")</x:f>
      </x:c>
      <x:c r="BV87" s="165" t="str">
        <x:f>IF(AND(BV$5&gt;=$C87,BV$5&lt;=$D87,$A87&lt;&gt;""),"●","")</x:f>
      </x:c>
      <x:c r="BW87" s="165" t="str">
        <x:f>IF(AND(BW$5&gt;=$C87,BW$5&lt;=$D87,$A87&lt;&gt;""),"●","")</x:f>
      </x:c>
    </x:row>
    <x:row r="88">
      <x:c r="A88" s="159" t="str">
        <x:f>IF('รายการสัญญา'!A88="","",'รายการสัญญา'!A88)</x:f>
      </x:c>
      <x:c r="B88" s="159" t="str">
        <x:f>IF('รายการสัญญา'!A88="","",'รายการสัญญา'!C88)</x:f>
      </x:c>
      <x:c r="C88" s="162" t="str">
        <x:f>IF('รายการสัญญา'!A88="","",'รายการสัญญา'!E88)</x:f>
      </x:c>
      <x:c r="D88" s="162" t="str">
        <x:f>IF('รายการสัญญา'!A88="","",'รายการสัญญา'!G88)</x:f>
      </x:c>
      <x:c r="E88" s="159" t="str">
        <x:f>IF('รายการสัญญา'!A88="","",'รายการสัญญา'!K88)</x:f>
      </x:c>
      <x:c r="F88" s="165" t="str">
        <x:f>IF(AND(F$5&gt;=$C88,F$5&lt;=$D88,$A88&lt;&gt;""),"●","")</x:f>
      </x:c>
      <x:c r="G88" s="165" t="str">
        <x:f>IF(AND(G$5&gt;=$C88,G$5&lt;=$D88,$A88&lt;&gt;""),"●","")</x:f>
      </x:c>
      <x:c r="H88" s="165" t="str">
        <x:f>IF(AND(H$5&gt;=$C88,H$5&lt;=$D88,$A88&lt;&gt;""),"●","")</x:f>
      </x:c>
      <x:c r="I88" s="165" t="str">
        <x:f>IF(AND(I$5&gt;=$C88,I$5&lt;=$D88,$A88&lt;&gt;""),"●","")</x:f>
      </x:c>
      <x:c r="J88" s="165" t="str">
        <x:f>IF(AND(J$5&gt;=$C88,J$5&lt;=$D88,$A88&lt;&gt;""),"●","")</x:f>
      </x:c>
      <x:c r="K88" s="165" t="str">
        <x:f>IF(AND(K$5&gt;=$C88,K$5&lt;=$D88,$A88&lt;&gt;""),"●","")</x:f>
      </x:c>
      <x:c r="L88" s="165" t="str">
        <x:f>IF(AND(L$5&gt;=$C88,L$5&lt;=$D88,$A88&lt;&gt;""),"●","")</x:f>
      </x:c>
      <x:c r="M88" s="165" t="str">
        <x:f>IF(AND(M$5&gt;=$C88,M$5&lt;=$D88,$A88&lt;&gt;""),"●","")</x:f>
      </x:c>
      <x:c r="N88" s="165" t="str">
        <x:f>IF(AND(N$5&gt;=$C88,N$5&lt;=$D88,$A88&lt;&gt;""),"●","")</x:f>
      </x:c>
      <x:c r="O88" s="165" t="str">
        <x:f>IF(AND(O$5&gt;=$C88,O$5&lt;=$D88,$A88&lt;&gt;""),"●","")</x:f>
      </x:c>
      <x:c r="P88" s="165" t="str">
        <x:f>IF(AND(P$5&gt;=$C88,P$5&lt;=$D88,$A88&lt;&gt;""),"●","")</x:f>
      </x:c>
      <x:c r="Q88" s="165" t="str">
        <x:f>IF(AND(Q$5&gt;=$C88,Q$5&lt;=$D88,$A88&lt;&gt;""),"●","")</x:f>
      </x:c>
      <x:c r="R88" s="165" t="str">
        <x:f>IF(AND(R$5&gt;=$C88,R$5&lt;=$D88,$A88&lt;&gt;""),"●","")</x:f>
      </x:c>
      <x:c r="S88" s="165" t="str">
        <x:f>IF(AND(S$5&gt;=$C88,S$5&lt;=$D88,$A88&lt;&gt;""),"●","")</x:f>
      </x:c>
      <x:c r="T88" s="165" t="str">
        <x:f>IF(AND(T$5&gt;=$C88,T$5&lt;=$D88,$A88&lt;&gt;""),"●","")</x:f>
      </x:c>
      <x:c r="U88" s="165" t="str">
        <x:f>IF(AND(U$5&gt;=$C88,U$5&lt;=$D88,$A88&lt;&gt;""),"●","")</x:f>
      </x:c>
      <x:c r="V88" s="165" t="str">
        <x:f>IF(AND(V$5&gt;=$C88,V$5&lt;=$D88,$A88&lt;&gt;""),"●","")</x:f>
      </x:c>
      <x:c r="W88" s="165" t="str">
        <x:f>IF(AND(W$5&gt;=$C88,W$5&lt;=$D88,$A88&lt;&gt;""),"●","")</x:f>
      </x:c>
      <x:c r="X88" s="165" t="str">
        <x:f>IF(AND(X$5&gt;=$C88,X$5&lt;=$D88,$A88&lt;&gt;""),"●","")</x:f>
      </x:c>
      <x:c r="Y88" s="165" t="str">
        <x:f>IF(AND(Y$5&gt;=$C88,Y$5&lt;=$D88,$A88&lt;&gt;""),"●","")</x:f>
      </x:c>
      <x:c r="Z88" s="165" t="str">
        <x:f>IF(AND(Z$5&gt;=$C88,Z$5&lt;=$D88,$A88&lt;&gt;""),"●","")</x:f>
      </x:c>
      <x:c r="AA88" s="165" t="str">
        <x:f>IF(AND(AA$5&gt;=$C88,AA$5&lt;=$D88,$A88&lt;&gt;""),"●","")</x:f>
      </x:c>
      <x:c r="AB88" s="165" t="str">
        <x:f>IF(AND(AB$5&gt;=$C88,AB$5&lt;=$D88,$A88&lt;&gt;""),"●","")</x:f>
      </x:c>
      <x:c r="AC88" s="165" t="str">
        <x:f>IF(AND(AC$5&gt;=$C88,AC$5&lt;=$D88,$A88&lt;&gt;""),"●","")</x:f>
      </x:c>
      <x:c r="AD88" s="165" t="str">
        <x:f>IF(AND(AD$5&gt;=$C88,AD$5&lt;=$D88,$A88&lt;&gt;""),"●","")</x:f>
      </x:c>
      <x:c r="AE88" s="165" t="str">
        <x:f>IF(AND(AE$5&gt;=$C88,AE$5&lt;=$D88,$A88&lt;&gt;""),"●","")</x:f>
      </x:c>
      <x:c r="AF88" s="165" t="str">
        <x:f>IF(AND(AF$5&gt;=$C88,AF$5&lt;=$D88,$A88&lt;&gt;""),"●","")</x:f>
      </x:c>
      <x:c r="AG88" s="165" t="str">
        <x:f>IF(AND(AG$5&gt;=$C88,AG$5&lt;=$D88,$A88&lt;&gt;""),"●","")</x:f>
      </x:c>
      <x:c r="AH88" s="165" t="str">
        <x:f>IF(AND(AH$5&gt;=$C88,AH$5&lt;=$D88,$A88&lt;&gt;""),"●","")</x:f>
      </x:c>
      <x:c r="AI88" s="165" t="str">
        <x:f>IF(AND(AI$5&gt;=$C88,AI$5&lt;=$D88,$A88&lt;&gt;""),"●","")</x:f>
      </x:c>
      <x:c r="AJ88" s="165" t="str">
        <x:f>IF(AND(AJ$5&gt;=$C88,AJ$5&lt;=$D88,$A88&lt;&gt;""),"●","")</x:f>
      </x:c>
      <x:c r="AK88" s="165" t="str">
        <x:f>IF(AND(AK$5&gt;=$C88,AK$5&lt;=$D88,$A88&lt;&gt;""),"●","")</x:f>
      </x:c>
      <x:c r="AL88" s="165" t="str">
        <x:f>IF(AND(AL$5&gt;=$C88,AL$5&lt;=$D88,$A88&lt;&gt;""),"●","")</x:f>
      </x:c>
      <x:c r="AM88" s="165" t="str">
        <x:f>IF(AND(AM$5&gt;=$C88,AM$5&lt;=$D88,$A88&lt;&gt;""),"●","")</x:f>
      </x:c>
      <x:c r="AN88" s="165" t="str">
        <x:f>IF(AND(AN$5&gt;=$C88,AN$5&lt;=$D88,$A88&lt;&gt;""),"●","")</x:f>
      </x:c>
      <x:c r="AO88" s="165" t="str">
        <x:f>IF(AND(AO$5&gt;=$C88,AO$5&lt;=$D88,$A88&lt;&gt;""),"●","")</x:f>
      </x:c>
      <x:c r="AP88" s="165" t="str">
        <x:f>IF(AND(AP$5&gt;=$C88,AP$5&lt;=$D88,$A88&lt;&gt;""),"●","")</x:f>
      </x:c>
      <x:c r="AQ88" s="165" t="str">
        <x:f>IF(AND(AQ$5&gt;=$C88,AQ$5&lt;=$D88,$A88&lt;&gt;""),"●","")</x:f>
      </x:c>
      <x:c r="AR88" s="165" t="str">
        <x:f>IF(AND(AR$5&gt;=$C88,AR$5&lt;=$D88,$A88&lt;&gt;""),"●","")</x:f>
      </x:c>
      <x:c r="AS88" s="165" t="str">
        <x:f>IF(AND(AS$5&gt;=$C88,AS$5&lt;=$D88,$A88&lt;&gt;""),"●","")</x:f>
      </x:c>
      <x:c r="AT88" s="165" t="str">
        <x:f>IF(AND(AT$5&gt;=$C88,AT$5&lt;=$D88,$A88&lt;&gt;""),"●","")</x:f>
      </x:c>
      <x:c r="AU88" s="165" t="str">
        <x:f>IF(AND(AU$5&gt;=$C88,AU$5&lt;=$D88,$A88&lt;&gt;""),"●","")</x:f>
      </x:c>
      <x:c r="AV88" s="165" t="str">
        <x:f>IF(AND(AV$5&gt;=$C88,AV$5&lt;=$D88,$A88&lt;&gt;""),"●","")</x:f>
      </x:c>
      <x:c r="AW88" s="165" t="str">
        <x:f>IF(AND(AW$5&gt;=$C88,AW$5&lt;=$D88,$A88&lt;&gt;""),"●","")</x:f>
      </x:c>
      <x:c r="AX88" s="165" t="str">
        <x:f>IF(AND(AX$5&gt;=$C88,AX$5&lt;=$D88,$A88&lt;&gt;""),"●","")</x:f>
      </x:c>
      <x:c r="AY88" s="165" t="str">
        <x:f>IF(AND(AY$5&gt;=$C88,AY$5&lt;=$D88,$A88&lt;&gt;""),"●","")</x:f>
      </x:c>
      <x:c r="AZ88" s="165" t="str">
        <x:f>IF(AND(AZ$5&gt;=$C88,AZ$5&lt;=$D88,$A88&lt;&gt;""),"●","")</x:f>
      </x:c>
      <x:c r="BA88" s="165" t="str">
        <x:f>IF(AND(BA$5&gt;=$C88,BA$5&lt;=$D88,$A88&lt;&gt;""),"●","")</x:f>
      </x:c>
      <x:c r="BB88" s="165" t="str">
        <x:f>IF(AND(BB$5&gt;=$C88,BB$5&lt;=$D88,$A88&lt;&gt;""),"●","")</x:f>
      </x:c>
      <x:c r="BC88" s="165" t="str">
        <x:f>IF(AND(BC$5&gt;=$C88,BC$5&lt;=$D88,$A88&lt;&gt;""),"●","")</x:f>
      </x:c>
      <x:c r="BD88" s="165" t="str">
        <x:f>IF(AND(BD$5&gt;=$C88,BD$5&lt;=$D88,$A88&lt;&gt;""),"●","")</x:f>
      </x:c>
      <x:c r="BE88" s="165" t="str">
        <x:f>IF(AND(BE$5&gt;=$C88,BE$5&lt;=$D88,$A88&lt;&gt;""),"●","")</x:f>
      </x:c>
      <x:c r="BF88" s="165" t="str">
        <x:f>IF(AND(BF$5&gt;=$C88,BF$5&lt;=$D88,$A88&lt;&gt;""),"●","")</x:f>
      </x:c>
      <x:c r="BG88" s="165" t="str">
        <x:f>IF(AND(BG$5&gt;=$C88,BG$5&lt;=$D88,$A88&lt;&gt;""),"●","")</x:f>
      </x:c>
      <x:c r="BH88" s="165" t="str">
        <x:f>IF(AND(BH$5&gt;=$C88,BH$5&lt;=$D88,$A88&lt;&gt;""),"●","")</x:f>
      </x:c>
      <x:c r="BI88" s="165" t="str">
        <x:f>IF(AND(BI$5&gt;=$C88,BI$5&lt;=$D88,$A88&lt;&gt;""),"●","")</x:f>
      </x:c>
      <x:c r="BJ88" s="165" t="str">
        <x:f>IF(AND(BJ$5&gt;=$C88,BJ$5&lt;=$D88,$A88&lt;&gt;""),"●","")</x:f>
      </x:c>
      <x:c r="BK88" s="165" t="str">
        <x:f>IF(AND(BK$5&gt;=$C88,BK$5&lt;=$D88,$A88&lt;&gt;""),"●","")</x:f>
      </x:c>
      <x:c r="BL88" s="165" t="str">
        <x:f>IF(AND(BL$5&gt;=$C88,BL$5&lt;=$D88,$A88&lt;&gt;""),"●","")</x:f>
      </x:c>
      <x:c r="BM88" s="165" t="str">
        <x:f>IF(AND(BM$5&gt;=$C88,BM$5&lt;=$D88,$A88&lt;&gt;""),"●","")</x:f>
      </x:c>
      <x:c r="BN88" s="165" t="str">
        <x:f>IF(AND(BN$5&gt;=$C88,BN$5&lt;=$D88,$A88&lt;&gt;""),"●","")</x:f>
      </x:c>
      <x:c r="BO88" s="165" t="str">
        <x:f>IF(AND(BO$5&gt;=$C88,BO$5&lt;=$D88,$A88&lt;&gt;""),"●","")</x:f>
      </x:c>
      <x:c r="BP88" s="165" t="str">
        <x:f>IF(AND(BP$5&gt;=$C88,BP$5&lt;=$D88,$A88&lt;&gt;""),"●","")</x:f>
      </x:c>
      <x:c r="BQ88" s="165" t="str">
        <x:f>IF(AND(BQ$5&gt;=$C88,BQ$5&lt;=$D88,$A88&lt;&gt;""),"●","")</x:f>
      </x:c>
      <x:c r="BR88" s="165" t="str">
        <x:f>IF(AND(BR$5&gt;=$C88,BR$5&lt;=$D88,$A88&lt;&gt;""),"●","")</x:f>
      </x:c>
      <x:c r="BS88" s="165" t="str">
        <x:f>IF(AND(BS$5&gt;=$C88,BS$5&lt;=$D88,$A88&lt;&gt;""),"●","")</x:f>
      </x:c>
      <x:c r="BT88" s="165" t="str">
        <x:f>IF(AND(BT$5&gt;=$C88,BT$5&lt;=$D88,$A88&lt;&gt;""),"●","")</x:f>
      </x:c>
      <x:c r="BU88" s="165" t="str">
        <x:f>IF(AND(BU$5&gt;=$C88,BU$5&lt;=$D88,$A88&lt;&gt;""),"●","")</x:f>
      </x:c>
      <x:c r="BV88" s="165" t="str">
        <x:f>IF(AND(BV$5&gt;=$C88,BV$5&lt;=$D88,$A88&lt;&gt;""),"●","")</x:f>
      </x:c>
      <x:c r="BW88" s="165" t="str">
        <x:f>IF(AND(BW$5&gt;=$C88,BW$5&lt;=$D88,$A88&lt;&gt;""),"●","")</x:f>
      </x:c>
    </x:row>
    <x:row r="89">
      <x:c r="A89" s="159" t="str">
        <x:f>IF('รายการสัญญา'!A89="","",'รายการสัญญา'!A89)</x:f>
      </x:c>
      <x:c r="B89" s="159" t="str">
        <x:f>IF('รายการสัญญา'!A89="","",'รายการสัญญา'!C89)</x:f>
      </x:c>
      <x:c r="C89" s="162" t="str">
        <x:f>IF('รายการสัญญา'!A89="","",'รายการสัญญา'!E89)</x:f>
      </x:c>
      <x:c r="D89" s="162" t="str">
        <x:f>IF('รายการสัญญา'!A89="","",'รายการสัญญา'!G89)</x:f>
      </x:c>
      <x:c r="E89" s="159" t="str">
        <x:f>IF('รายการสัญญา'!A89="","",'รายการสัญญา'!K89)</x:f>
      </x:c>
      <x:c r="F89" s="165" t="str">
        <x:f>IF(AND(F$5&gt;=$C89,F$5&lt;=$D89,$A89&lt;&gt;""),"●","")</x:f>
      </x:c>
      <x:c r="G89" s="165" t="str">
        <x:f>IF(AND(G$5&gt;=$C89,G$5&lt;=$D89,$A89&lt;&gt;""),"●","")</x:f>
      </x:c>
      <x:c r="H89" s="165" t="str">
        <x:f>IF(AND(H$5&gt;=$C89,H$5&lt;=$D89,$A89&lt;&gt;""),"●","")</x:f>
      </x:c>
      <x:c r="I89" s="165" t="str">
        <x:f>IF(AND(I$5&gt;=$C89,I$5&lt;=$D89,$A89&lt;&gt;""),"●","")</x:f>
      </x:c>
      <x:c r="J89" s="165" t="str">
        <x:f>IF(AND(J$5&gt;=$C89,J$5&lt;=$D89,$A89&lt;&gt;""),"●","")</x:f>
      </x:c>
      <x:c r="K89" s="165" t="str">
        <x:f>IF(AND(K$5&gt;=$C89,K$5&lt;=$D89,$A89&lt;&gt;""),"●","")</x:f>
      </x:c>
      <x:c r="L89" s="165" t="str">
        <x:f>IF(AND(L$5&gt;=$C89,L$5&lt;=$D89,$A89&lt;&gt;""),"●","")</x:f>
      </x:c>
      <x:c r="M89" s="165" t="str">
        <x:f>IF(AND(M$5&gt;=$C89,M$5&lt;=$D89,$A89&lt;&gt;""),"●","")</x:f>
      </x:c>
      <x:c r="N89" s="165" t="str">
        <x:f>IF(AND(N$5&gt;=$C89,N$5&lt;=$D89,$A89&lt;&gt;""),"●","")</x:f>
      </x:c>
      <x:c r="O89" s="165" t="str">
        <x:f>IF(AND(O$5&gt;=$C89,O$5&lt;=$D89,$A89&lt;&gt;""),"●","")</x:f>
      </x:c>
      <x:c r="P89" s="165" t="str">
        <x:f>IF(AND(P$5&gt;=$C89,P$5&lt;=$D89,$A89&lt;&gt;""),"●","")</x:f>
      </x:c>
      <x:c r="Q89" s="165" t="str">
        <x:f>IF(AND(Q$5&gt;=$C89,Q$5&lt;=$D89,$A89&lt;&gt;""),"●","")</x:f>
      </x:c>
      <x:c r="R89" s="165" t="str">
        <x:f>IF(AND(R$5&gt;=$C89,R$5&lt;=$D89,$A89&lt;&gt;""),"●","")</x:f>
      </x:c>
      <x:c r="S89" s="165" t="str">
        <x:f>IF(AND(S$5&gt;=$C89,S$5&lt;=$D89,$A89&lt;&gt;""),"●","")</x:f>
      </x:c>
      <x:c r="T89" s="165" t="str">
        <x:f>IF(AND(T$5&gt;=$C89,T$5&lt;=$D89,$A89&lt;&gt;""),"●","")</x:f>
      </x:c>
      <x:c r="U89" s="165" t="str">
        <x:f>IF(AND(U$5&gt;=$C89,U$5&lt;=$D89,$A89&lt;&gt;""),"●","")</x:f>
      </x:c>
      <x:c r="V89" s="165" t="str">
        <x:f>IF(AND(V$5&gt;=$C89,V$5&lt;=$D89,$A89&lt;&gt;""),"●","")</x:f>
      </x:c>
      <x:c r="W89" s="165" t="str">
        <x:f>IF(AND(W$5&gt;=$C89,W$5&lt;=$D89,$A89&lt;&gt;""),"●","")</x:f>
      </x:c>
      <x:c r="X89" s="165" t="str">
        <x:f>IF(AND(X$5&gt;=$C89,X$5&lt;=$D89,$A89&lt;&gt;""),"●","")</x:f>
      </x:c>
      <x:c r="Y89" s="165" t="str">
        <x:f>IF(AND(Y$5&gt;=$C89,Y$5&lt;=$D89,$A89&lt;&gt;""),"●","")</x:f>
      </x:c>
      <x:c r="Z89" s="165" t="str">
        <x:f>IF(AND(Z$5&gt;=$C89,Z$5&lt;=$D89,$A89&lt;&gt;""),"●","")</x:f>
      </x:c>
      <x:c r="AA89" s="165" t="str">
        <x:f>IF(AND(AA$5&gt;=$C89,AA$5&lt;=$D89,$A89&lt;&gt;""),"●","")</x:f>
      </x:c>
      <x:c r="AB89" s="165" t="str">
        <x:f>IF(AND(AB$5&gt;=$C89,AB$5&lt;=$D89,$A89&lt;&gt;""),"●","")</x:f>
      </x:c>
      <x:c r="AC89" s="165" t="str">
        <x:f>IF(AND(AC$5&gt;=$C89,AC$5&lt;=$D89,$A89&lt;&gt;""),"●","")</x:f>
      </x:c>
      <x:c r="AD89" s="165" t="str">
        <x:f>IF(AND(AD$5&gt;=$C89,AD$5&lt;=$D89,$A89&lt;&gt;""),"●","")</x:f>
      </x:c>
      <x:c r="AE89" s="165" t="str">
        <x:f>IF(AND(AE$5&gt;=$C89,AE$5&lt;=$D89,$A89&lt;&gt;""),"●","")</x:f>
      </x:c>
      <x:c r="AF89" s="165" t="str">
        <x:f>IF(AND(AF$5&gt;=$C89,AF$5&lt;=$D89,$A89&lt;&gt;""),"●","")</x:f>
      </x:c>
      <x:c r="AG89" s="165" t="str">
        <x:f>IF(AND(AG$5&gt;=$C89,AG$5&lt;=$D89,$A89&lt;&gt;""),"●","")</x:f>
      </x:c>
      <x:c r="AH89" s="165" t="str">
        <x:f>IF(AND(AH$5&gt;=$C89,AH$5&lt;=$D89,$A89&lt;&gt;""),"●","")</x:f>
      </x:c>
      <x:c r="AI89" s="165" t="str">
        <x:f>IF(AND(AI$5&gt;=$C89,AI$5&lt;=$D89,$A89&lt;&gt;""),"●","")</x:f>
      </x:c>
      <x:c r="AJ89" s="165" t="str">
        <x:f>IF(AND(AJ$5&gt;=$C89,AJ$5&lt;=$D89,$A89&lt;&gt;""),"●","")</x:f>
      </x:c>
      <x:c r="AK89" s="165" t="str">
        <x:f>IF(AND(AK$5&gt;=$C89,AK$5&lt;=$D89,$A89&lt;&gt;""),"●","")</x:f>
      </x:c>
      <x:c r="AL89" s="165" t="str">
        <x:f>IF(AND(AL$5&gt;=$C89,AL$5&lt;=$D89,$A89&lt;&gt;""),"●","")</x:f>
      </x:c>
      <x:c r="AM89" s="165" t="str">
        <x:f>IF(AND(AM$5&gt;=$C89,AM$5&lt;=$D89,$A89&lt;&gt;""),"●","")</x:f>
      </x:c>
      <x:c r="AN89" s="165" t="str">
        <x:f>IF(AND(AN$5&gt;=$C89,AN$5&lt;=$D89,$A89&lt;&gt;""),"●","")</x:f>
      </x:c>
      <x:c r="AO89" s="165" t="str">
        <x:f>IF(AND(AO$5&gt;=$C89,AO$5&lt;=$D89,$A89&lt;&gt;""),"●","")</x:f>
      </x:c>
      <x:c r="AP89" s="165" t="str">
        <x:f>IF(AND(AP$5&gt;=$C89,AP$5&lt;=$D89,$A89&lt;&gt;""),"●","")</x:f>
      </x:c>
      <x:c r="AQ89" s="165" t="str">
        <x:f>IF(AND(AQ$5&gt;=$C89,AQ$5&lt;=$D89,$A89&lt;&gt;""),"●","")</x:f>
      </x:c>
      <x:c r="AR89" s="165" t="str">
        <x:f>IF(AND(AR$5&gt;=$C89,AR$5&lt;=$D89,$A89&lt;&gt;""),"●","")</x:f>
      </x:c>
      <x:c r="AS89" s="165" t="str">
        <x:f>IF(AND(AS$5&gt;=$C89,AS$5&lt;=$D89,$A89&lt;&gt;""),"●","")</x:f>
      </x:c>
      <x:c r="AT89" s="165" t="str">
        <x:f>IF(AND(AT$5&gt;=$C89,AT$5&lt;=$D89,$A89&lt;&gt;""),"●","")</x:f>
      </x:c>
      <x:c r="AU89" s="165" t="str">
        <x:f>IF(AND(AU$5&gt;=$C89,AU$5&lt;=$D89,$A89&lt;&gt;""),"●","")</x:f>
      </x:c>
      <x:c r="AV89" s="165" t="str">
        <x:f>IF(AND(AV$5&gt;=$C89,AV$5&lt;=$D89,$A89&lt;&gt;""),"●","")</x:f>
      </x:c>
      <x:c r="AW89" s="165" t="str">
        <x:f>IF(AND(AW$5&gt;=$C89,AW$5&lt;=$D89,$A89&lt;&gt;""),"●","")</x:f>
      </x:c>
      <x:c r="AX89" s="165" t="str">
        <x:f>IF(AND(AX$5&gt;=$C89,AX$5&lt;=$D89,$A89&lt;&gt;""),"●","")</x:f>
      </x:c>
      <x:c r="AY89" s="165" t="str">
        <x:f>IF(AND(AY$5&gt;=$C89,AY$5&lt;=$D89,$A89&lt;&gt;""),"●","")</x:f>
      </x:c>
      <x:c r="AZ89" s="165" t="str">
        <x:f>IF(AND(AZ$5&gt;=$C89,AZ$5&lt;=$D89,$A89&lt;&gt;""),"●","")</x:f>
      </x:c>
      <x:c r="BA89" s="165" t="str">
        <x:f>IF(AND(BA$5&gt;=$C89,BA$5&lt;=$D89,$A89&lt;&gt;""),"●","")</x:f>
      </x:c>
      <x:c r="BB89" s="165" t="str">
        <x:f>IF(AND(BB$5&gt;=$C89,BB$5&lt;=$D89,$A89&lt;&gt;""),"●","")</x:f>
      </x:c>
      <x:c r="BC89" s="165" t="str">
        <x:f>IF(AND(BC$5&gt;=$C89,BC$5&lt;=$D89,$A89&lt;&gt;""),"●","")</x:f>
      </x:c>
      <x:c r="BD89" s="165" t="str">
        <x:f>IF(AND(BD$5&gt;=$C89,BD$5&lt;=$D89,$A89&lt;&gt;""),"●","")</x:f>
      </x:c>
      <x:c r="BE89" s="165" t="str">
        <x:f>IF(AND(BE$5&gt;=$C89,BE$5&lt;=$D89,$A89&lt;&gt;""),"●","")</x:f>
      </x:c>
      <x:c r="BF89" s="165" t="str">
        <x:f>IF(AND(BF$5&gt;=$C89,BF$5&lt;=$D89,$A89&lt;&gt;""),"●","")</x:f>
      </x:c>
      <x:c r="BG89" s="165" t="str">
        <x:f>IF(AND(BG$5&gt;=$C89,BG$5&lt;=$D89,$A89&lt;&gt;""),"●","")</x:f>
      </x:c>
      <x:c r="BH89" s="165" t="str">
        <x:f>IF(AND(BH$5&gt;=$C89,BH$5&lt;=$D89,$A89&lt;&gt;""),"●","")</x:f>
      </x:c>
      <x:c r="BI89" s="165" t="str">
        <x:f>IF(AND(BI$5&gt;=$C89,BI$5&lt;=$D89,$A89&lt;&gt;""),"●","")</x:f>
      </x:c>
      <x:c r="BJ89" s="165" t="str">
        <x:f>IF(AND(BJ$5&gt;=$C89,BJ$5&lt;=$D89,$A89&lt;&gt;""),"●","")</x:f>
      </x:c>
      <x:c r="BK89" s="165" t="str">
        <x:f>IF(AND(BK$5&gt;=$C89,BK$5&lt;=$D89,$A89&lt;&gt;""),"●","")</x:f>
      </x:c>
      <x:c r="BL89" s="165" t="str">
        <x:f>IF(AND(BL$5&gt;=$C89,BL$5&lt;=$D89,$A89&lt;&gt;""),"●","")</x:f>
      </x:c>
      <x:c r="BM89" s="165" t="str">
        <x:f>IF(AND(BM$5&gt;=$C89,BM$5&lt;=$D89,$A89&lt;&gt;""),"●","")</x:f>
      </x:c>
      <x:c r="BN89" s="165" t="str">
        <x:f>IF(AND(BN$5&gt;=$C89,BN$5&lt;=$D89,$A89&lt;&gt;""),"●","")</x:f>
      </x:c>
      <x:c r="BO89" s="165" t="str">
        <x:f>IF(AND(BO$5&gt;=$C89,BO$5&lt;=$D89,$A89&lt;&gt;""),"●","")</x:f>
      </x:c>
      <x:c r="BP89" s="165" t="str">
        <x:f>IF(AND(BP$5&gt;=$C89,BP$5&lt;=$D89,$A89&lt;&gt;""),"●","")</x:f>
      </x:c>
      <x:c r="BQ89" s="165" t="str">
        <x:f>IF(AND(BQ$5&gt;=$C89,BQ$5&lt;=$D89,$A89&lt;&gt;""),"●","")</x:f>
      </x:c>
      <x:c r="BR89" s="165" t="str">
        <x:f>IF(AND(BR$5&gt;=$C89,BR$5&lt;=$D89,$A89&lt;&gt;""),"●","")</x:f>
      </x:c>
      <x:c r="BS89" s="165" t="str">
        <x:f>IF(AND(BS$5&gt;=$C89,BS$5&lt;=$D89,$A89&lt;&gt;""),"●","")</x:f>
      </x:c>
      <x:c r="BT89" s="165" t="str">
        <x:f>IF(AND(BT$5&gt;=$C89,BT$5&lt;=$D89,$A89&lt;&gt;""),"●","")</x:f>
      </x:c>
      <x:c r="BU89" s="165" t="str">
        <x:f>IF(AND(BU$5&gt;=$C89,BU$5&lt;=$D89,$A89&lt;&gt;""),"●","")</x:f>
      </x:c>
      <x:c r="BV89" s="165" t="str">
        <x:f>IF(AND(BV$5&gt;=$C89,BV$5&lt;=$D89,$A89&lt;&gt;""),"●","")</x:f>
      </x:c>
      <x:c r="BW89" s="165" t="str">
        <x:f>IF(AND(BW$5&gt;=$C89,BW$5&lt;=$D89,$A89&lt;&gt;""),"●","")</x:f>
      </x:c>
    </x:row>
    <x:row r="90">
      <x:c r="A90" s="159" t="str">
        <x:f>IF('รายการสัญญา'!A90="","",'รายการสัญญา'!A90)</x:f>
      </x:c>
      <x:c r="B90" s="159" t="str">
        <x:f>IF('รายการสัญญา'!A90="","",'รายการสัญญา'!C90)</x:f>
      </x:c>
      <x:c r="C90" s="162" t="str">
        <x:f>IF('รายการสัญญา'!A90="","",'รายการสัญญา'!E90)</x:f>
      </x:c>
      <x:c r="D90" s="162" t="str">
        <x:f>IF('รายการสัญญา'!A90="","",'รายการสัญญา'!G90)</x:f>
      </x:c>
      <x:c r="E90" s="159" t="str">
        <x:f>IF('รายการสัญญา'!A90="","",'รายการสัญญา'!K90)</x:f>
      </x:c>
      <x:c r="F90" s="165" t="str">
        <x:f>IF(AND(F$5&gt;=$C90,F$5&lt;=$D90,$A90&lt;&gt;""),"●","")</x:f>
      </x:c>
      <x:c r="G90" s="165" t="str">
        <x:f>IF(AND(G$5&gt;=$C90,G$5&lt;=$D90,$A90&lt;&gt;""),"●","")</x:f>
      </x:c>
      <x:c r="H90" s="165" t="str">
        <x:f>IF(AND(H$5&gt;=$C90,H$5&lt;=$D90,$A90&lt;&gt;""),"●","")</x:f>
      </x:c>
      <x:c r="I90" s="165" t="str">
        <x:f>IF(AND(I$5&gt;=$C90,I$5&lt;=$D90,$A90&lt;&gt;""),"●","")</x:f>
      </x:c>
      <x:c r="J90" s="165" t="str">
        <x:f>IF(AND(J$5&gt;=$C90,J$5&lt;=$D90,$A90&lt;&gt;""),"●","")</x:f>
      </x:c>
      <x:c r="K90" s="165" t="str">
        <x:f>IF(AND(K$5&gt;=$C90,K$5&lt;=$D90,$A90&lt;&gt;""),"●","")</x:f>
      </x:c>
      <x:c r="L90" s="165" t="str">
        <x:f>IF(AND(L$5&gt;=$C90,L$5&lt;=$D90,$A90&lt;&gt;""),"●","")</x:f>
      </x:c>
      <x:c r="M90" s="165" t="str">
        <x:f>IF(AND(M$5&gt;=$C90,M$5&lt;=$D90,$A90&lt;&gt;""),"●","")</x:f>
      </x:c>
      <x:c r="N90" s="165" t="str">
        <x:f>IF(AND(N$5&gt;=$C90,N$5&lt;=$D90,$A90&lt;&gt;""),"●","")</x:f>
      </x:c>
      <x:c r="O90" s="165" t="str">
        <x:f>IF(AND(O$5&gt;=$C90,O$5&lt;=$D90,$A90&lt;&gt;""),"●","")</x:f>
      </x:c>
      <x:c r="P90" s="165" t="str">
        <x:f>IF(AND(P$5&gt;=$C90,P$5&lt;=$D90,$A90&lt;&gt;""),"●","")</x:f>
      </x:c>
      <x:c r="Q90" s="165" t="str">
        <x:f>IF(AND(Q$5&gt;=$C90,Q$5&lt;=$D90,$A90&lt;&gt;""),"●","")</x:f>
      </x:c>
      <x:c r="R90" s="165" t="str">
        <x:f>IF(AND(R$5&gt;=$C90,R$5&lt;=$D90,$A90&lt;&gt;""),"●","")</x:f>
      </x:c>
      <x:c r="S90" s="165" t="str">
        <x:f>IF(AND(S$5&gt;=$C90,S$5&lt;=$D90,$A90&lt;&gt;""),"●","")</x:f>
      </x:c>
      <x:c r="T90" s="165" t="str">
        <x:f>IF(AND(T$5&gt;=$C90,T$5&lt;=$D90,$A90&lt;&gt;""),"●","")</x:f>
      </x:c>
      <x:c r="U90" s="165" t="str">
        <x:f>IF(AND(U$5&gt;=$C90,U$5&lt;=$D90,$A90&lt;&gt;""),"●","")</x:f>
      </x:c>
      <x:c r="V90" s="165" t="str">
        <x:f>IF(AND(V$5&gt;=$C90,V$5&lt;=$D90,$A90&lt;&gt;""),"●","")</x:f>
      </x:c>
      <x:c r="W90" s="165" t="str">
        <x:f>IF(AND(W$5&gt;=$C90,W$5&lt;=$D90,$A90&lt;&gt;""),"●","")</x:f>
      </x:c>
      <x:c r="X90" s="165" t="str">
        <x:f>IF(AND(X$5&gt;=$C90,X$5&lt;=$D90,$A90&lt;&gt;""),"●","")</x:f>
      </x:c>
      <x:c r="Y90" s="165" t="str">
        <x:f>IF(AND(Y$5&gt;=$C90,Y$5&lt;=$D90,$A90&lt;&gt;""),"●","")</x:f>
      </x:c>
      <x:c r="Z90" s="165" t="str">
        <x:f>IF(AND(Z$5&gt;=$C90,Z$5&lt;=$D90,$A90&lt;&gt;""),"●","")</x:f>
      </x:c>
      <x:c r="AA90" s="165" t="str">
        <x:f>IF(AND(AA$5&gt;=$C90,AA$5&lt;=$D90,$A90&lt;&gt;""),"●","")</x:f>
      </x:c>
      <x:c r="AB90" s="165" t="str">
        <x:f>IF(AND(AB$5&gt;=$C90,AB$5&lt;=$D90,$A90&lt;&gt;""),"●","")</x:f>
      </x:c>
      <x:c r="AC90" s="165" t="str">
        <x:f>IF(AND(AC$5&gt;=$C90,AC$5&lt;=$D90,$A90&lt;&gt;""),"●","")</x:f>
      </x:c>
      <x:c r="AD90" s="165" t="str">
        <x:f>IF(AND(AD$5&gt;=$C90,AD$5&lt;=$D90,$A90&lt;&gt;""),"●","")</x:f>
      </x:c>
      <x:c r="AE90" s="165" t="str">
        <x:f>IF(AND(AE$5&gt;=$C90,AE$5&lt;=$D90,$A90&lt;&gt;""),"●","")</x:f>
      </x:c>
      <x:c r="AF90" s="165" t="str">
        <x:f>IF(AND(AF$5&gt;=$C90,AF$5&lt;=$D90,$A90&lt;&gt;""),"●","")</x:f>
      </x:c>
      <x:c r="AG90" s="165" t="str">
        <x:f>IF(AND(AG$5&gt;=$C90,AG$5&lt;=$D90,$A90&lt;&gt;""),"●","")</x:f>
      </x:c>
      <x:c r="AH90" s="165" t="str">
        <x:f>IF(AND(AH$5&gt;=$C90,AH$5&lt;=$D90,$A90&lt;&gt;""),"●","")</x:f>
      </x:c>
      <x:c r="AI90" s="165" t="str">
        <x:f>IF(AND(AI$5&gt;=$C90,AI$5&lt;=$D90,$A90&lt;&gt;""),"●","")</x:f>
      </x:c>
      <x:c r="AJ90" s="165" t="str">
        <x:f>IF(AND(AJ$5&gt;=$C90,AJ$5&lt;=$D90,$A90&lt;&gt;""),"●","")</x:f>
      </x:c>
      <x:c r="AK90" s="165" t="str">
        <x:f>IF(AND(AK$5&gt;=$C90,AK$5&lt;=$D90,$A90&lt;&gt;""),"●","")</x:f>
      </x:c>
      <x:c r="AL90" s="165" t="str">
        <x:f>IF(AND(AL$5&gt;=$C90,AL$5&lt;=$D90,$A90&lt;&gt;""),"●","")</x:f>
      </x:c>
      <x:c r="AM90" s="165" t="str">
        <x:f>IF(AND(AM$5&gt;=$C90,AM$5&lt;=$D90,$A90&lt;&gt;""),"●","")</x:f>
      </x:c>
      <x:c r="AN90" s="165" t="str">
        <x:f>IF(AND(AN$5&gt;=$C90,AN$5&lt;=$D90,$A90&lt;&gt;""),"●","")</x:f>
      </x:c>
      <x:c r="AO90" s="165" t="str">
        <x:f>IF(AND(AO$5&gt;=$C90,AO$5&lt;=$D90,$A90&lt;&gt;""),"●","")</x:f>
      </x:c>
      <x:c r="AP90" s="165" t="str">
        <x:f>IF(AND(AP$5&gt;=$C90,AP$5&lt;=$D90,$A90&lt;&gt;""),"●","")</x:f>
      </x:c>
      <x:c r="AQ90" s="165" t="str">
        <x:f>IF(AND(AQ$5&gt;=$C90,AQ$5&lt;=$D90,$A90&lt;&gt;""),"●","")</x:f>
      </x:c>
      <x:c r="AR90" s="165" t="str">
        <x:f>IF(AND(AR$5&gt;=$C90,AR$5&lt;=$D90,$A90&lt;&gt;""),"●","")</x:f>
      </x:c>
      <x:c r="AS90" s="165" t="str">
        <x:f>IF(AND(AS$5&gt;=$C90,AS$5&lt;=$D90,$A90&lt;&gt;""),"●","")</x:f>
      </x:c>
      <x:c r="AT90" s="165" t="str">
        <x:f>IF(AND(AT$5&gt;=$C90,AT$5&lt;=$D90,$A90&lt;&gt;""),"●","")</x:f>
      </x:c>
      <x:c r="AU90" s="165" t="str">
        <x:f>IF(AND(AU$5&gt;=$C90,AU$5&lt;=$D90,$A90&lt;&gt;""),"●","")</x:f>
      </x:c>
      <x:c r="AV90" s="165" t="str">
        <x:f>IF(AND(AV$5&gt;=$C90,AV$5&lt;=$D90,$A90&lt;&gt;""),"●","")</x:f>
      </x:c>
      <x:c r="AW90" s="165" t="str">
        <x:f>IF(AND(AW$5&gt;=$C90,AW$5&lt;=$D90,$A90&lt;&gt;""),"●","")</x:f>
      </x:c>
      <x:c r="AX90" s="165" t="str">
        <x:f>IF(AND(AX$5&gt;=$C90,AX$5&lt;=$D90,$A90&lt;&gt;""),"●","")</x:f>
      </x:c>
      <x:c r="AY90" s="165" t="str">
        <x:f>IF(AND(AY$5&gt;=$C90,AY$5&lt;=$D90,$A90&lt;&gt;""),"●","")</x:f>
      </x:c>
      <x:c r="AZ90" s="165" t="str">
        <x:f>IF(AND(AZ$5&gt;=$C90,AZ$5&lt;=$D90,$A90&lt;&gt;""),"●","")</x:f>
      </x:c>
      <x:c r="BA90" s="165" t="str">
        <x:f>IF(AND(BA$5&gt;=$C90,BA$5&lt;=$D90,$A90&lt;&gt;""),"●","")</x:f>
      </x:c>
      <x:c r="BB90" s="165" t="str">
        <x:f>IF(AND(BB$5&gt;=$C90,BB$5&lt;=$D90,$A90&lt;&gt;""),"●","")</x:f>
      </x:c>
      <x:c r="BC90" s="165" t="str">
        <x:f>IF(AND(BC$5&gt;=$C90,BC$5&lt;=$D90,$A90&lt;&gt;""),"●","")</x:f>
      </x:c>
      <x:c r="BD90" s="165" t="str">
        <x:f>IF(AND(BD$5&gt;=$C90,BD$5&lt;=$D90,$A90&lt;&gt;""),"●","")</x:f>
      </x:c>
      <x:c r="BE90" s="165" t="str">
        <x:f>IF(AND(BE$5&gt;=$C90,BE$5&lt;=$D90,$A90&lt;&gt;""),"●","")</x:f>
      </x:c>
      <x:c r="BF90" s="165" t="str">
        <x:f>IF(AND(BF$5&gt;=$C90,BF$5&lt;=$D90,$A90&lt;&gt;""),"●","")</x:f>
      </x:c>
      <x:c r="BG90" s="165" t="str">
        <x:f>IF(AND(BG$5&gt;=$C90,BG$5&lt;=$D90,$A90&lt;&gt;""),"●","")</x:f>
      </x:c>
      <x:c r="BH90" s="165" t="str">
        <x:f>IF(AND(BH$5&gt;=$C90,BH$5&lt;=$D90,$A90&lt;&gt;""),"●","")</x:f>
      </x:c>
      <x:c r="BI90" s="165" t="str">
        <x:f>IF(AND(BI$5&gt;=$C90,BI$5&lt;=$D90,$A90&lt;&gt;""),"●","")</x:f>
      </x:c>
      <x:c r="BJ90" s="165" t="str">
        <x:f>IF(AND(BJ$5&gt;=$C90,BJ$5&lt;=$D90,$A90&lt;&gt;""),"●","")</x:f>
      </x:c>
      <x:c r="BK90" s="165" t="str">
        <x:f>IF(AND(BK$5&gt;=$C90,BK$5&lt;=$D90,$A90&lt;&gt;""),"●","")</x:f>
      </x:c>
      <x:c r="BL90" s="165" t="str">
        <x:f>IF(AND(BL$5&gt;=$C90,BL$5&lt;=$D90,$A90&lt;&gt;""),"●","")</x:f>
      </x:c>
      <x:c r="BM90" s="165" t="str">
        <x:f>IF(AND(BM$5&gt;=$C90,BM$5&lt;=$D90,$A90&lt;&gt;""),"●","")</x:f>
      </x:c>
      <x:c r="BN90" s="165" t="str">
        <x:f>IF(AND(BN$5&gt;=$C90,BN$5&lt;=$D90,$A90&lt;&gt;""),"●","")</x:f>
      </x:c>
      <x:c r="BO90" s="165" t="str">
        <x:f>IF(AND(BO$5&gt;=$C90,BO$5&lt;=$D90,$A90&lt;&gt;""),"●","")</x:f>
      </x:c>
      <x:c r="BP90" s="165" t="str">
        <x:f>IF(AND(BP$5&gt;=$C90,BP$5&lt;=$D90,$A90&lt;&gt;""),"●","")</x:f>
      </x:c>
      <x:c r="BQ90" s="165" t="str">
        <x:f>IF(AND(BQ$5&gt;=$C90,BQ$5&lt;=$D90,$A90&lt;&gt;""),"●","")</x:f>
      </x:c>
      <x:c r="BR90" s="165" t="str">
        <x:f>IF(AND(BR$5&gt;=$C90,BR$5&lt;=$D90,$A90&lt;&gt;""),"●","")</x:f>
      </x:c>
      <x:c r="BS90" s="165" t="str">
        <x:f>IF(AND(BS$5&gt;=$C90,BS$5&lt;=$D90,$A90&lt;&gt;""),"●","")</x:f>
      </x:c>
      <x:c r="BT90" s="165" t="str">
        <x:f>IF(AND(BT$5&gt;=$C90,BT$5&lt;=$D90,$A90&lt;&gt;""),"●","")</x:f>
      </x:c>
      <x:c r="BU90" s="165" t="str">
        <x:f>IF(AND(BU$5&gt;=$C90,BU$5&lt;=$D90,$A90&lt;&gt;""),"●","")</x:f>
      </x:c>
      <x:c r="BV90" s="165" t="str">
        <x:f>IF(AND(BV$5&gt;=$C90,BV$5&lt;=$D90,$A90&lt;&gt;""),"●","")</x:f>
      </x:c>
      <x:c r="BW90" s="165" t="str">
        <x:f>IF(AND(BW$5&gt;=$C90,BW$5&lt;=$D90,$A90&lt;&gt;""),"●","")</x:f>
      </x:c>
    </x:row>
    <x:row r="91">
      <x:c r="A91" s="159" t="str">
        <x:f>IF('รายการสัญญา'!A91="","",'รายการสัญญา'!A91)</x:f>
      </x:c>
      <x:c r="B91" s="159" t="str">
        <x:f>IF('รายการสัญญา'!A91="","",'รายการสัญญา'!C91)</x:f>
      </x:c>
      <x:c r="C91" s="162" t="str">
        <x:f>IF('รายการสัญญา'!A91="","",'รายการสัญญา'!E91)</x:f>
      </x:c>
      <x:c r="D91" s="162" t="str">
        <x:f>IF('รายการสัญญา'!A91="","",'รายการสัญญา'!G91)</x:f>
      </x:c>
      <x:c r="E91" s="159" t="str">
        <x:f>IF('รายการสัญญา'!A91="","",'รายการสัญญา'!K91)</x:f>
      </x:c>
      <x:c r="F91" s="165" t="str">
        <x:f>IF(AND(F$5&gt;=$C91,F$5&lt;=$D91,$A91&lt;&gt;""),"●","")</x:f>
      </x:c>
      <x:c r="G91" s="165" t="str">
        <x:f>IF(AND(G$5&gt;=$C91,G$5&lt;=$D91,$A91&lt;&gt;""),"●","")</x:f>
      </x:c>
      <x:c r="H91" s="165" t="str">
        <x:f>IF(AND(H$5&gt;=$C91,H$5&lt;=$D91,$A91&lt;&gt;""),"●","")</x:f>
      </x:c>
      <x:c r="I91" s="165" t="str">
        <x:f>IF(AND(I$5&gt;=$C91,I$5&lt;=$D91,$A91&lt;&gt;""),"●","")</x:f>
      </x:c>
      <x:c r="J91" s="165" t="str">
        <x:f>IF(AND(J$5&gt;=$C91,J$5&lt;=$D91,$A91&lt;&gt;""),"●","")</x:f>
      </x:c>
      <x:c r="K91" s="165" t="str">
        <x:f>IF(AND(K$5&gt;=$C91,K$5&lt;=$D91,$A91&lt;&gt;""),"●","")</x:f>
      </x:c>
      <x:c r="L91" s="165" t="str">
        <x:f>IF(AND(L$5&gt;=$C91,L$5&lt;=$D91,$A91&lt;&gt;""),"●","")</x:f>
      </x:c>
      <x:c r="M91" s="165" t="str">
        <x:f>IF(AND(M$5&gt;=$C91,M$5&lt;=$D91,$A91&lt;&gt;""),"●","")</x:f>
      </x:c>
      <x:c r="N91" s="165" t="str">
        <x:f>IF(AND(N$5&gt;=$C91,N$5&lt;=$D91,$A91&lt;&gt;""),"●","")</x:f>
      </x:c>
      <x:c r="O91" s="165" t="str">
        <x:f>IF(AND(O$5&gt;=$C91,O$5&lt;=$D91,$A91&lt;&gt;""),"●","")</x:f>
      </x:c>
      <x:c r="P91" s="165" t="str">
        <x:f>IF(AND(P$5&gt;=$C91,P$5&lt;=$D91,$A91&lt;&gt;""),"●","")</x:f>
      </x:c>
      <x:c r="Q91" s="165" t="str">
        <x:f>IF(AND(Q$5&gt;=$C91,Q$5&lt;=$D91,$A91&lt;&gt;""),"●","")</x:f>
      </x:c>
      <x:c r="R91" s="165" t="str">
        <x:f>IF(AND(R$5&gt;=$C91,R$5&lt;=$D91,$A91&lt;&gt;""),"●","")</x:f>
      </x:c>
      <x:c r="S91" s="165" t="str">
        <x:f>IF(AND(S$5&gt;=$C91,S$5&lt;=$D91,$A91&lt;&gt;""),"●","")</x:f>
      </x:c>
      <x:c r="T91" s="165" t="str">
        <x:f>IF(AND(T$5&gt;=$C91,T$5&lt;=$D91,$A91&lt;&gt;""),"●","")</x:f>
      </x:c>
      <x:c r="U91" s="165" t="str">
        <x:f>IF(AND(U$5&gt;=$C91,U$5&lt;=$D91,$A91&lt;&gt;""),"●","")</x:f>
      </x:c>
      <x:c r="V91" s="165" t="str">
        <x:f>IF(AND(V$5&gt;=$C91,V$5&lt;=$D91,$A91&lt;&gt;""),"●","")</x:f>
      </x:c>
      <x:c r="W91" s="165" t="str">
        <x:f>IF(AND(W$5&gt;=$C91,W$5&lt;=$D91,$A91&lt;&gt;""),"●","")</x:f>
      </x:c>
      <x:c r="X91" s="165" t="str">
        <x:f>IF(AND(X$5&gt;=$C91,X$5&lt;=$D91,$A91&lt;&gt;""),"●","")</x:f>
      </x:c>
      <x:c r="Y91" s="165" t="str">
        <x:f>IF(AND(Y$5&gt;=$C91,Y$5&lt;=$D91,$A91&lt;&gt;""),"●","")</x:f>
      </x:c>
      <x:c r="Z91" s="165" t="str">
        <x:f>IF(AND(Z$5&gt;=$C91,Z$5&lt;=$D91,$A91&lt;&gt;""),"●","")</x:f>
      </x:c>
      <x:c r="AA91" s="165" t="str">
        <x:f>IF(AND(AA$5&gt;=$C91,AA$5&lt;=$D91,$A91&lt;&gt;""),"●","")</x:f>
      </x:c>
      <x:c r="AB91" s="165" t="str">
        <x:f>IF(AND(AB$5&gt;=$C91,AB$5&lt;=$D91,$A91&lt;&gt;""),"●","")</x:f>
      </x:c>
      <x:c r="AC91" s="165" t="str">
        <x:f>IF(AND(AC$5&gt;=$C91,AC$5&lt;=$D91,$A91&lt;&gt;""),"●","")</x:f>
      </x:c>
      <x:c r="AD91" s="165" t="str">
        <x:f>IF(AND(AD$5&gt;=$C91,AD$5&lt;=$D91,$A91&lt;&gt;""),"●","")</x:f>
      </x:c>
      <x:c r="AE91" s="165" t="str">
        <x:f>IF(AND(AE$5&gt;=$C91,AE$5&lt;=$D91,$A91&lt;&gt;""),"●","")</x:f>
      </x:c>
      <x:c r="AF91" s="165" t="str">
        <x:f>IF(AND(AF$5&gt;=$C91,AF$5&lt;=$D91,$A91&lt;&gt;""),"●","")</x:f>
      </x:c>
      <x:c r="AG91" s="165" t="str">
        <x:f>IF(AND(AG$5&gt;=$C91,AG$5&lt;=$D91,$A91&lt;&gt;""),"●","")</x:f>
      </x:c>
      <x:c r="AH91" s="165" t="str">
        <x:f>IF(AND(AH$5&gt;=$C91,AH$5&lt;=$D91,$A91&lt;&gt;""),"●","")</x:f>
      </x:c>
      <x:c r="AI91" s="165" t="str">
        <x:f>IF(AND(AI$5&gt;=$C91,AI$5&lt;=$D91,$A91&lt;&gt;""),"●","")</x:f>
      </x:c>
      <x:c r="AJ91" s="165" t="str">
        <x:f>IF(AND(AJ$5&gt;=$C91,AJ$5&lt;=$D91,$A91&lt;&gt;""),"●","")</x:f>
      </x:c>
      <x:c r="AK91" s="165" t="str">
        <x:f>IF(AND(AK$5&gt;=$C91,AK$5&lt;=$D91,$A91&lt;&gt;""),"●","")</x:f>
      </x:c>
      <x:c r="AL91" s="165" t="str">
        <x:f>IF(AND(AL$5&gt;=$C91,AL$5&lt;=$D91,$A91&lt;&gt;""),"●","")</x:f>
      </x:c>
      <x:c r="AM91" s="165" t="str">
        <x:f>IF(AND(AM$5&gt;=$C91,AM$5&lt;=$D91,$A91&lt;&gt;""),"●","")</x:f>
      </x:c>
      <x:c r="AN91" s="165" t="str">
        <x:f>IF(AND(AN$5&gt;=$C91,AN$5&lt;=$D91,$A91&lt;&gt;""),"●","")</x:f>
      </x:c>
      <x:c r="AO91" s="165" t="str">
        <x:f>IF(AND(AO$5&gt;=$C91,AO$5&lt;=$D91,$A91&lt;&gt;""),"●","")</x:f>
      </x:c>
      <x:c r="AP91" s="165" t="str">
        <x:f>IF(AND(AP$5&gt;=$C91,AP$5&lt;=$D91,$A91&lt;&gt;""),"●","")</x:f>
      </x:c>
      <x:c r="AQ91" s="165" t="str">
        <x:f>IF(AND(AQ$5&gt;=$C91,AQ$5&lt;=$D91,$A91&lt;&gt;""),"●","")</x:f>
      </x:c>
      <x:c r="AR91" s="165" t="str">
        <x:f>IF(AND(AR$5&gt;=$C91,AR$5&lt;=$D91,$A91&lt;&gt;""),"●","")</x:f>
      </x:c>
      <x:c r="AS91" s="165" t="str">
        <x:f>IF(AND(AS$5&gt;=$C91,AS$5&lt;=$D91,$A91&lt;&gt;""),"●","")</x:f>
      </x:c>
      <x:c r="AT91" s="165" t="str">
        <x:f>IF(AND(AT$5&gt;=$C91,AT$5&lt;=$D91,$A91&lt;&gt;""),"●","")</x:f>
      </x:c>
      <x:c r="AU91" s="165" t="str">
        <x:f>IF(AND(AU$5&gt;=$C91,AU$5&lt;=$D91,$A91&lt;&gt;""),"●","")</x:f>
      </x:c>
      <x:c r="AV91" s="165" t="str">
        <x:f>IF(AND(AV$5&gt;=$C91,AV$5&lt;=$D91,$A91&lt;&gt;""),"●","")</x:f>
      </x:c>
      <x:c r="AW91" s="165" t="str">
        <x:f>IF(AND(AW$5&gt;=$C91,AW$5&lt;=$D91,$A91&lt;&gt;""),"●","")</x:f>
      </x:c>
      <x:c r="AX91" s="165" t="str">
        <x:f>IF(AND(AX$5&gt;=$C91,AX$5&lt;=$D91,$A91&lt;&gt;""),"●","")</x:f>
      </x:c>
      <x:c r="AY91" s="165" t="str">
        <x:f>IF(AND(AY$5&gt;=$C91,AY$5&lt;=$D91,$A91&lt;&gt;""),"●","")</x:f>
      </x:c>
      <x:c r="AZ91" s="165" t="str">
        <x:f>IF(AND(AZ$5&gt;=$C91,AZ$5&lt;=$D91,$A91&lt;&gt;""),"●","")</x:f>
      </x:c>
      <x:c r="BA91" s="165" t="str">
        <x:f>IF(AND(BA$5&gt;=$C91,BA$5&lt;=$D91,$A91&lt;&gt;""),"●","")</x:f>
      </x:c>
      <x:c r="BB91" s="165" t="str">
        <x:f>IF(AND(BB$5&gt;=$C91,BB$5&lt;=$D91,$A91&lt;&gt;""),"●","")</x:f>
      </x:c>
      <x:c r="BC91" s="165" t="str">
        <x:f>IF(AND(BC$5&gt;=$C91,BC$5&lt;=$D91,$A91&lt;&gt;""),"●","")</x:f>
      </x:c>
      <x:c r="BD91" s="165" t="str">
        <x:f>IF(AND(BD$5&gt;=$C91,BD$5&lt;=$D91,$A91&lt;&gt;""),"●","")</x:f>
      </x:c>
      <x:c r="BE91" s="165" t="str">
        <x:f>IF(AND(BE$5&gt;=$C91,BE$5&lt;=$D91,$A91&lt;&gt;""),"●","")</x:f>
      </x:c>
      <x:c r="BF91" s="165" t="str">
        <x:f>IF(AND(BF$5&gt;=$C91,BF$5&lt;=$D91,$A91&lt;&gt;""),"●","")</x:f>
      </x:c>
      <x:c r="BG91" s="165" t="str">
        <x:f>IF(AND(BG$5&gt;=$C91,BG$5&lt;=$D91,$A91&lt;&gt;""),"●","")</x:f>
      </x:c>
      <x:c r="BH91" s="165" t="str">
        <x:f>IF(AND(BH$5&gt;=$C91,BH$5&lt;=$D91,$A91&lt;&gt;""),"●","")</x:f>
      </x:c>
      <x:c r="BI91" s="165" t="str">
        <x:f>IF(AND(BI$5&gt;=$C91,BI$5&lt;=$D91,$A91&lt;&gt;""),"●","")</x:f>
      </x:c>
      <x:c r="BJ91" s="165" t="str">
        <x:f>IF(AND(BJ$5&gt;=$C91,BJ$5&lt;=$D91,$A91&lt;&gt;""),"●","")</x:f>
      </x:c>
      <x:c r="BK91" s="165" t="str">
        <x:f>IF(AND(BK$5&gt;=$C91,BK$5&lt;=$D91,$A91&lt;&gt;""),"●","")</x:f>
      </x:c>
      <x:c r="BL91" s="165" t="str">
        <x:f>IF(AND(BL$5&gt;=$C91,BL$5&lt;=$D91,$A91&lt;&gt;""),"●","")</x:f>
      </x:c>
      <x:c r="BM91" s="165" t="str">
        <x:f>IF(AND(BM$5&gt;=$C91,BM$5&lt;=$D91,$A91&lt;&gt;""),"●","")</x:f>
      </x:c>
      <x:c r="BN91" s="165" t="str">
        <x:f>IF(AND(BN$5&gt;=$C91,BN$5&lt;=$D91,$A91&lt;&gt;""),"●","")</x:f>
      </x:c>
      <x:c r="BO91" s="165" t="str">
        <x:f>IF(AND(BO$5&gt;=$C91,BO$5&lt;=$D91,$A91&lt;&gt;""),"●","")</x:f>
      </x:c>
      <x:c r="BP91" s="165" t="str">
        <x:f>IF(AND(BP$5&gt;=$C91,BP$5&lt;=$D91,$A91&lt;&gt;""),"●","")</x:f>
      </x:c>
      <x:c r="BQ91" s="165" t="str">
        <x:f>IF(AND(BQ$5&gt;=$C91,BQ$5&lt;=$D91,$A91&lt;&gt;""),"●","")</x:f>
      </x:c>
      <x:c r="BR91" s="165" t="str">
        <x:f>IF(AND(BR$5&gt;=$C91,BR$5&lt;=$D91,$A91&lt;&gt;""),"●","")</x:f>
      </x:c>
      <x:c r="BS91" s="165" t="str">
        <x:f>IF(AND(BS$5&gt;=$C91,BS$5&lt;=$D91,$A91&lt;&gt;""),"●","")</x:f>
      </x:c>
      <x:c r="BT91" s="165" t="str">
        <x:f>IF(AND(BT$5&gt;=$C91,BT$5&lt;=$D91,$A91&lt;&gt;""),"●","")</x:f>
      </x:c>
      <x:c r="BU91" s="165" t="str">
        <x:f>IF(AND(BU$5&gt;=$C91,BU$5&lt;=$D91,$A91&lt;&gt;""),"●","")</x:f>
      </x:c>
      <x:c r="BV91" s="165" t="str">
        <x:f>IF(AND(BV$5&gt;=$C91,BV$5&lt;=$D91,$A91&lt;&gt;""),"●","")</x:f>
      </x:c>
      <x:c r="BW91" s="165" t="str">
        <x:f>IF(AND(BW$5&gt;=$C91,BW$5&lt;=$D91,$A91&lt;&gt;""),"●","")</x:f>
      </x:c>
    </x:row>
    <x:row r="92">
      <x:c r="A92" s="159" t="str">
        <x:f>IF('รายการสัญญา'!A92="","",'รายการสัญญา'!A92)</x:f>
      </x:c>
      <x:c r="B92" s="159" t="str">
        <x:f>IF('รายการสัญญา'!A92="","",'รายการสัญญา'!C92)</x:f>
      </x:c>
      <x:c r="C92" s="162" t="str">
        <x:f>IF('รายการสัญญา'!A92="","",'รายการสัญญา'!E92)</x:f>
      </x:c>
      <x:c r="D92" s="162" t="str">
        <x:f>IF('รายการสัญญา'!A92="","",'รายการสัญญา'!G92)</x:f>
      </x:c>
      <x:c r="E92" s="159" t="str">
        <x:f>IF('รายการสัญญา'!A92="","",'รายการสัญญา'!K92)</x:f>
      </x:c>
      <x:c r="F92" s="165" t="str">
        <x:f>IF(AND(F$5&gt;=$C92,F$5&lt;=$D92,$A92&lt;&gt;""),"●","")</x:f>
      </x:c>
      <x:c r="G92" s="165" t="str">
        <x:f>IF(AND(G$5&gt;=$C92,G$5&lt;=$D92,$A92&lt;&gt;""),"●","")</x:f>
      </x:c>
      <x:c r="H92" s="165" t="str">
        <x:f>IF(AND(H$5&gt;=$C92,H$5&lt;=$D92,$A92&lt;&gt;""),"●","")</x:f>
      </x:c>
      <x:c r="I92" s="165" t="str">
        <x:f>IF(AND(I$5&gt;=$C92,I$5&lt;=$D92,$A92&lt;&gt;""),"●","")</x:f>
      </x:c>
      <x:c r="J92" s="165" t="str">
        <x:f>IF(AND(J$5&gt;=$C92,J$5&lt;=$D92,$A92&lt;&gt;""),"●","")</x:f>
      </x:c>
      <x:c r="K92" s="165" t="str">
        <x:f>IF(AND(K$5&gt;=$C92,K$5&lt;=$D92,$A92&lt;&gt;""),"●","")</x:f>
      </x:c>
      <x:c r="L92" s="165" t="str">
        <x:f>IF(AND(L$5&gt;=$C92,L$5&lt;=$D92,$A92&lt;&gt;""),"●","")</x:f>
      </x:c>
      <x:c r="M92" s="165" t="str">
        <x:f>IF(AND(M$5&gt;=$C92,M$5&lt;=$D92,$A92&lt;&gt;""),"●","")</x:f>
      </x:c>
      <x:c r="N92" s="165" t="str">
        <x:f>IF(AND(N$5&gt;=$C92,N$5&lt;=$D92,$A92&lt;&gt;""),"●","")</x:f>
      </x:c>
      <x:c r="O92" s="165" t="str">
        <x:f>IF(AND(O$5&gt;=$C92,O$5&lt;=$D92,$A92&lt;&gt;""),"●","")</x:f>
      </x:c>
      <x:c r="P92" s="165" t="str">
        <x:f>IF(AND(P$5&gt;=$C92,P$5&lt;=$D92,$A92&lt;&gt;""),"●","")</x:f>
      </x:c>
      <x:c r="Q92" s="165" t="str">
        <x:f>IF(AND(Q$5&gt;=$C92,Q$5&lt;=$D92,$A92&lt;&gt;""),"●","")</x:f>
      </x:c>
      <x:c r="R92" s="165" t="str">
        <x:f>IF(AND(R$5&gt;=$C92,R$5&lt;=$D92,$A92&lt;&gt;""),"●","")</x:f>
      </x:c>
      <x:c r="S92" s="165" t="str">
        <x:f>IF(AND(S$5&gt;=$C92,S$5&lt;=$D92,$A92&lt;&gt;""),"●","")</x:f>
      </x:c>
      <x:c r="T92" s="165" t="str">
        <x:f>IF(AND(T$5&gt;=$C92,T$5&lt;=$D92,$A92&lt;&gt;""),"●","")</x:f>
      </x:c>
      <x:c r="U92" s="165" t="str">
        <x:f>IF(AND(U$5&gt;=$C92,U$5&lt;=$D92,$A92&lt;&gt;""),"●","")</x:f>
      </x:c>
      <x:c r="V92" s="165" t="str">
        <x:f>IF(AND(V$5&gt;=$C92,V$5&lt;=$D92,$A92&lt;&gt;""),"●","")</x:f>
      </x:c>
      <x:c r="W92" s="165" t="str">
        <x:f>IF(AND(W$5&gt;=$C92,W$5&lt;=$D92,$A92&lt;&gt;""),"●","")</x:f>
      </x:c>
      <x:c r="X92" s="165" t="str">
        <x:f>IF(AND(X$5&gt;=$C92,X$5&lt;=$D92,$A92&lt;&gt;""),"●","")</x:f>
      </x:c>
      <x:c r="Y92" s="165" t="str">
        <x:f>IF(AND(Y$5&gt;=$C92,Y$5&lt;=$D92,$A92&lt;&gt;""),"●","")</x:f>
      </x:c>
      <x:c r="Z92" s="165" t="str">
        <x:f>IF(AND(Z$5&gt;=$C92,Z$5&lt;=$D92,$A92&lt;&gt;""),"●","")</x:f>
      </x:c>
      <x:c r="AA92" s="165" t="str">
        <x:f>IF(AND(AA$5&gt;=$C92,AA$5&lt;=$D92,$A92&lt;&gt;""),"●","")</x:f>
      </x:c>
      <x:c r="AB92" s="165" t="str">
        <x:f>IF(AND(AB$5&gt;=$C92,AB$5&lt;=$D92,$A92&lt;&gt;""),"●","")</x:f>
      </x:c>
      <x:c r="AC92" s="165" t="str">
        <x:f>IF(AND(AC$5&gt;=$C92,AC$5&lt;=$D92,$A92&lt;&gt;""),"●","")</x:f>
      </x:c>
      <x:c r="AD92" s="165" t="str">
        <x:f>IF(AND(AD$5&gt;=$C92,AD$5&lt;=$D92,$A92&lt;&gt;""),"●","")</x:f>
      </x:c>
      <x:c r="AE92" s="165" t="str">
        <x:f>IF(AND(AE$5&gt;=$C92,AE$5&lt;=$D92,$A92&lt;&gt;""),"●","")</x:f>
      </x:c>
      <x:c r="AF92" s="165" t="str">
        <x:f>IF(AND(AF$5&gt;=$C92,AF$5&lt;=$D92,$A92&lt;&gt;""),"●","")</x:f>
      </x:c>
      <x:c r="AG92" s="165" t="str">
        <x:f>IF(AND(AG$5&gt;=$C92,AG$5&lt;=$D92,$A92&lt;&gt;""),"●","")</x:f>
      </x:c>
      <x:c r="AH92" s="165" t="str">
        <x:f>IF(AND(AH$5&gt;=$C92,AH$5&lt;=$D92,$A92&lt;&gt;""),"●","")</x:f>
      </x:c>
      <x:c r="AI92" s="165" t="str">
        <x:f>IF(AND(AI$5&gt;=$C92,AI$5&lt;=$D92,$A92&lt;&gt;""),"●","")</x:f>
      </x:c>
      <x:c r="AJ92" s="165" t="str">
        <x:f>IF(AND(AJ$5&gt;=$C92,AJ$5&lt;=$D92,$A92&lt;&gt;""),"●","")</x:f>
      </x:c>
      <x:c r="AK92" s="165" t="str">
        <x:f>IF(AND(AK$5&gt;=$C92,AK$5&lt;=$D92,$A92&lt;&gt;""),"●","")</x:f>
      </x:c>
      <x:c r="AL92" s="165" t="str">
        <x:f>IF(AND(AL$5&gt;=$C92,AL$5&lt;=$D92,$A92&lt;&gt;""),"●","")</x:f>
      </x:c>
      <x:c r="AM92" s="165" t="str">
        <x:f>IF(AND(AM$5&gt;=$C92,AM$5&lt;=$D92,$A92&lt;&gt;""),"●","")</x:f>
      </x:c>
      <x:c r="AN92" s="165" t="str">
        <x:f>IF(AND(AN$5&gt;=$C92,AN$5&lt;=$D92,$A92&lt;&gt;""),"●","")</x:f>
      </x:c>
      <x:c r="AO92" s="165" t="str">
        <x:f>IF(AND(AO$5&gt;=$C92,AO$5&lt;=$D92,$A92&lt;&gt;""),"●","")</x:f>
      </x:c>
      <x:c r="AP92" s="165" t="str">
        <x:f>IF(AND(AP$5&gt;=$C92,AP$5&lt;=$D92,$A92&lt;&gt;""),"●","")</x:f>
      </x:c>
      <x:c r="AQ92" s="165" t="str">
        <x:f>IF(AND(AQ$5&gt;=$C92,AQ$5&lt;=$D92,$A92&lt;&gt;""),"●","")</x:f>
      </x:c>
      <x:c r="AR92" s="165" t="str">
        <x:f>IF(AND(AR$5&gt;=$C92,AR$5&lt;=$D92,$A92&lt;&gt;""),"●","")</x:f>
      </x:c>
      <x:c r="AS92" s="165" t="str">
        <x:f>IF(AND(AS$5&gt;=$C92,AS$5&lt;=$D92,$A92&lt;&gt;""),"●","")</x:f>
      </x:c>
      <x:c r="AT92" s="165" t="str">
        <x:f>IF(AND(AT$5&gt;=$C92,AT$5&lt;=$D92,$A92&lt;&gt;""),"●","")</x:f>
      </x:c>
      <x:c r="AU92" s="165" t="str">
        <x:f>IF(AND(AU$5&gt;=$C92,AU$5&lt;=$D92,$A92&lt;&gt;""),"●","")</x:f>
      </x:c>
      <x:c r="AV92" s="165" t="str">
        <x:f>IF(AND(AV$5&gt;=$C92,AV$5&lt;=$D92,$A92&lt;&gt;""),"●","")</x:f>
      </x:c>
      <x:c r="AW92" s="165" t="str">
        <x:f>IF(AND(AW$5&gt;=$C92,AW$5&lt;=$D92,$A92&lt;&gt;""),"●","")</x:f>
      </x:c>
      <x:c r="AX92" s="165" t="str">
        <x:f>IF(AND(AX$5&gt;=$C92,AX$5&lt;=$D92,$A92&lt;&gt;""),"●","")</x:f>
      </x:c>
      <x:c r="AY92" s="165" t="str">
        <x:f>IF(AND(AY$5&gt;=$C92,AY$5&lt;=$D92,$A92&lt;&gt;""),"●","")</x:f>
      </x:c>
      <x:c r="AZ92" s="165" t="str">
        <x:f>IF(AND(AZ$5&gt;=$C92,AZ$5&lt;=$D92,$A92&lt;&gt;""),"●","")</x:f>
      </x:c>
      <x:c r="BA92" s="165" t="str">
        <x:f>IF(AND(BA$5&gt;=$C92,BA$5&lt;=$D92,$A92&lt;&gt;""),"●","")</x:f>
      </x:c>
      <x:c r="BB92" s="165" t="str">
        <x:f>IF(AND(BB$5&gt;=$C92,BB$5&lt;=$D92,$A92&lt;&gt;""),"●","")</x:f>
      </x:c>
      <x:c r="BC92" s="165" t="str">
        <x:f>IF(AND(BC$5&gt;=$C92,BC$5&lt;=$D92,$A92&lt;&gt;""),"●","")</x:f>
      </x:c>
      <x:c r="BD92" s="165" t="str">
        <x:f>IF(AND(BD$5&gt;=$C92,BD$5&lt;=$D92,$A92&lt;&gt;""),"●","")</x:f>
      </x:c>
      <x:c r="BE92" s="165" t="str">
        <x:f>IF(AND(BE$5&gt;=$C92,BE$5&lt;=$D92,$A92&lt;&gt;""),"●","")</x:f>
      </x:c>
      <x:c r="BF92" s="165" t="str">
        <x:f>IF(AND(BF$5&gt;=$C92,BF$5&lt;=$D92,$A92&lt;&gt;""),"●","")</x:f>
      </x:c>
      <x:c r="BG92" s="165" t="str">
        <x:f>IF(AND(BG$5&gt;=$C92,BG$5&lt;=$D92,$A92&lt;&gt;""),"●","")</x:f>
      </x:c>
      <x:c r="BH92" s="165" t="str">
        <x:f>IF(AND(BH$5&gt;=$C92,BH$5&lt;=$D92,$A92&lt;&gt;""),"●","")</x:f>
      </x:c>
      <x:c r="BI92" s="165" t="str">
        <x:f>IF(AND(BI$5&gt;=$C92,BI$5&lt;=$D92,$A92&lt;&gt;""),"●","")</x:f>
      </x:c>
      <x:c r="BJ92" s="165" t="str">
        <x:f>IF(AND(BJ$5&gt;=$C92,BJ$5&lt;=$D92,$A92&lt;&gt;""),"●","")</x:f>
      </x:c>
      <x:c r="BK92" s="165" t="str">
        <x:f>IF(AND(BK$5&gt;=$C92,BK$5&lt;=$D92,$A92&lt;&gt;""),"●","")</x:f>
      </x:c>
      <x:c r="BL92" s="165" t="str">
        <x:f>IF(AND(BL$5&gt;=$C92,BL$5&lt;=$D92,$A92&lt;&gt;""),"●","")</x:f>
      </x:c>
      <x:c r="BM92" s="165" t="str">
        <x:f>IF(AND(BM$5&gt;=$C92,BM$5&lt;=$D92,$A92&lt;&gt;""),"●","")</x:f>
      </x:c>
      <x:c r="BN92" s="165" t="str">
        <x:f>IF(AND(BN$5&gt;=$C92,BN$5&lt;=$D92,$A92&lt;&gt;""),"●","")</x:f>
      </x:c>
      <x:c r="BO92" s="165" t="str">
        <x:f>IF(AND(BO$5&gt;=$C92,BO$5&lt;=$D92,$A92&lt;&gt;""),"●","")</x:f>
      </x:c>
      <x:c r="BP92" s="165" t="str">
        <x:f>IF(AND(BP$5&gt;=$C92,BP$5&lt;=$D92,$A92&lt;&gt;""),"●","")</x:f>
      </x:c>
      <x:c r="BQ92" s="165" t="str">
        <x:f>IF(AND(BQ$5&gt;=$C92,BQ$5&lt;=$D92,$A92&lt;&gt;""),"●","")</x:f>
      </x:c>
      <x:c r="BR92" s="165" t="str">
        <x:f>IF(AND(BR$5&gt;=$C92,BR$5&lt;=$D92,$A92&lt;&gt;""),"●","")</x:f>
      </x:c>
      <x:c r="BS92" s="165" t="str">
        <x:f>IF(AND(BS$5&gt;=$C92,BS$5&lt;=$D92,$A92&lt;&gt;""),"●","")</x:f>
      </x:c>
      <x:c r="BT92" s="165" t="str">
        <x:f>IF(AND(BT$5&gt;=$C92,BT$5&lt;=$D92,$A92&lt;&gt;""),"●","")</x:f>
      </x:c>
      <x:c r="BU92" s="165" t="str">
        <x:f>IF(AND(BU$5&gt;=$C92,BU$5&lt;=$D92,$A92&lt;&gt;""),"●","")</x:f>
      </x:c>
      <x:c r="BV92" s="165" t="str">
        <x:f>IF(AND(BV$5&gt;=$C92,BV$5&lt;=$D92,$A92&lt;&gt;""),"●","")</x:f>
      </x:c>
      <x:c r="BW92" s="165" t="str">
        <x:f>IF(AND(BW$5&gt;=$C92,BW$5&lt;=$D92,$A92&lt;&gt;""),"●","")</x:f>
      </x:c>
    </x:row>
    <x:row r="93">
      <x:c r="A93" s="159" t="str">
        <x:f>IF('รายการสัญญา'!A93="","",'รายการสัญญา'!A93)</x:f>
      </x:c>
      <x:c r="B93" s="159" t="str">
        <x:f>IF('รายการสัญญา'!A93="","",'รายการสัญญา'!C93)</x:f>
      </x:c>
      <x:c r="C93" s="162" t="str">
        <x:f>IF('รายการสัญญา'!A93="","",'รายการสัญญา'!E93)</x:f>
      </x:c>
      <x:c r="D93" s="162" t="str">
        <x:f>IF('รายการสัญญา'!A93="","",'รายการสัญญา'!G93)</x:f>
      </x:c>
      <x:c r="E93" s="159" t="str">
        <x:f>IF('รายการสัญญา'!A93="","",'รายการสัญญา'!K93)</x:f>
      </x:c>
      <x:c r="F93" s="165" t="str">
        <x:f>IF(AND(F$5&gt;=$C93,F$5&lt;=$D93,$A93&lt;&gt;""),"●","")</x:f>
      </x:c>
      <x:c r="G93" s="165" t="str">
        <x:f>IF(AND(G$5&gt;=$C93,G$5&lt;=$D93,$A93&lt;&gt;""),"●","")</x:f>
      </x:c>
      <x:c r="H93" s="165" t="str">
        <x:f>IF(AND(H$5&gt;=$C93,H$5&lt;=$D93,$A93&lt;&gt;""),"●","")</x:f>
      </x:c>
      <x:c r="I93" s="165" t="str">
        <x:f>IF(AND(I$5&gt;=$C93,I$5&lt;=$D93,$A93&lt;&gt;""),"●","")</x:f>
      </x:c>
      <x:c r="J93" s="165" t="str">
        <x:f>IF(AND(J$5&gt;=$C93,J$5&lt;=$D93,$A93&lt;&gt;""),"●","")</x:f>
      </x:c>
      <x:c r="K93" s="165" t="str">
        <x:f>IF(AND(K$5&gt;=$C93,K$5&lt;=$D93,$A93&lt;&gt;""),"●","")</x:f>
      </x:c>
      <x:c r="L93" s="165" t="str">
        <x:f>IF(AND(L$5&gt;=$C93,L$5&lt;=$D93,$A93&lt;&gt;""),"●","")</x:f>
      </x:c>
      <x:c r="M93" s="165" t="str">
        <x:f>IF(AND(M$5&gt;=$C93,M$5&lt;=$D93,$A93&lt;&gt;""),"●","")</x:f>
      </x:c>
      <x:c r="N93" s="165" t="str">
        <x:f>IF(AND(N$5&gt;=$C93,N$5&lt;=$D93,$A93&lt;&gt;""),"●","")</x:f>
      </x:c>
      <x:c r="O93" s="165" t="str">
        <x:f>IF(AND(O$5&gt;=$C93,O$5&lt;=$D93,$A93&lt;&gt;""),"●","")</x:f>
      </x:c>
      <x:c r="P93" s="165" t="str">
        <x:f>IF(AND(P$5&gt;=$C93,P$5&lt;=$D93,$A93&lt;&gt;""),"●","")</x:f>
      </x:c>
      <x:c r="Q93" s="165" t="str">
        <x:f>IF(AND(Q$5&gt;=$C93,Q$5&lt;=$D93,$A93&lt;&gt;""),"●","")</x:f>
      </x:c>
      <x:c r="R93" s="165" t="str">
        <x:f>IF(AND(R$5&gt;=$C93,R$5&lt;=$D93,$A93&lt;&gt;""),"●","")</x:f>
      </x:c>
      <x:c r="S93" s="165" t="str">
        <x:f>IF(AND(S$5&gt;=$C93,S$5&lt;=$D93,$A93&lt;&gt;""),"●","")</x:f>
      </x:c>
      <x:c r="T93" s="165" t="str">
        <x:f>IF(AND(T$5&gt;=$C93,T$5&lt;=$D93,$A93&lt;&gt;""),"●","")</x:f>
      </x:c>
      <x:c r="U93" s="165" t="str">
        <x:f>IF(AND(U$5&gt;=$C93,U$5&lt;=$D93,$A93&lt;&gt;""),"●","")</x:f>
      </x:c>
      <x:c r="V93" s="165" t="str">
        <x:f>IF(AND(V$5&gt;=$C93,V$5&lt;=$D93,$A93&lt;&gt;""),"●","")</x:f>
      </x:c>
      <x:c r="W93" s="165" t="str">
        <x:f>IF(AND(W$5&gt;=$C93,W$5&lt;=$D93,$A93&lt;&gt;""),"●","")</x:f>
      </x:c>
      <x:c r="X93" s="165" t="str">
        <x:f>IF(AND(X$5&gt;=$C93,X$5&lt;=$D93,$A93&lt;&gt;""),"●","")</x:f>
      </x:c>
      <x:c r="Y93" s="165" t="str">
        <x:f>IF(AND(Y$5&gt;=$C93,Y$5&lt;=$D93,$A93&lt;&gt;""),"●","")</x:f>
      </x:c>
      <x:c r="Z93" s="165" t="str">
        <x:f>IF(AND(Z$5&gt;=$C93,Z$5&lt;=$D93,$A93&lt;&gt;""),"●","")</x:f>
      </x:c>
      <x:c r="AA93" s="165" t="str">
        <x:f>IF(AND(AA$5&gt;=$C93,AA$5&lt;=$D93,$A93&lt;&gt;""),"●","")</x:f>
      </x:c>
      <x:c r="AB93" s="165" t="str">
        <x:f>IF(AND(AB$5&gt;=$C93,AB$5&lt;=$D93,$A93&lt;&gt;""),"●","")</x:f>
      </x:c>
      <x:c r="AC93" s="165" t="str">
        <x:f>IF(AND(AC$5&gt;=$C93,AC$5&lt;=$D93,$A93&lt;&gt;""),"●","")</x:f>
      </x:c>
      <x:c r="AD93" s="165" t="str">
        <x:f>IF(AND(AD$5&gt;=$C93,AD$5&lt;=$D93,$A93&lt;&gt;""),"●","")</x:f>
      </x:c>
      <x:c r="AE93" s="165" t="str">
        <x:f>IF(AND(AE$5&gt;=$C93,AE$5&lt;=$D93,$A93&lt;&gt;""),"●","")</x:f>
      </x:c>
      <x:c r="AF93" s="165" t="str">
        <x:f>IF(AND(AF$5&gt;=$C93,AF$5&lt;=$D93,$A93&lt;&gt;""),"●","")</x:f>
      </x:c>
      <x:c r="AG93" s="165" t="str">
        <x:f>IF(AND(AG$5&gt;=$C93,AG$5&lt;=$D93,$A93&lt;&gt;""),"●","")</x:f>
      </x:c>
      <x:c r="AH93" s="165" t="str">
        <x:f>IF(AND(AH$5&gt;=$C93,AH$5&lt;=$D93,$A93&lt;&gt;""),"●","")</x:f>
      </x:c>
      <x:c r="AI93" s="165" t="str">
        <x:f>IF(AND(AI$5&gt;=$C93,AI$5&lt;=$D93,$A93&lt;&gt;""),"●","")</x:f>
      </x:c>
      <x:c r="AJ93" s="165" t="str">
        <x:f>IF(AND(AJ$5&gt;=$C93,AJ$5&lt;=$D93,$A93&lt;&gt;""),"●","")</x:f>
      </x:c>
      <x:c r="AK93" s="165" t="str">
        <x:f>IF(AND(AK$5&gt;=$C93,AK$5&lt;=$D93,$A93&lt;&gt;""),"●","")</x:f>
      </x:c>
      <x:c r="AL93" s="165" t="str">
        <x:f>IF(AND(AL$5&gt;=$C93,AL$5&lt;=$D93,$A93&lt;&gt;""),"●","")</x:f>
      </x:c>
      <x:c r="AM93" s="165" t="str">
        <x:f>IF(AND(AM$5&gt;=$C93,AM$5&lt;=$D93,$A93&lt;&gt;""),"●","")</x:f>
      </x:c>
      <x:c r="AN93" s="165" t="str">
        <x:f>IF(AND(AN$5&gt;=$C93,AN$5&lt;=$D93,$A93&lt;&gt;""),"●","")</x:f>
      </x:c>
      <x:c r="AO93" s="165" t="str">
        <x:f>IF(AND(AO$5&gt;=$C93,AO$5&lt;=$D93,$A93&lt;&gt;""),"●","")</x:f>
      </x:c>
      <x:c r="AP93" s="165" t="str">
        <x:f>IF(AND(AP$5&gt;=$C93,AP$5&lt;=$D93,$A93&lt;&gt;""),"●","")</x:f>
      </x:c>
      <x:c r="AQ93" s="165" t="str">
        <x:f>IF(AND(AQ$5&gt;=$C93,AQ$5&lt;=$D93,$A93&lt;&gt;""),"●","")</x:f>
      </x:c>
      <x:c r="AR93" s="165" t="str">
        <x:f>IF(AND(AR$5&gt;=$C93,AR$5&lt;=$D93,$A93&lt;&gt;""),"●","")</x:f>
      </x:c>
      <x:c r="AS93" s="165" t="str">
        <x:f>IF(AND(AS$5&gt;=$C93,AS$5&lt;=$D93,$A93&lt;&gt;""),"●","")</x:f>
      </x:c>
      <x:c r="AT93" s="165" t="str">
        <x:f>IF(AND(AT$5&gt;=$C93,AT$5&lt;=$D93,$A93&lt;&gt;""),"●","")</x:f>
      </x:c>
      <x:c r="AU93" s="165" t="str">
        <x:f>IF(AND(AU$5&gt;=$C93,AU$5&lt;=$D93,$A93&lt;&gt;""),"●","")</x:f>
      </x:c>
      <x:c r="AV93" s="165" t="str">
        <x:f>IF(AND(AV$5&gt;=$C93,AV$5&lt;=$D93,$A93&lt;&gt;""),"●","")</x:f>
      </x:c>
      <x:c r="AW93" s="165" t="str">
        <x:f>IF(AND(AW$5&gt;=$C93,AW$5&lt;=$D93,$A93&lt;&gt;""),"●","")</x:f>
      </x:c>
      <x:c r="AX93" s="165" t="str">
        <x:f>IF(AND(AX$5&gt;=$C93,AX$5&lt;=$D93,$A93&lt;&gt;""),"●","")</x:f>
      </x:c>
      <x:c r="AY93" s="165" t="str">
        <x:f>IF(AND(AY$5&gt;=$C93,AY$5&lt;=$D93,$A93&lt;&gt;""),"●","")</x:f>
      </x:c>
      <x:c r="AZ93" s="165" t="str">
        <x:f>IF(AND(AZ$5&gt;=$C93,AZ$5&lt;=$D93,$A93&lt;&gt;""),"●","")</x:f>
      </x:c>
      <x:c r="BA93" s="165" t="str">
        <x:f>IF(AND(BA$5&gt;=$C93,BA$5&lt;=$D93,$A93&lt;&gt;""),"●","")</x:f>
      </x:c>
      <x:c r="BB93" s="165" t="str">
        <x:f>IF(AND(BB$5&gt;=$C93,BB$5&lt;=$D93,$A93&lt;&gt;""),"●","")</x:f>
      </x:c>
      <x:c r="BC93" s="165" t="str">
        <x:f>IF(AND(BC$5&gt;=$C93,BC$5&lt;=$D93,$A93&lt;&gt;""),"●","")</x:f>
      </x:c>
      <x:c r="BD93" s="165" t="str">
        <x:f>IF(AND(BD$5&gt;=$C93,BD$5&lt;=$D93,$A93&lt;&gt;""),"●","")</x:f>
      </x:c>
      <x:c r="BE93" s="165" t="str">
        <x:f>IF(AND(BE$5&gt;=$C93,BE$5&lt;=$D93,$A93&lt;&gt;""),"●","")</x:f>
      </x:c>
      <x:c r="BF93" s="165" t="str">
        <x:f>IF(AND(BF$5&gt;=$C93,BF$5&lt;=$D93,$A93&lt;&gt;""),"●","")</x:f>
      </x:c>
      <x:c r="BG93" s="165" t="str">
        <x:f>IF(AND(BG$5&gt;=$C93,BG$5&lt;=$D93,$A93&lt;&gt;""),"●","")</x:f>
      </x:c>
      <x:c r="BH93" s="165" t="str">
        <x:f>IF(AND(BH$5&gt;=$C93,BH$5&lt;=$D93,$A93&lt;&gt;""),"●","")</x:f>
      </x:c>
      <x:c r="BI93" s="165" t="str">
        <x:f>IF(AND(BI$5&gt;=$C93,BI$5&lt;=$D93,$A93&lt;&gt;""),"●","")</x:f>
      </x:c>
      <x:c r="BJ93" s="165" t="str">
        <x:f>IF(AND(BJ$5&gt;=$C93,BJ$5&lt;=$D93,$A93&lt;&gt;""),"●","")</x:f>
      </x:c>
      <x:c r="BK93" s="165" t="str">
        <x:f>IF(AND(BK$5&gt;=$C93,BK$5&lt;=$D93,$A93&lt;&gt;""),"●","")</x:f>
      </x:c>
      <x:c r="BL93" s="165" t="str">
        <x:f>IF(AND(BL$5&gt;=$C93,BL$5&lt;=$D93,$A93&lt;&gt;""),"●","")</x:f>
      </x:c>
      <x:c r="BM93" s="165" t="str">
        <x:f>IF(AND(BM$5&gt;=$C93,BM$5&lt;=$D93,$A93&lt;&gt;""),"●","")</x:f>
      </x:c>
      <x:c r="BN93" s="165" t="str">
        <x:f>IF(AND(BN$5&gt;=$C93,BN$5&lt;=$D93,$A93&lt;&gt;""),"●","")</x:f>
      </x:c>
      <x:c r="BO93" s="165" t="str">
        <x:f>IF(AND(BO$5&gt;=$C93,BO$5&lt;=$D93,$A93&lt;&gt;""),"●","")</x:f>
      </x:c>
      <x:c r="BP93" s="165" t="str">
        <x:f>IF(AND(BP$5&gt;=$C93,BP$5&lt;=$D93,$A93&lt;&gt;""),"●","")</x:f>
      </x:c>
      <x:c r="BQ93" s="165" t="str">
        <x:f>IF(AND(BQ$5&gt;=$C93,BQ$5&lt;=$D93,$A93&lt;&gt;""),"●","")</x:f>
      </x:c>
      <x:c r="BR93" s="165" t="str">
        <x:f>IF(AND(BR$5&gt;=$C93,BR$5&lt;=$D93,$A93&lt;&gt;""),"●","")</x:f>
      </x:c>
      <x:c r="BS93" s="165" t="str">
        <x:f>IF(AND(BS$5&gt;=$C93,BS$5&lt;=$D93,$A93&lt;&gt;""),"●","")</x:f>
      </x:c>
      <x:c r="BT93" s="165" t="str">
        <x:f>IF(AND(BT$5&gt;=$C93,BT$5&lt;=$D93,$A93&lt;&gt;""),"●","")</x:f>
      </x:c>
      <x:c r="BU93" s="165" t="str">
        <x:f>IF(AND(BU$5&gt;=$C93,BU$5&lt;=$D93,$A93&lt;&gt;""),"●","")</x:f>
      </x:c>
      <x:c r="BV93" s="165" t="str">
        <x:f>IF(AND(BV$5&gt;=$C93,BV$5&lt;=$D93,$A93&lt;&gt;""),"●","")</x:f>
      </x:c>
      <x:c r="BW93" s="165" t="str">
        <x:f>IF(AND(BW$5&gt;=$C93,BW$5&lt;=$D93,$A93&lt;&gt;""),"●","")</x:f>
      </x:c>
    </x:row>
    <x:row r="94">
      <x:c r="A94" s="159" t="str">
        <x:f>IF('รายการสัญญา'!A94="","",'รายการสัญญา'!A94)</x:f>
      </x:c>
      <x:c r="B94" s="159" t="str">
        <x:f>IF('รายการสัญญา'!A94="","",'รายการสัญญา'!C94)</x:f>
      </x:c>
      <x:c r="C94" s="162" t="str">
        <x:f>IF('รายการสัญญา'!A94="","",'รายการสัญญา'!E94)</x:f>
      </x:c>
      <x:c r="D94" s="162" t="str">
        <x:f>IF('รายการสัญญา'!A94="","",'รายการสัญญา'!G94)</x:f>
      </x:c>
      <x:c r="E94" s="159" t="str">
        <x:f>IF('รายการสัญญา'!A94="","",'รายการสัญญา'!K94)</x:f>
      </x:c>
      <x:c r="F94" s="165" t="str">
        <x:f>IF(AND(F$5&gt;=$C94,F$5&lt;=$D94,$A94&lt;&gt;""),"●","")</x:f>
      </x:c>
      <x:c r="G94" s="165" t="str">
        <x:f>IF(AND(G$5&gt;=$C94,G$5&lt;=$D94,$A94&lt;&gt;""),"●","")</x:f>
      </x:c>
      <x:c r="H94" s="165" t="str">
        <x:f>IF(AND(H$5&gt;=$C94,H$5&lt;=$D94,$A94&lt;&gt;""),"●","")</x:f>
      </x:c>
      <x:c r="I94" s="165" t="str">
        <x:f>IF(AND(I$5&gt;=$C94,I$5&lt;=$D94,$A94&lt;&gt;""),"●","")</x:f>
      </x:c>
      <x:c r="J94" s="165" t="str">
        <x:f>IF(AND(J$5&gt;=$C94,J$5&lt;=$D94,$A94&lt;&gt;""),"●","")</x:f>
      </x:c>
      <x:c r="K94" s="165" t="str">
        <x:f>IF(AND(K$5&gt;=$C94,K$5&lt;=$D94,$A94&lt;&gt;""),"●","")</x:f>
      </x:c>
      <x:c r="L94" s="165" t="str">
        <x:f>IF(AND(L$5&gt;=$C94,L$5&lt;=$D94,$A94&lt;&gt;""),"●","")</x:f>
      </x:c>
      <x:c r="M94" s="165" t="str">
        <x:f>IF(AND(M$5&gt;=$C94,M$5&lt;=$D94,$A94&lt;&gt;""),"●","")</x:f>
      </x:c>
      <x:c r="N94" s="165" t="str">
        <x:f>IF(AND(N$5&gt;=$C94,N$5&lt;=$D94,$A94&lt;&gt;""),"●","")</x:f>
      </x:c>
      <x:c r="O94" s="165" t="str">
        <x:f>IF(AND(O$5&gt;=$C94,O$5&lt;=$D94,$A94&lt;&gt;""),"●","")</x:f>
      </x:c>
      <x:c r="P94" s="165" t="str">
        <x:f>IF(AND(P$5&gt;=$C94,P$5&lt;=$D94,$A94&lt;&gt;""),"●","")</x:f>
      </x:c>
      <x:c r="Q94" s="165" t="str">
        <x:f>IF(AND(Q$5&gt;=$C94,Q$5&lt;=$D94,$A94&lt;&gt;""),"●","")</x:f>
      </x:c>
      <x:c r="R94" s="165" t="str">
        <x:f>IF(AND(R$5&gt;=$C94,R$5&lt;=$D94,$A94&lt;&gt;""),"●","")</x:f>
      </x:c>
      <x:c r="S94" s="165" t="str">
        <x:f>IF(AND(S$5&gt;=$C94,S$5&lt;=$D94,$A94&lt;&gt;""),"●","")</x:f>
      </x:c>
      <x:c r="T94" s="165" t="str">
        <x:f>IF(AND(T$5&gt;=$C94,T$5&lt;=$D94,$A94&lt;&gt;""),"●","")</x:f>
      </x:c>
      <x:c r="U94" s="165" t="str">
        <x:f>IF(AND(U$5&gt;=$C94,U$5&lt;=$D94,$A94&lt;&gt;""),"●","")</x:f>
      </x:c>
      <x:c r="V94" s="165" t="str">
        <x:f>IF(AND(V$5&gt;=$C94,V$5&lt;=$D94,$A94&lt;&gt;""),"●","")</x:f>
      </x:c>
      <x:c r="W94" s="165" t="str">
        <x:f>IF(AND(W$5&gt;=$C94,W$5&lt;=$D94,$A94&lt;&gt;""),"●","")</x:f>
      </x:c>
      <x:c r="X94" s="165" t="str">
        <x:f>IF(AND(X$5&gt;=$C94,X$5&lt;=$D94,$A94&lt;&gt;""),"●","")</x:f>
      </x:c>
      <x:c r="Y94" s="165" t="str">
        <x:f>IF(AND(Y$5&gt;=$C94,Y$5&lt;=$D94,$A94&lt;&gt;""),"●","")</x:f>
      </x:c>
      <x:c r="Z94" s="165" t="str">
        <x:f>IF(AND(Z$5&gt;=$C94,Z$5&lt;=$D94,$A94&lt;&gt;""),"●","")</x:f>
      </x:c>
      <x:c r="AA94" s="165" t="str">
        <x:f>IF(AND(AA$5&gt;=$C94,AA$5&lt;=$D94,$A94&lt;&gt;""),"●","")</x:f>
      </x:c>
      <x:c r="AB94" s="165" t="str">
        <x:f>IF(AND(AB$5&gt;=$C94,AB$5&lt;=$D94,$A94&lt;&gt;""),"●","")</x:f>
      </x:c>
      <x:c r="AC94" s="165" t="str">
        <x:f>IF(AND(AC$5&gt;=$C94,AC$5&lt;=$D94,$A94&lt;&gt;""),"●","")</x:f>
      </x:c>
      <x:c r="AD94" s="165" t="str">
        <x:f>IF(AND(AD$5&gt;=$C94,AD$5&lt;=$D94,$A94&lt;&gt;""),"●","")</x:f>
      </x:c>
      <x:c r="AE94" s="165" t="str">
        <x:f>IF(AND(AE$5&gt;=$C94,AE$5&lt;=$D94,$A94&lt;&gt;""),"●","")</x:f>
      </x:c>
      <x:c r="AF94" s="165" t="str">
        <x:f>IF(AND(AF$5&gt;=$C94,AF$5&lt;=$D94,$A94&lt;&gt;""),"●","")</x:f>
      </x:c>
      <x:c r="AG94" s="165" t="str">
        <x:f>IF(AND(AG$5&gt;=$C94,AG$5&lt;=$D94,$A94&lt;&gt;""),"●","")</x:f>
      </x:c>
      <x:c r="AH94" s="165" t="str">
        <x:f>IF(AND(AH$5&gt;=$C94,AH$5&lt;=$D94,$A94&lt;&gt;""),"●","")</x:f>
      </x:c>
      <x:c r="AI94" s="165" t="str">
        <x:f>IF(AND(AI$5&gt;=$C94,AI$5&lt;=$D94,$A94&lt;&gt;""),"●","")</x:f>
      </x:c>
      <x:c r="AJ94" s="165" t="str">
        <x:f>IF(AND(AJ$5&gt;=$C94,AJ$5&lt;=$D94,$A94&lt;&gt;""),"●","")</x:f>
      </x:c>
      <x:c r="AK94" s="165" t="str">
        <x:f>IF(AND(AK$5&gt;=$C94,AK$5&lt;=$D94,$A94&lt;&gt;""),"●","")</x:f>
      </x:c>
      <x:c r="AL94" s="165" t="str">
        <x:f>IF(AND(AL$5&gt;=$C94,AL$5&lt;=$D94,$A94&lt;&gt;""),"●","")</x:f>
      </x:c>
      <x:c r="AM94" s="165" t="str">
        <x:f>IF(AND(AM$5&gt;=$C94,AM$5&lt;=$D94,$A94&lt;&gt;""),"●","")</x:f>
      </x:c>
      <x:c r="AN94" s="165" t="str">
        <x:f>IF(AND(AN$5&gt;=$C94,AN$5&lt;=$D94,$A94&lt;&gt;""),"●","")</x:f>
      </x:c>
      <x:c r="AO94" s="165" t="str">
        <x:f>IF(AND(AO$5&gt;=$C94,AO$5&lt;=$D94,$A94&lt;&gt;""),"●","")</x:f>
      </x:c>
      <x:c r="AP94" s="165" t="str">
        <x:f>IF(AND(AP$5&gt;=$C94,AP$5&lt;=$D94,$A94&lt;&gt;""),"●","")</x:f>
      </x:c>
      <x:c r="AQ94" s="165" t="str">
        <x:f>IF(AND(AQ$5&gt;=$C94,AQ$5&lt;=$D94,$A94&lt;&gt;""),"●","")</x:f>
      </x:c>
      <x:c r="AR94" s="165" t="str">
        <x:f>IF(AND(AR$5&gt;=$C94,AR$5&lt;=$D94,$A94&lt;&gt;""),"●","")</x:f>
      </x:c>
      <x:c r="AS94" s="165" t="str">
        <x:f>IF(AND(AS$5&gt;=$C94,AS$5&lt;=$D94,$A94&lt;&gt;""),"●","")</x:f>
      </x:c>
      <x:c r="AT94" s="165" t="str">
        <x:f>IF(AND(AT$5&gt;=$C94,AT$5&lt;=$D94,$A94&lt;&gt;""),"●","")</x:f>
      </x:c>
      <x:c r="AU94" s="165" t="str">
        <x:f>IF(AND(AU$5&gt;=$C94,AU$5&lt;=$D94,$A94&lt;&gt;""),"●","")</x:f>
      </x:c>
      <x:c r="AV94" s="165" t="str">
        <x:f>IF(AND(AV$5&gt;=$C94,AV$5&lt;=$D94,$A94&lt;&gt;""),"●","")</x:f>
      </x:c>
      <x:c r="AW94" s="165" t="str">
        <x:f>IF(AND(AW$5&gt;=$C94,AW$5&lt;=$D94,$A94&lt;&gt;""),"●","")</x:f>
      </x:c>
      <x:c r="AX94" s="165" t="str">
        <x:f>IF(AND(AX$5&gt;=$C94,AX$5&lt;=$D94,$A94&lt;&gt;""),"●","")</x:f>
      </x:c>
      <x:c r="AY94" s="165" t="str">
        <x:f>IF(AND(AY$5&gt;=$C94,AY$5&lt;=$D94,$A94&lt;&gt;""),"●","")</x:f>
      </x:c>
      <x:c r="AZ94" s="165" t="str">
        <x:f>IF(AND(AZ$5&gt;=$C94,AZ$5&lt;=$D94,$A94&lt;&gt;""),"●","")</x:f>
      </x:c>
      <x:c r="BA94" s="165" t="str">
        <x:f>IF(AND(BA$5&gt;=$C94,BA$5&lt;=$D94,$A94&lt;&gt;""),"●","")</x:f>
      </x:c>
      <x:c r="BB94" s="165" t="str">
        <x:f>IF(AND(BB$5&gt;=$C94,BB$5&lt;=$D94,$A94&lt;&gt;""),"●","")</x:f>
      </x:c>
      <x:c r="BC94" s="165" t="str">
        <x:f>IF(AND(BC$5&gt;=$C94,BC$5&lt;=$D94,$A94&lt;&gt;""),"●","")</x:f>
      </x:c>
      <x:c r="BD94" s="165" t="str">
        <x:f>IF(AND(BD$5&gt;=$C94,BD$5&lt;=$D94,$A94&lt;&gt;""),"●","")</x:f>
      </x:c>
      <x:c r="BE94" s="165" t="str">
        <x:f>IF(AND(BE$5&gt;=$C94,BE$5&lt;=$D94,$A94&lt;&gt;""),"●","")</x:f>
      </x:c>
      <x:c r="BF94" s="165" t="str">
        <x:f>IF(AND(BF$5&gt;=$C94,BF$5&lt;=$D94,$A94&lt;&gt;""),"●","")</x:f>
      </x:c>
      <x:c r="BG94" s="165" t="str">
        <x:f>IF(AND(BG$5&gt;=$C94,BG$5&lt;=$D94,$A94&lt;&gt;""),"●","")</x:f>
      </x:c>
      <x:c r="BH94" s="165" t="str">
        <x:f>IF(AND(BH$5&gt;=$C94,BH$5&lt;=$D94,$A94&lt;&gt;""),"●","")</x:f>
      </x:c>
      <x:c r="BI94" s="165" t="str">
        <x:f>IF(AND(BI$5&gt;=$C94,BI$5&lt;=$D94,$A94&lt;&gt;""),"●","")</x:f>
      </x:c>
      <x:c r="BJ94" s="165" t="str">
        <x:f>IF(AND(BJ$5&gt;=$C94,BJ$5&lt;=$D94,$A94&lt;&gt;""),"●","")</x:f>
      </x:c>
      <x:c r="BK94" s="165" t="str">
        <x:f>IF(AND(BK$5&gt;=$C94,BK$5&lt;=$D94,$A94&lt;&gt;""),"●","")</x:f>
      </x:c>
      <x:c r="BL94" s="165" t="str">
        <x:f>IF(AND(BL$5&gt;=$C94,BL$5&lt;=$D94,$A94&lt;&gt;""),"●","")</x:f>
      </x:c>
      <x:c r="BM94" s="165" t="str">
        <x:f>IF(AND(BM$5&gt;=$C94,BM$5&lt;=$D94,$A94&lt;&gt;""),"●","")</x:f>
      </x:c>
      <x:c r="BN94" s="165" t="str">
        <x:f>IF(AND(BN$5&gt;=$C94,BN$5&lt;=$D94,$A94&lt;&gt;""),"●","")</x:f>
      </x:c>
      <x:c r="BO94" s="165" t="str">
        <x:f>IF(AND(BO$5&gt;=$C94,BO$5&lt;=$D94,$A94&lt;&gt;""),"●","")</x:f>
      </x:c>
      <x:c r="BP94" s="165" t="str">
        <x:f>IF(AND(BP$5&gt;=$C94,BP$5&lt;=$D94,$A94&lt;&gt;""),"●","")</x:f>
      </x:c>
      <x:c r="BQ94" s="165" t="str">
        <x:f>IF(AND(BQ$5&gt;=$C94,BQ$5&lt;=$D94,$A94&lt;&gt;""),"●","")</x:f>
      </x:c>
      <x:c r="BR94" s="165" t="str">
        <x:f>IF(AND(BR$5&gt;=$C94,BR$5&lt;=$D94,$A94&lt;&gt;""),"●","")</x:f>
      </x:c>
      <x:c r="BS94" s="165" t="str">
        <x:f>IF(AND(BS$5&gt;=$C94,BS$5&lt;=$D94,$A94&lt;&gt;""),"●","")</x:f>
      </x:c>
      <x:c r="BT94" s="165" t="str">
        <x:f>IF(AND(BT$5&gt;=$C94,BT$5&lt;=$D94,$A94&lt;&gt;""),"●","")</x:f>
      </x:c>
      <x:c r="BU94" s="165" t="str">
        <x:f>IF(AND(BU$5&gt;=$C94,BU$5&lt;=$D94,$A94&lt;&gt;""),"●","")</x:f>
      </x:c>
      <x:c r="BV94" s="165" t="str">
        <x:f>IF(AND(BV$5&gt;=$C94,BV$5&lt;=$D94,$A94&lt;&gt;""),"●","")</x:f>
      </x:c>
      <x:c r="BW94" s="165" t="str">
        <x:f>IF(AND(BW$5&gt;=$C94,BW$5&lt;=$D94,$A94&lt;&gt;""),"●","")</x:f>
      </x:c>
    </x:row>
    <x:row r="95">
      <x:c r="A95" s="159" t="str">
        <x:f>IF('รายการสัญญา'!A95="","",'รายการสัญญา'!A95)</x:f>
      </x:c>
      <x:c r="B95" s="159" t="str">
        <x:f>IF('รายการสัญญา'!A95="","",'รายการสัญญา'!C95)</x:f>
      </x:c>
      <x:c r="C95" s="162" t="str">
        <x:f>IF('รายการสัญญา'!A95="","",'รายการสัญญา'!E95)</x:f>
      </x:c>
      <x:c r="D95" s="162" t="str">
        <x:f>IF('รายการสัญญา'!A95="","",'รายการสัญญา'!G95)</x:f>
      </x:c>
      <x:c r="E95" s="159" t="str">
        <x:f>IF('รายการสัญญา'!A95="","",'รายการสัญญา'!K95)</x:f>
      </x:c>
      <x:c r="F95" s="165" t="str">
        <x:f>IF(AND(F$5&gt;=$C95,F$5&lt;=$D95,$A95&lt;&gt;""),"●","")</x:f>
      </x:c>
      <x:c r="G95" s="165" t="str">
        <x:f>IF(AND(G$5&gt;=$C95,G$5&lt;=$D95,$A95&lt;&gt;""),"●","")</x:f>
      </x:c>
      <x:c r="H95" s="165" t="str">
        <x:f>IF(AND(H$5&gt;=$C95,H$5&lt;=$D95,$A95&lt;&gt;""),"●","")</x:f>
      </x:c>
      <x:c r="I95" s="165" t="str">
        <x:f>IF(AND(I$5&gt;=$C95,I$5&lt;=$D95,$A95&lt;&gt;""),"●","")</x:f>
      </x:c>
      <x:c r="J95" s="165" t="str">
        <x:f>IF(AND(J$5&gt;=$C95,J$5&lt;=$D95,$A95&lt;&gt;""),"●","")</x:f>
      </x:c>
      <x:c r="K95" s="165" t="str">
        <x:f>IF(AND(K$5&gt;=$C95,K$5&lt;=$D95,$A95&lt;&gt;""),"●","")</x:f>
      </x:c>
      <x:c r="L95" s="165" t="str">
        <x:f>IF(AND(L$5&gt;=$C95,L$5&lt;=$D95,$A95&lt;&gt;""),"●","")</x:f>
      </x:c>
      <x:c r="M95" s="165" t="str">
        <x:f>IF(AND(M$5&gt;=$C95,M$5&lt;=$D95,$A95&lt;&gt;""),"●","")</x:f>
      </x:c>
      <x:c r="N95" s="165" t="str">
        <x:f>IF(AND(N$5&gt;=$C95,N$5&lt;=$D95,$A95&lt;&gt;""),"●","")</x:f>
      </x:c>
      <x:c r="O95" s="165" t="str">
        <x:f>IF(AND(O$5&gt;=$C95,O$5&lt;=$D95,$A95&lt;&gt;""),"●","")</x:f>
      </x:c>
      <x:c r="P95" s="165" t="str">
        <x:f>IF(AND(P$5&gt;=$C95,P$5&lt;=$D95,$A95&lt;&gt;""),"●","")</x:f>
      </x:c>
      <x:c r="Q95" s="165" t="str">
        <x:f>IF(AND(Q$5&gt;=$C95,Q$5&lt;=$D95,$A95&lt;&gt;""),"●","")</x:f>
      </x:c>
      <x:c r="R95" s="165" t="str">
        <x:f>IF(AND(R$5&gt;=$C95,R$5&lt;=$D95,$A95&lt;&gt;""),"●","")</x:f>
      </x:c>
      <x:c r="S95" s="165" t="str">
        <x:f>IF(AND(S$5&gt;=$C95,S$5&lt;=$D95,$A95&lt;&gt;""),"●","")</x:f>
      </x:c>
      <x:c r="T95" s="165" t="str">
        <x:f>IF(AND(T$5&gt;=$C95,T$5&lt;=$D95,$A95&lt;&gt;""),"●","")</x:f>
      </x:c>
      <x:c r="U95" s="165" t="str">
        <x:f>IF(AND(U$5&gt;=$C95,U$5&lt;=$D95,$A95&lt;&gt;""),"●","")</x:f>
      </x:c>
      <x:c r="V95" s="165" t="str">
        <x:f>IF(AND(V$5&gt;=$C95,V$5&lt;=$D95,$A95&lt;&gt;""),"●","")</x:f>
      </x:c>
      <x:c r="W95" s="165" t="str">
        <x:f>IF(AND(W$5&gt;=$C95,W$5&lt;=$D95,$A95&lt;&gt;""),"●","")</x:f>
      </x:c>
      <x:c r="X95" s="165" t="str">
        <x:f>IF(AND(X$5&gt;=$C95,X$5&lt;=$D95,$A95&lt;&gt;""),"●","")</x:f>
      </x:c>
      <x:c r="Y95" s="165" t="str">
        <x:f>IF(AND(Y$5&gt;=$C95,Y$5&lt;=$D95,$A95&lt;&gt;""),"●","")</x:f>
      </x:c>
      <x:c r="Z95" s="165" t="str">
        <x:f>IF(AND(Z$5&gt;=$C95,Z$5&lt;=$D95,$A95&lt;&gt;""),"●","")</x:f>
      </x:c>
      <x:c r="AA95" s="165" t="str">
        <x:f>IF(AND(AA$5&gt;=$C95,AA$5&lt;=$D95,$A95&lt;&gt;""),"●","")</x:f>
      </x:c>
      <x:c r="AB95" s="165" t="str">
        <x:f>IF(AND(AB$5&gt;=$C95,AB$5&lt;=$D95,$A95&lt;&gt;""),"●","")</x:f>
      </x:c>
      <x:c r="AC95" s="165" t="str">
        <x:f>IF(AND(AC$5&gt;=$C95,AC$5&lt;=$D95,$A95&lt;&gt;""),"●","")</x:f>
      </x:c>
      <x:c r="AD95" s="165" t="str">
        <x:f>IF(AND(AD$5&gt;=$C95,AD$5&lt;=$D95,$A95&lt;&gt;""),"●","")</x:f>
      </x:c>
      <x:c r="AE95" s="165" t="str">
        <x:f>IF(AND(AE$5&gt;=$C95,AE$5&lt;=$D95,$A95&lt;&gt;""),"●","")</x:f>
      </x:c>
      <x:c r="AF95" s="165" t="str">
        <x:f>IF(AND(AF$5&gt;=$C95,AF$5&lt;=$D95,$A95&lt;&gt;""),"●","")</x:f>
      </x:c>
      <x:c r="AG95" s="165" t="str">
        <x:f>IF(AND(AG$5&gt;=$C95,AG$5&lt;=$D95,$A95&lt;&gt;""),"●","")</x:f>
      </x:c>
      <x:c r="AH95" s="165" t="str">
        <x:f>IF(AND(AH$5&gt;=$C95,AH$5&lt;=$D95,$A95&lt;&gt;""),"●","")</x:f>
      </x:c>
      <x:c r="AI95" s="165" t="str">
        <x:f>IF(AND(AI$5&gt;=$C95,AI$5&lt;=$D95,$A95&lt;&gt;""),"●","")</x:f>
      </x:c>
      <x:c r="AJ95" s="165" t="str">
        <x:f>IF(AND(AJ$5&gt;=$C95,AJ$5&lt;=$D95,$A95&lt;&gt;""),"●","")</x:f>
      </x:c>
      <x:c r="AK95" s="165" t="str">
        <x:f>IF(AND(AK$5&gt;=$C95,AK$5&lt;=$D95,$A95&lt;&gt;""),"●","")</x:f>
      </x:c>
      <x:c r="AL95" s="165" t="str">
        <x:f>IF(AND(AL$5&gt;=$C95,AL$5&lt;=$D95,$A95&lt;&gt;""),"●","")</x:f>
      </x:c>
      <x:c r="AM95" s="165" t="str">
        <x:f>IF(AND(AM$5&gt;=$C95,AM$5&lt;=$D95,$A95&lt;&gt;""),"●","")</x:f>
      </x:c>
      <x:c r="AN95" s="165" t="str">
        <x:f>IF(AND(AN$5&gt;=$C95,AN$5&lt;=$D95,$A95&lt;&gt;""),"●","")</x:f>
      </x:c>
      <x:c r="AO95" s="165" t="str">
        <x:f>IF(AND(AO$5&gt;=$C95,AO$5&lt;=$D95,$A95&lt;&gt;""),"●","")</x:f>
      </x:c>
      <x:c r="AP95" s="165" t="str">
        <x:f>IF(AND(AP$5&gt;=$C95,AP$5&lt;=$D95,$A95&lt;&gt;""),"●","")</x:f>
      </x:c>
      <x:c r="AQ95" s="165" t="str">
        <x:f>IF(AND(AQ$5&gt;=$C95,AQ$5&lt;=$D95,$A95&lt;&gt;""),"●","")</x:f>
      </x:c>
      <x:c r="AR95" s="165" t="str">
        <x:f>IF(AND(AR$5&gt;=$C95,AR$5&lt;=$D95,$A95&lt;&gt;""),"●","")</x:f>
      </x:c>
      <x:c r="AS95" s="165" t="str">
        <x:f>IF(AND(AS$5&gt;=$C95,AS$5&lt;=$D95,$A95&lt;&gt;""),"●","")</x:f>
      </x:c>
      <x:c r="AT95" s="165" t="str">
        <x:f>IF(AND(AT$5&gt;=$C95,AT$5&lt;=$D95,$A95&lt;&gt;""),"●","")</x:f>
      </x:c>
      <x:c r="AU95" s="165" t="str">
        <x:f>IF(AND(AU$5&gt;=$C95,AU$5&lt;=$D95,$A95&lt;&gt;""),"●","")</x:f>
      </x:c>
      <x:c r="AV95" s="165" t="str">
        <x:f>IF(AND(AV$5&gt;=$C95,AV$5&lt;=$D95,$A95&lt;&gt;""),"●","")</x:f>
      </x:c>
      <x:c r="AW95" s="165" t="str">
        <x:f>IF(AND(AW$5&gt;=$C95,AW$5&lt;=$D95,$A95&lt;&gt;""),"●","")</x:f>
      </x:c>
      <x:c r="AX95" s="165" t="str">
        <x:f>IF(AND(AX$5&gt;=$C95,AX$5&lt;=$D95,$A95&lt;&gt;""),"●","")</x:f>
      </x:c>
      <x:c r="AY95" s="165" t="str">
        <x:f>IF(AND(AY$5&gt;=$C95,AY$5&lt;=$D95,$A95&lt;&gt;""),"●","")</x:f>
      </x:c>
      <x:c r="AZ95" s="165" t="str">
        <x:f>IF(AND(AZ$5&gt;=$C95,AZ$5&lt;=$D95,$A95&lt;&gt;""),"●","")</x:f>
      </x:c>
      <x:c r="BA95" s="165" t="str">
        <x:f>IF(AND(BA$5&gt;=$C95,BA$5&lt;=$D95,$A95&lt;&gt;""),"●","")</x:f>
      </x:c>
      <x:c r="BB95" s="165" t="str">
        <x:f>IF(AND(BB$5&gt;=$C95,BB$5&lt;=$D95,$A95&lt;&gt;""),"●","")</x:f>
      </x:c>
      <x:c r="BC95" s="165" t="str">
        <x:f>IF(AND(BC$5&gt;=$C95,BC$5&lt;=$D95,$A95&lt;&gt;""),"●","")</x:f>
      </x:c>
      <x:c r="BD95" s="165" t="str">
        <x:f>IF(AND(BD$5&gt;=$C95,BD$5&lt;=$D95,$A95&lt;&gt;""),"●","")</x:f>
      </x:c>
      <x:c r="BE95" s="165" t="str">
        <x:f>IF(AND(BE$5&gt;=$C95,BE$5&lt;=$D95,$A95&lt;&gt;""),"●","")</x:f>
      </x:c>
      <x:c r="BF95" s="165" t="str">
        <x:f>IF(AND(BF$5&gt;=$C95,BF$5&lt;=$D95,$A95&lt;&gt;""),"●","")</x:f>
      </x:c>
      <x:c r="BG95" s="165" t="str">
        <x:f>IF(AND(BG$5&gt;=$C95,BG$5&lt;=$D95,$A95&lt;&gt;""),"●","")</x:f>
      </x:c>
      <x:c r="BH95" s="165" t="str">
        <x:f>IF(AND(BH$5&gt;=$C95,BH$5&lt;=$D95,$A95&lt;&gt;""),"●","")</x:f>
      </x:c>
      <x:c r="BI95" s="165" t="str">
        <x:f>IF(AND(BI$5&gt;=$C95,BI$5&lt;=$D95,$A95&lt;&gt;""),"●","")</x:f>
      </x:c>
      <x:c r="BJ95" s="165" t="str">
        <x:f>IF(AND(BJ$5&gt;=$C95,BJ$5&lt;=$D95,$A95&lt;&gt;""),"●","")</x:f>
      </x:c>
      <x:c r="BK95" s="165" t="str">
        <x:f>IF(AND(BK$5&gt;=$C95,BK$5&lt;=$D95,$A95&lt;&gt;""),"●","")</x:f>
      </x:c>
      <x:c r="BL95" s="165" t="str">
        <x:f>IF(AND(BL$5&gt;=$C95,BL$5&lt;=$D95,$A95&lt;&gt;""),"●","")</x:f>
      </x:c>
      <x:c r="BM95" s="165" t="str">
        <x:f>IF(AND(BM$5&gt;=$C95,BM$5&lt;=$D95,$A95&lt;&gt;""),"●","")</x:f>
      </x:c>
      <x:c r="BN95" s="165" t="str">
        <x:f>IF(AND(BN$5&gt;=$C95,BN$5&lt;=$D95,$A95&lt;&gt;""),"●","")</x:f>
      </x:c>
      <x:c r="BO95" s="165" t="str">
        <x:f>IF(AND(BO$5&gt;=$C95,BO$5&lt;=$D95,$A95&lt;&gt;""),"●","")</x:f>
      </x:c>
      <x:c r="BP95" s="165" t="str">
        <x:f>IF(AND(BP$5&gt;=$C95,BP$5&lt;=$D95,$A95&lt;&gt;""),"●","")</x:f>
      </x:c>
      <x:c r="BQ95" s="165" t="str">
        <x:f>IF(AND(BQ$5&gt;=$C95,BQ$5&lt;=$D95,$A95&lt;&gt;""),"●","")</x:f>
      </x:c>
      <x:c r="BR95" s="165" t="str">
        <x:f>IF(AND(BR$5&gt;=$C95,BR$5&lt;=$D95,$A95&lt;&gt;""),"●","")</x:f>
      </x:c>
      <x:c r="BS95" s="165" t="str">
        <x:f>IF(AND(BS$5&gt;=$C95,BS$5&lt;=$D95,$A95&lt;&gt;""),"●","")</x:f>
      </x:c>
      <x:c r="BT95" s="165" t="str">
        <x:f>IF(AND(BT$5&gt;=$C95,BT$5&lt;=$D95,$A95&lt;&gt;""),"●","")</x:f>
      </x:c>
      <x:c r="BU95" s="165" t="str">
        <x:f>IF(AND(BU$5&gt;=$C95,BU$5&lt;=$D95,$A95&lt;&gt;""),"●","")</x:f>
      </x:c>
      <x:c r="BV95" s="165" t="str">
        <x:f>IF(AND(BV$5&gt;=$C95,BV$5&lt;=$D95,$A95&lt;&gt;""),"●","")</x:f>
      </x:c>
      <x:c r="BW95" s="165" t="str">
        <x:f>IF(AND(BW$5&gt;=$C95,BW$5&lt;=$D95,$A95&lt;&gt;""),"●","")</x:f>
      </x:c>
    </x:row>
    <x:row r="96">
      <x:c r="A96" s="159" t="str">
        <x:f>IF('รายการสัญญา'!A96="","",'รายการสัญญา'!A96)</x:f>
      </x:c>
      <x:c r="B96" s="159" t="str">
        <x:f>IF('รายการสัญญา'!A96="","",'รายการสัญญา'!C96)</x:f>
      </x:c>
      <x:c r="C96" s="162" t="str">
        <x:f>IF('รายการสัญญา'!A96="","",'รายการสัญญา'!E96)</x:f>
      </x:c>
      <x:c r="D96" s="162" t="str">
        <x:f>IF('รายการสัญญา'!A96="","",'รายการสัญญา'!G96)</x:f>
      </x:c>
      <x:c r="E96" s="159" t="str">
        <x:f>IF('รายการสัญญา'!A96="","",'รายการสัญญา'!K96)</x:f>
      </x:c>
      <x:c r="F96" s="165" t="str">
        <x:f>IF(AND(F$5&gt;=$C96,F$5&lt;=$D96,$A96&lt;&gt;""),"●","")</x:f>
      </x:c>
      <x:c r="G96" s="165" t="str">
        <x:f>IF(AND(G$5&gt;=$C96,G$5&lt;=$D96,$A96&lt;&gt;""),"●","")</x:f>
      </x:c>
      <x:c r="H96" s="165" t="str">
        <x:f>IF(AND(H$5&gt;=$C96,H$5&lt;=$D96,$A96&lt;&gt;""),"●","")</x:f>
      </x:c>
      <x:c r="I96" s="165" t="str">
        <x:f>IF(AND(I$5&gt;=$C96,I$5&lt;=$D96,$A96&lt;&gt;""),"●","")</x:f>
      </x:c>
      <x:c r="J96" s="165" t="str">
        <x:f>IF(AND(J$5&gt;=$C96,J$5&lt;=$D96,$A96&lt;&gt;""),"●","")</x:f>
      </x:c>
      <x:c r="K96" s="165" t="str">
        <x:f>IF(AND(K$5&gt;=$C96,K$5&lt;=$D96,$A96&lt;&gt;""),"●","")</x:f>
      </x:c>
      <x:c r="L96" s="165" t="str">
        <x:f>IF(AND(L$5&gt;=$C96,L$5&lt;=$D96,$A96&lt;&gt;""),"●","")</x:f>
      </x:c>
      <x:c r="M96" s="165" t="str">
        <x:f>IF(AND(M$5&gt;=$C96,M$5&lt;=$D96,$A96&lt;&gt;""),"●","")</x:f>
      </x:c>
      <x:c r="N96" s="165" t="str">
        <x:f>IF(AND(N$5&gt;=$C96,N$5&lt;=$D96,$A96&lt;&gt;""),"●","")</x:f>
      </x:c>
      <x:c r="O96" s="165" t="str">
        <x:f>IF(AND(O$5&gt;=$C96,O$5&lt;=$D96,$A96&lt;&gt;""),"●","")</x:f>
      </x:c>
      <x:c r="P96" s="165" t="str">
        <x:f>IF(AND(P$5&gt;=$C96,P$5&lt;=$D96,$A96&lt;&gt;""),"●","")</x:f>
      </x:c>
      <x:c r="Q96" s="165" t="str">
        <x:f>IF(AND(Q$5&gt;=$C96,Q$5&lt;=$D96,$A96&lt;&gt;""),"●","")</x:f>
      </x:c>
      <x:c r="R96" s="165" t="str">
        <x:f>IF(AND(R$5&gt;=$C96,R$5&lt;=$D96,$A96&lt;&gt;""),"●","")</x:f>
      </x:c>
      <x:c r="S96" s="165" t="str">
        <x:f>IF(AND(S$5&gt;=$C96,S$5&lt;=$D96,$A96&lt;&gt;""),"●","")</x:f>
      </x:c>
      <x:c r="T96" s="165" t="str">
        <x:f>IF(AND(T$5&gt;=$C96,T$5&lt;=$D96,$A96&lt;&gt;""),"●","")</x:f>
      </x:c>
      <x:c r="U96" s="165" t="str">
        <x:f>IF(AND(U$5&gt;=$C96,U$5&lt;=$D96,$A96&lt;&gt;""),"●","")</x:f>
      </x:c>
      <x:c r="V96" s="165" t="str">
        <x:f>IF(AND(V$5&gt;=$C96,V$5&lt;=$D96,$A96&lt;&gt;""),"●","")</x:f>
      </x:c>
      <x:c r="W96" s="165" t="str">
        <x:f>IF(AND(W$5&gt;=$C96,W$5&lt;=$D96,$A96&lt;&gt;""),"●","")</x:f>
      </x:c>
      <x:c r="X96" s="165" t="str">
        <x:f>IF(AND(X$5&gt;=$C96,X$5&lt;=$D96,$A96&lt;&gt;""),"●","")</x:f>
      </x:c>
      <x:c r="Y96" s="165" t="str">
        <x:f>IF(AND(Y$5&gt;=$C96,Y$5&lt;=$D96,$A96&lt;&gt;""),"●","")</x:f>
      </x:c>
      <x:c r="Z96" s="165" t="str">
        <x:f>IF(AND(Z$5&gt;=$C96,Z$5&lt;=$D96,$A96&lt;&gt;""),"●","")</x:f>
      </x:c>
      <x:c r="AA96" s="165" t="str">
        <x:f>IF(AND(AA$5&gt;=$C96,AA$5&lt;=$D96,$A96&lt;&gt;""),"●","")</x:f>
      </x:c>
      <x:c r="AB96" s="165" t="str">
        <x:f>IF(AND(AB$5&gt;=$C96,AB$5&lt;=$D96,$A96&lt;&gt;""),"●","")</x:f>
      </x:c>
      <x:c r="AC96" s="165" t="str">
        <x:f>IF(AND(AC$5&gt;=$C96,AC$5&lt;=$D96,$A96&lt;&gt;""),"●","")</x:f>
      </x:c>
      <x:c r="AD96" s="165" t="str">
        <x:f>IF(AND(AD$5&gt;=$C96,AD$5&lt;=$D96,$A96&lt;&gt;""),"●","")</x:f>
      </x:c>
      <x:c r="AE96" s="165" t="str">
        <x:f>IF(AND(AE$5&gt;=$C96,AE$5&lt;=$D96,$A96&lt;&gt;""),"●","")</x:f>
      </x:c>
      <x:c r="AF96" s="165" t="str">
        <x:f>IF(AND(AF$5&gt;=$C96,AF$5&lt;=$D96,$A96&lt;&gt;""),"●","")</x:f>
      </x:c>
      <x:c r="AG96" s="165" t="str">
        <x:f>IF(AND(AG$5&gt;=$C96,AG$5&lt;=$D96,$A96&lt;&gt;""),"●","")</x:f>
      </x:c>
      <x:c r="AH96" s="165" t="str">
        <x:f>IF(AND(AH$5&gt;=$C96,AH$5&lt;=$D96,$A96&lt;&gt;""),"●","")</x:f>
      </x:c>
      <x:c r="AI96" s="165" t="str">
        <x:f>IF(AND(AI$5&gt;=$C96,AI$5&lt;=$D96,$A96&lt;&gt;""),"●","")</x:f>
      </x:c>
      <x:c r="AJ96" s="165" t="str">
        <x:f>IF(AND(AJ$5&gt;=$C96,AJ$5&lt;=$D96,$A96&lt;&gt;""),"●","")</x:f>
      </x:c>
      <x:c r="AK96" s="165" t="str">
        <x:f>IF(AND(AK$5&gt;=$C96,AK$5&lt;=$D96,$A96&lt;&gt;""),"●","")</x:f>
      </x:c>
      <x:c r="AL96" s="165" t="str">
        <x:f>IF(AND(AL$5&gt;=$C96,AL$5&lt;=$D96,$A96&lt;&gt;""),"●","")</x:f>
      </x:c>
      <x:c r="AM96" s="165" t="str">
        <x:f>IF(AND(AM$5&gt;=$C96,AM$5&lt;=$D96,$A96&lt;&gt;""),"●","")</x:f>
      </x:c>
      <x:c r="AN96" s="165" t="str">
        <x:f>IF(AND(AN$5&gt;=$C96,AN$5&lt;=$D96,$A96&lt;&gt;""),"●","")</x:f>
      </x:c>
      <x:c r="AO96" s="165" t="str">
        <x:f>IF(AND(AO$5&gt;=$C96,AO$5&lt;=$D96,$A96&lt;&gt;""),"●","")</x:f>
      </x:c>
      <x:c r="AP96" s="165" t="str">
        <x:f>IF(AND(AP$5&gt;=$C96,AP$5&lt;=$D96,$A96&lt;&gt;""),"●","")</x:f>
      </x:c>
      <x:c r="AQ96" s="165" t="str">
        <x:f>IF(AND(AQ$5&gt;=$C96,AQ$5&lt;=$D96,$A96&lt;&gt;""),"●","")</x:f>
      </x:c>
      <x:c r="AR96" s="165" t="str">
        <x:f>IF(AND(AR$5&gt;=$C96,AR$5&lt;=$D96,$A96&lt;&gt;""),"●","")</x:f>
      </x:c>
      <x:c r="AS96" s="165" t="str">
        <x:f>IF(AND(AS$5&gt;=$C96,AS$5&lt;=$D96,$A96&lt;&gt;""),"●","")</x:f>
      </x:c>
      <x:c r="AT96" s="165" t="str">
        <x:f>IF(AND(AT$5&gt;=$C96,AT$5&lt;=$D96,$A96&lt;&gt;""),"●","")</x:f>
      </x:c>
      <x:c r="AU96" s="165" t="str">
        <x:f>IF(AND(AU$5&gt;=$C96,AU$5&lt;=$D96,$A96&lt;&gt;""),"●","")</x:f>
      </x:c>
      <x:c r="AV96" s="165" t="str">
        <x:f>IF(AND(AV$5&gt;=$C96,AV$5&lt;=$D96,$A96&lt;&gt;""),"●","")</x:f>
      </x:c>
      <x:c r="AW96" s="165" t="str">
        <x:f>IF(AND(AW$5&gt;=$C96,AW$5&lt;=$D96,$A96&lt;&gt;""),"●","")</x:f>
      </x:c>
      <x:c r="AX96" s="165" t="str">
        <x:f>IF(AND(AX$5&gt;=$C96,AX$5&lt;=$D96,$A96&lt;&gt;""),"●","")</x:f>
      </x:c>
      <x:c r="AY96" s="165" t="str">
        <x:f>IF(AND(AY$5&gt;=$C96,AY$5&lt;=$D96,$A96&lt;&gt;""),"●","")</x:f>
      </x:c>
      <x:c r="AZ96" s="165" t="str">
        <x:f>IF(AND(AZ$5&gt;=$C96,AZ$5&lt;=$D96,$A96&lt;&gt;""),"●","")</x:f>
      </x:c>
      <x:c r="BA96" s="165" t="str">
        <x:f>IF(AND(BA$5&gt;=$C96,BA$5&lt;=$D96,$A96&lt;&gt;""),"●","")</x:f>
      </x:c>
      <x:c r="BB96" s="165" t="str">
        <x:f>IF(AND(BB$5&gt;=$C96,BB$5&lt;=$D96,$A96&lt;&gt;""),"●","")</x:f>
      </x:c>
      <x:c r="BC96" s="165" t="str">
        <x:f>IF(AND(BC$5&gt;=$C96,BC$5&lt;=$D96,$A96&lt;&gt;""),"●","")</x:f>
      </x:c>
      <x:c r="BD96" s="165" t="str">
        <x:f>IF(AND(BD$5&gt;=$C96,BD$5&lt;=$D96,$A96&lt;&gt;""),"●","")</x:f>
      </x:c>
      <x:c r="BE96" s="165" t="str">
        <x:f>IF(AND(BE$5&gt;=$C96,BE$5&lt;=$D96,$A96&lt;&gt;""),"●","")</x:f>
      </x:c>
      <x:c r="BF96" s="165" t="str">
        <x:f>IF(AND(BF$5&gt;=$C96,BF$5&lt;=$D96,$A96&lt;&gt;""),"●","")</x:f>
      </x:c>
      <x:c r="BG96" s="165" t="str">
        <x:f>IF(AND(BG$5&gt;=$C96,BG$5&lt;=$D96,$A96&lt;&gt;""),"●","")</x:f>
      </x:c>
      <x:c r="BH96" s="165" t="str">
        <x:f>IF(AND(BH$5&gt;=$C96,BH$5&lt;=$D96,$A96&lt;&gt;""),"●","")</x:f>
      </x:c>
      <x:c r="BI96" s="165" t="str">
        <x:f>IF(AND(BI$5&gt;=$C96,BI$5&lt;=$D96,$A96&lt;&gt;""),"●","")</x:f>
      </x:c>
      <x:c r="BJ96" s="165" t="str">
        <x:f>IF(AND(BJ$5&gt;=$C96,BJ$5&lt;=$D96,$A96&lt;&gt;""),"●","")</x:f>
      </x:c>
      <x:c r="BK96" s="165" t="str">
        <x:f>IF(AND(BK$5&gt;=$C96,BK$5&lt;=$D96,$A96&lt;&gt;""),"●","")</x:f>
      </x:c>
      <x:c r="BL96" s="165" t="str">
        <x:f>IF(AND(BL$5&gt;=$C96,BL$5&lt;=$D96,$A96&lt;&gt;""),"●","")</x:f>
      </x:c>
      <x:c r="BM96" s="165" t="str">
        <x:f>IF(AND(BM$5&gt;=$C96,BM$5&lt;=$D96,$A96&lt;&gt;""),"●","")</x:f>
      </x:c>
      <x:c r="BN96" s="165" t="str">
        <x:f>IF(AND(BN$5&gt;=$C96,BN$5&lt;=$D96,$A96&lt;&gt;""),"●","")</x:f>
      </x:c>
      <x:c r="BO96" s="165" t="str">
        <x:f>IF(AND(BO$5&gt;=$C96,BO$5&lt;=$D96,$A96&lt;&gt;""),"●","")</x:f>
      </x:c>
      <x:c r="BP96" s="165" t="str">
        <x:f>IF(AND(BP$5&gt;=$C96,BP$5&lt;=$D96,$A96&lt;&gt;""),"●","")</x:f>
      </x:c>
      <x:c r="BQ96" s="165" t="str">
        <x:f>IF(AND(BQ$5&gt;=$C96,BQ$5&lt;=$D96,$A96&lt;&gt;""),"●","")</x:f>
      </x:c>
      <x:c r="BR96" s="165" t="str">
        <x:f>IF(AND(BR$5&gt;=$C96,BR$5&lt;=$D96,$A96&lt;&gt;""),"●","")</x:f>
      </x:c>
      <x:c r="BS96" s="165" t="str">
        <x:f>IF(AND(BS$5&gt;=$C96,BS$5&lt;=$D96,$A96&lt;&gt;""),"●","")</x:f>
      </x:c>
      <x:c r="BT96" s="165" t="str">
        <x:f>IF(AND(BT$5&gt;=$C96,BT$5&lt;=$D96,$A96&lt;&gt;""),"●","")</x:f>
      </x:c>
      <x:c r="BU96" s="165" t="str">
        <x:f>IF(AND(BU$5&gt;=$C96,BU$5&lt;=$D96,$A96&lt;&gt;""),"●","")</x:f>
      </x:c>
      <x:c r="BV96" s="165" t="str">
        <x:f>IF(AND(BV$5&gt;=$C96,BV$5&lt;=$D96,$A96&lt;&gt;""),"●","")</x:f>
      </x:c>
      <x:c r="BW96" s="165" t="str">
        <x:f>IF(AND(BW$5&gt;=$C96,BW$5&lt;=$D96,$A96&lt;&gt;""),"●","")</x:f>
      </x:c>
    </x:row>
    <x:row r="97">
      <x:c r="A97" s="159" t="str">
        <x:f>IF('รายการสัญญา'!A97="","",'รายการสัญญา'!A97)</x:f>
      </x:c>
      <x:c r="B97" s="159" t="str">
        <x:f>IF('รายการสัญญา'!A97="","",'รายการสัญญา'!C97)</x:f>
      </x:c>
      <x:c r="C97" s="162" t="str">
        <x:f>IF('รายการสัญญา'!A97="","",'รายการสัญญา'!E97)</x:f>
      </x:c>
      <x:c r="D97" s="162" t="str">
        <x:f>IF('รายการสัญญา'!A97="","",'รายการสัญญา'!G97)</x:f>
      </x:c>
      <x:c r="E97" s="159" t="str">
        <x:f>IF('รายการสัญญา'!A97="","",'รายการสัญญา'!K97)</x:f>
      </x:c>
      <x:c r="F97" s="165" t="str">
        <x:f>IF(AND(F$5&gt;=$C97,F$5&lt;=$D97,$A97&lt;&gt;""),"●","")</x:f>
      </x:c>
      <x:c r="G97" s="165" t="str">
        <x:f>IF(AND(G$5&gt;=$C97,G$5&lt;=$D97,$A97&lt;&gt;""),"●","")</x:f>
      </x:c>
      <x:c r="H97" s="165" t="str">
        <x:f>IF(AND(H$5&gt;=$C97,H$5&lt;=$D97,$A97&lt;&gt;""),"●","")</x:f>
      </x:c>
      <x:c r="I97" s="165" t="str">
        <x:f>IF(AND(I$5&gt;=$C97,I$5&lt;=$D97,$A97&lt;&gt;""),"●","")</x:f>
      </x:c>
      <x:c r="J97" s="165" t="str">
        <x:f>IF(AND(J$5&gt;=$C97,J$5&lt;=$D97,$A97&lt;&gt;""),"●","")</x:f>
      </x:c>
      <x:c r="K97" s="165" t="str">
        <x:f>IF(AND(K$5&gt;=$C97,K$5&lt;=$D97,$A97&lt;&gt;""),"●","")</x:f>
      </x:c>
      <x:c r="L97" s="165" t="str">
        <x:f>IF(AND(L$5&gt;=$C97,L$5&lt;=$D97,$A97&lt;&gt;""),"●","")</x:f>
      </x:c>
      <x:c r="M97" s="165" t="str">
        <x:f>IF(AND(M$5&gt;=$C97,M$5&lt;=$D97,$A97&lt;&gt;""),"●","")</x:f>
      </x:c>
      <x:c r="N97" s="165" t="str">
        <x:f>IF(AND(N$5&gt;=$C97,N$5&lt;=$D97,$A97&lt;&gt;""),"●","")</x:f>
      </x:c>
      <x:c r="O97" s="165" t="str">
        <x:f>IF(AND(O$5&gt;=$C97,O$5&lt;=$D97,$A97&lt;&gt;""),"●","")</x:f>
      </x:c>
      <x:c r="P97" s="165" t="str">
        <x:f>IF(AND(P$5&gt;=$C97,P$5&lt;=$D97,$A97&lt;&gt;""),"●","")</x:f>
      </x:c>
      <x:c r="Q97" s="165" t="str">
        <x:f>IF(AND(Q$5&gt;=$C97,Q$5&lt;=$D97,$A97&lt;&gt;""),"●","")</x:f>
      </x:c>
      <x:c r="R97" s="165" t="str">
        <x:f>IF(AND(R$5&gt;=$C97,R$5&lt;=$D97,$A97&lt;&gt;""),"●","")</x:f>
      </x:c>
      <x:c r="S97" s="165" t="str">
        <x:f>IF(AND(S$5&gt;=$C97,S$5&lt;=$D97,$A97&lt;&gt;""),"●","")</x:f>
      </x:c>
      <x:c r="T97" s="165" t="str">
        <x:f>IF(AND(T$5&gt;=$C97,T$5&lt;=$D97,$A97&lt;&gt;""),"●","")</x:f>
      </x:c>
      <x:c r="U97" s="165" t="str">
        <x:f>IF(AND(U$5&gt;=$C97,U$5&lt;=$D97,$A97&lt;&gt;""),"●","")</x:f>
      </x:c>
      <x:c r="V97" s="165" t="str">
        <x:f>IF(AND(V$5&gt;=$C97,V$5&lt;=$D97,$A97&lt;&gt;""),"●","")</x:f>
      </x:c>
      <x:c r="W97" s="165" t="str">
        <x:f>IF(AND(W$5&gt;=$C97,W$5&lt;=$D97,$A97&lt;&gt;""),"●","")</x:f>
      </x:c>
      <x:c r="X97" s="165" t="str">
        <x:f>IF(AND(X$5&gt;=$C97,X$5&lt;=$D97,$A97&lt;&gt;""),"●","")</x:f>
      </x:c>
      <x:c r="Y97" s="165" t="str">
        <x:f>IF(AND(Y$5&gt;=$C97,Y$5&lt;=$D97,$A97&lt;&gt;""),"●","")</x:f>
      </x:c>
      <x:c r="Z97" s="165" t="str">
        <x:f>IF(AND(Z$5&gt;=$C97,Z$5&lt;=$D97,$A97&lt;&gt;""),"●","")</x:f>
      </x:c>
      <x:c r="AA97" s="165" t="str">
        <x:f>IF(AND(AA$5&gt;=$C97,AA$5&lt;=$D97,$A97&lt;&gt;""),"●","")</x:f>
      </x:c>
      <x:c r="AB97" s="165" t="str">
        <x:f>IF(AND(AB$5&gt;=$C97,AB$5&lt;=$D97,$A97&lt;&gt;""),"●","")</x:f>
      </x:c>
      <x:c r="AC97" s="165" t="str">
        <x:f>IF(AND(AC$5&gt;=$C97,AC$5&lt;=$D97,$A97&lt;&gt;""),"●","")</x:f>
      </x:c>
      <x:c r="AD97" s="165" t="str">
        <x:f>IF(AND(AD$5&gt;=$C97,AD$5&lt;=$D97,$A97&lt;&gt;""),"●","")</x:f>
      </x:c>
      <x:c r="AE97" s="165" t="str">
        <x:f>IF(AND(AE$5&gt;=$C97,AE$5&lt;=$D97,$A97&lt;&gt;""),"●","")</x:f>
      </x:c>
      <x:c r="AF97" s="165" t="str">
        <x:f>IF(AND(AF$5&gt;=$C97,AF$5&lt;=$D97,$A97&lt;&gt;""),"●","")</x:f>
      </x:c>
      <x:c r="AG97" s="165" t="str">
        <x:f>IF(AND(AG$5&gt;=$C97,AG$5&lt;=$D97,$A97&lt;&gt;""),"●","")</x:f>
      </x:c>
      <x:c r="AH97" s="165" t="str">
        <x:f>IF(AND(AH$5&gt;=$C97,AH$5&lt;=$D97,$A97&lt;&gt;""),"●","")</x:f>
      </x:c>
      <x:c r="AI97" s="165" t="str">
        <x:f>IF(AND(AI$5&gt;=$C97,AI$5&lt;=$D97,$A97&lt;&gt;""),"●","")</x:f>
      </x:c>
      <x:c r="AJ97" s="165" t="str">
        <x:f>IF(AND(AJ$5&gt;=$C97,AJ$5&lt;=$D97,$A97&lt;&gt;""),"●","")</x:f>
      </x:c>
      <x:c r="AK97" s="165" t="str">
        <x:f>IF(AND(AK$5&gt;=$C97,AK$5&lt;=$D97,$A97&lt;&gt;""),"●","")</x:f>
      </x:c>
      <x:c r="AL97" s="165" t="str">
        <x:f>IF(AND(AL$5&gt;=$C97,AL$5&lt;=$D97,$A97&lt;&gt;""),"●","")</x:f>
      </x:c>
      <x:c r="AM97" s="165" t="str">
        <x:f>IF(AND(AM$5&gt;=$C97,AM$5&lt;=$D97,$A97&lt;&gt;""),"●","")</x:f>
      </x:c>
      <x:c r="AN97" s="165" t="str">
        <x:f>IF(AND(AN$5&gt;=$C97,AN$5&lt;=$D97,$A97&lt;&gt;""),"●","")</x:f>
      </x:c>
      <x:c r="AO97" s="165" t="str">
        <x:f>IF(AND(AO$5&gt;=$C97,AO$5&lt;=$D97,$A97&lt;&gt;""),"●","")</x:f>
      </x:c>
      <x:c r="AP97" s="165" t="str">
        <x:f>IF(AND(AP$5&gt;=$C97,AP$5&lt;=$D97,$A97&lt;&gt;""),"●","")</x:f>
      </x:c>
      <x:c r="AQ97" s="165" t="str">
        <x:f>IF(AND(AQ$5&gt;=$C97,AQ$5&lt;=$D97,$A97&lt;&gt;""),"●","")</x:f>
      </x:c>
      <x:c r="AR97" s="165" t="str">
        <x:f>IF(AND(AR$5&gt;=$C97,AR$5&lt;=$D97,$A97&lt;&gt;""),"●","")</x:f>
      </x:c>
      <x:c r="AS97" s="165" t="str">
        <x:f>IF(AND(AS$5&gt;=$C97,AS$5&lt;=$D97,$A97&lt;&gt;""),"●","")</x:f>
      </x:c>
      <x:c r="AT97" s="165" t="str">
        <x:f>IF(AND(AT$5&gt;=$C97,AT$5&lt;=$D97,$A97&lt;&gt;""),"●","")</x:f>
      </x:c>
      <x:c r="AU97" s="165" t="str">
        <x:f>IF(AND(AU$5&gt;=$C97,AU$5&lt;=$D97,$A97&lt;&gt;""),"●","")</x:f>
      </x:c>
      <x:c r="AV97" s="165" t="str">
        <x:f>IF(AND(AV$5&gt;=$C97,AV$5&lt;=$D97,$A97&lt;&gt;""),"●","")</x:f>
      </x:c>
      <x:c r="AW97" s="165" t="str">
        <x:f>IF(AND(AW$5&gt;=$C97,AW$5&lt;=$D97,$A97&lt;&gt;""),"●","")</x:f>
      </x:c>
      <x:c r="AX97" s="165" t="str">
        <x:f>IF(AND(AX$5&gt;=$C97,AX$5&lt;=$D97,$A97&lt;&gt;""),"●","")</x:f>
      </x:c>
      <x:c r="AY97" s="165" t="str">
        <x:f>IF(AND(AY$5&gt;=$C97,AY$5&lt;=$D97,$A97&lt;&gt;""),"●","")</x:f>
      </x:c>
      <x:c r="AZ97" s="165" t="str">
        <x:f>IF(AND(AZ$5&gt;=$C97,AZ$5&lt;=$D97,$A97&lt;&gt;""),"●","")</x:f>
      </x:c>
      <x:c r="BA97" s="165" t="str">
        <x:f>IF(AND(BA$5&gt;=$C97,BA$5&lt;=$D97,$A97&lt;&gt;""),"●","")</x:f>
      </x:c>
      <x:c r="BB97" s="165" t="str">
        <x:f>IF(AND(BB$5&gt;=$C97,BB$5&lt;=$D97,$A97&lt;&gt;""),"●","")</x:f>
      </x:c>
      <x:c r="BC97" s="165" t="str">
        <x:f>IF(AND(BC$5&gt;=$C97,BC$5&lt;=$D97,$A97&lt;&gt;""),"●","")</x:f>
      </x:c>
      <x:c r="BD97" s="165" t="str">
        <x:f>IF(AND(BD$5&gt;=$C97,BD$5&lt;=$D97,$A97&lt;&gt;""),"●","")</x:f>
      </x:c>
      <x:c r="BE97" s="165" t="str">
        <x:f>IF(AND(BE$5&gt;=$C97,BE$5&lt;=$D97,$A97&lt;&gt;""),"●","")</x:f>
      </x:c>
      <x:c r="BF97" s="165" t="str">
        <x:f>IF(AND(BF$5&gt;=$C97,BF$5&lt;=$D97,$A97&lt;&gt;""),"●","")</x:f>
      </x:c>
      <x:c r="BG97" s="165" t="str">
        <x:f>IF(AND(BG$5&gt;=$C97,BG$5&lt;=$D97,$A97&lt;&gt;""),"●","")</x:f>
      </x:c>
      <x:c r="BH97" s="165" t="str">
        <x:f>IF(AND(BH$5&gt;=$C97,BH$5&lt;=$D97,$A97&lt;&gt;""),"●","")</x:f>
      </x:c>
      <x:c r="BI97" s="165" t="str">
        <x:f>IF(AND(BI$5&gt;=$C97,BI$5&lt;=$D97,$A97&lt;&gt;""),"●","")</x:f>
      </x:c>
      <x:c r="BJ97" s="165" t="str">
        <x:f>IF(AND(BJ$5&gt;=$C97,BJ$5&lt;=$D97,$A97&lt;&gt;""),"●","")</x:f>
      </x:c>
      <x:c r="BK97" s="165" t="str">
        <x:f>IF(AND(BK$5&gt;=$C97,BK$5&lt;=$D97,$A97&lt;&gt;""),"●","")</x:f>
      </x:c>
      <x:c r="BL97" s="165" t="str">
        <x:f>IF(AND(BL$5&gt;=$C97,BL$5&lt;=$D97,$A97&lt;&gt;""),"●","")</x:f>
      </x:c>
      <x:c r="BM97" s="165" t="str">
        <x:f>IF(AND(BM$5&gt;=$C97,BM$5&lt;=$D97,$A97&lt;&gt;""),"●","")</x:f>
      </x:c>
      <x:c r="BN97" s="165" t="str">
        <x:f>IF(AND(BN$5&gt;=$C97,BN$5&lt;=$D97,$A97&lt;&gt;""),"●","")</x:f>
      </x:c>
      <x:c r="BO97" s="165" t="str">
        <x:f>IF(AND(BO$5&gt;=$C97,BO$5&lt;=$D97,$A97&lt;&gt;""),"●","")</x:f>
      </x:c>
      <x:c r="BP97" s="165" t="str">
        <x:f>IF(AND(BP$5&gt;=$C97,BP$5&lt;=$D97,$A97&lt;&gt;""),"●","")</x:f>
      </x:c>
      <x:c r="BQ97" s="165" t="str">
        <x:f>IF(AND(BQ$5&gt;=$C97,BQ$5&lt;=$D97,$A97&lt;&gt;""),"●","")</x:f>
      </x:c>
      <x:c r="BR97" s="165" t="str">
        <x:f>IF(AND(BR$5&gt;=$C97,BR$5&lt;=$D97,$A97&lt;&gt;""),"●","")</x:f>
      </x:c>
      <x:c r="BS97" s="165" t="str">
        <x:f>IF(AND(BS$5&gt;=$C97,BS$5&lt;=$D97,$A97&lt;&gt;""),"●","")</x:f>
      </x:c>
      <x:c r="BT97" s="165" t="str">
        <x:f>IF(AND(BT$5&gt;=$C97,BT$5&lt;=$D97,$A97&lt;&gt;""),"●","")</x:f>
      </x:c>
      <x:c r="BU97" s="165" t="str">
        <x:f>IF(AND(BU$5&gt;=$C97,BU$5&lt;=$D97,$A97&lt;&gt;""),"●","")</x:f>
      </x:c>
      <x:c r="BV97" s="165" t="str">
        <x:f>IF(AND(BV$5&gt;=$C97,BV$5&lt;=$D97,$A97&lt;&gt;""),"●","")</x:f>
      </x:c>
      <x:c r="BW97" s="165" t="str">
        <x:f>IF(AND(BW$5&gt;=$C97,BW$5&lt;=$D97,$A97&lt;&gt;""),"●","")</x:f>
      </x:c>
    </x:row>
    <x:row r="98">
      <x:c r="A98" s="159" t="str">
        <x:f>IF('รายการสัญญา'!A98="","",'รายการสัญญา'!A98)</x:f>
      </x:c>
      <x:c r="B98" s="159" t="str">
        <x:f>IF('รายการสัญญา'!A98="","",'รายการสัญญา'!C98)</x:f>
      </x:c>
      <x:c r="C98" s="162" t="str">
        <x:f>IF('รายการสัญญา'!A98="","",'รายการสัญญา'!E98)</x:f>
      </x:c>
      <x:c r="D98" s="162" t="str">
        <x:f>IF('รายการสัญญา'!A98="","",'รายการสัญญา'!G98)</x:f>
      </x:c>
      <x:c r="E98" s="159" t="str">
        <x:f>IF('รายการสัญญา'!A98="","",'รายการสัญญา'!K98)</x:f>
      </x:c>
      <x:c r="F98" s="165" t="str">
        <x:f>IF(AND(F$5&gt;=$C98,F$5&lt;=$D98,$A98&lt;&gt;""),"●","")</x:f>
      </x:c>
      <x:c r="G98" s="165" t="str">
        <x:f>IF(AND(G$5&gt;=$C98,G$5&lt;=$D98,$A98&lt;&gt;""),"●","")</x:f>
      </x:c>
      <x:c r="H98" s="165" t="str">
        <x:f>IF(AND(H$5&gt;=$C98,H$5&lt;=$D98,$A98&lt;&gt;""),"●","")</x:f>
      </x:c>
      <x:c r="I98" s="165" t="str">
        <x:f>IF(AND(I$5&gt;=$C98,I$5&lt;=$D98,$A98&lt;&gt;""),"●","")</x:f>
      </x:c>
      <x:c r="J98" s="165" t="str">
        <x:f>IF(AND(J$5&gt;=$C98,J$5&lt;=$D98,$A98&lt;&gt;""),"●","")</x:f>
      </x:c>
      <x:c r="K98" s="165" t="str">
        <x:f>IF(AND(K$5&gt;=$C98,K$5&lt;=$D98,$A98&lt;&gt;""),"●","")</x:f>
      </x:c>
      <x:c r="L98" s="165" t="str">
        <x:f>IF(AND(L$5&gt;=$C98,L$5&lt;=$D98,$A98&lt;&gt;""),"●","")</x:f>
      </x:c>
      <x:c r="M98" s="165" t="str">
        <x:f>IF(AND(M$5&gt;=$C98,M$5&lt;=$D98,$A98&lt;&gt;""),"●","")</x:f>
      </x:c>
      <x:c r="N98" s="165" t="str">
        <x:f>IF(AND(N$5&gt;=$C98,N$5&lt;=$D98,$A98&lt;&gt;""),"●","")</x:f>
      </x:c>
      <x:c r="O98" s="165" t="str">
        <x:f>IF(AND(O$5&gt;=$C98,O$5&lt;=$D98,$A98&lt;&gt;""),"●","")</x:f>
      </x:c>
      <x:c r="P98" s="165" t="str">
        <x:f>IF(AND(P$5&gt;=$C98,P$5&lt;=$D98,$A98&lt;&gt;""),"●","")</x:f>
      </x:c>
      <x:c r="Q98" s="165" t="str">
        <x:f>IF(AND(Q$5&gt;=$C98,Q$5&lt;=$D98,$A98&lt;&gt;""),"●","")</x:f>
      </x:c>
      <x:c r="R98" s="165" t="str">
        <x:f>IF(AND(R$5&gt;=$C98,R$5&lt;=$D98,$A98&lt;&gt;""),"●","")</x:f>
      </x:c>
      <x:c r="S98" s="165" t="str">
        <x:f>IF(AND(S$5&gt;=$C98,S$5&lt;=$D98,$A98&lt;&gt;""),"●","")</x:f>
      </x:c>
      <x:c r="T98" s="165" t="str">
        <x:f>IF(AND(T$5&gt;=$C98,T$5&lt;=$D98,$A98&lt;&gt;""),"●","")</x:f>
      </x:c>
      <x:c r="U98" s="165" t="str">
        <x:f>IF(AND(U$5&gt;=$C98,U$5&lt;=$D98,$A98&lt;&gt;""),"●","")</x:f>
      </x:c>
      <x:c r="V98" s="165" t="str">
        <x:f>IF(AND(V$5&gt;=$C98,V$5&lt;=$D98,$A98&lt;&gt;""),"●","")</x:f>
      </x:c>
      <x:c r="W98" s="165" t="str">
        <x:f>IF(AND(W$5&gt;=$C98,W$5&lt;=$D98,$A98&lt;&gt;""),"●","")</x:f>
      </x:c>
      <x:c r="X98" s="165" t="str">
        <x:f>IF(AND(X$5&gt;=$C98,X$5&lt;=$D98,$A98&lt;&gt;""),"●","")</x:f>
      </x:c>
      <x:c r="Y98" s="165" t="str">
        <x:f>IF(AND(Y$5&gt;=$C98,Y$5&lt;=$D98,$A98&lt;&gt;""),"●","")</x:f>
      </x:c>
      <x:c r="Z98" s="165" t="str">
        <x:f>IF(AND(Z$5&gt;=$C98,Z$5&lt;=$D98,$A98&lt;&gt;""),"●","")</x:f>
      </x:c>
      <x:c r="AA98" s="165" t="str">
        <x:f>IF(AND(AA$5&gt;=$C98,AA$5&lt;=$D98,$A98&lt;&gt;""),"●","")</x:f>
      </x:c>
      <x:c r="AB98" s="165" t="str">
        <x:f>IF(AND(AB$5&gt;=$C98,AB$5&lt;=$D98,$A98&lt;&gt;""),"●","")</x:f>
      </x:c>
      <x:c r="AC98" s="165" t="str">
        <x:f>IF(AND(AC$5&gt;=$C98,AC$5&lt;=$D98,$A98&lt;&gt;""),"●","")</x:f>
      </x:c>
      <x:c r="AD98" s="165" t="str">
        <x:f>IF(AND(AD$5&gt;=$C98,AD$5&lt;=$D98,$A98&lt;&gt;""),"●","")</x:f>
      </x:c>
      <x:c r="AE98" s="165" t="str">
        <x:f>IF(AND(AE$5&gt;=$C98,AE$5&lt;=$D98,$A98&lt;&gt;""),"●","")</x:f>
      </x:c>
      <x:c r="AF98" s="165" t="str">
        <x:f>IF(AND(AF$5&gt;=$C98,AF$5&lt;=$D98,$A98&lt;&gt;""),"●","")</x:f>
      </x:c>
      <x:c r="AG98" s="165" t="str">
        <x:f>IF(AND(AG$5&gt;=$C98,AG$5&lt;=$D98,$A98&lt;&gt;""),"●","")</x:f>
      </x:c>
      <x:c r="AH98" s="165" t="str">
        <x:f>IF(AND(AH$5&gt;=$C98,AH$5&lt;=$D98,$A98&lt;&gt;""),"●","")</x:f>
      </x:c>
      <x:c r="AI98" s="165" t="str">
        <x:f>IF(AND(AI$5&gt;=$C98,AI$5&lt;=$D98,$A98&lt;&gt;""),"●","")</x:f>
      </x:c>
      <x:c r="AJ98" s="165" t="str">
        <x:f>IF(AND(AJ$5&gt;=$C98,AJ$5&lt;=$D98,$A98&lt;&gt;""),"●","")</x:f>
      </x:c>
      <x:c r="AK98" s="165" t="str">
        <x:f>IF(AND(AK$5&gt;=$C98,AK$5&lt;=$D98,$A98&lt;&gt;""),"●","")</x:f>
      </x:c>
      <x:c r="AL98" s="165" t="str">
        <x:f>IF(AND(AL$5&gt;=$C98,AL$5&lt;=$D98,$A98&lt;&gt;""),"●","")</x:f>
      </x:c>
      <x:c r="AM98" s="165" t="str">
        <x:f>IF(AND(AM$5&gt;=$C98,AM$5&lt;=$D98,$A98&lt;&gt;""),"●","")</x:f>
      </x:c>
      <x:c r="AN98" s="165" t="str">
        <x:f>IF(AND(AN$5&gt;=$C98,AN$5&lt;=$D98,$A98&lt;&gt;""),"●","")</x:f>
      </x:c>
      <x:c r="AO98" s="165" t="str">
        <x:f>IF(AND(AO$5&gt;=$C98,AO$5&lt;=$D98,$A98&lt;&gt;""),"●","")</x:f>
      </x:c>
      <x:c r="AP98" s="165" t="str">
        <x:f>IF(AND(AP$5&gt;=$C98,AP$5&lt;=$D98,$A98&lt;&gt;""),"●","")</x:f>
      </x:c>
      <x:c r="AQ98" s="165" t="str">
        <x:f>IF(AND(AQ$5&gt;=$C98,AQ$5&lt;=$D98,$A98&lt;&gt;""),"●","")</x:f>
      </x:c>
      <x:c r="AR98" s="165" t="str">
        <x:f>IF(AND(AR$5&gt;=$C98,AR$5&lt;=$D98,$A98&lt;&gt;""),"●","")</x:f>
      </x:c>
      <x:c r="AS98" s="165" t="str">
        <x:f>IF(AND(AS$5&gt;=$C98,AS$5&lt;=$D98,$A98&lt;&gt;""),"●","")</x:f>
      </x:c>
      <x:c r="AT98" s="165" t="str">
        <x:f>IF(AND(AT$5&gt;=$C98,AT$5&lt;=$D98,$A98&lt;&gt;""),"●","")</x:f>
      </x:c>
      <x:c r="AU98" s="165" t="str">
        <x:f>IF(AND(AU$5&gt;=$C98,AU$5&lt;=$D98,$A98&lt;&gt;""),"●","")</x:f>
      </x:c>
      <x:c r="AV98" s="165" t="str">
        <x:f>IF(AND(AV$5&gt;=$C98,AV$5&lt;=$D98,$A98&lt;&gt;""),"●","")</x:f>
      </x:c>
      <x:c r="AW98" s="165" t="str">
        <x:f>IF(AND(AW$5&gt;=$C98,AW$5&lt;=$D98,$A98&lt;&gt;""),"●","")</x:f>
      </x:c>
      <x:c r="AX98" s="165" t="str">
        <x:f>IF(AND(AX$5&gt;=$C98,AX$5&lt;=$D98,$A98&lt;&gt;""),"●","")</x:f>
      </x:c>
      <x:c r="AY98" s="165" t="str">
        <x:f>IF(AND(AY$5&gt;=$C98,AY$5&lt;=$D98,$A98&lt;&gt;""),"●","")</x:f>
      </x:c>
      <x:c r="AZ98" s="165" t="str">
        <x:f>IF(AND(AZ$5&gt;=$C98,AZ$5&lt;=$D98,$A98&lt;&gt;""),"●","")</x:f>
      </x:c>
      <x:c r="BA98" s="165" t="str">
        <x:f>IF(AND(BA$5&gt;=$C98,BA$5&lt;=$D98,$A98&lt;&gt;""),"●","")</x:f>
      </x:c>
      <x:c r="BB98" s="165" t="str">
        <x:f>IF(AND(BB$5&gt;=$C98,BB$5&lt;=$D98,$A98&lt;&gt;""),"●","")</x:f>
      </x:c>
      <x:c r="BC98" s="165" t="str">
        <x:f>IF(AND(BC$5&gt;=$C98,BC$5&lt;=$D98,$A98&lt;&gt;""),"●","")</x:f>
      </x:c>
      <x:c r="BD98" s="165" t="str">
        <x:f>IF(AND(BD$5&gt;=$C98,BD$5&lt;=$D98,$A98&lt;&gt;""),"●","")</x:f>
      </x:c>
      <x:c r="BE98" s="165" t="str">
        <x:f>IF(AND(BE$5&gt;=$C98,BE$5&lt;=$D98,$A98&lt;&gt;""),"●","")</x:f>
      </x:c>
      <x:c r="BF98" s="165" t="str">
        <x:f>IF(AND(BF$5&gt;=$C98,BF$5&lt;=$D98,$A98&lt;&gt;""),"●","")</x:f>
      </x:c>
      <x:c r="BG98" s="165" t="str">
        <x:f>IF(AND(BG$5&gt;=$C98,BG$5&lt;=$D98,$A98&lt;&gt;""),"●","")</x:f>
      </x:c>
      <x:c r="BH98" s="165" t="str">
        <x:f>IF(AND(BH$5&gt;=$C98,BH$5&lt;=$D98,$A98&lt;&gt;""),"●","")</x:f>
      </x:c>
      <x:c r="BI98" s="165" t="str">
        <x:f>IF(AND(BI$5&gt;=$C98,BI$5&lt;=$D98,$A98&lt;&gt;""),"●","")</x:f>
      </x:c>
      <x:c r="BJ98" s="165" t="str">
        <x:f>IF(AND(BJ$5&gt;=$C98,BJ$5&lt;=$D98,$A98&lt;&gt;""),"●","")</x:f>
      </x:c>
      <x:c r="BK98" s="165" t="str">
        <x:f>IF(AND(BK$5&gt;=$C98,BK$5&lt;=$D98,$A98&lt;&gt;""),"●","")</x:f>
      </x:c>
      <x:c r="BL98" s="165" t="str">
        <x:f>IF(AND(BL$5&gt;=$C98,BL$5&lt;=$D98,$A98&lt;&gt;""),"●","")</x:f>
      </x:c>
      <x:c r="BM98" s="165" t="str">
        <x:f>IF(AND(BM$5&gt;=$C98,BM$5&lt;=$D98,$A98&lt;&gt;""),"●","")</x:f>
      </x:c>
      <x:c r="BN98" s="165" t="str">
        <x:f>IF(AND(BN$5&gt;=$C98,BN$5&lt;=$D98,$A98&lt;&gt;""),"●","")</x:f>
      </x:c>
      <x:c r="BO98" s="165" t="str">
        <x:f>IF(AND(BO$5&gt;=$C98,BO$5&lt;=$D98,$A98&lt;&gt;""),"●","")</x:f>
      </x:c>
      <x:c r="BP98" s="165" t="str">
        <x:f>IF(AND(BP$5&gt;=$C98,BP$5&lt;=$D98,$A98&lt;&gt;""),"●","")</x:f>
      </x:c>
      <x:c r="BQ98" s="165" t="str">
        <x:f>IF(AND(BQ$5&gt;=$C98,BQ$5&lt;=$D98,$A98&lt;&gt;""),"●","")</x:f>
      </x:c>
      <x:c r="BR98" s="165" t="str">
        <x:f>IF(AND(BR$5&gt;=$C98,BR$5&lt;=$D98,$A98&lt;&gt;""),"●","")</x:f>
      </x:c>
      <x:c r="BS98" s="165" t="str">
        <x:f>IF(AND(BS$5&gt;=$C98,BS$5&lt;=$D98,$A98&lt;&gt;""),"●","")</x:f>
      </x:c>
      <x:c r="BT98" s="165" t="str">
        <x:f>IF(AND(BT$5&gt;=$C98,BT$5&lt;=$D98,$A98&lt;&gt;""),"●","")</x:f>
      </x:c>
      <x:c r="BU98" s="165" t="str">
        <x:f>IF(AND(BU$5&gt;=$C98,BU$5&lt;=$D98,$A98&lt;&gt;""),"●","")</x:f>
      </x:c>
      <x:c r="BV98" s="165" t="str">
        <x:f>IF(AND(BV$5&gt;=$C98,BV$5&lt;=$D98,$A98&lt;&gt;""),"●","")</x:f>
      </x:c>
      <x:c r="BW98" s="165" t="str">
        <x:f>IF(AND(BW$5&gt;=$C98,BW$5&lt;=$D98,$A98&lt;&gt;""),"●","")</x:f>
      </x:c>
    </x:row>
    <x:row r="99">
      <x:c r="A99" s="159" t="str">
        <x:f>IF('รายการสัญญา'!A99="","",'รายการสัญญา'!A99)</x:f>
      </x:c>
      <x:c r="B99" s="159" t="str">
        <x:f>IF('รายการสัญญา'!A99="","",'รายการสัญญา'!C99)</x:f>
      </x:c>
      <x:c r="C99" s="162" t="str">
        <x:f>IF('รายการสัญญา'!A99="","",'รายการสัญญา'!E99)</x:f>
      </x:c>
      <x:c r="D99" s="162" t="str">
        <x:f>IF('รายการสัญญา'!A99="","",'รายการสัญญา'!G99)</x:f>
      </x:c>
      <x:c r="E99" s="159" t="str">
        <x:f>IF('รายการสัญญา'!A99="","",'รายการสัญญา'!K99)</x:f>
      </x:c>
      <x:c r="F99" s="165" t="str">
        <x:f>IF(AND(F$5&gt;=$C99,F$5&lt;=$D99,$A99&lt;&gt;""),"●","")</x:f>
      </x:c>
      <x:c r="G99" s="165" t="str">
        <x:f>IF(AND(G$5&gt;=$C99,G$5&lt;=$D99,$A99&lt;&gt;""),"●","")</x:f>
      </x:c>
      <x:c r="H99" s="165" t="str">
        <x:f>IF(AND(H$5&gt;=$C99,H$5&lt;=$D99,$A99&lt;&gt;""),"●","")</x:f>
      </x:c>
      <x:c r="I99" s="165" t="str">
        <x:f>IF(AND(I$5&gt;=$C99,I$5&lt;=$D99,$A99&lt;&gt;""),"●","")</x:f>
      </x:c>
      <x:c r="J99" s="165" t="str">
        <x:f>IF(AND(J$5&gt;=$C99,J$5&lt;=$D99,$A99&lt;&gt;""),"●","")</x:f>
      </x:c>
      <x:c r="K99" s="165" t="str">
        <x:f>IF(AND(K$5&gt;=$C99,K$5&lt;=$D99,$A99&lt;&gt;""),"●","")</x:f>
      </x:c>
      <x:c r="L99" s="165" t="str">
        <x:f>IF(AND(L$5&gt;=$C99,L$5&lt;=$D99,$A99&lt;&gt;""),"●","")</x:f>
      </x:c>
      <x:c r="M99" s="165" t="str">
        <x:f>IF(AND(M$5&gt;=$C99,M$5&lt;=$D99,$A99&lt;&gt;""),"●","")</x:f>
      </x:c>
      <x:c r="N99" s="165" t="str">
        <x:f>IF(AND(N$5&gt;=$C99,N$5&lt;=$D99,$A99&lt;&gt;""),"●","")</x:f>
      </x:c>
      <x:c r="O99" s="165" t="str">
        <x:f>IF(AND(O$5&gt;=$C99,O$5&lt;=$D99,$A99&lt;&gt;""),"●","")</x:f>
      </x:c>
      <x:c r="P99" s="165" t="str">
        <x:f>IF(AND(P$5&gt;=$C99,P$5&lt;=$D99,$A99&lt;&gt;""),"●","")</x:f>
      </x:c>
      <x:c r="Q99" s="165" t="str">
        <x:f>IF(AND(Q$5&gt;=$C99,Q$5&lt;=$D99,$A99&lt;&gt;""),"●","")</x:f>
      </x:c>
      <x:c r="R99" s="165" t="str">
        <x:f>IF(AND(R$5&gt;=$C99,R$5&lt;=$D99,$A99&lt;&gt;""),"●","")</x:f>
      </x:c>
      <x:c r="S99" s="165" t="str">
        <x:f>IF(AND(S$5&gt;=$C99,S$5&lt;=$D99,$A99&lt;&gt;""),"●","")</x:f>
      </x:c>
      <x:c r="T99" s="165" t="str">
        <x:f>IF(AND(T$5&gt;=$C99,T$5&lt;=$D99,$A99&lt;&gt;""),"●","")</x:f>
      </x:c>
      <x:c r="U99" s="165" t="str">
        <x:f>IF(AND(U$5&gt;=$C99,U$5&lt;=$D99,$A99&lt;&gt;""),"●","")</x:f>
      </x:c>
      <x:c r="V99" s="165" t="str">
        <x:f>IF(AND(V$5&gt;=$C99,V$5&lt;=$D99,$A99&lt;&gt;""),"●","")</x:f>
      </x:c>
      <x:c r="W99" s="165" t="str">
        <x:f>IF(AND(W$5&gt;=$C99,W$5&lt;=$D99,$A99&lt;&gt;""),"●","")</x:f>
      </x:c>
      <x:c r="X99" s="165" t="str">
        <x:f>IF(AND(X$5&gt;=$C99,X$5&lt;=$D99,$A99&lt;&gt;""),"●","")</x:f>
      </x:c>
      <x:c r="Y99" s="165" t="str">
        <x:f>IF(AND(Y$5&gt;=$C99,Y$5&lt;=$D99,$A99&lt;&gt;""),"●","")</x:f>
      </x:c>
      <x:c r="Z99" s="165" t="str">
        <x:f>IF(AND(Z$5&gt;=$C99,Z$5&lt;=$D99,$A99&lt;&gt;""),"●","")</x:f>
      </x:c>
      <x:c r="AA99" s="165" t="str">
        <x:f>IF(AND(AA$5&gt;=$C99,AA$5&lt;=$D99,$A99&lt;&gt;""),"●","")</x:f>
      </x:c>
      <x:c r="AB99" s="165" t="str">
        <x:f>IF(AND(AB$5&gt;=$C99,AB$5&lt;=$D99,$A99&lt;&gt;""),"●","")</x:f>
      </x:c>
      <x:c r="AC99" s="165" t="str">
        <x:f>IF(AND(AC$5&gt;=$C99,AC$5&lt;=$D99,$A99&lt;&gt;""),"●","")</x:f>
      </x:c>
      <x:c r="AD99" s="165" t="str">
        <x:f>IF(AND(AD$5&gt;=$C99,AD$5&lt;=$D99,$A99&lt;&gt;""),"●","")</x:f>
      </x:c>
      <x:c r="AE99" s="165" t="str">
        <x:f>IF(AND(AE$5&gt;=$C99,AE$5&lt;=$D99,$A99&lt;&gt;""),"●","")</x:f>
      </x:c>
      <x:c r="AF99" s="165" t="str">
        <x:f>IF(AND(AF$5&gt;=$C99,AF$5&lt;=$D99,$A99&lt;&gt;""),"●","")</x:f>
      </x:c>
      <x:c r="AG99" s="165" t="str">
        <x:f>IF(AND(AG$5&gt;=$C99,AG$5&lt;=$D99,$A99&lt;&gt;""),"●","")</x:f>
      </x:c>
      <x:c r="AH99" s="165" t="str">
        <x:f>IF(AND(AH$5&gt;=$C99,AH$5&lt;=$D99,$A99&lt;&gt;""),"●","")</x:f>
      </x:c>
      <x:c r="AI99" s="165" t="str">
        <x:f>IF(AND(AI$5&gt;=$C99,AI$5&lt;=$D99,$A99&lt;&gt;""),"●","")</x:f>
      </x:c>
      <x:c r="AJ99" s="165" t="str">
        <x:f>IF(AND(AJ$5&gt;=$C99,AJ$5&lt;=$D99,$A99&lt;&gt;""),"●","")</x:f>
      </x:c>
      <x:c r="AK99" s="165" t="str">
        <x:f>IF(AND(AK$5&gt;=$C99,AK$5&lt;=$D99,$A99&lt;&gt;""),"●","")</x:f>
      </x:c>
      <x:c r="AL99" s="165" t="str">
        <x:f>IF(AND(AL$5&gt;=$C99,AL$5&lt;=$D99,$A99&lt;&gt;""),"●","")</x:f>
      </x:c>
      <x:c r="AM99" s="165" t="str">
        <x:f>IF(AND(AM$5&gt;=$C99,AM$5&lt;=$D99,$A99&lt;&gt;""),"●","")</x:f>
      </x:c>
      <x:c r="AN99" s="165" t="str">
        <x:f>IF(AND(AN$5&gt;=$C99,AN$5&lt;=$D99,$A99&lt;&gt;""),"●","")</x:f>
      </x:c>
      <x:c r="AO99" s="165" t="str">
        <x:f>IF(AND(AO$5&gt;=$C99,AO$5&lt;=$D99,$A99&lt;&gt;""),"●","")</x:f>
      </x:c>
      <x:c r="AP99" s="165" t="str">
        <x:f>IF(AND(AP$5&gt;=$C99,AP$5&lt;=$D99,$A99&lt;&gt;""),"●","")</x:f>
      </x:c>
      <x:c r="AQ99" s="165" t="str">
        <x:f>IF(AND(AQ$5&gt;=$C99,AQ$5&lt;=$D99,$A99&lt;&gt;""),"●","")</x:f>
      </x:c>
      <x:c r="AR99" s="165" t="str">
        <x:f>IF(AND(AR$5&gt;=$C99,AR$5&lt;=$D99,$A99&lt;&gt;""),"●","")</x:f>
      </x:c>
      <x:c r="AS99" s="165" t="str">
        <x:f>IF(AND(AS$5&gt;=$C99,AS$5&lt;=$D99,$A99&lt;&gt;""),"●","")</x:f>
      </x:c>
      <x:c r="AT99" s="165" t="str">
        <x:f>IF(AND(AT$5&gt;=$C99,AT$5&lt;=$D99,$A99&lt;&gt;""),"●","")</x:f>
      </x:c>
      <x:c r="AU99" s="165" t="str">
        <x:f>IF(AND(AU$5&gt;=$C99,AU$5&lt;=$D99,$A99&lt;&gt;""),"●","")</x:f>
      </x:c>
      <x:c r="AV99" s="165" t="str">
        <x:f>IF(AND(AV$5&gt;=$C99,AV$5&lt;=$D99,$A99&lt;&gt;""),"●","")</x:f>
      </x:c>
      <x:c r="AW99" s="165" t="str">
        <x:f>IF(AND(AW$5&gt;=$C99,AW$5&lt;=$D99,$A99&lt;&gt;""),"●","")</x:f>
      </x:c>
      <x:c r="AX99" s="165" t="str">
        <x:f>IF(AND(AX$5&gt;=$C99,AX$5&lt;=$D99,$A99&lt;&gt;""),"●","")</x:f>
      </x:c>
      <x:c r="AY99" s="165" t="str">
        <x:f>IF(AND(AY$5&gt;=$C99,AY$5&lt;=$D99,$A99&lt;&gt;""),"●","")</x:f>
      </x:c>
      <x:c r="AZ99" s="165" t="str">
        <x:f>IF(AND(AZ$5&gt;=$C99,AZ$5&lt;=$D99,$A99&lt;&gt;""),"●","")</x:f>
      </x:c>
      <x:c r="BA99" s="165" t="str">
        <x:f>IF(AND(BA$5&gt;=$C99,BA$5&lt;=$D99,$A99&lt;&gt;""),"●","")</x:f>
      </x:c>
      <x:c r="BB99" s="165" t="str">
        <x:f>IF(AND(BB$5&gt;=$C99,BB$5&lt;=$D99,$A99&lt;&gt;""),"●","")</x:f>
      </x:c>
      <x:c r="BC99" s="165" t="str">
        <x:f>IF(AND(BC$5&gt;=$C99,BC$5&lt;=$D99,$A99&lt;&gt;""),"●","")</x:f>
      </x:c>
      <x:c r="BD99" s="165" t="str">
        <x:f>IF(AND(BD$5&gt;=$C99,BD$5&lt;=$D99,$A99&lt;&gt;""),"●","")</x:f>
      </x:c>
      <x:c r="BE99" s="165" t="str">
        <x:f>IF(AND(BE$5&gt;=$C99,BE$5&lt;=$D99,$A99&lt;&gt;""),"●","")</x:f>
      </x:c>
      <x:c r="BF99" s="165" t="str">
        <x:f>IF(AND(BF$5&gt;=$C99,BF$5&lt;=$D99,$A99&lt;&gt;""),"●","")</x:f>
      </x:c>
      <x:c r="BG99" s="165" t="str">
        <x:f>IF(AND(BG$5&gt;=$C99,BG$5&lt;=$D99,$A99&lt;&gt;""),"●","")</x:f>
      </x:c>
      <x:c r="BH99" s="165" t="str">
        <x:f>IF(AND(BH$5&gt;=$C99,BH$5&lt;=$D99,$A99&lt;&gt;""),"●","")</x:f>
      </x:c>
      <x:c r="BI99" s="165" t="str">
        <x:f>IF(AND(BI$5&gt;=$C99,BI$5&lt;=$D99,$A99&lt;&gt;""),"●","")</x:f>
      </x:c>
      <x:c r="BJ99" s="165" t="str">
        <x:f>IF(AND(BJ$5&gt;=$C99,BJ$5&lt;=$D99,$A99&lt;&gt;""),"●","")</x:f>
      </x:c>
      <x:c r="BK99" s="165" t="str">
        <x:f>IF(AND(BK$5&gt;=$C99,BK$5&lt;=$D99,$A99&lt;&gt;""),"●","")</x:f>
      </x:c>
      <x:c r="BL99" s="165" t="str">
        <x:f>IF(AND(BL$5&gt;=$C99,BL$5&lt;=$D99,$A99&lt;&gt;""),"●","")</x:f>
      </x:c>
      <x:c r="BM99" s="165" t="str">
        <x:f>IF(AND(BM$5&gt;=$C99,BM$5&lt;=$D99,$A99&lt;&gt;""),"●","")</x:f>
      </x:c>
      <x:c r="BN99" s="165" t="str">
        <x:f>IF(AND(BN$5&gt;=$C99,BN$5&lt;=$D99,$A99&lt;&gt;""),"●","")</x:f>
      </x:c>
      <x:c r="BO99" s="165" t="str">
        <x:f>IF(AND(BO$5&gt;=$C99,BO$5&lt;=$D99,$A99&lt;&gt;""),"●","")</x:f>
      </x:c>
      <x:c r="BP99" s="165" t="str">
        <x:f>IF(AND(BP$5&gt;=$C99,BP$5&lt;=$D99,$A99&lt;&gt;""),"●","")</x:f>
      </x:c>
      <x:c r="BQ99" s="165" t="str">
        <x:f>IF(AND(BQ$5&gt;=$C99,BQ$5&lt;=$D99,$A99&lt;&gt;""),"●","")</x:f>
      </x:c>
      <x:c r="BR99" s="165" t="str">
        <x:f>IF(AND(BR$5&gt;=$C99,BR$5&lt;=$D99,$A99&lt;&gt;""),"●","")</x:f>
      </x:c>
      <x:c r="BS99" s="165" t="str">
        <x:f>IF(AND(BS$5&gt;=$C99,BS$5&lt;=$D99,$A99&lt;&gt;""),"●","")</x:f>
      </x:c>
      <x:c r="BT99" s="165" t="str">
        <x:f>IF(AND(BT$5&gt;=$C99,BT$5&lt;=$D99,$A99&lt;&gt;""),"●","")</x:f>
      </x:c>
      <x:c r="BU99" s="165" t="str">
        <x:f>IF(AND(BU$5&gt;=$C99,BU$5&lt;=$D99,$A99&lt;&gt;""),"●","")</x:f>
      </x:c>
      <x:c r="BV99" s="165" t="str">
        <x:f>IF(AND(BV$5&gt;=$C99,BV$5&lt;=$D99,$A99&lt;&gt;""),"●","")</x:f>
      </x:c>
      <x:c r="BW99" s="165" t="str">
        <x:f>IF(AND(BW$5&gt;=$C99,BW$5&lt;=$D99,$A99&lt;&gt;""),"●","")</x:f>
      </x:c>
    </x:row>
    <x:row r="100">
      <x:c r="A100" s="159" t="str">
        <x:f>IF('รายการสัญญา'!A100="","",'รายการสัญญา'!A100)</x:f>
      </x:c>
      <x:c r="B100" s="159" t="str">
        <x:f>IF('รายการสัญญา'!A100="","",'รายการสัญญา'!C100)</x:f>
      </x:c>
      <x:c r="C100" s="162" t="str">
        <x:f>IF('รายการสัญญา'!A100="","",'รายการสัญญา'!E100)</x:f>
      </x:c>
      <x:c r="D100" s="162" t="str">
        <x:f>IF('รายการสัญญา'!A100="","",'รายการสัญญา'!G100)</x:f>
      </x:c>
      <x:c r="E100" s="159" t="str">
        <x:f>IF('รายการสัญญา'!A100="","",'รายการสัญญา'!K100)</x:f>
      </x:c>
      <x:c r="F100" s="165" t="str">
        <x:f>IF(AND(F$5&gt;=$C100,F$5&lt;=$D100,$A100&lt;&gt;""),"●","")</x:f>
      </x:c>
      <x:c r="G100" s="165" t="str">
        <x:f>IF(AND(G$5&gt;=$C100,G$5&lt;=$D100,$A100&lt;&gt;""),"●","")</x:f>
      </x:c>
      <x:c r="H100" s="165" t="str">
        <x:f>IF(AND(H$5&gt;=$C100,H$5&lt;=$D100,$A100&lt;&gt;""),"●","")</x:f>
      </x:c>
      <x:c r="I100" s="165" t="str">
        <x:f>IF(AND(I$5&gt;=$C100,I$5&lt;=$D100,$A100&lt;&gt;""),"●","")</x:f>
      </x:c>
      <x:c r="J100" s="165" t="str">
        <x:f>IF(AND(J$5&gt;=$C100,J$5&lt;=$D100,$A100&lt;&gt;""),"●","")</x:f>
      </x:c>
      <x:c r="K100" s="165" t="str">
        <x:f>IF(AND(K$5&gt;=$C100,K$5&lt;=$D100,$A100&lt;&gt;""),"●","")</x:f>
      </x:c>
      <x:c r="L100" s="165" t="str">
        <x:f>IF(AND(L$5&gt;=$C100,L$5&lt;=$D100,$A100&lt;&gt;""),"●","")</x:f>
      </x:c>
      <x:c r="M100" s="165" t="str">
        <x:f>IF(AND(M$5&gt;=$C100,M$5&lt;=$D100,$A100&lt;&gt;""),"●","")</x:f>
      </x:c>
      <x:c r="N100" s="165" t="str">
        <x:f>IF(AND(N$5&gt;=$C100,N$5&lt;=$D100,$A100&lt;&gt;""),"●","")</x:f>
      </x:c>
      <x:c r="O100" s="165" t="str">
        <x:f>IF(AND(O$5&gt;=$C100,O$5&lt;=$D100,$A100&lt;&gt;""),"●","")</x:f>
      </x:c>
      <x:c r="P100" s="165" t="str">
        <x:f>IF(AND(P$5&gt;=$C100,P$5&lt;=$D100,$A100&lt;&gt;""),"●","")</x:f>
      </x:c>
      <x:c r="Q100" s="165" t="str">
        <x:f>IF(AND(Q$5&gt;=$C100,Q$5&lt;=$D100,$A100&lt;&gt;""),"●","")</x:f>
      </x:c>
      <x:c r="R100" s="165" t="str">
        <x:f>IF(AND(R$5&gt;=$C100,R$5&lt;=$D100,$A100&lt;&gt;""),"●","")</x:f>
      </x:c>
      <x:c r="S100" s="165" t="str">
        <x:f>IF(AND(S$5&gt;=$C100,S$5&lt;=$D100,$A100&lt;&gt;""),"●","")</x:f>
      </x:c>
      <x:c r="T100" s="165" t="str">
        <x:f>IF(AND(T$5&gt;=$C100,T$5&lt;=$D100,$A100&lt;&gt;""),"●","")</x:f>
      </x:c>
      <x:c r="U100" s="165" t="str">
        <x:f>IF(AND(U$5&gt;=$C100,U$5&lt;=$D100,$A100&lt;&gt;""),"●","")</x:f>
      </x:c>
      <x:c r="V100" s="165" t="str">
        <x:f>IF(AND(V$5&gt;=$C100,V$5&lt;=$D100,$A100&lt;&gt;""),"●","")</x:f>
      </x:c>
      <x:c r="W100" s="165" t="str">
        <x:f>IF(AND(W$5&gt;=$C100,W$5&lt;=$D100,$A100&lt;&gt;""),"●","")</x:f>
      </x:c>
      <x:c r="X100" s="165" t="str">
        <x:f>IF(AND(X$5&gt;=$C100,X$5&lt;=$D100,$A100&lt;&gt;""),"●","")</x:f>
      </x:c>
      <x:c r="Y100" s="165" t="str">
        <x:f>IF(AND(Y$5&gt;=$C100,Y$5&lt;=$D100,$A100&lt;&gt;""),"●","")</x:f>
      </x:c>
      <x:c r="Z100" s="165" t="str">
        <x:f>IF(AND(Z$5&gt;=$C100,Z$5&lt;=$D100,$A100&lt;&gt;""),"●","")</x:f>
      </x:c>
      <x:c r="AA100" s="165" t="str">
        <x:f>IF(AND(AA$5&gt;=$C100,AA$5&lt;=$D100,$A100&lt;&gt;""),"●","")</x:f>
      </x:c>
      <x:c r="AB100" s="165" t="str">
        <x:f>IF(AND(AB$5&gt;=$C100,AB$5&lt;=$D100,$A100&lt;&gt;""),"●","")</x:f>
      </x:c>
      <x:c r="AC100" s="165" t="str">
        <x:f>IF(AND(AC$5&gt;=$C100,AC$5&lt;=$D100,$A100&lt;&gt;""),"●","")</x:f>
      </x:c>
      <x:c r="AD100" s="165" t="str">
        <x:f>IF(AND(AD$5&gt;=$C100,AD$5&lt;=$D100,$A100&lt;&gt;""),"●","")</x:f>
      </x:c>
      <x:c r="AE100" s="165" t="str">
        <x:f>IF(AND(AE$5&gt;=$C100,AE$5&lt;=$D100,$A100&lt;&gt;""),"●","")</x:f>
      </x:c>
      <x:c r="AF100" s="165" t="str">
        <x:f>IF(AND(AF$5&gt;=$C100,AF$5&lt;=$D100,$A100&lt;&gt;""),"●","")</x:f>
      </x:c>
      <x:c r="AG100" s="165" t="str">
        <x:f>IF(AND(AG$5&gt;=$C100,AG$5&lt;=$D100,$A100&lt;&gt;""),"●","")</x:f>
      </x:c>
      <x:c r="AH100" s="165" t="str">
        <x:f>IF(AND(AH$5&gt;=$C100,AH$5&lt;=$D100,$A100&lt;&gt;""),"●","")</x:f>
      </x:c>
      <x:c r="AI100" s="165" t="str">
        <x:f>IF(AND(AI$5&gt;=$C100,AI$5&lt;=$D100,$A100&lt;&gt;""),"●","")</x:f>
      </x:c>
      <x:c r="AJ100" s="165" t="str">
        <x:f>IF(AND(AJ$5&gt;=$C100,AJ$5&lt;=$D100,$A100&lt;&gt;""),"●","")</x:f>
      </x:c>
      <x:c r="AK100" s="165" t="str">
        <x:f>IF(AND(AK$5&gt;=$C100,AK$5&lt;=$D100,$A100&lt;&gt;""),"●","")</x:f>
      </x:c>
      <x:c r="AL100" s="165" t="str">
        <x:f>IF(AND(AL$5&gt;=$C100,AL$5&lt;=$D100,$A100&lt;&gt;""),"●","")</x:f>
      </x:c>
      <x:c r="AM100" s="165" t="str">
        <x:f>IF(AND(AM$5&gt;=$C100,AM$5&lt;=$D100,$A100&lt;&gt;""),"●","")</x:f>
      </x:c>
      <x:c r="AN100" s="165" t="str">
        <x:f>IF(AND(AN$5&gt;=$C100,AN$5&lt;=$D100,$A100&lt;&gt;""),"●","")</x:f>
      </x:c>
      <x:c r="AO100" s="165" t="str">
        <x:f>IF(AND(AO$5&gt;=$C100,AO$5&lt;=$D100,$A100&lt;&gt;""),"●","")</x:f>
      </x:c>
      <x:c r="AP100" s="165" t="str">
        <x:f>IF(AND(AP$5&gt;=$C100,AP$5&lt;=$D100,$A100&lt;&gt;""),"●","")</x:f>
      </x:c>
      <x:c r="AQ100" s="165" t="str">
        <x:f>IF(AND(AQ$5&gt;=$C100,AQ$5&lt;=$D100,$A100&lt;&gt;""),"●","")</x:f>
      </x:c>
      <x:c r="AR100" s="165" t="str">
        <x:f>IF(AND(AR$5&gt;=$C100,AR$5&lt;=$D100,$A100&lt;&gt;""),"●","")</x:f>
      </x:c>
      <x:c r="AS100" s="165" t="str">
        <x:f>IF(AND(AS$5&gt;=$C100,AS$5&lt;=$D100,$A100&lt;&gt;""),"●","")</x:f>
      </x:c>
      <x:c r="AT100" s="165" t="str">
        <x:f>IF(AND(AT$5&gt;=$C100,AT$5&lt;=$D100,$A100&lt;&gt;""),"●","")</x:f>
      </x:c>
      <x:c r="AU100" s="165" t="str">
        <x:f>IF(AND(AU$5&gt;=$C100,AU$5&lt;=$D100,$A100&lt;&gt;""),"●","")</x:f>
      </x:c>
      <x:c r="AV100" s="165" t="str">
        <x:f>IF(AND(AV$5&gt;=$C100,AV$5&lt;=$D100,$A100&lt;&gt;""),"●","")</x:f>
      </x:c>
      <x:c r="AW100" s="165" t="str">
        <x:f>IF(AND(AW$5&gt;=$C100,AW$5&lt;=$D100,$A100&lt;&gt;""),"●","")</x:f>
      </x:c>
      <x:c r="AX100" s="165" t="str">
        <x:f>IF(AND(AX$5&gt;=$C100,AX$5&lt;=$D100,$A100&lt;&gt;""),"●","")</x:f>
      </x:c>
      <x:c r="AY100" s="165" t="str">
        <x:f>IF(AND(AY$5&gt;=$C100,AY$5&lt;=$D100,$A100&lt;&gt;""),"●","")</x:f>
      </x:c>
      <x:c r="AZ100" s="165" t="str">
        <x:f>IF(AND(AZ$5&gt;=$C100,AZ$5&lt;=$D100,$A100&lt;&gt;""),"●","")</x:f>
      </x:c>
      <x:c r="BA100" s="165" t="str">
        <x:f>IF(AND(BA$5&gt;=$C100,BA$5&lt;=$D100,$A100&lt;&gt;""),"●","")</x:f>
      </x:c>
      <x:c r="BB100" s="165" t="str">
        <x:f>IF(AND(BB$5&gt;=$C100,BB$5&lt;=$D100,$A100&lt;&gt;""),"●","")</x:f>
      </x:c>
      <x:c r="BC100" s="165" t="str">
        <x:f>IF(AND(BC$5&gt;=$C100,BC$5&lt;=$D100,$A100&lt;&gt;""),"●","")</x:f>
      </x:c>
      <x:c r="BD100" s="165" t="str">
        <x:f>IF(AND(BD$5&gt;=$C100,BD$5&lt;=$D100,$A100&lt;&gt;""),"●","")</x:f>
      </x:c>
      <x:c r="BE100" s="165" t="str">
        <x:f>IF(AND(BE$5&gt;=$C100,BE$5&lt;=$D100,$A100&lt;&gt;""),"●","")</x:f>
      </x:c>
      <x:c r="BF100" s="165" t="str">
        <x:f>IF(AND(BF$5&gt;=$C100,BF$5&lt;=$D100,$A100&lt;&gt;""),"●","")</x:f>
      </x:c>
      <x:c r="BG100" s="165" t="str">
        <x:f>IF(AND(BG$5&gt;=$C100,BG$5&lt;=$D100,$A100&lt;&gt;""),"●","")</x:f>
      </x:c>
      <x:c r="BH100" s="165" t="str">
        <x:f>IF(AND(BH$5&gt;=$C100,BH$5&lt;=$D100,$A100&lt;&gt;""),"●","")</x:f>
      </x:c>
      <x:c r="BI100" s="165" t="str">
        <x:f>IF(AND(BI$5&gt;=$C100,BI$5&lt;=$D100,$A100&lt;&gt;""),"●","")</x:f>
      </x:c>
      <x:c r="BJ100" s="165" t="str">
        <x:f>IF(AND(BJ$5&gt;=$C100,BJ$5&lt;=$D100,$A100&lt;&gt;""),"●","")</x:f>
      </x:c>
      <x:c r="BK100" s="165" t="str">
        <x:f>IF(AND(BK$5&gt;=$C100,BK$5&lt;=$D100,$A100&lt;&gt;""),"●","")</x:f>
      </x:c>
      <x:c r="BL100" s="165" t="str">
        <x:f>IF(AND(BL$5&gt;=$C100,BL$5&lt;=$D100,$A100&lt;&gt;""),"●","")</x:f>
      </x:c>
      <x:c r="BM100" s="165" t="str">
        <x:f>IF(AND(BM$5&gt;=$C100,BM$5&lt;=$D100,$A100&lt;&gt;""),"●","")</x:f>
      </x:c>
      <x:c r="BN100" s="165" t="str">
        <x:f>IF(AND(BN$5&gt;=$C100,BN$5&lt;=$D100,$A100&lt;&gt;""),"●","")</x:f>
      </x:c>
      <x:c r="BO100" s="165" t="str">
        <x:f>IF(AND(BO$5&gt;=$C100,BO$5&lt;=$D100,$A100&lt;&gt;""),"●","")</x:f>
      </x:c>
      <x:c r="BP100" s="165" t="str">
        <x:f>IF(AND(BP$5&gt;=$C100,BP$5&lt;=$D100,$A100&lt;&gt;""),"●","")</x:f>
      </x:c>
      <x:c r="BQ100" s="165" t="str">
        <x:f>IF(AND(BQ$5&gt;=$C100,BQ$5&lt;=$D100,$A100&lt;&gt;""),"●","")</x:f>
      </x:c>
      <x:c r="BR100" s="165" t="str">
        <x:f>IF(AND(BR$5&gt;=$C100,BR$5&lt;=$D100,$A100&lt;&gt;""),"●","")</x:f>
      </x:c>
      <x:c r="BS100" s="165" t="str">
        <x:f>IF(AND(BS$5&gt;=$C100,BS$5&lt;=$D100,$A100&lt;&gt;""),"●","")</x:f>
      </x:c>
      <x:c r="BT100" s="165" t="str">
        <x:f>IF(AND(BT$5&gt;=$C100,BT$5&lt;=$D100,$A100&lt;&gt;""),"●","")</x:f>
      </x:c>
      <x:c r="BU100" s="165" t="str">
        <x:f>IF(AND(BU$5&gt;=$C100,BU$5&lt;=$D100,$A100&lt;&gt;""),"●","")</x:f>
      </x:c>
      <x:c r="BV100" s="165" t="str">
        <x:f>IF(AND(BV$5&gt;=$C100,BV$5&lt;=$D100,$A100&lt;&gt;""),"●","")</x:f>
      </x:c>
      <x:c r="BW100" s="165" t="str">
        <x:f>IF(AND(BW$5&gt;=$C100,BW$5&lt;=$D100,$A100&lt;&gt;""),"●","")</x:f>
      </x:c>
    </x:row>
    <x:row r="101">
      <x:c r="A101" s="159" t="str">
        <x:f>IF('รายการสัญญา'!A101="","",'รายการสัญญา'!A101)</x:f>
      </x:c>
      <x:c r="B101" s="159" t="str">
        <x:f>IF('รายการสัญญา'!A101="","",'รายการสัญญา'!C101)</x:f>
      </x:c>
      <x:c r="C101" s="162" t="str">
        <x:f>IF('รายการสัญญา'!A101="","",'รายการสัญญา'!E101)</x:f>
      </x:c>
      <x:c r="D101" s="162" t="str">
        <x:f>IF('รายการสัญญา'!A101="","",'รายการสัญญา'!G101)</x:f>
      </x:c>
      <x:c r="E101" s="159" t="str">
        <x:f>IF('รายการสัญญา'!A101="","",'รายการสัญญา'!K101)</x:f>
      </x:c>
      <x:c r="F101" s="165" t="str">
        <x:f>IF(AND(F$5&gt;=$C101,F$5&lt;=$D101,$A101&lt;&gt;""),"●","")</x:f>
      </x:c>
      <x:c r="G101" s="165" t="str">
        <x:f>IF(AND(G$5&gt;=$C101,G$5&lt;=$D101,$A101&lt;&gt;""),"●","")</x:f>
      </x:c>
      <x:c r="H101" s="165" t="str">
        <x:f>IF(AND(H$5&gt;=$C101,H$5&lt;=$D101,$A101&lt;&gt;""),"●","")</x:f>
      </x:c>
      <x:c r="I101" s="165" t="str">
        <x:f>IF(AND(I$5&gt;=$C101,I$5&lt;=$D101,$A101&lt;&gt;""),"●","")</x:f>
      </x:c>
      <x:c r="J101" s="165" t="str">
        <x:f>IF(AND(J$5&gt;=$C101,J$5&lt;=$D101,$A101&lt;&gt;""),"●","")</x:f>
      </x:c>
      <x:c r="K101" s="165" t="str">
        <x:f>IF(AND(K$5&gt;=$C101,K$5&lt;=$D101,$A101&lt;&gt;""),"●","")</x:f>
      </x:c>
      <x:c r="L101" s="165" t="str">
        <x:f>IF(AND(L$5&gt;=$C101,L$5&lt;=$D101,$A101&lt;&gt;""),"●","")</x:f>
      </x:c>
      <x:c r="M101" s="165" t="str">
        <x:f>IF(AND(M$5&gt;=$C101,M$5&lt;=$D101,$A101&lt;&gt;""),"●","")</x:f>
      </x:c>
      <x:c r="N101" s="165" t="str">
        <x:f>IF(AND(N$5&gt;=$C101,N$5&lt;=$D101,$A101&lt;&gt;""),"●","")</x:f>
      </x:c>
      <x:c r="O101" s="165" t="str">
        <x:f>IF(AND(O$5&gt;=$C101,O$5&lt;=$D101,$A101&lt;&gt;""),"●","")</x:f>
      </x:c>
      <x:c r="P101" s="165" t="str">
        <x:f>IF(AND(P$5&gt;=$C101,P$5&lt;=$D101,$A101&lt;&gt;""),"●","")</x:f>
      </x:c>
      <x:c r="Q101" s="165" t="str">
        <x:f>IF(AND(Q$5&gt;=$C101,Q$5&lt;=$D101,$A101&lt;&gt;""),"●","")</x:f>
      </x:c>
      <x:c r="R101" s="165" t="str">
        <x:f>IF(AND(R$5&gt;=$C101,R$5&lt;=$D101,$A101&lt;&gt;""),"●","")</x:f>
      </x:c>
      <x:c r="S101" s="165" t="str">
        <x:f>IF(AND(S$5&gt;=$C101,S$5&lt;=$D101,$A101&lt;&gt;""),"●","")</x:f>
      </x:c>
      <x:c r="T101" s="165" t="str">
        <x:f>IF(AND(T$5&gt;=$C101,T$5&lt;=$D101,$A101&lt;&gt;""),"●","")</x:f>
      </x:c>
      <x:c r="U101" s="165" t="str">
        <x:f>IF(AND(U$5&gt;=$C101,U$5&lt;=$D101,$A101&lt;&gt;""),"●","")</x:f>
      </x:c>
      <x:c r="V101" s="165" t="str">
        <x:f>IF(AND(V$5&gt;=$C101,V$5&lt;=$D101,$A101&lt;&gt;""),"●","")</x:f>
      </x:c>
      <x:c r="W101" s="165" t="str">
        <x:f>IF(AND(W$5&gt;=$C101,W$5&lt;=$D101,$A101&lt;&gt;""),"●","")</x:f>
      </x:c>
      <x:c r="X101" s="165" t="str">
        <x:f>IF(AND(X$5&gt;=$C101,X$5&lt;=$D101,$A101&lt;&gt;""),"●","")</x:f>
      </x:c>
      <x:c r="Y101" s="165" t="str">
        <x:f>IF(AND(Y$5&gt;=$C101,Y$5&lt;=$D101,$A101&lt;&gt;""),"●","")</x:f>
      </x:c>
      <x:c r="Z101" s="165" t="str">
        <x:f>IF(AND(Z$5&gt;=$C101,Z$5&lt;=$D101,$A101&lt;&gt;""),"●","")</x:f>
      </x:c>
      <x:c r="AA101" s="165" t="str">
        <x:f>IF(AND(AA$5&gt;=$C101,AA$5&lt;=$D101,$A101&lt;&gt;""),"●","")</x:f>
      </x:c>
      <x:c r="AB101" s="165" t="str">
        <x:f>IF(AND(AB$5&gt;=$C101,AB$5&lt;=$D101,$A101&lt;&gt;""),"●","")</x:f>
      </x:c>
      <x:c r="AC101" s="165" t="str">
        <x:f>IF(AND(AC$5&gt;=$C101,AC$5&lt;=$D101,$A101&lt;&gt;""),"●","")</x:f>
      </x:c>
      <x:c r="AD101" s="165" t="str">
        <x:f>IF(AND(AD$5&gt;=$C101,AD$5&lt;=$D101,$A101&lt;&gt;""),"●","")</x:f>
      </x:c>
      <x:c r="AE101" s="165" t="str">
        <x:f>IF(AND(AE$5&gt;=$C101,AE$5&lt;=$D101,$A101&lt;&gt;""),"●","")</x:f>
      </x:c>
      <x:c r="AF101" s="165" t="str">
        <x:f>IF(AND(AF$5&gt;=$C101,AF$5&lt;=$D101,$A101&lt;&gt;""),"●","")</x:f>
      </x:c>
      <x:c r="AG101" s="165" t="str">
        <x:f>IF(AND(AG$5&gt;=$C101,AG$5&lt;=$D101,$A101&lt;&gt;""),"●","")</x:f>
      </x:c>
      <x:c r="AH101" s="165" t="str">
        <x:f>IF(AND(AH$5&gt;=$C101,AH$5&lt;=$D101,$A101&lt;&gt;""),"●","")</x:f>
      </x:c>
      <x:c r="AI101" s="165" t="str">
        <x:f>IF(AND(AI$5&gt;=$C101,AI$5&lt;=$D101,$A101&lt;&gt;""),"●","")</x:f>
      </x:c>
      <x:c r="AJ101" s="165" t="str">
        <x:f>IF(AND(AJ$5&gt;=$C101,AJ$5&lt;=$D101,$A101&lt;&gt;""),"●","")</x:f>
      </x:c>
      <x:c r="AK101" s="165" t="str">
        <x:f>IF(AND(AK$5&gt;=$C101,AK$5&lt;=$D101,$A101&lt;&gt;""),"●","")</x:f>
      </x:c>
      <x:c r="AL101" s="165" t="str">
        <x:f>IF(AND(AL$5&gt;=$C101,AL$5&lt;=$D101,$A101&lt;&gt;""),"●","")</x:f>
      </x:c>
      <x:c r="AM101" s="165" t="str">
        <x:f>IF(AND(AM$5&gt;=$C101,AM$5&lt;=$D101,$A101&lt;&gt;""),"●","")</x:f>
      </x:c>
      <x:c r="AN101" s="165" t="str">
        <x:f>IF(AND(AN$5&gt;=$C101,AN$5&lt;=$D101,$A101&lt;&gt;""),"●","")</x:f>
      </x:c>
      <x:c r="AO101" s="165" t="str">
        <x:f>IF(AND(AO$5&gt;=$C101,AO$5&lt;=$D101,$A101&lt;&gt;""),"●","")</x:f>
      </x:c>
      <x:c r="AP101" s="165" t="str">
        <x:f>IF(AND(AP$5&gt;=$C101,AP$5&lt;=$D101,$A101&lt;&gt;""),"●","")</x:f>
      </x:c>
      <x:c r="AQ101" s="165" t="str">
        <x:f>IF(AND(AQ$5&gt;=$C101,AQ$5&lt;=$D101,$A101&lt;&gt;""),"●","")</x:f>
      </x:c>
      <x:c r="AR101" s="165" t="str">
        <x:f>IF(AND(AR$5&gt;=$C101,AR$5&lt;=$D101,$A101&lt;&gt;""),"●","")</x:f>
      </x:c>
      <x:c r="AS101" s="165" t="str">
        <x:f>IF(AND(AS$5&gt;=$C101,AS$5&lt;=$D101,$A101&lt;&gt;""),"●","")</x:f>
      </x:c>
      <x:c r="AT101" s="165" t="str">
        <x:f>IF(AND(AT$5&gt;=$C101,AT$5&lt;=$D101,$A101&lt;&gt;""),"●","")</x:f>
      </x:c>
      <x:c r="AU101" s="165" t="str">
        <x:f>IF(AND(AU$5&gt;=$C101,AU$5&lt;=$D101,$A101&lt;&gt;""),"●","")</x:f>
      </x:c>
      <x:c r="AV101" s="165" t="str">
        <x:f>IF(AND(AV$5&gt;=$C101,AV$5&lt;=$D101,$A101&lt;&gt;""),"●","")</x:f>
      </x:c>
      <x:c r="AW101" s="165" t="str">
        <x:f>IF(AND(AW$5&gt;=$C101,AW$5&lt;=$D101,$A101&lt;&gt;""),"●","")</x:f>
      </x:c>
      <x:c r="AX101" s="165" t="str">
        <x:f>IF(AND(AX$5&gt;=$C101,AX$5&lt;=$D101,$A101&lt;&gt;""),"●","")</x:f>
      </x:c>
      <x:c r="AY101" s="165" t="str">
        <x:f>IF(AND(AY$5&gt;=$C101,AY$5&lt;=$D101,$A101&lt;&gt;""),"●","")</x:f>
      </x:c>
      <x:c r="AZ101" s="165" t="str">
        <x:f>IF(AND(AZ$5&gt;=$C101,AZ$5&lt;=$D101,$A101&lt;&gt;""),"●","")</x:f>
      </x:c>
      <x:c r="BA101" s="165" t="str">
        <x:f>IF(AND(BA$5&gt;=$C101,BA$5&lt;=$D101,$A101&lt;&gt;""),"●","")</x:f>
      </x:c>
      <x:c r="BB101" s="165" t="str">
        <x:f>IF(AND(BB$5&gt;=$C101,BB$5&lt;=$D101,$A101&lt;&gt;""),"●","")</x:f>
      </x:c>
      <x:c r="BC101" s="165" t="str">
        <x:f>IF(AND(BC$5&gt;=$C101,BC$5&lt;=$D101,$A101&lt;&gt;""),"●","")</x:f>
      </x:c>
      <x:c r="BD101" s="165" t="str">
        <x:f>IF(AND(BD$5&gt;=$C101,BD$5&lt;=$D101,$A101&lt;&gt;""),"●","")</x:f>
      </x:c>
      <x:c r="BE101" s="165" t="str">
        <x:f>IF(AND(BE$5&gt;=$C101,BE$5&lt;=$D101,$A101&lt;&gt;""),"●","")</x:f>
      </x:c>
      <x:c r="BF101" s="165" t="str">
        <x:f>IF(AND(BF$5&gt;=$C101,BF$5&lt;=$D101,$A101&lt;&gt;""),"●","")</x:f>
      </x:c>
      <x:c r="BG101" s="165" t="str">
        <x:f>IF(AND(BG$5&gt;=$C101,BG$5&lt;=$D101,$A101&lt;&gt;""),"●","")</x:f>
      </x:c>
      <x:c r="BH101" s="165" t="str">
        <x:f>IF(AND(BH$5&gt;=$C101,BH$5&lt;=$D101,$A101&lt;&gt;""),"●","")</x:f>
      </x:c>
      <x:c r="BI101" s="165" t="str">
        <x:f>IF(AND(BI$5&gt;=$C101,BI$5&lt;=$D101,$A101&lt;&gt;""),"●","")</x:f>
      </x:c>
      <x:c r="BJ101" s="165" t="str">
        <x:f>IF(AND(BJ$5&gt;=$C101,BJ$5&lt;=$D101,$A101&lt;&gt;""),"●","")</x:f>
      </x:c>
      <x:c r="BK101" s="165" t="str">
        <x:f>IF(AND(BK$5&gt;=$C101,BK$5&lt;=$D101,$A101&lt;&gt;""),"●","")</x:f>
      </x:c>
      <x:c r="BL101" s="165" t="str">
        <x:f>IF(AND(BL$5&gt;=$C101,BL$5&lt;=$D101,$A101&lt;&gt;""),"●","")</x:f>
      </x:c>
      <x:c r="BM101" s="165" t="str">
        <x:f>IF(AND(BM$5&gt;=$C101,BM$5&lt;=$D101,$A101&lt;&gt;""),"●","")</x:f>
      </x:c>
      <x:c r="BN101" s="165" t="str">
        <x:f>IF(AND(BN$5&gt;=$C101,BN$5&lt;=$D101,$A101&lt;&gt;""),"●","")</x:f>
      </x:c>
      <x:c r="BO101" s="165" t="str">
        <x:f>IF(AND(BO$5&gt;=$C101,BO$5&lt;=$D101,$A101&lt;&gt;""),"●","")</x:f>
      </x:c>
      <x:c r="BP101" s="165" t="str">
        <x:f>IF(AND(BP$5&gt;=$C101,BP$5&lt;=$D101,$A101&lt;&gt;""),"●","")</x:f>
      </x:c>
      <x:c r="BQ101" s="165" t="str">
        <x:f>IF(AND(BQ$5&gt;=$C101,BQ$5&lt;=$D101,$A101&lt;&gt;""),"●","")</x:f>
      </x:c>
      <x:c r="BR101" s="165" t="str">
        <x:f>IF(AND(BR$5&gt;=$C101,BR$5&lt;=$D101,$A101&lt;&gt;""),"●","")</x:f>
      </x:c>
      <x:c r="BS101" s="165" t="str">
        <x:f>IF(AND(BS$5&gt;=$C101,BS$5&lt;=$D101,$A101&lt;&gt;""),"●","")</x:f>
      </x:c>
      <x:c r="BT101" s="165" t="str">
        <x:f>IF(AND(BT$5&gt;=$C101,BT$5&lt;=$D101,$A101&lt;&gt;""),"●","")</x:f>
      </x:c>
      <x:c r="BU101" s="165" t="str">
        <x:f>IF(AND(BU$5&gt;=$C101,BU$5&lt;=$D101,$A101&lt;&gt;""),"●","")</x:f>
      </x:c>
      <x:c r="BV101" s="165" t="str">
        <x:f>IF(AND(BV$5&gt;=$C101,BV$5&lt;=$D101,$A101&lt;&gt;""),"●","")</x:f>
      </x:c>
      <x:c r="BW101" s="165" t="str">
        <x:f>IF(AND(BW$5&gt;=$C101,BW$5&lt;=$D101,$A101&lt;&gt;""),"●","")</x:f>
      </x:c>
    </x:row>
    <x:row r="102">
      <x:c r="A102" s="159" t="str">
        <x:f>IF('รายการสัญญา'!A102="","",'รายการสัญญา'!A102)</x:f>
      </x:c>
      <x:c r="B102" s="159" t="str">
        <x:f>IF('รายการสัญญา'!A102="","",'รายการสัญญา'!C102)</x:f>
      </x:c>
      <x:c r="C102" s="162" t="str">
        <x:f>IF('รายการสัญญา'!A102="","",'รายการสัญญา'!E102)</x:f>
      </x:c>
      <x:c r="D102" s="162" t="str">
        <x:f>IF('รายการสัญญา'!A102="","",'รายการสัญญา'!G102)</x:f>
      </x:c>
      <x:c r="E102" s="159" t="str">
        <x:f>IF('รายการสัญญา'!A102="","",'รายการสัญญา'!K102)</x:f>
      </x:c>
      <x:c r="F102" s="165" t="str">
        <x:f>IF(AND(F$5&gt;=$C102,F$5&lt;=$D102,$A102&lt;&gt;""),"●","")</x:f>
      </x:c>
      <x:c r="G102" s="165" t="str">
        <x:f>IF(AND(G$5&gt;=$C102,G$5&lt;=$D102,$A102&lt;&gt;""),"●","")</x:f>
      </x:c>
      <x:c r="H102" s="165" t="str">
        <x:f>IF(AND(H$5&gt;=$C102,H$5&lt;=$D102,$A102&lt;&gt;""),"●","")</x:f>
      </x:c>
      <x:c r="I102" s="165" t="str">
        <x:f>IF(AND(I$5&gt;=$C102,I$5&lt;=$D102,$A102&lt;&gt;""),"●","")</x:f>
      </x:c>
      <x:c r="J102" s="165" t="str">
        <x:f>IF(AND(J$5&gt;=$C102,J$5&lt;=$D102,$A102&lt;&gt;""),"●","")</x:f>
      </x:c>
      <x:c r="K102" s="165" t="str">
        <x:f>IF(AND(K$5&gt;=$C102,K$5&lt;=$D102,$A102&lt;&gt;""),"●","")</x:f>
      </x:c>
      <x:c r="L102" s="165" t="str">
        <x:f>IF(AND(L$5&gt;=$C102,L$5&lt;=$D102,$A102&lt;&gt;""),"●","")</x:f>
      </x:c>
      <x:c r="M102" s="165" t="str">
        <x:f>IF(AND(M$5&gt;=$C102,M$5&lt;=$D102,$A102&lt;&gt;""),"●","")</x:f>
      </x:c>
      <x:c r="N102" s="165" t="str">
        <x:f>IF(AND(N$5&gt;=$C102,N$5&lt;=$D102,$A102&lt;&gt;""),"●","")</x:f>
      </x:c>
      <x:c r="O102" s="165" t="str">
        <x:f>IF(AND(O$5&gt;=$C102,O$5&lt;=$D102,$A102&lt;&gt;""),"●","")</x:f>
      </x:c>
      <x:c r="P102" s="165" t="str">
        <x:f>IF(AND(P$5&gt;=$C102,P$5&lt;=$D102,$A102&lt;&gt;""),"●","")</x:f>
      </x:c>
      <x:c r="Q102" s="165" t="str">
        <x:f>IF(AND(Q$5&gt;=$C102,Q$5&lt;=$D102,$A102&lt;&gt;""),"●","")</x:f>
      </x:c>
      <x:c r="R102" s="165" t="str">
        <x:f>IF(AND(R$5&gt;=$C102,R$5&lt;=$D102,$A102&lt;&gt;""),"●","")</x:f>
      </x:c>
      <x:c r="S102" s="165" t="str">
        <x:f>IF(AND(S$5&gt;=$C102,S$5&lt;=$D102,$A102&lt;&gt;""),"●","")</x:f>
      </x:c>
      <x:c r="T102" s="165" t="str">
        <x:f>IF(AND(T$5&gt;=$C102,T$5&lt;=$D102,$A102&lt;&gt;""),"●","")</x:f>
      </x:c>
      <x:c r="U102" s="165" t="str">
        <x:f>IF(AND(U$5&gt;=$C102,U$5&lt;=$D102,$A102&lt;&gt;""),"●","")</x:f>
      </x:c>
      <x:c r="V102" s="165" t="str">
        <x:f>IF(AND(V$5&gt;=$C102,V$5&lt;=$D102,$A102&lt;&gt;""),"●","")</x:f>
      </x:c>
      <x:c r="W102" s="165" t="str">
        <x:f>IF(AND(W$5&gt;=$C102,W$5&lt;=$D102,$A102&lt;&gt;""),"●","")</x:f>
      </x:c>
      <x:c r="X102" s="165" t="str">
        <x:f>IF(AND(X$5&gt;=$C102,X$5&lt;=$D102,$A102&lt;&gt;""),"●","")</x:f>
      </x:c>
      <x:c r="Y102" s="165" t="str">
        <x:f>IF(AND(Y$5&gt;=$C102,Y$5&lt;=$D102,$A102&lt;&gt;""),"●","")</x:f>
      </x:c>
      <x:c r="Z102" s="165" t="str">
        <x:f>IF(AND(Z$5&gt;=$C102,Z$5&lt;=$D102,$A102&lt;&gt;""),"●","")</x:f>
      </x:c>
      <x:c r="AA102" s="165" t="str">
        <x:f>IF(AND(AA$5&gt;=$C102,AA$5&lt;=$D102,$A102&lt;&gt;""),"●","")</x:f>
      </x:c>
      <x:c r="AB102" s="165" t="str">
        <x:f>IF(AND(AB$5&gt;=$C102,AB$5&lt;=$D102,$A102&lt;&gt;""),"●","")</x:f>
      </x:c>
      <x:c r="AC102" s="165" t="str">
        <x:f>IF(AND(AC$5&gt;=$C102,AC$5&lt;=$D102,$A102&lt;&gt;""),"●","")</x:f>
      </x:c>
      <x:c r="AD102" s="165" t="str">
        <x:f>IF(AND(AD$5&gt;=$C102,AD$5&lt;=$D102,$A102&lt;&gt;""),"●","")</x:f>
      </x:c>
      <x:c r="AE102" s="165" t="str">
        <x:f>IF(AND(AE$5&gt;=$C102,AE$5&lt;=$D102,$A102&lt;&gt;""),"●","")</x:f>
      </x:c>
      <x:c r="AF102" s="165" t="str">
        <x:f>IF(AND(AF$5&gt;=$C102,AF$5&lt;=$D102,$A102&lt;&gt;""),"●","")</x:f>
      </x:c>
      <x:c r="AG102" s="165" t="str">
        <x:f>IF(AND(AG$5&gt;=$C102,AG$5&lt;=$D102,$A102&lt;&gt;""),"●","")</x:f>
      </x:c>
      <x:c r="AH102" s="165" t="str">
        <x:f>IF(AND(AH$5&gt;=$C102,AH$5&lt;=$D102,$A102&lt;&gt;""),"●","")</x:f>
      </x:c>
      <x:c r="AI102" s="165" t="str">
        <x:f>IF(AND(AI$5&gt;=$C102,AI$5&lt;=$D102,$A102&lt;&gt;""),"●","")</x:f>
      </x:c>
      <x:c r="AJ102" s="165" t="str">
        <x:f>IF(AND(AJ$5&gt;=$C102,AJ$5&lt;=$D102,$A102&lt;&gt;""),"●","")</x:f>
      </x:c>
      <x:c r="AK102" s="165" t="str">
        <x:f>IF(AND(AK$5&gt;=$C102,AK$5&lt;=$D102,$A102&lt;&gt;""),"●","")</x:f>
      </x:c>
      <x:c r="AL102" s="165" t="str">
        <x:f>IF(AND(AL$5&gt;=$C102,AL$5&lt;=$D102,$A102&lt;&gt;""),"●","")</x:f>
      </x:c>
      <x:c r="AM102" s="165" t="str">
        <x:f>IF(AND(AM$5&gt;=$C102,AM$5&lt;=$D102,$A102&lt;&gt;""),"●","")</x:f>
      </x:c>
      <x:c r="AN102" s="165" t="str">
        <x:f>IF(AND(AN$5&gt;=$C102,AN$5&lt;=$D102,$A102&lt;&gt;""),"●","")</x:f>
      </x:c>
      <x:c r="AO102" s="165" t="str">
        <x:f>IF(AND(AO$5&gt;=$C102,AO$5&lt;=$D102,$A102&lt;&gt;""),"●","")</x:f>
      </x:c>
      <x:c r="AP102" s="165" t="str">
        <x:f>IF(AND(AP$5&gt;=$C102,AP$5&lt;=$D102,$A102&lt;&gt;""),"●","")</x:f>
      </x:c>
      <x:c r="AQ102" s="165" t="str">
        <x:f>IF(AND(AQ$5&gt;=$C102,AQ$5&lt;=$D102,$A102&lt;&gt;""),"●","")</x:f>
      </x:c>
      <x:c r="AR102" s="165" t="str">
        <x:f>IF(AND(AR$5&gt;=$C102,AR$5&lt;=$D102,$A102&lt;&gt;""),"●","")</x:f>
      </x:c>
      <x:c r="AS102" s="165" t="str">
        <x:f>IF(AND(AS$5&gt;=$C102,AS$5&lt;=$D102,$A102&lt;&gt;""),"●","")</x:f>
      </x:c>
      <x:c r="AT102" s="165" t="str">
        <x:f>IF(AND(AT$5&gt;=$C102,AT$5&lt;=$D102,$A102&lt;&gt;""),"●","")</x:f>
      </x:c>
      <x:c r="AU102" s="165" t="str">
        <x:f>IF(AND(AU$5&gt;=$C102,AU$5&lt;=$D102,$A102&lt;&gt;""),"●","")</x:f>
      </x:c>
      <x:c r="AV102" s="165" t="str">
        <x:f>IF(AND(AV$5&gt;=$C102,AV$5&lt;=$D102,$A102&lt;&gt;""),"●","")</x:f>
      </x:c>
      <x:c r="AW102" s="165" t="str">
        <x:f>IF(AND(AW$5&gt;=$C102,AW$5&lt;=$D102,$A102&lt;&gt;""),"●","")</x:f>
      </x:c>
      <x:c r="AX102" s="165" t="str">
        <x:f>IF(AND(AX$5&gt;=$C102,AX$5&lt;=$D102,$A102&lt;&gt;""),"●","")</x:f>
      </x:c>
      <x:c r="AY102" s="165" t="str">
        <x:f>IF(AND(AY$5&gt;=$C102,AY$5&lt;=$D102,$A102&lt;&gt;""),"●","")</x:f>
      </x:c>
      <x:c r="AZ102" s="165" t="str">
        <x:f>IF(AND(AZ$5&gt;=$C102,AZ$5&lt;=$D102,$A102&lt;&gt;""),"●","")</x:f>
      </x:c>
      <x:c r="BA102" s="165" t="str">
        <x:f>IF(AND(BA$5&gt;=$C102,BA$5&lt;=$D102,$A102&lt;&gt;""),"●","")</x:f>
      </x:c>
      <x:c r="BB102" s="165" t="str">
        <x:f>IF(AND(BB$5&gt;=$C102,BB$5&lt;=$D102,$A102&lt;&gt;""),"●","")</x:f>
      </x:c>
      <x:c r="BC102" s="165" t="str">
        <x:f>IF(AND(BC$5&gt;=$C102,BC$5&lt;=$D102,$A102&lt;&gt;""),"●","")</x:f>
      </x:c>
      <x:c r="BD102" s="165" t="str">
        <x:f>IF(AND(BD$5&gt;=$C102,BD$5&lt;=$D102,$A102&lt;&gt;""),"●","")</x:f>
      </x:c>
      <x:c r="BE102" s="165" t="str">
        <x:f>IF(AND(BE$5&gt;=$C102,BE$5&lt;=$D102,$A102&lt;&gt;""),"●","")</x:f>
      </x:c>
      <x:c r="BF102" s="165" t="str">
        <x:f>IF(AND(BF$5&gt;=$C102,BF$5&lt;=$D102,$A102&lt;&gt;""),"●","")</x:f>
      </x:c>
      <x:c r="BG102" s="165" t="str">
        <x:f>IF(AND(BG$5&gt;=$C102,BG$5&lt;=$D102,$A102&lt;&gt;""),"●","")</x:f>
      </x:c>
      <x:c r="BH102" s="165" t="str">
        <x:f>IF(AND(BH$5&gt;=$C102,BH$5&lt;=$D102,$A102&lt;&gt;""),"●","")</x:f>
      </x:c>
      <x:c r="BI102" s="165" t="str">
        <x:f>IF(AND(BI$5&gt;=$C102,BI$5&lt;=$D102,$A102&lt;&gt;""),"●","")</x:f>
      </x:c>
      <x:c r="BJ102" s="165" t="str">
        <x:f>IF(AND(BJ$5&gt;=$C102,BJ$5&lt;=$D102,$A102&lt;&gt;""),"●","")</x:f>
      </x:c>
      <x:c r="BK102" s="165" t="str">
        <x:f>IF(AND(BK$5&gt;=$C102,BK$5&lt;=$D102,$A102&lt;&gt;""),"●","")</x:f>
      </x:c>
      <x:c r="BL102" s="165" t="str">
        <x:f>IF(AND(BL$5&gt;=$C102,BL$5&lt;=$D102,$A102&lt;&gt;""),"●","")</x:f>
      </x:c>
      <x:c r="BM102" s="165" t="str">
        <x:f>IF(AND(BM$5&gt;=$C102,BM$5&lt;=$D102,$A102&lt;&gt;""),"●","")</x:f>
      </x:c>
      <x:c r="BN102" s="165" t="str">
        <x:f>IF(AND(BN$5&gt;=$C102,BN$5&lt;=$D102,$A102&lt;&gt;""),"●","")</x:f>
      </x:c>
      <x:c r="BO102" s="165" t="str">
        <x:f>IF(AND(BO$5&gt;=$C102,BO$5&lt;=$D102,$A102&lt;&gt;""),"●","")</x:f>
      </x:c>
      <x:c r="BP102" s="165" t="str">
        <x:f>IF(AND(BP$5&gt;=$C102,BP$5&lt;=$D102,$A102&lt;&gt;""),"●","")</x:f>
      </x:c>
      <x:c r="BQ102" s="165" t="str">
        <x:f>IF(AND(BQ$5&gt;=$C102,BQ$5&lt;=$D102,$A102&lt;&gt;""),"●","")</x:f>
      </x:c>
      <x:c r="BR102" s="165" t="str">
        <x:f>IF(AND(BR$5&gt;=$C102,BR$5&lt;=$D102,$A102&lt;&gt;""),"●","")</x:f>
      </x:c>
      <x:c r="BS102" s="165" t="str">
        <x:f>IF(AND(BS$5&gt;=$C102,BS$5&lt;=$D102,$A102&lt;&gt;""),"●","")</x:f>
      </x:c>
      <x:c r="BT102" s="165" t="str">
        <x:f>IF(AND(BT$5&gt;=$C102,BT$5&lt;=$D102,$A102&lt;&gt;""),"●","")</x:f>
      </x:c>
      <x:c r="BU102" s="165" t="str">
        <x:f>IF(AND(BU$5&gt;=$C102,BU$5&lt;=$D102,$A102&lt;&gt;""),"●","")</x:f>
      </x:c>
      <x:c r="BV102" s="165" t="str">
        <x:f>IF(AND(BV$5&gt;=$C102,BV$5&lt;=$D102,$A102&lt;&gt;""),"●","")</x:f>
      </x:c>
      <x:c r="BW102" s="165" t="str">
        <x:f>IF(AND(BW$5&gt;=$C102,BW$5&lt;=$D102,$A102&lt;&gt;""),"●","")</x:f>
      </x:c>
    </x:row>
    <x:row r="103">
      <x:c r="A103" s="159" t="str">
        <x:f>IF('รายการสัญญา'!A103="","",'รายการสัญญา'!A103)</x:f>
      </x:c>
      <x:c r="B103" s="159" t="str">
        <x:f>IF('รายการสัญญา'!A103="","",'รายการสัญญา'!C103)</x:f>
      </x:c>
      <x:c r="C103" s="162" t="str">
        <x:f>IF('รายการสัญญา'!A103="","",'รายการสัญญา'!E103)</x:f>
      </x:c>
      <x:c r="D103" s="162" t="str">
        <x:f>IF('รายการสัญญา'!A103="","",'รายการสัญญา'!G103)</x:f>
      </x:c>
      <x:c r="E103" s="159" t="str">
        <x:f>IF('รายการสัญญา'!A103="","",'รายการสัญญา'!K103)</x:f>
      </x:c>
      <x:c r="F103" s="165" t="str">
        <x:f>IF(AND(F$5&gt;=$C103,F$5&lt;=$D103,$A103&lt;&gt;""),"●","")</x:f>
      </x:c>
      <x:c r="G103" s="165" t="str">
        <x:f>IF(AND(G$5&gt;=$C103,G$5&lt;=$D103,$A103&lt;&gt;""),"●","")</x:f>
      </x:c>
      <x:c r="H103" s="165" t="str">
        <x:f>IF(AND(H$5&gt;=$C103,H$5&lt;=$D103,$A103&lt;&gt;""),"●","")</x:f>
      </x:c>
      <x:c r="I103" s="165" t="str">
        <x:f>IF(AND(I$5&gt;=$C103,I$5&lt;=$D103,$A103&lt;&gt;""),"●","")</x:f>
      </x:c>
      <x:c r="J103" s="165" t="str">
        <x:f>IF(AND(J$5&gt;=$C103,J$5&lt;=$D103,$A103&lt;&gt;""),"●","")</x:f>
      </x:c>
      <x:c r="K103" s="165" t="str">
        <x:f>IF(AND(K$5&gt;=$C103,K$5&lt;=$D103,$A103&lt;&gt;""),"●","")</x:f>
      </x:c>
      <x:c r="L103" s="165" t="str">
        <x:f>IF(AND(L$5&gt;=$C103,L$5&lt;=$D103,$A103&lt;&gt;""),"●","")</x:f>
      </x:c>
      <x:c r="M103" s="165" t="str">
        <x:f>IF(AND(M$5&gt;=$C103,M$5&lt;=$D103,$A103&lt;&gt;""),"●","")</x:f>
      </x:c>
      <x:c r="N103" s="165" t="str">
        <x:f>IF(AND(N$5&gt;=$C103,N$5&lt;=$D103,$A103&lt;&gt;""),"●","")</x:f>
      </x:c>
      <x:c r="O103" s="165" t="str">
        <x:f>IF(AND(O$5&gt;=$C103,O$5&lt;=$D103,$A103&lt;&gt;""),"●","")</x:f>
      </x:c>
      <x:c r="P103" s="165" t="str">
        <x:f>IF(AND(P$5&gt;=$C103,P$5&lt;=$D103,$A103&lt;&gt;""),"●","")</x:f>
      </x:c>
      <x:c r="Q103" s="165" t="str">
        <x:f>IF(AND(Q$5&gt;=$C103,Q$5&lt;=$D103,$A103&lt;&gt;""),"●","")</x:f>
      </x:c>
      <x:c r="R103" s="165" t="str">
        <x:f>IF(AND(R$5&gt;=$C103,R$5&lt;=$D103,$A103&lt;&gt;""),"●","")</x:f>
      </x:c>
      <x:c r="S103" s="165" t="str">
        <x:f>IF(AND(S$5&gt;=$C103,S$5&lt;=$D103,$A103&lt;&gt;""),"●","")</x:f>
      </x:c>
      <x:c r="T103" s="165" t="str">
        <x:f>IF(AND(T$5&gt;=$C103,T$5&lt;=$D103,$A103&lt;&gt;""),"●","")</x:f>
      </x:c>
      <x:c r="U103" s="165" t="str">
        <x:f>IF(AND(U$5&gt;=$C103,U$5&lt;=$D103,$A103&lt;&gt;""),"●","")</x:f>
      </x:c>
      <x:c r="V103" s="165" t="str">
        <x:f>IF(AND(V$5&gt;=$C103,V$5&lt;=$D103,$A103&lt;&gt;""),"●","")</x:f>
      </x:c>
      <x:c r="W103" s="165" t="str">
        <x:f>IF(AND(W$5&gt;=$C103,W$5&lt;=$D103,$A103&lt;&gt;""),"●","")</x:f>
      </x:c>
      <x:c r="X103" s="165" t="str">
        <x:f>IF(AND(X$5&gt;=$C103,X$5&lt;=$D103,$A103&lt;&gt;""),"●","")</x:f>
      </x:c>
      <x:c r="Y103" s="165" t="str">
        <x:f>IF(AND(Y$5&gt;=$C103,Y$5&lt;=$D103,$A103&lt;&gt;""),"●","")</x:f>
      </x:c>
      <x:c r="Z103" s="165" t="str">
        <x:f>IF(AND(Z$5&gt;=$C103,Z$5&lt;=$D103,$A103&lt;&gt;""),"●","")</x:f>
      </x:c>
      <x:c r="AA103" s="165" t="str">
        <x:f>IF(AND(AA$5&gt;=$C103,AA$5&lt;=$D103,$A103&lt;&gt;""),"●","")</x:f>
      </x:c>
      <x:c r="AB103" s="165" t="str">
        <x:f>IF(AND(AB$5&gt;=$C103,AB$5&lt;=$D103,$A103&lt;&gt;""),"●","")</x:f>
      </x:c>
      <x:c r="AC103" s="165" t="str">
        <x:f>IF(AND(AC$5&gt;=$C103,AC$5&lt;=$D103,$A103&lt;&gt;""),"●","")</x:f>
      </x:c>
      <x:c r="AD103" s="165" t="str">
        <x:f>IF(AND(AD$5&gt;=$C103,AD$5&lt;=$D103,$A103&lt;&gt;""),"●","")</x:f>
      </x:c>
      <x:c r="AE103" s="165" t="str">
        <x:f>IF(AND(AE$5&gt;=$C103,AE$5&lt;=$D103,$A103&lt;&gt;""),"●","")</x:f>
      </x:c>
      <x:c r="AF103" s="165" t="str">
        <x:f>IF(AND(AF$5&gt;=$C103,AF$5&lt;=$D103,$A103&lt;&gt;""),"●","")</x:f>
      </x:c>
      <x:c r="AG103" s="165" t="str">
        <x:f>IF(AND(AG$5&gt;=$C103,AG$5&lt;=$D103,$A103&lt;&gt;""),"●","")</x:f>
      </x:c>
      <x:c r="AH103" s="165" t="str">
        <x:f>IF(AND(AH$5&gt;=$C103,AH$5&lt;=$D103,$A103&lt;&gt;""),"●","")</x:f>
      </x:c>
      <x:c r="AI103" s="165" t="str">
        <x:f>IF(AND(AI$5&gt;=$C103,AI$5&lt;=$D103,$A103&lt;&gt;""),"●","")</x:f>
      </x:c>
      <x:c r="AJ103" s="165" t="str">
        <x:f>IF(AND(AJ$5&gt;=$C103,AJ$5&lt;=$D103,$A103&lt;&gt;""),"●","")</x:f>
      </x:c>
      <x:c r="AK103" s="165" t="str">
        <x:f>IF(AND(AK$5&gt;=$C103,AK$5&lt;=$D103,$A103&lt;&gt;""),"●","")</x:f>
      </x:c>
      <x:c r="AL103" s="165" t="str">
        <x:f>IF(AND(AL$5&gt;=$C103,AL$5&lt;=$D103,$A103&lt;&gt;""),"●","")</x:f>
      </x:c>
      <x:c r="AM103" s="165" t="str">
        <x:f>IF(AND(AM$5&gt;=$C103,AM$5&lt;=$D103,$A103&lt;&gt;""),"●","")</x:f>
      </x:c>
      <x:c r="AN103" s="165" t="str">
        <x:f>IF(AND(AN$5&gt;=$C103,AN$5&lt;=$D103,$A103&lt;&gt;""),"●","")</x:f>
      </x:c>
      <x:c r="AO103" s="165" t="str">
        <x:f>IF(AND(AO$5&gt;=$C103,AO$5&lt;=$D103,$A103&lt;&gt;""),"●","")</x:f>
      </x:c>
      <x:c r="AP103" s="165" t="str">
        <x:f>IF(AND(AP$5&gt;=$C103,AP$5&lt;=$D103,$A103&lt;&gt;""),"●","")</x:f>
      </x:c>
      <x:c r="AQ103" s="165" t="str">
        <x:f>IF(AND(AQ$5&gt;=$C103,AQ$5&lt;=$D103,$A103&lt;&gt;""),"●","")</x:f>
      </x:c>
      <x:c r="AR103" s="165" t="str">
        <x:f>IF(AND(AR$5&gt;=$C103,AR$5&lt;=$D103,$A103&lt;&gt;""),"●","")</x:f>
      </x:c>
      <x:c r="AS103" s="165" t="str">
        <x:f>IF(AND(AS$5&gt;=$C103,AS$5&lt;=$D103,$A103&lt;&gt;""),"●","")</x:f>
      </x:c>
      <x:c r="AT103" s="165" t="str">
        <x:f>IF(AND(AT$5&gt;=$C103,AT$5&lt;=$D103,$A103&lt;&gt;""),"●","")</x:f>
      </x:c>
      <x:c r="AU103" s="165" t="str">
        <x:f>IF(AND(AU$5&gt;=$C103,AU$5&lt;=$D103,$A103&lt;&gt;""),"●","")</x:f>
      </x:c>
      <x:c r="AV103" s="165" t="str">
        <x:f>IF(AND(AV$5&gt;=$C103,AV$5&lt;=$D103,$A103&lt;&gt;""),"●","")</x:f>
      </x:c>
      <x:c r="AW103" s="165" t="str">
        <x:f>IF(AND(AW$5&gt;=$C103,AW$5&lt;=$D103,$A103&lt;&gt;""),"●","")</x:f>
      </x:c>
      <x:c r="AX103" s="165" t="str">
        <x:f>IF(AND(AX$5&gt;=$C103,AX$5&lt;=$D103,$A103&lt;&gt;""),"●","")</x:f>
      </x:c>
      <x:c r="AY103" s="165" t="str">
        <x:f>IF(AND(AY$5&gt;=$C103,AY$5&lt;=$D103,$A103&lt;&gt;""),"●","")</x:f>
      </x:c>
      <x:c r="AZ103" s="165" t="str">
        <x:f>IF(AND(AZ$5&gt;=$C103,AZ$5&lt;=$D103,$A103&lt;&gt;""),"●","")</x:f>
      </x:c>
      <x:c r="BA103" s="165" t="str">
        <x:f>IF(AND(BA$5&gt;=$C103,BA$5&lt;=$D103,$A103&lt;&gt;""),"●","")</x:f>
      </x:c>
      <x:c r="BB103" s="165" t="str">
        <x:f>IF(AND(BB$5&gt;=$C103,BB$5&lt;=$D103,$A103&lt;&gt;""),"●","")</x:f>
      </x:c>
      <x:c r="BC103" s="165" t="str">
        <x:f>IF(AND(BC$5&gt;=$C103,BC$5&lt;=$D103,$A103&lt;&gt;""),"●","")</x:f>
      </x:c>
      <x:c r="BD103" s="165" t="str">
        <x:f>IF(AND(BD$5&gt;=$C103,BD$5&lt;=$D103,$A103&lt;&gt;""),"●","")</x:f>
      </x:c>
      <x:c r="BE103" s="165" t="str">
        <x:f>IF(AND(BE$5&gt;=$C103,BE$5&lt;=$D103,$A103&lt;&gt;""),"●","")</x:f>
      </x:c>
      <x:c r="BF103" s="165" t="str">
        <x:f>IF(AND(BF$5&gt;=$C103,BF$5&lt;=$D103,$A103&lt;&gt;""),"●","")</x:f>
      </x:c>
      <x:c r="BG103" s="165" t="str">
        <x:f>IF(AND(BG$5&gt;=$C103,BG$5&lt;=$D103,$A103&lt;&gt;""),"●","")</x:f>
      </x:c>
      <x:c r="BH103" s="165" t="str">
        <x:f>IF(AND(BH$5&gt;=$C103,BH$5&lt;=$D103,$A103&lt;&gt;""),"●","")</x:f>
      </x:c>
      <x:c r="BI103" s="165" t="str">
        <x:f>IF(AND(BI$5&gt;=$C103,BI$5&lt;=$D103,$A103&lt;&gt;""),"●","")</x:f>
      </x:c>
      <x:c r="BJ103" s="165" t="str">
        <x:f>IF(AND(BJ$5&gt;=$C103,BJ$5&lt;=$D103,$A103&lt;&gt;""),"●","")</x:f>
      </x:c>
      <x:c r="BK103" s="165" t="str">
        <x:f>IF(AND(BK$5&gt;=$C103,BK$5&lt;=$D103,$A103&lt;&gt;""),"●","")</x:f>
      </x:c>
      <x:c r="BL103" s="165" t="str">
        <x:f>IF(AND(BL$5&gt;=$C103,BL$5&lt;=$D103,$A103&lt;&gt;""),"●","")</x:f>
      </x:c>
      <x:c r="BM103" s="165" t="str">
        <x:f>IF(AND(BM$5&gt;=$C103,BM$5&lt;=$D103,$A103&lt;&gt;""),"●","")</x:f>
      </x:c>
      <x:c r="BN103" s="165" t="str">
        <x:f>IF(AND(BN$5&gt;=$C103,BN$5&lt;=$D103,$A103&lt;&gt;""),"●","")</x:f>
      </x:c>
      <x:c r="BO103" s="165" t="str">
        <x:f>IF(AND(BO$5&gt;=$C103,BO$5&lt;=$D103,$A103&lt;&gt;""),"●","")</x:f>
      </x:c>
      <x:c r="BP103" s="165" t="str">
        <x:f>IF(AND(BP$5&gt;=$C103,BP$5&lt;=$D103,$A103&lt;&gt;""),"●","")</x:f>
      </x:c>
      <x:c r="BQ103" s="165" t="str">
        <x:f>IF(AND(BQ$5&gt;=$C103,BQ$5&lt;=$D103,$A103&lt;&gt;""),"●","")</x:f>
      </x:c>
      <x:c r="BR103" s="165" t="str">
        <x:f>IF(AND(BR$5&gt;=$C103,BR$5&lt;=$D103,$A103&lt;&gt;""),"●","")</x:f>
      </x:c>
      <x:c r="BS103" s="165" t="str">
        <x:f>IF(AND(BS$5&gt;=$C103,BS$5&lt;=$D103,$A103&lt;&gt;""),"●","")</x:f>
      </x:c>
      <x:c r="BT103" s="165" t="str">
        <x:f>IF(AND(BT$5&gt;=$C103,BT$5&lt;=$D103,$A103&lt;&gt;""),"●","")</x:f>
      </x:c>
      <x:c r="BU103" s="165" t="str">
        <x:f>IF(AND(BU$5&gt;=$C103,BU$5&lt;=$D103,$A103&lt;&gt;""),"●","")</x:f>
      </x:c>
      <x:c r="BV103" s="165" t="str">
        <x:f>IF(AND(BV$5&gt;=$C103,BV$5&lt;=$D103,$A103&lt;&gt;""),"●","")</x:f>
      </x:c>
      <x:c r="BW103" s="165" t="str">
        <x:f>IF(AND(BW$5&gt;=$C103,BW$5&lt;=$D103,$A103&lt;&gt;""),"●","")</x:f>
      </x:c>
    </x:row>
    <x:row r="104">
      <x:c r="A104" s="159" t="str">
        <x:f>IF('รายการสัญญา'!A104="","",'รายการสัญญา'!A104)</x:f>
      </x:c>
      <x:c r="B104" s="159" t="str">
        <x:f>IF('รายการสัญญา'!A104="","",'รายการสัญญา'!C104)</x:f>
      </x:c>
      <x:c r="C104" s="162" t="str">
        <x:f>IF('รายการสัญญา'!A104="","",'รายการสัญญา'!E104)</x:f>
      </x:c>
      <x:c r="D104" s="162" t="str">
        <x:f>IF('รายการสัญญา'!A104="","",'รายการสัญญา'!G104)</x:f>
      </x:c>
      <x:c r="E104" s="159" t="str">
        <x:f>IF('รายการสัญญา'!A104="","",'รายการสัญญา'!K104)</x:f>
      </x:c>
      <x:c r="F104" s="165" t="str">
        <x:f>IF(AND(F$5&gt;=$C104,F$5&lt;=$D104,$A104&lt;&gt;""),"●","")</x:f>
      </x:c>
      <x:c r="G104" s="165" t="str">
        <x:f>IF(AND(G$5&gt;=$C104,G$5&lt;=$D104,$A104&lt;&gt;""),"●","")</x:f>
      </x:c>
      <x:c r="H104" s="165" t="str">
        <x:f>IF(AND(H$5&gt;=$C104,H$5&lt;=$D104,$A104&lt;&gt;""),"●","")</x:f>
      </x:c>
      <x:c r="I104" s="165" t="str">
        <x:f>IF(AND(I$5&gt;=$C104,I$5&lt;=$D104,$A104&lt;&gt;""),"●","")</x:f>
      </x:c>
      <x:c r="J104" s="165" t="str">
        <x:f>IF(AND(J$5&gt;=$C104,J$5&lt;=$D104,$A104&lt;&gt;""),"●","")</x:f>
      </x:c>
      <x:c r="K104" s="165" t="str">
        <x:f>IF(AND(K$5&gt;=$C104,K$5&lt;=$D104,$A104&lt;&gt;""),"●","")</x:f>
      </x:c>
      <x:c r="L104" s="165" t="str">
        <x:f>IF(AND(L$5&gt;=$C104,L$5&lt;=$D104,$A104&lt;&gt;""),"●","")</x:f>
      </x:c>
      <x:c r="M104" s="165" t="str">
        <x:f>IF(AND(M$5&gt;=$C104,M$5&lt;=$D104,$A104&lt;&gt;""),"●","")</x:f>
      </x:c>
      <x:c r="N104" s="165" t="str">
        <x:f>IF(AND(N$5&gt;=$C104,N$5&lt;=$D104,$A104&lt;&gt;""),"●","")</x:f>
      </x:c>
      <x:c r="O104" s="165" t="str">
        <x:f>IF(AND(O$5&gt;=$C104,O$5&lt;=$D104,$A104&lt;&gt;""),"●","")</x:f>
      </x:c>
      <x:c r="P104" s="165" t="str">
        <x:f>IF(AND(P$5&gt;=$C104,P$5&lt;=$D104,$A104&lt;&gt;""),"●","")</x:f>
      </x:c>
      <x:c r="Q104" s="165" t="str">
        <x:f>IF(AND(Q$5&gt;=$C104,Q$5&lt;=$D104,$A104&lt;&gt;""),"●","")</x:f>
      </x:c>
      <x:c r="R104" s="165" t="str">
        <x:f>IF(AND(R$5&gt;=$C104,R$5&lt;=$D104,$A104&lt;&gt;""),"●","")</x:f>
      </x:c>
      <x:c r="S104" s="165" t="str">
        <x:f>IF(AND(S$5&gt;=$C104,S$5&lt;=$D104,$A104&lt;&gt;""),"●","")</x:f>
      </x:c>
      <x:c r="T104" s="165" t="str">
        <x:f>IF(AND(T$5&gt;=$C104,T$5&lt;=$D104,$A104&lt;&gt;""),"●","")</x:f>
      </x:c>
      <x:c r="U104" s="165" t="str">
        <x:f>IF(AND(U$5&gt;=$C104,U$5&lt;=$D104,$A104&lt;&gt;""),"●","")</x:f>
      </x:c>
      <x:c r="V104" s="165" t="str">
        <x:f>IF(AND(V$5&gt;=$C104,V$5&lt;=$D104,$A104&lt;&gt;""),"●","")</x:f>
      </x:c>
      <x:c r="W104" s="165" t="str">
        <x:f>IF(AND(W$5&gt;=$C104,W$5&lt;=$D104,$A104&lt;&gt;""),"●","")</x:f>
      </x:c>
      <x:c r="X104" s="165" t="str">
        <x:f>IF(AND(X$5&gt;=$C104,X$5&lt;=$D104,$A104&lt;&gt;""),"●","")</x:f>
      </x:c>
      <x:c r="Y104" s="165" t="str">
        <x:f>IF(AND(Y$5&gt;=$C104,Y$5&lt;=$D104,$A104&lt;&gt;""),"●","")</x:f>
      </x:c>
      <x:c r="Z104" s="165" t="str">
        <x:f>IF(AND(Z$5&gt;=$C104,Z$5&lt;=$D104,$A104&lt;&gt;""),"●","")</x:f>
      </x:c>
      <x:c r="AA104" s="165" t="str">
        <x:f>IF(AND(AA$5&gt;=$C104,AA$5&lt;=$D104,$A104&lt;&gt;""),"●","")</x:f>
      </x:c>
      <x:c r="AB104" s="165" t="str">
        <x:f>IF(AND(AB$5&gt;=$C104,AB$5&lt;=$D104,$A104&lt;&gt;""),"●","")</x:f>
      </x:c>
      <x:c r="AC104" s="165" t="str">
        <x:f>IF(AND(AC$5&gt;=$C104,AC$5&lt;=$D104,$A104&lt;&gt;""),"●","")</x:f>
      </x:c>
      <x:c r="AD104" s="165" t="str">
        <x:f>IF(AND(AD$5&gt;=$C104,AD$5&lt;=$D104,$A104&lt;&gt;""),"●","")</x:f>
      </x:c>
      <x:c r="AE104" s="165" t="str">
        <x:f>IF(AND(AE$5&gt;=$C104,AE$5&lt;=$D104,$A104&lt;&gt;""),"●","")</x:f>
      </x:c>
      <x:c r="AF104" s="165" t="str">
        <x:f>IF(AND(AF$5&gt;=$C104,AF$5&lt;=$D104,$A104&lt;&gt;""),"●","")</x:f>
      </x:c>
      <x:c r="AG104" s="165" t="str">
        <x:f>IF(AND(AG$5&gt;=$C104,AG$5&lt;=$D104,$A104&lt;&gt;""),"●","")</x:f>
      </x:c>
      <x:c r="AH104" s="165" t="str">
        <x:f>IF(AND(AH$5&gt;=$C104,AH$5&lt;=$D104,$A104&lt;&gt;""),"●","")</x:f>
      </x:c>
      <x:c r="AI104" s="165" t="str">
        <x:f>IF(AND(AI$5&gt;=$C104,AI$5&lt;=$D104,$A104&lt;&gt;""),"●","")</x:f>
      </x:c>
      <x:c r="AJ104" s="165" t="str">
        <x:f>IF(AND(AJ$5&gt;=$C104,AJ$5&lt;=$D104,$A104&lt;&gt;""),"●","")</x:f>
      </x:c>
      <x:c r="AK104" s="165" t="str">
        <x:f>IF(AND(AK$5&gt;=$C104,AK$5&lt;=$D104,$A104&lt;&gt;""),"●","")</x:f>
      </x:c>
      <x:c r="AL104" s="165" t="str">
        <x:f>IF(AND(AL$5&gt;=$C104,AL$5&lt;=$D104,$A104&lt;&gt;""),"●","")</x:f>
      </x:c>
      <x:c r="AM104" s="165" t="str">
        <x:f>IF(AND(AM$5&gt;=$C104,AM$5&lt;=$D104,$A104&lt;&gt;""),"●","")</x:f>
      </x:c>
      <x:c r="AN104" s="165" t="str">
        <x:f>IF(AND(AN$5&gt;=$C104,AN$5&lt;=$D104,$A104&lt;&gt;""),"●","")</x:f>
      </x:c>
      <x:c r="AO104" s="165" t="str">
        <x:f>IF(AND(AO$5&gt;=$C104,AO$5&lt;=$D104,$A104&lt;&gt;""),"●","")</x:f>
      </x:c>
      <x:c r="AP104" s="165" t="str">
        <x:f>IF(AND(AP$5&gt;=$C104,AP$5&lt;=$D104,$A104&lt;&gt;""),"●","")</x:f>
      </x:c>
      <x:c r="AQ104" s="165" t="str">
        <x:f>IF(AND(AQ$5&gt;=$C104,AQ$5&lt;=$D104,$A104&lt;&gt;""),"●","")</x:f>
      </x:c>
      <x:c r="AR104" s="165" t="str">
        <x:f>IF(AND(AR$5&gt;=$C104,AR$5&lt;=$D104,$A104&lt;&gt;""),"●","")</x:f>
      </x:c>
      <x:c r="AS104" s="165" t="str">
        <x:f>IF(AND(AS$5&gt;=$C104,AS$5&lt;=$D104,$A104&lt;&gt;""),"●","")</x:f>
      </x:c>
      <x:c r="AT104" s="165" t="str">
        <x:f>IF(AND(AT$5&gt;=$C104,AT$5&lt;=$D104,$A104&lt;&gt;""),"●","")</x:f>
      </x:c>
      <x:c r="AU104" s="165" t="str">
        <x:f>IF(AND(AU$5&gt;=$C104,AU$5&lt;=$D104,$A104&lt;&gt;""),"●","")</x:f>
      </x:c>
      <x:c r="AV104" s="165" t="str">
        <x:f>IF(AND(AV$5&gt;=$C104,AV$5&lt;=$D104,$A104&lt;&gt;""),"●","")</x:f>
      </x:c>
      <x:c r="AW104" s="165" t="str">
        <x:f>IF(AND(AW$5&gt;=$C104,AW$5&lt;=$D104,$A104&lt;&gt;""),"●","")</x:f>
      </x:c>
      <x:c r="AX104" s="165" t="str">
        <x:f>IF(AND(AX$5&gt;=$C104,AX$5&lt;=$D104,$A104&lt;&gt;""),"●","")</x:f>
      </x:c>
      <x:c r="AY104" s="165" t="str">
        <x:f>IF(AND(AY$5&gt;=$C104,AY$5&lt;=$D104,$A104&lt;&gt;""),"●","")</x:f>
      </x:c>
      <x:c r="AZ104" s="165" t="str">
        <x:f>IF(AND(AZ$5&gt;=$C104,AZ$5&lt;=$D104,$A104&lt;&gt;""),"●","")</x:f>
      </x:c>
      <x:c r="BA104" s="165" t="str">
        <x:f>IF(AND(BA$5&gt;=$C104,BA$5&lt;=$D104,$A104&lt;&gt;""),"●","")</x:f>
      </x:c>
      <x:c r="BB104" s="165" t="str">
        <x:f>IF(AND(BB$5&gt;=$C104,BB$5&lt;=$D104,$A104&lt;&gt;""),"●","")</x:f>
      </x:c>
      <x:c r="BC104" s="165" t="str">
        <x:f>IF(AND(BC$5&gt;=$C104,BC$5&lt;=$D104,$A104&lt;&gt;""),"●","")</x:f>
      </x:c>
      <x:c r="BD104" s="165" t="str">
        <x:f>IF(AND(BD$5&gt;=$C104,BD$5&lt;=$D104,$A104&lt;&gt;""),"●","")</x:f>
      </x:c>
      <x:c r="BE104" s="165" t="str">
        <x:f>IF(AND(BE$5&gt;=$C104,BE$5&lt;=$D104,$A104&lt;&gt;""),"●","")</x:f>
      </x:c>
      <x:c r="BF104" s="165" t="str">
        <x:f>IF(AND(BF$5&gt;=$C104,BF$5&lt;=$D104,$A104&lt;&gt;""),"●","")</x:f>
      </x:c>
      <x:c r="BG104" s="165" t="str">
        <x:f>IF(AND(BG$5&gt;=$C104,BG$5&lt;=$D104,$A104&lt;&gt;""),"●","")</x:f>
      </x:c>
      <x:c r="BH104" s="165" t="str">
        <x:f>IF(AND(BH$5&gt;=$C104,BH$5&lt;=$D104,$A104&lt;&gt;""),"●","")</x:f>
      </x:c>
      <x:c r="BI104" s="165" t="str">
        <x:f>IF(AND(BI$5&gt;=$C104,BI$5&lt;=$D104,$A104&lt;&gt;""),"●","")</x:f>
      </x:c>
      <x:c r="BJ104" s="165" t="str">
        <x:f>IF(AND(BJ$5&gt;=$C104,BJ$5&lt;=$D104,$A104&lt;&gt;""),"●","")</x:f>
      </x:c>
      <x:c r="BK104" s="165" t="str">
        <x:f>IF(AND(BK$5&gt;=$C104,BK$5&lt;=$D104,$A104&lt;&gt;""),"●","")</x:f>
      </x:c>
      <x:c r="BL104" s="165" t="str">
        <x:f>IF(AND(BL$5&gt;=$C104,BL$5&lt;=$D104,$A104&lt;&gt;""),"●","")</x:f>
      </x:c>
      <x:c r="BM104" s="165" t="str">
        <x:f>IF(AND(BM$5&gt;=$C104,BM$5&lt;=$D104,$A104&lt;&gt;""),"●","")</x:f>
      </x:c>
      <x:c r="BN104" s="165" t="str">
        <x:f>IF(AND(BN$5&gt;=$C104,BN$5&lt;=$D104,$A104&lt;&gt;""),"●","")</x:f>
      </x:c>
      <x:c r="BO104" s="165" t="str">
        <x:f>IF(AND(BO$5&gt;=$C104,BO$5&lt;=$D104,$A104&lt;&gt;""),"●","")</x:f>
      </x:c>
      <x:c r="BP104" s="165" t="str">
        <x:f>IF(AND(BP$5&gt;=$C104,BP$5&lt;=$D104,$A104&lt;&gt;""),"●","")</x:f>
      </x:c>
      <x:c r="BQ104" s="165" t="str">
        <x:f>IF(AND(BQ$5&gt;=$C104,BQ$5&lt;=$D104,$A104&lt;&gt;""),"●","")</x:f>
      </x:c>
      <x:c r="BR104" s="165" t="str">
        <x:f>IF(AND(BR$5&gt;=$C104,BR$5&lt;=$D104,$A104&lt;&gt;""),"●","")</x:f>
      </x:c>
      <x:c r="BS104" s="165" t="str">
        <x:f>IF(AND(BS$5&gt;=$C104,BS$5&lt;=$D104,$A104&lt;&gt;""),"●","")</x:f>
      </x:c>
      <x:c r="BT104" s="165" t="str">
        <x:f>IF(AND(BT$5&gt;=$C104,BT$5&lt;=$D104,$A104&lt;&gt;""),"●","")</x:f>
      </x:c>
      <x:c r="BU104" s="165" t="str">
        <x:f>IF(AND(BU$5&gt;=$C104,BU$5&lt;=$D104,$A104&lt;&gt;""),"●","")</x:f>
      </x:c>
      <x:c r="BV104" s="165" t="str">
        <x:f>IF(AND(BV$5&gt;=$C104,BV$5&lt;=$D104,$A104&lt;&gt;""),"●","")</x:f>
      </x:c>
      <x:c r="BW104" s="165" t="str">
        <x:f>IF(AND(BW$5&gt;=$C104,BW$5&lt;=$D104,$A104&lt;&gt;""),"●","")</x:f>
      </x:c>
    </x:row>
    <x:row r="105">
      <x:c r="A105" s="159" t="str">
        <x:f>IF('รายการสัญญา'!A105="","",'รายการสัญญา'!A105)</x:f>
      </x:c>
      <x:c r="B105" s="159" t="str">
        <x:f>IF('รายการสัญญา'!A105="","",'รายการสัญญา'!C105)</x:f>
      </x:c>
      <x:c r="C105" s="162" t="str">
        <x:f>IF('รายการสัญญา'!A105="","",'รายการสัญญา'!E105)</x:f>
      </x:c>
      <x:c r="D105" s="162" t="str">
        <x:f>IF('รายการสัญญา'!A105="","",'รายการสัญญา'!G105)</x:f>
      </x:c>
      <x:c r="E105" s="159" t="str">
        <x:f>IF('รายการสัญญา'!A105="","",'รายการสัญญา'!K105)</x:f>
      </x:c>
      <x:c r="F105" s="165" t="str">
        <x:f>IF(AND(F$5&gt;=$C105,F$5&lt;=$D105,$A105&lt;&gt;""),"●","")</x:f>
      </x:c>
      <x:c r="G105" s="165" t="str">
        <x:f>IF(AND(G$5&gt;=$C105,G$5&lt;=$D105,$A105&lt;&gt;""),"●","")</x:f>
      </x:c>
      <x:c r="H105" s="165" t="str">
        <x:f>IF(AND(H$5&gt;=$C105,H$5&lt;=$D105,$A105&lt;&gt;""),"●","")</x:f>
      </x:c>
      <x:c r="I105" s="165" t="str">
        <x:f>IF(AND(I$5&gt;=$C105,I$5&lt;=$D105,$A105&lt;&gt;""),"●","")</x:f>
      </x:c>
      <x:c r="J105" s="165" t="str">
        <x:f>IF(AND(J$5&gt;=$C105,J$5&lt;=$D105,$A105&lt;&gt;""),"●","")</x:f>
      </x:c>
      <x:c r="K105" s="165" t="str">
        <x:f>IF(AND(K$5&gt;=$C105,K$5&lt;=$D105,$A105&lt;&gt;""),"●","")</x:f>
      </x:c>
      <x:c r="L105" s="165" t="str">
        <x:f>IF(AND(L$5&gt;=$C105,L$5&lt;=$D105,$A105&lt;&gt;""),"●","")</x:f>
      </x:c>
      <x:c r="M105" s="165" t="str">
        <x:f>IF(AND(M$5&gt;=$C105,M$5&lt;=$D105,$A105&lt;&gt;""),"●","")</x:f>
      </x:c>
      <x:c r="N105" s="165" t="str">
        <x:f>IF(AND(N$5&gt;=$C105,N$5&lt;=$D105,$A105&lt;&gt;""),"●","")</x:f>
      </x:c>
      <x:c r="O105" s="165" t="str">
        <x:f>IF(AND(O$5&gt;=$C105,O$5&lt;=$D105,$A105&lt;&gt;""),"●","")</x:f>
      </x:c>
      <x:c r="P105" s="165" t="str">
        <x:f>IF(AND(P$5&gt;=$C105,P$5&lt;=$D105,$A105&lt;&gt;""),"●","")</x:f>
      </x:c>
      <x:c r="Q105" s="165" t="str">
        <x:f>IF(AND(Q$5&gt;=$C105,Q$5&lt;=$D105,$A105&lt;&gt;""),"●","")</x:f>
      </x:c>
      <x:c r="R105" s="165" t="str">
        <x:f>IF(AND(R$5&gt;=$C105,R$5&lt;=$D105,$A105&lt;&gt;""),"●","")</x:f>
      </x:c>
      <x:c r="S105" s="165" t="str">
        <x:f>IF(AND(S$5&gt;=$C105,S$5&lt;=$D105,$A105&lt;&gt;""),"●","")</x:f>
      </x:c>
      <x:c r="T105" s="165" t="str">
        <x:f>IF(AND(T$5&gt;=$C105,T$5&lt;=$D105,$A105&lt;&gt;""),"●","")</x:f>
      </x:c>
      <x:c r="U105" s="165" t="str">
        <x:f>IF(AND(U$5&gt;=$C105,U$5&lt;=$D105,$A105&lt;&gt;""),"●","")</x:f>
      </x:c>
      <x:c r="V105" s="165" t="str">
        <x:f>IF(AND(V$5&gt;=$C105,V$5&lt;=$D105,$A105&lt;&gt;""),"●","")</x:f>
      </x:c>
      <x:c r="W105" s="165" t="str">
        <x:f>IF(AND(W$5&gt;=$C105,W$5&lt;=$D105,$A105&lt;&gt;""),"●","")</x:f>
      </x:c>
      <x:c r="X105" s="165" t="str">
        <x:f>IF(AND(X$5&gt;=$C105,X$5&lt;=$D105,$A105&lt;&gt;""),"●","")</x:f>
      </x:c>
      <x:c r="Y105" s="165" t="str">
        <x:f>IF(AND(Y$5&gt;=$C105,Y$5&lt;=$D105,$A105&lt;&gt;""),"●","")</x:f>
      </x:c>
      <x:c r="Z105" s="165" t="str">
        <x:f>IF(AND(Z$5&gt;=$C105,Z$5&lt;=$D105,$A105&lt;&gt;""),"●","")</x:f>
      </x:c>
      <x:c r="AA105" s="165" t="str">
        <x:f>IF(AND(AA$5&gt;=$C105,AA$5&lt;=$D105,$A105&lt;&gt;""),"●","")</x:f>
      </x:c>
      <x:c r="AB105" s="165" t="str">
        <x:f>IF(AND(AB$5&gt;=$C105,AB$5&lt;=$D105,$A105&lt;&gt;""),"●","")</x:f>
      </x:c>
      <x:c r="AC105" s="165" t="str">
        <x:f>IF(AND(AC$5&gt;=$C105,AC$5&lt;=$D105,$A105&lt;&gt;""),"●","")</x:f>
      </x:c>
      <x:c r="AD105" s="165" t="str">
        <x:f>IF(AND(AD$5&gt;=$C105,AD$5&lt;=$D105,$A105&lt;&gt;""),"●","")</x:f>
      </x:c>
      <x:c r="AE105" s="165" t="str">
        <x:f>IF(AND(AE$5&gt;=$C105,AE$5&lt;=$D105,$A105&lt;&gt;""),"●","")</x:f>
      </x:c>
      <x:c r="AF105" s="165" t="str">
        <x:f>IF(AND(AF$5&gt;=$C105,AF$5&lt;=$D105,$A105&lt;&gt;""),"●","")</x:f>
      </x:c>
      <x:c r="AG105" s="165" t="str">
        <x:f>IF(AND(AG$5&gt;=$C105,AG$5&lt;=$D105,$A105&lt;&gt;""),"●","")</x:f>
      </x:c>
      <x:c r="AH105" s="165" t="str">
        <x:f>IF(AND(AH$5&gt;=$C105,AH$5&lt;=$D105,$A105&lt;&gt;""),"●","")</x:f>
      </x:c>
      <x:c r="AI105" s="165" t="str">
        <x:f>IF(AND(AI$5&gt;=$C105,AI$5&lt;=$D105,$A105&lt;&gt;""),"●","")</x:f>
      </x:c>
      <x:c r="AJ105" s="165" t="str">
        <x:f>IF(AND(AJ$5&gt;=$C105,AJ$5&lt;=$D105,$A105&lt;&gt;""),"●","")</x:f>
      </x:c>
      <x:c r="AK105" s="165" t="str">
        <x:f>IF(AND(AK$5&gt;=$C105,AK$5&lt;=$D105,$A105&lt;&gt;""),"●","")</x:f>
      </x:c>
      <x:c r="AL105" s="165" t="str">
        <x:f>IF(AND(AL$5&gt;=$C105,AL$5&lt;=$D105,$A105&lt;&gt;""),"●","")</x:f>
      </x:c>
      <x:c r="AM105" s="165" t="str">
        <x:f>IF(AND(AM$5&gt;=$C105,AM$5&lt;=$D105,$A105&lt;&gt;""),"●","")</x:f>
      </x:c>
      <x:c r="AN105" s="165" t="str">
        <x:f>IF(AND(AN$5&gt;=$C105,AN$5&lt;=$D105,$A105&lt;&gt;""),"●","")</x:f>
      </x:c>
      <x:c r="AO105" s="165" t="str">
        <x:f>IF(AND(AO$5&gt;=$C105,AO$5&lt;=$D105,$A105&lt;&gt;""),"●","")</x:f>
      </x:c>
      <x:c r="AP105" s="165" t="str">
        <x:f>IF(AND(AP$5&gt;=$C105,AP$5&lt;=$D105,$A105&lt;&gt;""),"●","")</x:f>
      </x:c>
      <x:c r="AQ105" s="165" t="str">
        <x:f>IF(AND(AQ$5&gt;=$C105,AQ$5&lt;=$D105,$A105&lt;&gt;""),"●","")</x:f>
      </x:c>
      <x:c r="AR105" s="165" t="str">
        <x:f>IF(AND(AR$5&gt;=$C105,AR$5&lt;=$D105,$A105&lt;&gt;""),"●","")</x:f>
      </x:c>
      <x:c r="AS105" s="165" t="str">
        <x:f>IF(AND(AS$5&gt;=$C105,AS$5&lt;=$D105,$A105&lt;&gt;""),"●","")</x:f>
      </x:c>
      <x:c r="AT105" s="165" t="str">
        <x:f>IF(AND(AT$5&gt;=$C105,AT$5&lt;=$D105,$A105&lt;&gt;""),"●","")</x:f>
      </x:c>
      <x:c r="AU105" s="165" t="str">
        <x:f>IF(AND(AU$5&gt;=$C105,AU$5&lt;=$D105,$A105&lt;&gt;""),"●","")</x:f>
      </x:c>
      <x:c r="AV105" s="165" t="str">
        <x:f>IF(AND(AV$5&gt;=$C105,AV$5&lt;=$D105,$A105&lt;&gt;""),"●","")</x:f>
      </x:c>
      <x:c r="AW105" s="165" t="str">
        <x:f>IF(AND(AW$5&gt;=$C105,AW$5&lt;=$D105,$A105&lt;&gt;""),"●","")</x:f>
      </x:c>
      <x:c r="AX105" s="165" t="str">
        <x:f>IF(AND(AX$5&gt;=$C105,AX$5&lt;=$D105,$A105&lt;&gt;""),"●","")</x:f>
      </x:c>
      <x:c r="AY105" s="165" t="str">
        <x:f>IF(AND(AY$5&gt;=$C105,AY$5&lt;=$D105,$A105&lt;&gt;""),"●","")</x:f>
      </x:c>
      <x:c r="AZ105" s="165" t="str">
        <x:f>IF(AND(AZ$5&gt;=$C105,AZ$5&lt;=$D105,$A105&lt;&gt;""),"●","")</x:f>
      </x:c>
      <x:c r="BA105" s="165" t="str">
        <x:f>IF(AND(BA$5&gt;=$C105,BA$5&lt;=$D105,$A105&lt;&gt;""),"●","")</x:f>
      </x:c>
      <x:c r="BB105" s="165" t="str">
        <x:f>IF(AND(BB$5&gt;=$C105,BB$5&lt;=$D105,$A105&lt;&gt;""),"●","")</x:f>
      </x:c>
      <x:c r="BC105" s="165" t="str">
        <x:f>IF(AND(BC$5&gt;=$C105,BC$5&lt;=$D105,$A105&lt;&gt;""),"●","")</x:f>
      </x:c>
      <x:c r="BD105" s="165" t="str">
        <x:f>IF(AND(BD$5&gt;=$C105,BD$5&lt;=$D105,$A105&lt;&gt;""),"●","")</x:f>
      </x:c>
      <x:c r="BE105" s="165" t="str">
        <x:f>IF(AND(BE$5&gt;=$C105,BE$5&lt;=$D105,$A105&lt;&gt;""),"●","")</x:f>
      </x:c>
      <x:c r="BF105" s="165" t="str">
        <x:f>IF(AND(BF$5&gt;=$C105,BF$5&lt;=$D105,$A105&lt;&gt;""),"●","")</x:f>
      </x:c>
      <x:c r="BG105" s="165" t="str">
        <x:f>IF(AND(BG$5&gt;=$C105,BG$5&lt;=$D105,$A105&lt;&gt;""),"●","")</x:f>
      </x:c>
      <x:c r="BH105" s="165" t="str">
        <x:f>IF(AND(BH$5&gt;=$C105,BH$5&lt;=$D105,$A105&lt;&gt;""),"●","")</x:f>
      </x:c>
      <x:c r="BI105" s="165" t="str">
        <x:f>IF(AND(BI$5&gt;=$C105,BI$5&lt;=$D105,$A105&lt;&gt;""),"●","")</x:f>
      </x:c>
      <x:c r="BJ105" s="165" t="str">
        <x:f>IF(AND(BJ$5&gt;=$C105,BJ$5&lt;=$D105,$A105&lt;&gt;""),"●","")</x:f>
      </x:c>
      <x:c r="BK105" s="165" t="str">
        <x:f>IF(AND(BK$5&gt;=$C105,BK$5&lt;=$D105,$A105&lt;&gt;""),"●","")</x:f>
      </x:c>
      <x:c r="BL105" s="165" t="str">
        <x:f>IF(AND(BL$5&gt;=$C105,BL$5&lt;=$D105,$A105&lt;&gt;""),"●","")</x:f>
      </x:c>
      <x:c r="BM105" s="165" t="str">
        <x:f>IF(AND(BM$5&gt;=$C105,BM$5&lt;=$D105,$A105&lt;&gt;""),"●","")</x:f>
      </x:c>
      <x:c r="BN105" s="165" t="str">
        <x:f>IF(AND(BN$5&gt;=$C105,BN$5&lt;=$D105,$A105&lt;&gt;""),"●","")</x:f>
      </x:c>
      <x:c r="BO105" s="165" t="str">
        <x:f>IF(AND(BO$5&gt;=$C105,BO$5&lt;=$D105,$A105&lt;&gt;""),"●","")</x:f>
      </x:c>
      <x:c r="BP105" s="165" t="str">
        <x:f>IF(AND(BP$5&gt;=$C105,BP$5&lt;=$D105,$A105&lt;&gt;""),"●","")</x:f>
      </x:c>
      <x:c r="BQ105" s="165" t="str">
        <x:f>IF(AND(BQ$5&gt;=$C105,BQ$5&lt;=$D105,$A105&lt;&gt;""),"●","")</x:f>
      </x:c>
      <x:c r="BR105" s="165" t="str">
        <x:f>IF(AND(BR$5&gt;=$C105,BR$5&lt;=$D105,$A105&lt;&gt;""),"●","")</x:f>
      </x:c>
      <x:c r="BS105" s="165" t="str">
        <x:f>IF(AND(BS$5&gt;=$C105,BS$5&lt;=$D105,$A105&lt;&gt;""),"●","")</x:f>
      </x:c>
      <x:c r="BT105" s="165" t="str">
        <x:f>IF(AND(BT$5&gt;=$C105,BT$5&lt;=$D105,$A105&lt;&gt;""),"●","")</x:f>
      </x:c>
      <x:c r="BU105" s="165" t="str">
        <x:f>IF(AND(BU$5&gt;=$C105,BU$5&lt;=$D105,$A105&lt;&gt;""),"●","")</x:f>
      </x:c>
      <x:c r="BV105" s="165" t="str">
        <x:f>IF(AND(BV$5&gt;=$C105,BV$5&lt;=$D105,$A105&lt;&gt;""),"●","")</x:f>
      </x:c>
      <x:c r="BW105" s="165" t="str">
        <x:f>IF(AND(BW$5&gt;=$C105,BW$5&lt;=$D105,$A105&lt;&gt;""),"●","")</x:f>
      </x:c>
    </x:row>
    <x:row r="106">
      <x:c r="A106" s="159" t="str">
        <x:f>IF('รายการสัญญา'!A106="","",'รายการสัญญา'!A106)</x:f>
      </x:c>
      <x:c r="B106" s="159" t="str">
        <x:f>IF('รายการสัญญา'!A106="","",'รายการสัญญา'!C106)</x:f>
      </x:c>
      <x:c r="C106" s="162" t="str">
        <x:f>IF('รายการสัญญา'!A106="","",'รายการสัญญา'!E106)</x:f>
      </x:c>
      <x:c r="D106" s="162" t="str">
        <x:f>IF('รายการสัญญา'!A106="","",'รายการสัญญา'!G106)</x:f>
      </x:c>
      <x:c r="E106" s="159" t="str">
        <x:f>IF('รายการสัญญา'!A106="","",'รายการสัญญา'!K106)</x:f>
      </x:c>
      <x:c r="F106" s="165" t="str">
        <x:f>IF(AND(F$5&gt;=$C106,F$5&lt;=$D106,$A106&lt;&gt;""),"●","")</x:f>
      </x:c>
      <x:c r="G106" s="165" t="str">
        <x:f>IF(AND(G$5&gt;=$C106,G$5&lt;=$D106,$A106&lt;&gt;""),"●","")</x:f>
      </x:c>
      <x:c r="H106" s="165" t="str">
        <x:f>IF(AND(H$5&gt;=$C106,H$5&lt;=$D106,$A106&lt;&gt;""),"●","")</x:f>
      </x:c>
      <x:c r="I106" s="165" t="str">
        <x:f>IF(AND(I$5&gt;=$C106,I$5&lt;=$D106,$A106&lt;&gt;""),"●","")</x:f>
      </x:c>
      <x:c r="J106" s="165" t="str">
        <x:f>IF(AND(J$5&gt;=$C106,J$5&lt;=$D106,$A106&lt;&gt;""),"●","")</x:f>
      </x:c>
      <x:c r="K106" s="165" t="str">
        <x:f>IF(AND(K$5&gt;=$C106,K$5&lt;=$D106,$A106&lt;&gt;""),"●","")</x:f>
      </x:c>
      <x:c r="L106" s="165" t="str">
        <x:f>IF(AND(L$5&gt;=$C106,L$5&lt;=$D106,$A106&lt;&gt;""),"●","")</x:f>
      </x:c>
      <x:c r="M106" s="165" t="str">
        <x:f>IF(AND(M$5&gt;=$C106,M$5&lt;=$D106,$A106&lt;&gt;""),"●","")</x:f>
      </x:c>
      <x:c r="N106" s="165" t="str">
        <x:f>IF(AND(N$5&gt;=$C106,N$5&lt;=$D106,$A106&lt;&gt;""),"●","")</x:f>
      </x:c>
      <x:c r="O106" s="165" t="str">
        <x:f>IF(AND(O$5&gt;=$C106,O$5&lt;=$D106,$A106&lt;&gt;""),"●","")</x:f>
      </x:c>
      <x:c r="P106" s="165" t="str">
        <x:f>IF(AND(P$5&gt;=$C106,P$5&lt;=$D106,$A106&lt;&gt;""),"●","")</x:f>
      </x:c>
      <x:c r="Q106" s="165" t="str">
        <x:f>IF(AND(Q$5&gt;=$C106,Q$5&lt;=$D106,$A106&lt;&gt;""),"●","")</x:f>
      </x:c>
      <x:c r="R106" s="165" t="str">
        <x:f>IF(AND(R$5&gt;=$C106,R$5&lt;=$D106,$A106&lt;&gt;""),"●","")</x:f>
      </x:c>
      <x:c r="S106" s="165" t="str">
        <x:f>IF(AND(S$5&gt;=$C106,S$5&lt;=$D106,$A106&lt;&gt;""),"●","")</x:f>
      </x:c>
      <x:c r="T106" s="165" t="str">
        <x:f>IF(AND(T$5&gt;=$C106,T$5&lt;=$D106,$A106&lt;&gt;""),"●","")</x:f>
      </x:c>
      <x:c r="U106" s="165" t="str">
        <x:f>IF(AND(U$5&gt;=$C106,U$5&lt;=$D106,$A106&lt;&gt;""),"●","")</x:f>
      </x:c>
      <x:c r="V106" s="165" t="str">
        <x:f>IF(AND(V$5&gt;=$C106,V$5&lt;=$D106,$A106&lt;&gt;""),"●","")</x:f>
      </x:c>
      <x:c r="W106" s="165" t="str">
        <x:f>IF(AND(W$5&gt;=$C106,W$5&lt;=$D106,$A106&lt;&gt;""),"●","")</x:f>
      </x:c>
      <x:c r="X106" s="165" t="str">
        <x:f>IF(AND(X$5&gt;=$C106,X$5&lt;=$D106,$A106&lt;&gt;""),"●","")</x:f>
      </x:c>
      <x:c r="Y106" s="165" t="str">
        <x:f>IF(AND(Y$5&gt;=$C106,Y$5&lt;=$D106,$A106&lt;&gt;""),"●","")</x:f>
      </x:c>
      <x:c r="Z106" s="165" t="str">
        <x:f>IF(AND(Z$5&gt;=$C106,Z$5&lt;=$D106,$A106&lt;&gt;""),"●","")</x:f>
      </x:c>
      <x:c r="AA106" s="165" t="str">
        <x:f>IF(AND(AA$5&gt;=$C106,AA$5&lt;=$D106,$A106&lt;&gt;""),"●","")</x:f>
      </x:c>
      <x:c r="AB106" s="165" t="str">
        <x:f>IF(AND(AB$5&gt;=$C106,AB$5&lt;=$D106,$A106&lt;&gt;""),"●","")</x:f>
      </x:c>
      <x:c r="AC106" s="165" t="str">
        <x:f>IF(AND(AC$5&gt;=$C106,AC$5&lt;=$D106,$A106&lt;&gt;""),"●","")</x:f>
      </x:c>
      <x:c r="AD106" s="165" t="str">
        <x:f>IF(AND(AD$5&gt;=$C106,AD$5&lt;=$D106,$A106&lt;&gt;""),"●","")</x:f>
      </x:c>
      <x:c r="AE106" s="165" t="str">
        <x:f>IF(AND(AE$5&gt;=$C106,AE$5&lt;=$D106,$A106&lt;&gt;""),"●","")</x:f>
      </x:c>
      <x:c r="AF106" s="165" t="str">
        <x:f>IF(AND(AF$5&gt;=$C106,AF$5&lt;=$D106,$A106&lt;&gt;""),"●","")</x:f>
      </x:c>
      <x:c r="AG106" s="165" t="str">
        <x:f>IF(AND(AG$5&gt;=$C106,AG$5&lt;=$D106,$A106&lt;&gt;""),"●","")</x:f>
      </x:c>
      <x:c r="AH106" s="165" t="str">
        <x:f>IF(AND(AH$5&gt;=$C106,AH$5&lt;=$D106,$A106&lt;&gt;""),"●","")</x:f>
      </x:c>
      <x:c r="AI106" s="165" t="str">
        <x:f>IF(AND(AI$5&gt;=$C106,AI$5&lt;=$D106,$A106&lt;&gt;""),"●","")</x:f>
      </x:c>
      <x:c r="AJ106" s="165" t="str">
        <x:f>IF(AND(AJ$5&gt;=$C106,AJ$5&lt;=$D106,$A106&lt;&gt;""),"●","")</x:f>
      </x:c>
      <x:c r="AK106" s="165" t="str">
        <x:f>IF(AND(AK$5&gt;=$C106,AK$5&lt;=$D106,$A106&lt;&gt;""),"●","")</x:f>
      </x:c>
      <x:c r="AL106" s="165" t="str">
        <x:f>IF(AND(AL$5&gt;=$C106,AL$5&lt;=$D106,$A106&lt;&gt;""),"●","")</x:f>
      </x:c>
      <x:c r="AM106" s="165" t="str">
        <x:f>IF(AND(AM$5&gt;=$C106,AM$5&lt;=$D106,$A106&lt;&gt;""),"●","")</x:f>
      </x:c>
      <x:c r="AN106" s="165" t="str">
        <x:f>IF(AND(AN$5&gt;=$C106,AN$5&lt;=$D106,$A106&lt;&gt;""),"●","")</x:f>
      </x:c>
      <x:c r="AO106" s="165" t="str">
        <x:f>IF(AND(AO$5&gt;=$C106,AO$5&lt;=$D106,$A106&lt;&gt;""),"●","")</x:f>
      </x:c>
      <x:c r="AP106" s="165" t="str">
        <x:f>IF(AND(AP$5&gt;=$C106,AP$5&lt;=$D106,$A106&lt;&gt;""),"●","")</x:f>
      </x:c>
      <x:c r="AQ106" s="165" t="str">
        <x:f>IF(AND(AQ$5&gt;=$C106,AQ$5&lt;=$D106,$A106&lt;&gt;""),"●","")</x:f>
      </x:c>
      <x:c r="AR106" s="165" t="str">
        <x:f>IF(AND(AR$5&gt;=$C106,AR$5&lt;=$D106,$A106&lt;&gt;""),"●","")</x:f>
      </x:c>
      <x:c r="AS106" s="165" t="str">
        <x:f>IF(AND(AS$5&gt;=$C106,AS$5&lt;=$D106,$A106&lt;&gt;""),"●","")</x:f>
      </x:c>
      <x:c r="AT106" s="165" t="str">
        <x:f>IF(AND(AT$5&gt;=$C106,AT$5&lt;=$D106,$A106&lt;&gt;""),"●","")</x:f>
      </x:c>
      <x:c r="AU106" s="165" t="str">
        <x:f>IF(AND(AU$5&gt;=$C106,AU$5&lt;=$D106,$A106&lt;&gt;""),"●","")</x:f>
      </x:c>
      <x:c r="AV106" s="165" t="str">
        <x:f>IF(AND(AV$5&gt;=$C106,AV$5&lt;=$D106,$A106&lt;&gt;""),"●","")</x:f>
      </x:c>
      <x:c r="AW106" s="165" t="str">
        <x:f>IF(AND(AW$5&gt;=$C106,AW$5&lt;=$D106,$A106&lt;&gt;""),"●","")</x:f>
      </x:c>
      <x:c r="AX106" s="165" t="str">
        <x:f>IF(AND(AX$5&gt;=$C106,AX$5&lt;=$D106,$A106&lt;&gt;""),"●","")</x:f>
      </x:c>
      <x:c r="AY106" s="165" t="str">
        <x:f>IF(AND(AY$5&gt;=$C106,AY$5&lt;=$D106,$A106&lt;&gt;""),"●","")</x:f>
      </x:c>
      <x:c r="AZ106" s="165" t="str">
        <x:f>IF(AND(AZ$5&gt;=$C106,AZ$5&lt;=$D106,$A106&lt;&gt;""),"●","")</x:f>
      </x:c>
      <x:c r="BA106" s="165" t="str">
        <x:f>IF(AND(BA$5&gt;=$C106,BA$5&lt;=$D106,$A106&lt;&gt;""),"●","")</x:f>
      </x:c>
      <x:c r="BB106" s="165" t="str">
        <x:f>IF(AND(BB$5&gt;=$C106,BB$5&lt;=$D106,$A106&lt;&gt;""),"●","")</x:f>
      </x:c>
      <x:c r="BC106" s="165" t="str">
        <x:f>IF(AND(BC$5&gt;=$C106,BC$5&lt;=$D106,$A106&lt;&gt;""),"●","")</x:f>
      </x:c>
      <x:c r="BD106" s="165" t="str">
        <x:f>IF(AND(BD$5&gt;=$C106,BD$5&lt;=$D106,$A106&lt;&gt;""),"●","")</x:f>
      </x:c>
      <x:c r="BE106" s="165" t="str">
        <x:f>IF(AND(BE$5&gt;=$C106,BE$5&lt;=$D106,$A106&lt;&gt;""),"●","")</x:f>
      </x:c>
      <x:c r="BF106" s="165" t="str">
        <x:f>IF(AND(BF$5&gt;=$C106,BF$5&lt;=$D106,$A106&lt;&gt;""),"●","")</x:f>
      </x:c>
      <x:c r="BG106" s="165" t="str">
        <x:f>IF(AND(BG$5&gt;=$C106,BG$5&lt;=$D106,$A106&lt;&gt;""),"●","")</x:f>
      </x:c>
      <x:c r="BH106" s="165" t="str">
        <x:f>IF(AND(BH$5&gt;=$C106,BH$5&lt;=$D106,$A106&lt;&gt;""),"●","")</x:f>
      </x:c>
      <x:c r="BI106" s="165" t="str">
        <x:f>IF(AND(BI$5&gt;=$C106,BI$5&lt;=$D106,$A106&lt;&gt;""),"●","")</x:f>
      </x:c>
      <x:c r="BJ106" s="165" t="str">
        <x:f>IF(AND(BJ$5&gt;=$C106,BJ$5&lt;=$D106,$A106&lt;&gt;""),"●","")</x:f>
      </x:c>
      <x:c r="BK106" s="165" t="str">
        <x:f>IF(AND(BK$5&gt;=$C106,BK$5&lt;=$D106,$A106&lt;&gt;""),"●","")</x:f>
      </x:c>
      <x:c r="BL106" s="165" t="str">
        <x:f>IF(AND(BL$5&gt;=$C106,BL$5&lt;=$D106,$A106&lt;&gt;""),"●","")</x:f>
      </x:c>
      <x:c r="BM106" s="165" t="str">
        <x:f>IF(AND(BM$5&gt;=$C106,BM$5&lt;=$D106,$A106&lt;&gt;""),"●","")</x:f>
      </x:c>
      <x:c r="BN106" s="165" t="str">
        <x:f>IF(AND(BN$5&gt;=$C106,BN$5&lt;=$D106,$A106&lt;&gt;""),"●","")</x:f>
      </x:c>
      <x:c r="BO106" s="165" t="str">
        <x:f>IF(AND(BO$5&gt;=$C106,BO$5&lt;=$D106,$A106&lt;&gt;""),"●","")</x:f>
      </x:c>
      <x:c r="BP106" s="165" t="str">
        <x:f>IF(AND(BP$5&gt;=$C106,BP$5&lt;=$D106,$A106&lt;&gt;""),"●","")</x:f>
      </x:c>
      <x:c r="BQ106" s="165" t="str">
        <x:f>IF(AND(BQ$5&gt;=$C106,BQ$5&lt;=$D106,$A106&lt;&gt;""),"●","")</x:f>
      </x:c>
      <x:c r="BR106" s="165" t="str">
        <x:f>IF(AND(BR$5&gt;=$C106,BR$5&lt;=$D106,$A106&lt;&gt;""),"●","")</x:f>
      </x:c>
      <x:c r="BS106" s="165" t="str">
        <x:f>IF(AND(BS$5&gt;=$C106,BS$5&lt;=$D106,$A106&lt;&gt;""),"●","")</x:f>
      </x:c>
      <x:c r="BT106" s="165" t="str">
        <x:f>IF(AND(BT$5&gt;=$C106,BT$5&lt;=$D106,$A106&lt;&gt;""),"●","")</x:f>
      </x:c>
      <x:c r="BU106" s="165" t="str">
        <x:f>IF(AND(BU$5&gt;=$C106,BU$5&lt;=$D106,$A106&lt;&gt;""),"●","")</x:f>
      </x:c>
      <x:c r="BV106" s="165" t="str">
        <x:f>IF(AND(BV$5&gt;=$C106,BV$5&lt;=$D106,$A106&lt;&gt;""),"●","")</x:f>
      </x:c>
      <x:c r="BW106" s="165" t="str">
        <x:f>IF(AND(BW$5&gt;=$C106,BW$5&lt;=$D106,$A106&lt;&gt;""),"●","")</x:f>
      </x:c>
    </x:row>
    <x:row r="107">
      <x:c r="A107" s="159" t="str">
        <x:f>IF('รายการสัญญา'!A107="","",'รายการสัญญา'!A107)</x:f>
      </x:c>
      <x:c r="B107" s="159" t="str">
        <x:f>IF('รายการสัญญา'!A107="","",'รายการสัญญา'!C107)</x:f>
      </x:c>
      <x:c r="C107" s="162" t="str">
        <x:f>IF('รายการสัญญา'!A107="","",'รายการสัญญา'!E107)</x:f>
      </x:c>
      <x:c r="D107" s="162" t="str">
        <x:f>IF('รายการสัญญา'!A107="","",'รายการสัญญา'!G107)</x:f>
      </x:c>
      <x:c r="E107" s="159" t="str">
        <x:f>IF('รายการสัญญา'!A107="","",'รายการสัญญา'!K107)</x:f>
      </x:c>
      <x:c r="F107" s="165" t="str">
        <x:f>IF(AND(F$5&gt;=$C107,F$5&lt;=$D107,$A107&lt;&gt;""),"●","")</x:f>
      </x:c>
      <x:c r="G107" s="165" t="str">
        <x:f>IF(AND(G$5&gt;=$C107,G$5&lt;=$D107,$A107&lt;&gt;""),"●","")</x:f>
      </x:c>
      <x:c r="H107" s="165" t="str">
        <x:f>IF(AND(H$5&gt;=$C107,H$5&lt;=$D107,$A107&lt;&gt;""),"●","")</x:f>
      </x:c>
      <x:c r="I107" s="165" t="str">
        <x:f>IF(AND(I$5&gt;=$C107,I$5&lt;=$D107,$A107&lt;&gt;""),"●","")</x:f>
      </x:c>
      <x:c r="J107" s="165" t="str">
        <x:f>IF(AND(J$5&gt;=$C107,J$5&lt;=$D107,$A107&lt;&gt;""),"●","")</x:f>
      </x:c>
      <x:c r="K107" s="165" t="str">
        <x:f>IF(AND(K$5&gt;=$C107,K$5&lt;=$D107,$A107&lt;&gt;""),"●","")</x:f>
      </x:c>
      <x:c r="L107" s="165" t="str">
        <x:f>IF(AND(L$5&gt;=$C107,L$5&lt;=$D107,$A107&lt;&gt;""),"●","")</x:f>
      </x:c>
      <x:c r="M107" s="165" t="str">
        <x:f>IF(AND(M$5&gt;=$C107,M$5&lt;=$D107,$A107&lt;&gt;""),"●","")</x:f>
      </x:c>
      <x:c r="N107" s="165" t="str">
        <x:f>IF(AND(N$5&gt;=$C107,N$5&lt;=$D107,$A107&lt;&gt;""),"●","")</x:f>
      </x:c>
      <x:c r="O107" s="165" t="str">
        <x:f>IF(AND(O$5&gt;=$C107,O$5&lt;=$D107,$A107&lt;&gt;""),"●","")</x:f>
      </x:c>
      <x:c r="P107" s="165" t="str">
        <x:f>IF(AND(P$5&gt;=$C107,P$5&lt;=$D107,$A107&lt;&gt;""),"●","")</x:f>
      </x:c>
      <x:c r="Q107" s="165" t="str">
        <x:f>IF(AND(Q$5&gt;=$C107,Q$5&lt;=$D107,$A107&lt;&gt;""),"●","")</x:f>
      </x:c>
      <x:c r="R107" s="165" t="str">
        <x:f>IF(AND(R$5&gt;=$C107,R$5&lt;=$D107,$A107&lt;&gt;""),"●","")</x:f>
      </x:c>
      <x:c r="S107" s="165" t="str">
        <x:f>IF(AND(S$5&gt;=$C107,S$5&lt;=$D107,$A107&lt;&gt;""),"●","")</x:f>
      </x:c>
      <x:c r="T107" s="165" t="str">
        <x:f>IF(AND(T$5&gt;=$C107,T$5&lt;=$D107,$A107&lt;&gt;""),"●","")</x:f>
      </x:c>
      <x:c r="U107" s="165" t="str">
        <x:f>IF(AND(U$5&gt;=$C107,U$5&lt;=$D107,$A107&lt;&gt;""),"●","")</x:f>
      </x:c>
      <x:c r="V107" s="165" t="str">
        <x:f>IF(AND(V$5&gt;=$C107,V$5&lt;=$D107,$A107&lt;&gt;""),"●","")</x:f>
      </x:c>
      <x:c r="W107" s="165" t="str">
        <x:f>IF(AND(W$5&gt;=$C107,W$5&lt;=$D107,$A107&lt;&gt;""),"●","")</x:f>
      </x:c>
      <x:c r="X107" s="165" t="str">
        <x:f>IF(AND(X$5&gt;=$C107,X$5&lt;=$D107,$A107&lt;&gt;""),"●","")</x:f>
      </x:c>
      <x:c r="Y107" s="165" t="str">
        <x:f>IF(AND(Y$5&gt;=$C107,Y$5&lt;=$D107,$A107&lt;&gt;""),"●","")</x:f>
      </x:c>
      <x:c r="Z107" s="165" t="str">
        <x:f>IF(AND(Z$5&gt;=$C107,Z$5&lt;=$D107,$A107&lt;&gt;""),"●","")</x:f>
      </x:c>
      <x:c r="AA107" s="165" t="str">
        <x:f>IF(AND(AA$5&gt;=$C107,AA$5&lt;=$D107,$A107&lt;&gt;""),"●","")</x:f>
      </x:c>
      <x:c r="AB107" s="165" t="str">
        <x:f>IF(AND(AB$5&gt;=$C107,AB$5&lt;=$D107,$A107&lt;&gt;""),"●","")</x:f>
      </x:c>
      <x:c r="AC107" s="165" t="str">
        <x:f>IF(AND(AC$5&gt;=$C107,AC$5&lt;=$D107,$A107&lt;&gt;""),"●","")</x:f>
      </x:c>
      <x:c r="AD107" s="165" t="str">
        <x:f>IF(AND(AD$5&gt;=$C107,AD$5&lt;=$D107,$A107&lt;&gt;""),"●","")</x:f>
      </x:c>
      <x:c r="AE107" s="165" t="str">
        <x:f>IF(AND(AE$5&gt;=$C107,AE$5&lt;=$D107,$A107&lt;&gt;""),"●","")</x:f>
      </x:c>
      <x:c r="AF107" s="165" t="str">
        <x:f>IF(AND(AF$5&gt;=$C107,AF$5&lt;=$D107,$A107&lt;&gt;""),"●","")</x:f>
      </x:c>
      <x:c r="AG107" s="165" t="str">
        <x:f>IF(AND(AG$5&gt;=$C107,AG$5&lt;=$D107,$A107&lt;&gt;""),"●","")</x:f>
      </x:c>
      <x:c r="AH107" s="165" t="str">
        <x:f>IF(AND(AH$5&gt;=$C107,AH$5&lt;=$D107,$A107&lt;&gt;""),"●","")</x:f>
      </x:c>
      <x:c r="AI107" s="165" t="str">
        <x:f>IF(AND(AI$5&gt;=$C107,AI$5&lt;=$D107,$A107&lt;&gt;""),"●","")</x:f>
      </x:c>
      <x:c r="AJ107" s="165" t="str">
        <x:f>IF(AND(AJ$5&gt;=$C107,AJ$5&lt;=$D107,$A107&lt;&gt;""),"●","")</x:f>
      </x:c>
      <x:c r="AK107" s="165" t="str">
        <x:f>IF(AND(AK$5&gt;=$C107,AK$5&lt;=$D107,$A107&lt;&gt;""),"●","")</x:f>
      </x:c>
      <x:c r="AL107" s="165" t="str">
        <x:f>IF(AND(AL$5&gt;=$C107,AL$5&lt;=$D107,$A107&lt;&gt;""),"●","")</x:f>
      </x:c>
      <x:c r="AM107" s="165" t="str">
        <x:f>IF(AND(AM$5&gt;=$C107,AM$5&lt;=$D107,$A107&lt;&gt;""),"●","")</x:f>
      </x:c>
      <x:c r="AN107" s="165" t="str">
        <x:f>IF(AND(AN$5&gt;=$C107,AN$5&lt;=$D107,$A107&lt;&gt;""),"●","")</x:f>
      </x:c>
      <x:c r="AO107" s="165" t="str">
        <x:f>IF(AND(AO$5&gt;=$C107,AO$5&lt;=$D107,$A107&lt;&gt;""),"●","")</x:f>
      </x:c>
      <x:c r="AP107" s="165" t="str">
        <x:f>IF(AND(AP$5&gt;=$C107,AP$5&lt;=$D107,$A107&lt;&gt;""),"●","")</x:f>
      </x:c>
      <x:c r="AQ107" s="165" t="str">
        <x:f>IF(AND(AQ$5&gt;=$C107,AQ$5&lt;=$D107,$A107&lt;&gt;""),"●","")</x:f>
      </x:c>
      <x:c r="AR107" s="165" t="str">
        <x:f>IF(AND(AR$5&gt;=$C107,AR$5&lt;=$D107,$A107&lt;&gt;""),"●","")</x:f>
      </x:c>
      <x:c r="AS107" s="165" t="str">
        <x:f>IF(AND(AS$5&gt;=$C107,AS$5&lt;=$D107,$A107&lt;&gt;""),"●","")</x:f>
      </x:c>
      <x:c r="AT107" s="165" t="str">
        <x:f>IF(AND(AT$5&gt;=$C107,AT$5&lt;=$D107,$A107&lt;&gt;""),"●","")</x:f>
      </x:c>
      <x:c r="AU107" s="165" t="str">
        <x:f>IF(AND(AU$5&gt;=$C107,AU$5&lt;=$D107,$A107&lt;&gt;""),"●","")</x:f>
      </x:c>
      <x:c r="AV107" s="165" t="str">
        <x:f>IF(AND(AV$5&gt;=$C107,AV$5&lt;=$D107,$A107&lt;&gt;""),"●","")</x:f>
      </x:c>
      <x:c r="AW107" s="165" t="str">
        <x:f>IF(AND(AW$5&gt;=$C107,AW$5&lt;=$D107,$A107&lt;&gt;""),"●","")</x:f>
      </x:c>
      <x:c r="AX107" s="165" t="str">
        <x:f>IF(AND(AX$5&gt;=$C107,AX$5&lt;=$D107,$A107&lt;&gt;""),"●","")</x:f>
      </x:c>
      <x:c r="AY107" s="165" t="str">
        <x:f>IF(AND(AY$5&gt;=$C107,AY$5&lt;=$D107,$A107&lt;&gt;""),"●","")</x:f>
      </x:c>
      <x:c r="AZ107" s="165" t="str">
        <x:f>IF(AND(AZ$5&gt;=$C107,AZ$5&lt;=$D107,$A107&lt;&gt;""),"●","")</x:f>
      </x:c>
      <x:c r="BA107" s="165" t="str">
        <x:f>IF(AND(BA$5&gt;=$C107,BA$5&lt;=$D107,$A107&lt;&gt;""),"●","")</x:f>
      </x:c>
      <x:c r="BB107" s="165" t="str">
        <x:f>IF(AND(BB$5&gt;=$C107,BB$5&lt;=$D107,$A107&lt;&gt;""),"●","")</x:f>
      </x:c>
      <x:c r="BC107" s="165" t="str">
        <x:f>IF(AND(BC$5&gt;=$C107,BC$5&lt;=$D107,$A107&lt;&gt;""),"●","")</x:f>
      </x:c>
      <x:c r="BD107" s="165" t="str">
        <x:f>IF(AND(BD$5&gt;=$C107,BD$5&lt;=$D107,$A107&lt;&gt;""),"●","")</x:f>
      </x:c>
      <x:c r="BE107" s="165" t="str">
        <x:f>IF(AND(BE$5&gt;=$C107,BE$5&lt;=$D107,$A107&lt;&gt;""),"●","")</x:f>
      </x:c>
      <x:c r="BF107" s="165" t="str">
        <x:f>IF(AND(BF$5&gt;=$C107,BF$5&lt;=$D107,$A107&lt;&gt;""),"●","")</x:f>
      </x:c>
      <x:c r="BG107" s="165" t="str">
        <x:f>IF(AND(BG$5&gt;=$C107,BG$5&lt;=$D107,$A107&lt;&gt;""),"●","")</x:f>
      </x:c>
      <x:c r="BH107" s="165" t="str">
        <x:f>IF(AND(BH$5&gt;=$C107,BH$5&lt;=$D107,$A107&lt;&gt;""),"●","")</x:f>
      </x:c>
      <x:c r="BI107" s="165" t="str">
        <x:f>IF(AND(BI$5&gt;=$C107,BI$5&lt;=$D107,$A107&lt;&gt;""),"●","")</x:f>
      </x:c>
      <x:c r="BJ107" s="165" t="str">
        <x:f>IF(AND(BJ$5&gt;=$C107,BJ$5&lt;=$D107,$A107&lt;&gt;""),"●","")</x:f>
      </x:c>
      <x:c r="BK107" s="165" t="str">
        <x:f>IF(AND(BK$5&gt;=$C107,BK$5&lt;=$D107,$A107&lt;&gt;""),"●","")</x:f>
      </x:c>
      <x:c r="BL107" s="165" t="str">
        <x:f>IF(AND(BL$5&gt;=$C107,BL$5&lt;=$D107,$A107&lt;&gt;""),"●","")</x:f>
      </x:c>
      <x:c r="BM107" s="165" t="str">
        <x:f>IF(AND(BM$5&gt;=$C107,BM$5&lt;=$D107,$A107&lt;&gt;""),"●","")</x:f>
      </x:c>
      <x:c r="BN107" s="165" t="str">
        <x:f>IF(AND(BN$5&gt;=$C107,BN$5&lt;=$D107,$A107&lt;&gt;""),"●","")</x:f>
      </x:c>
      <x:c r="BO107" s="165" t="str">
        <x:f>IF(AND(BO$5&gt;=$C107,BO$5&lt;=$D107,$A107&lt;&gt;""),"●","")</x:f>
      </x:c>
      <x:c r="BP107" s="165" t="str">
        <x:f>IF(AND(BP$5&gt;=$C107,BP$5&lt;=$D107,$A107&lt;&gt;""),"●","")</x:f>
      </x:c>
      <x:c r="BQ107" s="165" t="str">
        <x:f>IF(AND(BQ$5&gt;=$C107,BQ$5&lt;=$D107,$A107&lt;&gt;""),"●","")</x:f>
      </x:c>
      <x:c r="BR107" s="165" t="str">
        <x:f>IF(AND(BR$5&gt;=$C107,BR$5&lt;=$D107,$A107&lt;&gt;""),"●","")</x:f>
      </x:c>
      <x:c r="BS107" s="165" t="str">
        <x:f>IF(AND(BS$5&gt;=$C107,BS$5&lt;=$D107,$A107&lt;&gt;""),"●","")</x:f>
      </x:c>
      <x:c r="BT107" s="165" t="str">
        <x:f>IF(AND(BT$5&gt;=$C107,BT$5&lt;=$D107,$A107&lt;&gt;""),"●","")</x:f>
      </x:c>
      <x:c r="BU107" s="165" t="str">
        <x:f>IF(AND(BU$5&gt;=$C107,BU$5&lt;=$D107,$A107&lt;&gt;""),"●","")</x:f>
      </x:c>
      <x:c r="BV107" s="165" t="str">
        <x:f>IF(AND(BV$5&gt;=$C107,BV$5&lt;=$D107,$A107&lt;&gt;""),"●","")</x:f>
      </x:c>
      <x:c r="BW107" s="165" t="str">
        <x:f>IF(AND(BW$5&gt;=$C107,BW$5&lt;=$D107,$A107&lt;&gt;""),"●","")</x:f>
      </x:c>
    </x:row>
    <x:row r="108">
      <x:c r="A108" s="159" t="str">
        <x:f>IF('รายการสัญญา'!A108="","",'รายการสัญญา'!A108)</x:f>
      </x:c>
      <x:c r="B108" s="159" t="str">
        <x:f>IF('รายการสัญญา'!A108="","",'รายการสัญญา'!C108)</x:f>
      </x:c>
      <x:c r="C108" s="162" t="str">
        <x:f>IF('รายการสัญญา'!A108="","",'รายการสัญญา'!E108)</x:f>
      </x:c>
      <x:c r="D108" s="162" t="str">
        <x:f>IF('รายการสัญญา'!A108="","",'รายการสัญญา'!G108)</x:f>
      </x:c>
      <x:c r="E108" s="159" t="str">
        <x:f>IF('รายการสัญญา'!A108="","",'รายการสัญญา'!K108)</x:f>
      </x:c>
      <x:c r="F108" s="165" t="str">
        <x:f>IF(AND(F$5&gt;=$C108,F$5&lt;=$D108,$A108&lt;&gt;""),"●","")</x:f>
      </x:c>
      <x:c r="G108" s="165" t="str">
        <x:f>IF(AND(G$5&gt;=$C108,G$5&lt;=$D108,$A108&lt;&gt;""),"●","")</x:f>
      </x:c>
      <x:c r="H108" s="165" t="str">
        <x:f>IF(AND(H$5&gt;=$C108,H$5&lt;=$D108,$A108&lt;&gt;""),"●","")</x:f>
      </x:c>
      <x:c r="I108" s="165" t="str">
        <x:f>IF(AND(I$5&gt;=$C108,I$5&lt;=$D108,$A108&lt;&gt;""),"●","")</x:f>
      </x:c>
      <x:c r="J108" s="165" t="str">
        <x:f>IF(AND(J$5&gt;=$C108,J$5&lt;=$D108,$A108&lt;&gt;""),"●","")</x:f>
      </x:c>
      <x:c r="K108" s="165" t="str">
        <x:f>IF(AND(K$5&gt;=$C108,K$5&lt;=$D108,$A108&lt;&gt;""),"●","")</x:f>
      </x:c>
      <x:c r="L108" s="165" t="str">
        <x:f>IF(AND(L$5&gt;=$C108,L$5&lt;=$D108,$A108&lt;&gt;""),"●","")</x:f>
      </x:c>
      <x:c r="M108" s="165" t="str">
        <x:f>IF(AND(M$5&gt;=$C108,M$5&lt;=$D108,$A108&lt;&gt;""),"●","")</x:f>
      </x:c>
      <x:c r="N108" s="165" t="str">
        <x:f>IF(AND(N$5&gt;=$C108,N$5&lt;=$D108,$A108&lt;&gt;""),"●","")</x:f>
      </x:c>
      <x:c r="O108" s="165" t="str">
        <x:f>IF(AND(O$5&gt;=$C108,O$5&lt;=$D108,$A108&lt;&gt;""),"●","")</x:f>
      </x:c>
      <x:c r="P108" s="165" t="str">
        <x:f>IF(AND(P$5&gt;=$C108,P$5&lt;=$D108,$A108&lt;&gt;""),"●","")</x:f>
      </x:c>
      <x:c r="Q108" s="165" t="str">
        <x:f>IF(AND(Q$5&gt;=$C108,Q$5&lt;=$D108,$A108&lt;&gt;""),"●","")</x:f>
      </x:c>
      <x:c r="R108" s="165" t="str">
        <x:f>IF(AND(R$5&gt;=$C108,R$5&lt;=$D108,$A108&lt;&gt;""),"●","")</x:f>
      </x:c>
      <x:c r="S108" s="165" t="str">
        <x:f>IF(AND(S$5&gt;=$C108,S$5&lt;=$D108,$A108&lt;&gt;""),"●","")</x:f>
      </x:c>
      <x:c r="T108" s="165" t="str">
        <x:f>IF(AND(T$5&gt;=$C108,T$5&lt;=$D108,$A108&lt;&gt;""),"●","")</x:f>
      </x:c>
      <x:c r="U108" s="165" t="str">
        <x:f>IF(AND(U$5&gt;=$C108,U$5&lt;=$D108,$A108&lt;&gt;""),"●","")</x:f>
      </x:c>
      <x:c r="V108" s="165" t="str">
        <x:f>IF(AND(V$5&gt;=$C108,V$5&lt;=$D108,$A108&lt;&gt;""),"●","")</x:f>
      </x:c>
      <x:c r="W108" s="165" t="str">
        <x:f>IF(AND(W$5&gt;=$C108,W$5&lt;=$D108,$A108&lt;&gt;""),"●","")</x:f>
      </x:c>
      <x:c r="X108" s="165" t="str">
        <x:f>IF(AND(X$5&gt;=$C108,X$5&lt;=$D108,$A108&lt;&gt;""),"●","")</x:f>
      </x:c>
      <x:c r="Y108" s="165" t="str">
        <x:f>IF(AND(Y$5&gt;=$C108,Y$5&lt;=$D108,$A108&lt;&gt;""),"●","")</x:f>
      </x:c>
      <x:c r="Z108" s="165" t="str">
        <x:f>IF(AND(Z$5&gt;=$C108,Z$5&lt;=$D108,$A108&lt;&gt;""),"●","")</x:f>
      </x:c>
      <x:c r="AA108" s="165" t="str">
        <x:f>IF(AND(AA$5&gt;=$C108,AA$5&lt;=$D108,$A108&lt;&gt;""),"●","")</x:f>
      </x:c>
      <x:c r="AB108" s="165" t="str">
        <x:f>IF(AND(AB$5&gt;=$C108,AB$5&lt;=$D108,$A108&lt;&gt;""),"●","")</x:f>
      </x:c>
      <x:c r="AC108" s="165" t="str">
        <x:f>IF(AND(AC$5&gt;=$C108,AC$5&lt;=$D108,$A108&lt;&gt;""),"●","")</x:f>
      </x:c>
      <x:c r="AD108" s="165" t="str">
        <x:f>IF(AND(AD$5&gt;=$C108,AD$5&lt;=$D108,$A108&lt;&gt;""),"●","")</x:f>
      </x:c>
      <x:c r="AE108" s="165" t="str">
        <x:f>IF(AND(AE$5&gt;=$C108,AE$5&lt;=$D108,$A108&lt;&gt;""),"●","")</x:f>
      </x:c>
      <x:c r="AF108" s="165" t="str">
        <x:f>IF(AND(AF$5&gt;=$C108,AF$5&lt;=$D108,$A108&lt;&gt;""),"●","")</x:f>
      </x:c>
      <x:c r="AG108" s="165" t="str">
        <x:f>IF(AND(AG$5&gt;=$C108,AG$5&lt;=$D108,$A108&lt;&gt;""),"●","")</x:f>
      </x:c>
      <x:c r="AH108" s="165" t="str">
        <x:f>IF(AND(AH$5&gt;=$C108,AH$5&lt;=$D108,$A108&lt;&gt;""),"●","")</x:f>
      </x:c>
      <x:c r="AI108" s="165" t="str">
        <x:f>IF(AND(AI$5&gt;=$C108,AI$5&lt;=$D108,$A108&lt;&gt;""),"●","")</x:f>
      </x:c>
      <x:c r="AJ108" s="165" t="str">
        <x:f>IF(AND(AJ$5&gt;=$C108,AJ$5&lt;=$D108,$A108&lt;&gt;""),"●","")</x:f>
      </x:c>
      <x:c r="AK108" s="165" t="str">
        <x:f>IF(AND(AK$5&gt;=$C108,AK$5&lt;=$D108,$A108&lt;&gt;""),"●","")</x:f>
      </x:c>
      <x:c r="AL108" s="165" t="str">
        <x:f>IF(AND(AL$5&gt;=$C108,AL$5&lt;=$D108,$A108&lt;&gt;""),"●","")</x:f>
      </x:c>
      <x:c r="AM108" s="165" t="str">
        <x:f>IF(AND(AM$5&gt;=$C108,AM$5&lt;=$D108,$A108&lt;&gt;""),"●","")</x:f>
      </x:c>
      <x:c r="AN108" s="165" t="str">
        <x:f>IF(AND(AN$5&gt;=$C108,AN$5&lt;=$D108,$A108&lt;&gt;""),"●","")</x:f>
      </x:c>
      <x:c r="AO108" s="165" t="str">
        <x:f>IF(AND(AO$5&gt;=$C108,AO$5&lt;=$D108,$A108&lt;&gt;""),"●","")</x:f>
      </x:c>
      <x:c r="AP108" s="165" t="str">
        <x:f>IF(AND(AP$5&gt;=$C108,AP$5&lt;=$D108,$A108&lt;&gt;""),"●","")</x:f>
      </x:c>
      <x:c r="AQ108" s="165" t="str">
        <x:f>IF(AND(AQ$5&gt;=$C108,AQ$5&lt;=$D108,$A108&lt;&gt;""),"●","")</x:f>
      </x:c>
      <x:c r="AR108" s="165" t="str">
        <x:f>IF(AND(AR$5&gt;=$C108,AR$5&lt;=$D108,$A108&lt;&gt;""),"●","")</x:f>
      </x:c>
      <x:c r="AS108" s="165" t="str">
        <x:f>IF(AND(AS$5&gt;=$C108,AS$5&lt;=$D108,$A108&lt;&gt;""),"●","")</x:f>
      </x:c>
      <x:c r="AT108" s="165" t="str">
        <x:f>IF(AND(AT$5&gt;=$C108,AT$5&lt;=$D108,$A108&lt;&gt;""),"●","")</x:f>
      </x:c>
      <x:c r="AU108" s="165" t="str">
        <x:f>IF(AND(AU$5&gt;=$C108,AU$5&lt;=$D108,$A108&lt;&gt;""),"●","")</x:f>
      </x:c>
      <x:c r="AV108" s="165" t="str">
        <x:f>IF(AND(AV$5&gt;=$C108,AV$5&lt;=$D108,$A108&lt;&gt;""),"●","")</x:f>
      </x:c>
      <x:c r="AW108" s="165" t="str">
        <x:f>IF(AND(AW$5&gt;=$C108,AW$5&lt;=$D108,$A108&lt;&gt;""),"●","")</x:f>
      </x:c>
      <x:c r="AX108" s="165" t="str">
        <x:f>IF(AND(AX$5&gt;=$C108,AX$5&lt;=$D108,$A108&lt;&gt;""),"●","")</x:f>
      </x:c>
      <x:c r="AY108" s="165" t="str">
        <x:f>IF(AND(AY$5&gt;=$C108,AY$5&lt;=$D108,$A108&lt;&gt;""),"●","")</x:f>
      </x:c>
      <x:c r="AZ108" s="165" t="str">
        <x:f>IF(AND(AZ$5&gt;=$C108,AZ$5&lt;=$D108,$A108&lt;&gt;""),"●","")</x:f>
      </x:c>
      <x:c r="BA108" s="165" t="str">
        <x:f>IF(AND(BA$5&gt;=$C108,BA$5&lt;=$D108,$A108&lt;&gt;""),"●","")</x:f>
      </x:c>
      <x:c r="BB108" s="165" t="str">
        <x:f>IF(AND(BB$5&gt;=$C108,BB$5&lt;=$D108,$A108&lt;&gt;""),"●","")</x:f>
      </x:c>
      <x:c r="BC108" s="165" t="str">
        <x:f>IF(AND(BC$5&gt;=$C108,BC$5&lt;=$D108,$A108&lt;&gt;""),"●","")</x:f>
      </x:c>
      <x:c r="BD108" s="165" t="str">
        <x:f>IF(AND(BD$5&gt;=$C108,BD$5&lt;=$D108,$A108&lt;&gt;""),"●","")</x:f>
      </x:c>
      <x:c r="BE108" s="165" t="str">
        <x:f>IF(AND(BE$5&gt;=$C108,BE$5&lt;=$D108,$A108&lt;&gt;""),"●","")</x:f>
      </x:c>
      <x:c r="BF108" s="165" t="str">
        <x:f>IF(AND(BF$5&gt;=$C108,BF$5&lt;=$D108,$A108&lt;&gt;""),"●","")</x:f>
      </x:c>
      <x:c r="BG108" s="165" t="str">
        <x:f>IF(AND(BG$5&gt;=$C108,BG$5&lt;=$D108,$A108&lt;&gt;""),"●","")</x:f>
      </x:c>
      <x:c r="BH108" s="165" t="str">
        <x:f>IF(AND(BH$5&gt;=$C108,BH$5&lt;=$D108,$A108&lt;&gt;""),"●","")</x:f>
      </x:c>
      <x:c r="BI108" s="165" t="str">
        <x:f>IF(AND(BI$5&gt;=$C108,BI$5&lt;=$D108,$A108&lt;&gt;""),"●","")</x:f>
      </x:c>
      <x:c r="BJ108" s="165" t="str">
        <x:f>IF(AND(BJ$5&gt;=$C108,BJ$5&lt;=$D108,$A108&lt;&gt;""),"●","")</x:f>
      </x:c>
      <x:c r="BK108" s="165" t="str">
        <x:f>IF(AND(BK$5&gt;=$C108,BK$5&lt;=$D108,$A108&lt;&gt;""),"●","")</x:f>
      </x:c>
      <x:c r="BL108" s="165" t="str">
        <x:f>IF(AND(BL$5&gt;=$C108,BL$5&lt;=$D108,$A108&lt;&gt;""),"●","")</x:f>
      </x:c>
      <x:c r="BM108" s="165" t="str">
        <x:f>IF(AND(BM$5&gt;=$C108,BM$5&lt;=$D108,$A108&lt;&gt;""),"●","")</x:f>
      </x:c>
      <x:c r="BN108" s="165" t="str">
        <x:f>IF(AND(BN$5&gt;=$C108,BN$5&lt;=$D108,$A108&lt;&gt;""),"●","")</x:f>
      </x:c>
      <x:c r="BO108" s="165" t="str">
        <x:f>IF(AND(BO$5&gt;=$C108,BO$5&lt;=$D108,$A108&lt;&gt;""),"●","")</x:f>
      </x:c>
      <x:c r="BP108" s="165" t="str">
        <x:f>IF(AND(BP$5&gt;=$C108,BP$5&lt;=$D108,$A108&lt;&gt;""),"●","")</x:f>
      </x:c>
      <x:c r="BQ108" s="165" t="str">
        <x:f>IF(AND(BQ$5&gt;=$C108,BQ$5&lt;=$D108,$A108&lt;&gt;""),"●","")</x:f>
      </x:c>
      <x:c r="BR108" s="165" t="str">
        <x:f>IF(AND(BR$5&gt;=$C108,BR$5&lt;=$D108,$A108&lt;&gt;""),"●","")</x:f>
      </x:c>
      <x:c r="BS108" s="165" t="str">
        <x:f>IF(AND(BS$5&gt;=$C108,BS$5&lt;=$D108,$A108&lt;&gt;""),"●","")</x:f>
      </x:c>
      <x:c r="BT108" s="165" t="str">
        <x:f>IF(AND(BT$5&gt;=$C108,BT$5&lt;=$D108,$A108&lt;&gt;""),"●","")</x:f>
      </x:c>
      <x:c r="BU108" s="165" t="str">
        <x:f>IF(AND(BU$5&gt;=$C108,BU$5&lt;=$D108,$A108&lt;&gt;""),"●","")</x:f>
      </x:c>
      <x:c r="BV108" s="165" t="str">
        <x:f>IF(AND(BV$5&gt;=$C108,BV$5&lt;=$D108,$A108&lt;&gt;""),"●","")</x:f>
      </x:c>
      <x:c r="BW108" s="165" t="str">
        <x:f>IF(AND(BW$5&gt;=$C108,BW$5&lt;=$D108,$A108&lt;&gt;""),"●","")</x:f>
      </x:c>
    </x:row>
    <x:row r="109">
      <x:c r="A109" s="159" t="str">
        <x:f>IF('รายการสัญญา'!A109="","",'รายการสัญญา'!A109)</x:f>
      </x:c>
      <x:c r="B109" s="159" t="str">
        <x:f>IF('รายการสัญญา'!A109="","",'รายการสัญญา'!C109)</x:f>
      </x:c>
      <x:c r="C109" s="162" t="str">
        <x:f>IF('รายการสัญญา'!A109="","",'รายการสัญญา'!E109)</x:f>
      </x:c>
      <x:c r="D109" s="162" t="str">
        <x:f>IF('รายการสัญญา'!A109="","",'รายการสัญญา'!G109)</x:f>
      </x:c>
      <x:c r="E109" s="159" t="str">
        <x:f>IF('รายการสัญญา'!A109="","",'รายการสัญญา'!K109)</x:f>
      </x:c>
      <x:c r="F109" s="165" t="str">
        <x:f>IF(AND(F$5&gt;=$C109,F$5&lt;=$D109,$A109&lt;&gt;""),"●","")</x:f>
      </x:c>
      <x:c r="G109" s="165" t="str">
        <x:f>IF(AND(G$5&gt;=$C109,G$5&lt;=$D109,$A109&lt;&gt;""),"●","")</x:f>
      </x:c>
      <x:c r="H109" s="165" t="str">
        <x:f>IF(AND(H$5&gt;=$C109,H$5&lt;=$D109,$A109&lt;&gt;""),"●","")</x:f>
      </x:c>
      <x:c r="I109" s="165" t="str">
        <x:f>IF(AND(I$5&gt;=$C109,I$5&lt;=$D109,$A109&lt;&gt;""),"●","")</x:f>
      </x:c>
      <x:c r="J109" s="165" t="str">
        <x:f>IF(AND(J$5&gt;=$C109,J$5&lt;=$D109,$A109&lt;&gt;""),"●","")</x:f>
      </x:c>
      <x:c r="K109" s="165" t="str">
        <x:f>IF(AND(K$5&gt;=$C109,K$5&lt;=$D109,$A109&lt;&gt;""),"●","")</x:f>
      </x:c>
      <x:c r="L109" s="165" t="str">
        <x:f>IF(AND(L$5&gt;=$C109,L$5&lt;=$D109,$A109&lt;&gt;""),"●","")</x:f>
      </x:c>
      <x:c r="M109" s="165" t="str">
        <x:f>IF(AND(M$5&gt;=$C109,M$5&lt;=$D109,$A109&lt;&gt;""),"●","")</x:f>
      </x:c>
      <x:c r="N109" s="165" t="str">
        <x:f>IF(AND(N$5&gt;=$C109,N$5&lt;=$D109,$A109&lt;&gt;""),"●","")</x:f>
      </x:c>
      <x:c r="O109" s="165" t="str">
        <x:f>IF(AND(O$5&gt;=$C109,O$5&lt;=$D109,$A109&lt;&gt;""),"●","")</x:f>
      </x:c>
      <x:c r="P109" s="165" t="str">
        <x:f>IF(AND(P$5&gt;=$C109,P$5&lt;=$D109,$A109&lt;&gt;""),"●","")</x:f>
      </x:c>
      <x:c r="Q109" s="165" t="str">
        <x:f>IF(AND(Q$5&gt;=$C109,Q$5&lt;=$D109,$A109&lt;&gt;""),"●","")</x:f>
      </x:c>
      <x:c r="R109" s="165" t="str">
        <x:f>IF(AND(R$5&gt;=$C109,R$5&lt;=$D109,$A109&lt;&gt;""),"●","")</x:f>
      </x:c>
      <x:c r="S109" s="165" t="str">
        <x:f>IF(AND(S$5&gt;=$C109,S$5&lt;=$D109,$A109&lt;&gt;""),"●","")</x:f>
      </x:c>
      <x:c r="T109" s="165" t="str">
        <x:f>IF(AND(T$5&gt;=$C109,T$5&lt;=$D109,$A109&lt;&gt;""),"●","")</x:f>
      </x:c>
      <x:c r="U109" s="165" t="str">
        <x:f>IF(AND(U$5&gt;=$C109,U$5&lt;=$D109,$A109&lt;&gt;""),"●","")</x:f>
      </x:c>
      <x:c r="V109" s="165" t="str">
        <x:f>IF(AND(V$5&gt;=$C109,V$5&lt;=$D109,$A109&lt;&gt;""),"●","")</x:f>
      </x:c>
      <x:c r="W109" s="165" t="str">
        <x:f>IF(AND(W$5&gt;=$C109,W$5&lt;=$D109,$A109&lt;&gt;""),"●","")</x:f>
      </x:c>
      <x:c r="X109" s="165" t="str">
        <x:f>IF(AND(X$5&gt;=$C109,X$5&lt;=$D109,$A109&lt;&gt;""),"●","")</x:f>
      </x:c>
      <x:c r="Y109" s="165" t="str">
        <x:f>IF(AND(Y$5&gt;=$C109,Y$5&lt;=$D109,$A109&lt;&gt;""),"●","")</x:f>
      </x:c>
      <x:c r="Z109" s="165" t="str">
        <x:f>IF(AND(Z$5&gt;=$C109,Z$5&lt;=$D109,$A109&lt;&gt;""),"●","")</x:f>
      </x:c>
      <x:c r="AA109" s="165" t="str">
        <x:f>IF(AND(AA$5&gt;=$C109,AA$5&lt;=$D109,$A109&lt;&gt;""),"●","")</x:f>
      </x:c>
      <x:c r="AB109" s="165" t="str">
        <x:f>IF(AND(AB$5&gt;=$C109,AB$5&lt;=$D109,$A109&lt;&gt;""),"●","")</x:f>
      </x:c>
      <x:c r="AC109" s="165" t="str">
        <x:f>IF(AND(AC$5&gt;=$C109,AC$5&lt;=$D109,$A109&lt;&gt;""),"●","")</x:f>
      </x:c>
      <x:c r="AD109" s="165" t="str">
        <x:f>IF(AND(AD$5&gt;=$C109,AD$5&lt;=$D109,$A109&lt;&gt;""),"●","")</x:f>
      </x:c>
      <x:c r="AE109" s="165" t="str">
        <x:f>IF(AND(AE$5&gt;=$C109,AE$5&lt;=$D109,$A109&lt;&gt;""),"●","")</x:f>
      </x:c>
      <x:c r="AF109" s="165" t="str">
        <x:f>IF(AND(AF$5&gt;=$C109,AF$5&lt;=$D109,$A109&lt;&gt;""),"●","")</x:f>
      </x:c>
      <x:c r="AG109" s="165" t="str">
        <x:f>IF(AND(AG$5&gt;=$C109,AG$5&lt;=$D109,$A109&lt;&gt;""),"●","")</x:f>
      </x:c>
      <x:c r="AH109" s="165" t="str">
        <x:f>IF(AND(AH$5&gt;=$C109,AH$5&lt;=$D109,$A109&lt;&gt;""),"●","")</x:f>
      </x:c>
      <x:c r="AI109" s="165" t="str">
        <x:f>IF(AND(AI$5&gt;=$C109,AI$5&lt;=$D109,$A109&lt;&gt;""),"●","")</x:f>
      </x:c>
      <x:c r="AJ109" s="165" t="str">
        <x:f>IF(AND(AJ$5&gt;=$C109,AJ$5&lt;=$D109,$A109&lt;&gt;""),"●","")</x:f>
      </x:c>
      <x:c r="AK109" s="165" t="str">
        <x:f>IF(AND(AK$5&gt;=$C109,AK$5&lt;=$D109,$A109&lt;&gt;""),"●","")</x:f>
      </x:c>
      <x:c r="AL109" s="165" t="str">
        <x:f>IF(AND(AL$5&gt;=$C109,AL$5&lt;=$D109,$A109&lt;&gt;""),"●","")</x:f>
      </x:c>
      <x:c r="AM109" s="165" t="str">
        <x:f>IF(AND(AM$5&gt;=$C109,AM$5&lt;=$D109,$A109&lt;&gt;""),"●","")</x:f>
      </x:c>
      <x:c r="AN109" s="165" t="str">
        <x:f>IF(AND(AN$5&gt;=$C109,AN$5&lt;=$D109,$A109&lt;&gt;""),"●","")</x:f>
      </x:c>
      <x:c r="AO109" s="165" t="str">
        <x:f>IF(AND(AO$5&gt;=$C109,AO$5&lt;=$D109,$A109&lt;&gt;""),"●","")</x:f>
      </x:c>
      <x:c r="AP109" s="165" t="str">
        <x:f>IF(AND(AP$5&gt;=$C109,AP$5&lt;=$D109,$A109&lt;&gt;""),"●","")</x:f>
      </x:c>
      <x:c r="AQ109" s="165" t="str">
        <x:f>IF(AND(AQ$5&gt;=$C109,AQ$5&lt;=$D109,$A109&lt;&gt;""),"●","")</x:f>
      </x:c>
      <x:c r="AR109" s="165" t="str">
        <x:f>IF(AND(AR$5&gt;=$C109,AR$5&lt;=$D109,$A109&lt;&gt;""),"●","")</x:f>
      </x:c>
      <x:c r="AS109" s="165" t="str">
        <x:f>IF(AND(AS$5&gt;=$C109,AS$5&lt;=$D109,$A109&lt;&gt;""),"●","")</x:f>
      </x:c>
      <x:c r="AT109" s="165" t="str">
        <x:f>IF(AND(AT$5&gt;=$C109,AT$5&lt;=$D109,$A109&lt;&gt;""),"●","")</x:f>
      </x:c>
      <x:c r="AU109" s="165" t="str">
        <x:f>IF(AND(AU$5&gt;=$C109,AU$5&lt;=$D109,$A109&lt;&gt;""),"●","")</x:f>
      </x:c>
      <x:c r="AV109" s="165" t="str">
        <x:f>IF(AND(AV$5&gt;=$C109,AV$5&lt;=$D109,$A109&lt;&gt;""),"●","")</x:f>
      </x:c>
      <x:c r="AW109" s="165" t="str">
        <x:f>IF(AND(AW$5&gt;=$C109,AW$5&lt;=$D109,$A109&lt;&gt;""),"●","")</x:f>
      </x:c>
      <x:c r="AX109" s="165" t="str">
        <x:f>IF(AND(AX$5&gt;=$C109,AX$5&lt;=$D109,$A109&lt;&gt;""),"●","")</x:f>
      </x:c>
      <x:c r="AY109" s="165" t="str">
        <x:f>IF(AND(AY$5&gt;=$C109,AY$5&lt;=$D109,$A109&lt;&gt;""),"●","")</x:f>
      </x:c>
      <x:c r="AZ109" s="165" t="str">
        <x:f>IF(AND(AZ$5&gt;=$C109,AZ$5&lt;=$D109,$A109&lt;&gt;""),"●","")</x:f>
      </x:c>
      <x:c r="BA109" s="165" t="str">
        <x:f>IF(AND(BA$5&gt;=$C109,BA$5&lt;=$D109,$A109&lt;&gt;""),"●","")</x:f>
      </x:c>
      <x:c r="BB109" s="165" t="str">
        <x:f>IF(AND(BB$5&gt;=$C109,BB$5&lt;=$D109,$A109&lt;&gt;""),"●","")</x:f>
      </x:c>
      <x:c r="BC109" s="165" t="str">
        <x:f>IF(AND(BC$5&gt;=$C109,BC$5&lt;=$D109,$A109&lt;&gt;""),"●","")</x:f>
      </x:c>
      <x:c r="BD109" s="165" t="str">
        <x:f>IF(AND(BD$5&gt;=$C109,BD$5&lt;=$D109,$A109&lt;&gt;""),"●","")</x:f>
      </x:c>
      <x:c r="BE109" s="165" t="str">
        <x:f>IF(AND(BE$5&gt;=$C109,BE$5&lt;=$D109,$A109&lt;&gt;""),"●","")</x:f>
      </x:c>
      <x:c r="BF109" s="165" t="str">
        <x:f>IF(AND(BF$5&gt;=$C109,BF$5&lt;=$D109,$A109&lt;&gt;""),"●","")</x:f>
      </x:c>
      <x:c r="BG109" s="165" t="str">
        <x:f>IF(AND(BG$5&gt;=$C109,BG$5&lt;=$D109,$A109&lt;&gt;""),"●","")</x:f>
      </x:c>
      <x:c r="BH109" s="165" t="str">
        <x:f>IF(AND(BH$5&gt;=$C109,BH$5&lt;=$D109,$A109&lt;&gt;""),"●","")</x:f>
      </x:c>
      <x:c r="BI109" s="165" t="str">
        <x:f>IF(AND(BI$5&gt;=$C109,BI$5&lt;=$D109,$A109&lt;&gt;""),"●","")</x:f>
      </x:c>
      <x:c r="BJ109" s="165" t="str">
        <x:f>IF(AND(BJ$5&gt;=$C109,BJ$5&lt;=$D109,$A109&lt;&gt;""),"●","")</x:f>
      </x:c>
      <x:c r="BK109" s="165" t="str">
        <x:f>IF(AND(BK$5&gt;=$C109,BK$5&lt;=$D109,$A109&lt;&gt;""),"●","")</x:f>
      </x:c>
      <x:c r="BL109" s="165" t="str">
        <x:f>IF(AND(BL$5&gt;=$C109,BL$5&lt;=$D109,$A109&lt;&gt;""),"●","")</x:f>
      </x:c>
      <x:c r="BM109" s="165" t="str">
        <x:f>IF(AND(BM$5&gt;=$C109,BM$5&lt;=$D109,$A109&lt;&gt;""),"●","")</x:f>
      </x:c>
      <x:c r="BN109" s="165" t="str">
        <x:f>IF(AND(BN$5&gt;=$C109,BN$5&lt;=$D109,$A109&lt;&gt;""),"●","")</x:f>
      </x:c>
      <x:c r="BO109" s="165" t="str">
        <x:f>IF(AND(BO$5&gt;=$C109,BO$5&lt;=$D109,$A109&lt;&gt;""),"●","")</x:f>
      </x:c>
      <x:c r="BP109" s="165" t="str">
        <x:f>IF(AND(BP$5&gt;=$C109,BP$5&lt;=$D109,$A109&lt;&gt;""),"●","")</x:f>
      </x:c>
      <x:c r="BQ109" s="165" t="str">
        <x:f>IF(AND(BQ$5&gt;=$C109,BQ$5&lt;=$D109,$A109&lt;&gt;""),"●","")</x:f>
      </x:c>
      <x:c r="BR109" s="165" t="str">
        <x:f>IF(AND(BR$5&gt;=$C109,BR$5&lt;=$D109,$A109&lt;&gt;""),"●","")</x:f>
      </x:c>
      <x:c r="BS109" s="165" t="str">
        <x:f>IF(AND(BS$5&gt;=$C109,BS$5&lt;=$D109,$A109&lt;&gt;""),"●","")</x:f>
      </x:c>
      <x:c r="BT109" s="165" t="str">
        <x:f>IF(AND(BT$5&gt;=$C109,BT$5&lt;=$D109,$A109&lt;&gt;""),"●","")</x:f>
      </x:c>
      <x:c r="BU109" s="165" t="str">
        <x:f>IF(AND(BU$5&gt;=$C109,BU$5&lt;=$D109,$A109&lt;&gt;""),"●","")</x:f>
      </x:c>
      <x:c r="BV109" s="165" t="str">
        <x:f>IF(AND(BV$5&gt;=$C109,BV$5&lt;=$D109,$A109&lt;&gt;""),"●","")</x:f>
      </x:c>
      <x:c r="BW109" s="165" t="str">
        <x:f>IF(AND(BW$5&gt;=$C109,BW$5&lt;=$D109,$A109&lt;&gt;""),"●","")</x:f>
      </x:c>
    </x:row>
    <x:row r="110">
      <x:c r="A110" s="159" t="str">
        <x:f>IF('รายการสัญญา'!A110="","",'รายการสัญญา'!A110)</x:f>
      </x:c>
      <x:c r="B110" s="159" t="str">
        <x:f>IF('รายการสัญญา'!A110="","",'รายการสัญญา'!C110)</x:f>
      </x:c>
      <x:c r="C110" s="162" t="str">
        <x:f>IF('รายการสัญญา'!A110="","",'รายการสัญญา'!E110)</x:f>
      </x:c>
      <x:c r="D110" s="162" t="str">
        <x:f>IF('รายการสัญญา'!A110="","",'รายการสัญญา'!G110)</x:f>
      </x:c>
      <x:c r="E110" s="159" t="str">
        <x:f>IF('รายการสัญญา'!A110="","",'รายการสัญญา'!K110)</x:f>
      </x:c>
      <x:c r="F110" s="165" t="str">
        <x:f>IF(AND(F$5&gt;=$C110,F$5&lt;=$D110,$A110&lt;&gt;""),"●","")</x:f>
      </x:c>
      <x:c r="G110" s="165" t="str">
        <x:f>IF(AND(G$5&gt;=$C110,G$5&lt;=$D110,$A110&lt;&gt;""),"●","")</x:f>
      </x:c>
      <x:c r="H110" s="165" t="str">
        <x:f>IF(AND(H$5&gt;=$C110,H$5&lt;=$D110,$A110&lt;&gt;""),"●","")</x:f>
      </x:c>
      <x:c r="I110" s="165" t="str">
        <x:f>IF(AND(I$5&gt;=$C110,I$5&lt;=$D110,$A110&lt;&gt;""),"●","")</x:f>
      </x:c>
      <x:c r="J110" s="165" t="str">
        <x:f>IF(AND(J$5&gt;=$C110,J$5&lt;=$D110,$A110&lt;&gt;""),"●","")</x:f>
      </x:c>
      <x:c r="K110" s="165" t="str">
        <x:f>IF(AND(K$5&gt;=$C110,K$5&lt;=$D110,$A110&lt;&gt;""),"●","")</x:f>
      </x:c>
      <x:c r="L110" s="165" t="str">
        <x:f>IF(AND(L$5&gt;=$C110,L$5&lt;=$D110,$A110&lt;&gt;""),"●","")</x:f>
      </x:c>
      <x:c r="M110" s="165" t="str">
        <x:f>IF(AND(M$5&gt;=$C110,M$5&lt;=$D110,$A110&lt;&gt;""),"●","")</x:f>
      </x:c>
      <x:c r="N110" s="165" t="str">
        <x:f>IF(AND(N$5&gt;=$C110,N$5&lt;=$D110,$A110&lt;&gt;""),"●","")</x:f>
      </x:c>
      <x:c r="O110" s="165" t="str">
        <x:f>IF(AND(O$5&gt;=$C110,O$5&lt;=$D110,$A110&lt;&gt;""),"●","")</x:f>
      </x:c>
      <x:c r="P110" s="165" t="str">
        <x:f>IF(AND(P$5&gt;=$C110,P$5&lt;=$D110,$A110&lt;&gt;""),"●","")</x:f>
      </x:c>
      <x:c r="Q110" s="165" t="str">
        <x:f>IF(AND(Q$5&gt;=$C110,Q$5&lt;=$D110,$A110&lt;&gt;""),"●","")</x:f>
      </x:c>
      <x:c r="R110" s="165" t="str">
        <x:f>IF(AND(R$5&gt;=$C110,R$5&lt;=$D110,$A110&lt;&gt;""),"●","")</x:f>
      </x:c>
      <x:c r="S110" s="165" t="str">
        <x:f>IF(AND(S$5&gt;=$C110,S$5&lt;=$D110,$A110&lt;&gt;""),"●","")</x:f>
      </x:c>
      <x:c r="T110" s="165" t="str">
        <x:f>IF(AND(T$5&gt;=$C110,T$5&lt;=$D110,$A110&lt;&gt;""),"●","")</x:f>
      </x:c>
      <x:c r="U110" s="165" t="str">
        <x:f>IF(AND(U$5&gt;=$C110,U$5&lt;=$D110,$A110&lt;&gt;""),"●","")</x:f>
      </x:c>
      <x:c r="V110" s="165" t="str">
        <x:f>IF(AND(V$5&gt;=$C110,V$5&lt;=$D110,$A110&lt;&gt;""),"●","")</x:f>
      </x:c>
      <x:c r="W110" s="165" t="str">
        <x:f>IF(AND(W$5&gt;=$C110,W$5&lt;=$D110,$A110&lt;&gt;""),"●","")</x:f>
      </x:c>
      <x:c r="X110" s="165" t="str">
        <x:f>IF(AND(X$5&gt;=$C110,X$5&lt;=$D110,$A110&lt;&gt;""),"●","")</x:f>
      </x:c>
      <x:c r="Y110" s="165" t="str">
        <x:f>IF(AND(Y$5&gt;=$C110,Y$5&lt;=$D110,$A110&lt;&gt;""),"●","")</x:f>
      </x:c>
      <x:c r="Z110" s="165" t="str">
        <x:f>IF(AND(Z$5&gt;=$C110,Z$5&lt;=$D110,$A110&lt;&gt;""),"●","")</x:f>
      </x:c>
      <x:c r="AA110" s="165" t="str">
        <x:f>IF(AND(AA$5&gt;=$C110,AA$5&lt;=$D110,$A110&lt;&gt;""),"●","")</x:f>
      </x:c>
      <x:c r="AB110" s="165" t="str">
        <x:f>IF(AND(AB$5&gt;=$C110,AB$5&lt;=$D110,$A110&lt;&gt;""),"●","")</x:f>
      </x:c>
      <x:c r="AC110" s="165" t="str">
        <x:f>IF(AND(AC$5&gt;=$C110,AC$5&lt;=$D110,$A110&lt;&gt;""),"●","")</x:f>
      </x:c>
      <x:c r="AD110" s="165" t="str">
        <x:f>IF(AND(AD$5&gt;=$C110,AD$5&lt;=$D110,$A110&lt;&gt;""),"●","")</x:f>
      </x:c>
      <x:c r="AE110" s="165" t="str">
        <x:f>IF(AND(AE$5&gt;=$C110,AE$5&lt;=$D110,$A110&lt;&gt;""),"●","")</x:f>
      </x:c>
      <x:c r="AF110" s="165" t="str">
        <x:f>IF(AND(AF$5&gt;=$C110,AF$5&lt;=$D110,$A110&lt;&gt;""),"●","")</x:f>
      </x:c>
      <x:c r="AG110" s="165" t="str">
        <x:f>IF(AND(AG$5&gt;=$C110,AG$5&lt;=$D110,$A110&lt;&gt;""),"●","")</x:f>
      </x:c>
      <x:c r="AH110" s="165" t="str">
        <x:f>IF(AND(AH$5&gt;=$C110,AH$5&lt;=$D110,$A110&lt;&gt;""),"●","")</x:f>
      </x:c>
      <x:c r="AI110" s="165" t="str">
        <x:f>IF(AND(AI$5&gt;=$C110,AI$5&lt;=$D110,$A110&lt;&gt;""),"●","")</x:f>
      </x:c>
      <x:c r="AJ110" s="165" t="str">
        <x:f>IF(AND(AJ$5&gt;=$C110,AJ$5&lt;=$D110,$A110&lt;&gt;""),"●","")</x:f>
      </x:c>
      <x:c r="AK110" s="165" t="str">
        <x:f>IF(AND(AK$5&gt;=$C110,AK$5&lt;=$D110,$A110&lt;&gt;""),"●","")</x:f>
      </x:c>
      <x:c r="AL110" s="165" t="str">
        <x:f>IF(AND(AL$5&gt;=$C110,AL$5&lt;=$D110,$A110&lt;&gt;""),"●","")</x:f>
      </x:c>
      <x:c r="AM110" s="165" t="str">
        <x:f>IF(AND(AM$5&gt;=$C110,AM$5&lt;=$D110,$A110&lt;&gt;""),"●","")</x:f>
      </x:c>
      <x:c r="AN110" s="165" t="str">
        <x:f>IF(AND(AN$5&gt;=$C110,AN$5&lt;=$D110,$A110&lt;&gt;""),"●","")</x:f>
      </x:c>
      <x:c r="AO110" s="165" t="str">
        <x:f>IF(AND(AO$5&gt;=$C110,AO$5&lt;=$D110,$A110&lt;&gt;""),"●","")</x:f>
      </x:c>
      <x:c r="AP110" s="165" t="str">
        <x:f>IF(AND(AP$5&gt;=$C110,AP$5&lt;=$D110,$A110&lt;&gt;""),"●","")</x:f>
      </x:c>
      <x:c r="AQ110" s="165" t="str">
        <x:f>IF(AND(AQ$5&gt;=$C110,AQ$5&lt;=$D110,$A110&lt;&gt;""),"●","")</x:f>
      </x:c>
      <x:c r="AR110" s="165" t="str">
        <x:f>IF(AND(AR$5&gt;=$C110,AR$5&lt;=$D110,$A110&lt;&gt;""),"●","")</x:f>
      </x:c>
      <x:c r="AS110" s="165" t="str">
        <x:f>IF(AND(AS$5&gt;=$C110,AS$5&lt;=$D110,$A110&lt;&gt;""),"●","")</x:f>
      </x:c>
      <x:c r="AT110" s="165" t="str">
        <x:f>IF(AND(AT$5&gt;=$C110,AT$5&lt;=$D110,$A110&lt;&gt;""),"●","")</x:f>
      </x:c>
      <x:c r="AU110" s="165" t="str">
        <x:f>IF(AND(AU$5&gt;=$C110,AU$5&lt;=$D110,$A110&lt;&gt;""),"●","")</x:f>
      </x:c>
      <x:c r="AV110" s="165" t="str">
        <x:f>IF(AND(AV$5&gt;=$C110,AV$5&lt;=$D110,$A110&lt;&gt;""),"●","")</x:f>
      </x:c>
      <x:c r="AW110" s="165" t="str">
        <x:f>IF(AND(AW$5&gt;=$C110,AW$5&lt;=$D110,$A110&lt;&gt;""),"●","")</x:f>
      </x:c>
      <x:c r="AX110" s="165" t="str">
        <x:f>IF(AND(AX$5&gt;=$C110,AX$5&lt;=$D110,$A110&lt;&gt;""),"●","")</x:f>
      </x:c>
      <x:c r="AY110" s="165" t="str">
        <x:f>IF(AND(AY$5&gt;=$C110,AY$5&lt;=$D110,$A110&lt;&gt;""),"●","")</x:f>
      </x:c>
      <x:c r="AZ110" s="165" t="str">
        <x:f>IF(AND(AZ$5&gt;=$C110,AZ$5&lt;=$D110,$A110&lt;&gt;""),"●","")</x:f>
      </x:c>
      <x:c r="BA110" s="165" t="str">
        <x:f>IF(AND(BA$5&gt;=$C110,BA$5&lt;=$D110,$A110&lt;&gt;""),"●","")</x:f>
      </x:c>
      <x:c r="BB110" s="165" t="str">
        <x:f>IF(AND(BB$5&gt;=$C110,BB$5&lt;=$D110,$A110&lt;&gt;""),"●","")</x:f>
      </x:c>
      <x:c r="BC110" s="165" t="str">
        <x:f>IF(AND(BC$5&gt;=$C110,BC$5&lt;=$D110,$A110&lt;&gt;""),"●","")</x:f>
      </x:c>
      <x:c r="BD110" s="165" t="str">
        <x:f>IF(AND(BD$5&gt;=$C110,BD$5&lt;=$D110,$A110&lt;&gt;""),"●","")</x:f>
      </x:c>
      <x:c r="BE110" s="165" t="str">
        <x:f>IF(AND(BE$5&gt;=$C110,BE$5&lt;=$D110,$A110&lt;&gt;""),"●","")</x:f>
      </x:c>
      <x:c r="BF110" s="165" t="str">
        <x:f>IF(AND(BF$5&gt;=$C110,BF$5&lt;=$D110,$A110&lt;&gt;""),"●","")</x:f>
      </x:c>
      <x:c r="BG110" s="165" t="str">
        <x:f>IF(AND(BG$5&gt;=$C110,BG$5&lt;=$D110,$A110&lt;&gt;""),"●","")</x:f>
      </x:c>
      <x:c r="BH110" s="165" t="str">
        <x:f>IF(AND(BH$5&gt;=$C110,BH$5&lt;=$D110,$A110&lt;&gt;""),"●","")</x:f>
      </x:c>
      <x:c r="BI110" s="165" t="str">
        <x:f>IF(AND(BI$5&gt;=$C110,BI$5&lt;=$D110,$A110&lt;&gt;""),"●","")</x:f>
      </x:c>
      <x:c r="BJ110" s="165" t="str">
        <x:f>IF(AND(BJ$5&gt;=$C110,BJ$5&lt;=$D110,$A110&lt;&gt;""),"●","")</x:f>
      </x:c>
      <x:c r="BK110" s="165" t="str">
        <x:f>IF(AND(BK$5&gt;=$C110,BK$5&lt;=$D110,$A110&lt;&gt;""),"●","")</x:f>
      </x:c>
      <x:c r="BL110" s="165" t="str">
        <x:f>IF(AND(BL$5&gt;=$C110,BL$5&lt;=$D110,$A110&lt;&gt;""),"●","")</x:f>
      </x:c>
      <x:c r="BM110" s="165" t="str">
        <x:f>IF(AND(BM$5&gt;=$C110,BM$5&lt;=$D110,$A110&lt;&gt;""),"●","")</x:f>
      </x:c>
      <x:c r="BN110" s="165" t="str">
        <x:f>IF(AND(BN$5&gt;=$C110,BN$5&lt;=$D110,$A110&lt;&gt;""),"●","")</x:f>
      </x:c>
      <x:c r="BO110" s="165" t="str">
        <x:f>IF(AND(BO$5&gt;=$C110,BO$5&lt;=$D110,$A110&lt;&gt;""),"●","")</x:f>
      </x:c>
      <x:c r="BP110" s="165" t="str">
        <x:f>IF(AND(BP$5&gt;=$C110,BP$5&lt;=$D110,$A110&lt;&gt;""),"●","")</x:f>
      </x:c>
      <x:c r="BQ110" s="165" t="str">
        <x:f>IF(AND(BQ$5&gt;=$C110,BQ$5&lt;=$D110,$A110&lt;&gt;""),"●","")</x:f>
      </x:c>
      <x:c r="BR110" s="165" t="str">
        <x:f>IF(AND(BR$5&gt;=$C110,BR$5&lt;=$D110,$A110&lt;&gt;""),"●","")</x:f>
      </x:c>
      <x:c r="BS110" s="165" t="str">
        <x:f>IF(AND(BS$5&gt;=$C110,BS$5&lt;=$D110,$A110&lt;&gt;""),"●","")</x:f>
      </x:c>
      <x:c r="BT110" s="165" t="str">
        <x:f>IF(AND(BT$5&gt;=$C110,BT$5&lt;=$D110,$A110&lt;&gt;""),"●","")</x:f>
      </x:c>
      <x:c r="BU110" s="165" t="str">
        <x:f>IF(AND(BU$5&gt;=$C110,BU$5&lt;=$D110,$A110&lt;&gt;""),"●","")</x:f>
      </x:c>
      <x:c r="BV110" s="165" t="str">
        <x:f>IF(AND(BV$5&gt;=$C110,BV$5&lt;=$D110,$A110&lt;&gt;""),"●","")</x:f>
      </x:c>
      <x:c r="BW110" s="165" t="str">
        <x:f>IF(AND(BW$5&gt;=$C110,BW$5&lt;=$D110,$A110&lt;&gt;""),"●","")</x:f>
      </x:c>
    </x:row>
    <x:row r="111">
      <x:c r="A111" s="159" t="str">
        <x:f>IF('รายการสัญญา'!A111="","",'รายการสัญญา'!A111)</x:f>
      </x:c>
      <x:c r="B111" s="159" t="str">
        <x:f>IF('รายการสัญญา'!A111="","",'รายการสัญญา'!C111)</x:f>
      </x:c>
      <x:c r="C111" s="162" t="str">
        <x:f>IF('รายการสัญญา'!A111="","",'รายการสัญญา'!E111)</x:f>
      </x:c>
      <x:c r="D111" s="162" t="str">
        <x:f>IF('รายการสัญญา'!A111="","",'รายการสัญญา'!G111)</x:f>
      </x:c>
      <x:c r="E111" s="159" t="str">
        <x:f>IF('รายการสัญญา'!A111="","",'รายการสัญญา'!K111)</x:f>
      </x:c>
      <x:c r="F111" s="165" t="str">
        <x:f>IF(AND(F$5&gt;=$C111,F$5&lt;=$D111,$A111&lt;&gt;""),"●","")</x:f>
      </x:c>
      <x:c r="G111" s="165" t="str">
        <x:f>IF(AND(G$5&gt;=$C111,G$5&lt;=$D111,$A111&lt;&gt;""),"●","")</x:f>
      </x:c>
      <x:c r="H111" s="165" t="str">
        <x:f>IF(AND(H$5&gt;=$C111,H$5&lt;=$D111,$A111&lt;&gt;""),"●","")</x:f>
      </x:c>
      <x:c r="I111" s="165" t="str">
        <x:f>IF(AND(I$5&gt;=$C111,I$5&lt;=$D111,$A111&lt;&gt;""),"●","")</x:f>
      </x:c>
      <x:c r="J111" s="165" t="str">
        <x:f>IF(AND(J$5&gt;=$C111,J$5&lt;=$D111,$A111&lt;&gt;""),"●","")</x:f>
      </x:c>
      <x:c r="K111" s="165" t="str">
        <x:f>IF(AND(K$5&gt;=$C111,K$5&lt;=$D111,$A111&lt;&gt;""),"●","")</x:f>
      </x:c>
      <x:c r="L111" s="165" t="str">
        <x:f>IF(AND(L$5&gt;=$C111,L$5&lt;=$D111,$A111&lt;&gt;""),"●","")</x:f>
      </x:c>
      <x:c r="M111" s="165" t="str">
        <x:f>IF(AND(M$5&gt;=$C111,M$5&lt;=$D111,$A111&lt;&gt;""),"●","")</x:f>
      </x:c>
      <x:c r="N111" s="165" t="str">
        <x:f>IF(AND(N$5&gt;=$C111,N$5&lt;=$D111,$A111&lt;&gt;""),"●","")</x:f>
      </x:c>
      <x:c r="O111" s="165" t="str">
        <x:f>IF(AND(O$5&gt;=$C111,O$5&lt;=$D111,$A111&lt;&gt;""),"●","")</x:f>
      </x:c>
      <x:c r="P111" s="165" t="str">
        <x:f>IF(AND(P$5&gt;=$C111,P$5&lt;=$D111,$A111&lt;&gt;""),"●","")</x:f>
      </x:c>
      <x:c r="Q111" s="165" t="str">
        <x:f>IF(AND(Q$5&gt;=$C111,Q$5&lt;=$D111,$A111&lt;&gt;""),"●","")</x:f>
      </x:c>
      <x:c r="R111" s="165" t="str">
        <x:f>IF(AND(R$5&gt;=$C111,R$5&lt;=$D111,$A111&lt;&gt;""),"●","")</x:f>
      </x:c>
      <x:c r="S111" s="165" t="str">
        <x:f>IF(AND(S$5&gt;=$C111,S$5&lt;=$D111,$A111&lt;&gt;""),"●","")</x:f>
      </x:c>
      <x:c r="T111" s="165" t="str">
        <x:f>IF(AND(T$5&gt;=$C111,T$5&lt;=$D111,$A111&lt;&gt;""),"●","")</x:f>
      </x:c>
      <x:c r="U111" s="165" t="str">
        <x:f>IF(AND(U$5&gt;=$C111,U$5&lt;=$D111,$A111&lt;&gt;""),"●","")</x:f>
      </x:c>
      <x:c r="V111" s="165" t="str">
        <x:f>IF(AND(V$5&gt;=$C111,V$5&lt;=$D111,$A111&lt;&gt;""),"●","")</x:f>
      </x:c>
      <x:c r="W111" s="165" t="str">
        <x:f>IF(AND(W$5&gt;=$C111,W$5&lt;=$D111,$A111&lt;&gt;""),"●","")</x:f>
      </x:c>
      <x:c r="X111" s="165" t="str">
        <x:f>IF(AND(X$5&gt;=$C111,X$5&lt;=$D111,$A111&lt;&gt;""),"●","")</x:f>
      </x:c>
      <x:c r="Y111" s="165" t="str">
        <x:f>IF(AND(Y$5&gt;=$C111,Y$5&lt;=$D111,$A111&lt;&gt;""),"●","")</x:f>
      </x:c>
      <x:c r="Z111" s="165" t="str">
        <x:f>IF(AND(Z$5&gt;=$C111,Z$5&lt;=$D111,$A111&lt;&gt;""),"●","")</x:f>
      </x:c>
      <x:c r="AA111" s="165" t="str">
        <x:f>IF(AND(AA$5&gt;=$C111,AA$5&lt;=$D111,$A111&lt;&gt;""),"●","")</x:f>
      </x:c>
      <x:c r="AB111" s="165" t="str">
        <x:f>IF(AND(AB$5&gt;=$C111,AB$5&lt;=$D111,$A111&lt;&gt;""),"●","")</x:f>
      </x:c>
      <x:c r="AC111" s="165" t="str">
        <x:f>IF(AND(AC$5&gt;=$C111,AC$5&lt;=$D111,$A111&lt;&gt;""),"●","")</x:f>
      </x:c>
      <x:c r="AD111" s="165" t="str">
        <x:f>IF(AND(AD$5&gt;=$C111,AD$5&lt;=$D111,$A111&lt;&gt;""),"●","")</x:f>
      </x:c>
      <x:c r="AE111" s="165" t="str">
        <x:f>IF(AND(AE$5&gt;=$C111,AE$5&lt;=$D111,$A111&lt;&gt;""),"●","")</x:f>
      </x:c>
      <x:c r="AF111" s="165" t="str">
        <x:f>IF(AND(AF$5&gt;=$C111,AF$5&lt;=$D111,$A111&lt;&gt;""),"●","")</x:f>
      </x:c>
      <x:c r="AG111" s="165" t="str">
        <x:f>IF(AND(AG$5&gt;=$C111,AG$5&lt;=$D111,$A111&lt;&gt;""),"●","")</x:f>
      </x:c>
      <x:c r="AH111" s="165" t="str">
        <x:f>IF(AND(AH$5&gt;=$C111,AH$5&lt;=$D111,$A111&lt;&gt;""),"●","")</x:f>
      </x:c>
      <x:c r="AI111" s="165" t="str">
        <x:f>IF(AND(AI$5&gt;=$C111,AI$5&lt;=$D111,$A111&lt;&gt;""),"●","")</x:f>
      </x:c>
      <x:c r="AJ111" s="165" t="str">
        <x:f>IF(AND(AJ$5&gt;=$C111,AJ$5&lt;=$D111,$A111&lt;&gt;""),"●","")</x:f>
      </x:c>
      <x:c r="AK111" s="165" t="str">
        <x:f>IF(AND(AK$5&gt;=$C111,AK$5&lt;=$D111,$A111&lt;&gt;""),"●","")</x:f>
      </x:c>
      <x:c r="AL111" s="165" t="str">
        <x:f>IF(AND(AL$5&gt;=$C111,AL$5&lt;=$D111,$A111&lt;&gt;""),"●","")</x:f>
      </x:c>
      <x:c r="AM111" s="165" t="str">
        <x:f>IF(AND(AM$5&gt;=$C111,AM$5&lt;=$D111,$A111&lt;&gt;""),"●","")</x:f>
      </x:c>
      <x:c r="AN111" s="165" t="str">
        <x:f>IF(AND(AN$5&gt;=$C111,AN$5&lt;=$D111,$A111&lt;&gt;""),"●","")</x:f>
      </x:c>
      <x:c r="AO111" s="165" t="str">
        <x:f>IF(AND(AO$5&gt;=$C111,AO$5&lt;=$D111,$A111&lt;&gt;""),"●","")</x:f>
      </x:c>
      <x:c r="AP111" s="165" t="str">
        <x:f>IF(AND(AP$5&gt;=$C111,AP$5&lt;=$D111,$A111&lt;&gt;""),"●","")</x:f>
      </x:c>
      <x:c r="AQ111" s="165" t="str">
        <x:f>IF(AND(AQ$5&gt;=$C111,AQ$5&lt;=$D111,$A111&lt;&gt;""),"●","")</x:f>
      </x:c>
      <x:c r="AR111" s="165" t="str">
        <x:f>IF(AND(AR$5&gt;=$C111,AR$5&lt;=$D111,$A111&lt;&gt;""),"●","")</x:f>
      </x:c>
      <x:c r="AS111" s="165" t="str">
        <x:f>IF(AND(AS$5&gt;=$C111,AS$5&lt;=$D111,$A111&lt;&gt;""),"●","")</x:f>
      </x:c>
      <x:c r="AT111" s="165" t="str">
        <x:f>IF(AND(AT$5&gt;=$C111,AT$5&lt;=$D111,$A111&lt;&gt;""),"●","")</x:f>
      </x:c>
      <x:c r="AU111" s="165" t="str">
        <x:f>IF(AND(AU$5&gt;=$C111,AU$5&lt;=$D111,$A111&lt;&gt;""),"●","")</x:f>
      </x:c>
      <x:c r="AV111" s="165" t="str">
        <x:f>IF(AND(AV$5&gt;=$C111,AV$5&lt;=$D111,$A111&lt;&gt;""),"●","")</x:f>
      </x:c>
      <x:c r="AW111" s="165" t="str">
        <x:f>IF(AND(AW$5&gt;=$C111,AW$5&lt;=$D111,$A111&lt;&gt;""),"●","")</x:f>
      </x:c>
      <x:c r="AX111" s="165" t="str">
        <x:f>IF(AND(AX$5&gt;=$C111,AX$5&lt;=$D111,$A111&lt;&gt;""),"●","")</x:f>
      </x:c>
      <x:c r="AY111" s="165" t="str">
        <x:f>IF(AND(AY$5&gt;=$C111,AY$5&lt;=$D111,$A111&lt;&gt;""),"●","")</x:f>
      </x:c>
      <x:c r="AZ111" s="165" t="str">
        <x:f>IF(AND(AZ$5&gt;=$C111,AZ$5&lt;=$D111,$A111&lt;&gt;""),"●","")</x:f>
      </x:c>
      <x:c r="BA111" s="165" t="str">
        <x:f>IF(AND(BA$5&gt;=$C111,BA$5&lt;=$D111,$A111&lt;&gt;""),"●","")</x:f>
      </x:c>
      <x:c r="BB111" s="165" t="str">
        <x:f>IF(AND(BB$5&gt;=$C111,BB$5&lt;=$D111,$A111&lt;&gt;""),"●","")</x:f>
      </x:c>
      <x:c r="BC111" s="165" t="str">
        <x:f>IF(AND(BC$5&gt;=$C111,BC$5&lt;=$D111,$A111&lt;&gt;""),"●","")</x:f>
      </x:c>
      <x:c r="BD111" s="165" t="str">
        <x:f>IF(AND(BD$5&gt;=$C111,BD$5&lt;=$D111,$A111&lt;&gt;""),"●","")</x:f>
      </x:c>
      <x:c r="BE111" s="165" t="str">
        <x:f>IF(AND(BE$5&gt;=$C111,BE$5&lt;=$D111,$A111&lt;&gt;""),"●","")</x:f>
      </x:c>
      <x:c r="BF111" s="165" t="str">
        <x:f>IF(AND(BF$5&gt;=$C111,BF$5&lt;=$D111,$A111&lt;&gt;""),"●","")</x:f>
      </x:c>
      <x:c r="BG111" s="165" t="str">
        <x:f>IF(AND(BG$5&gt;=$C111,BG$5&lt;=$D111,$A111&lt;&gt;""),"●","")</x:f>
      </x:c>
      <x:c r="BH111" s="165" t="str">
        <x:f>IF(AND(BH$5&gt;=$C111,BH$5&lt;=$D111,$A111&lt;&gt;""),"●","")</x:f>
      </x:c>
      <x:c r="BI111" s="165" t="str">
        <x:f>IF(AND(BI$5&gt;=$C111,BI$5&lt;=$D111,$A111&lt;&gt;""),"●","")</x:f>
      </x:c>
      <x:c r="BJ111" s="165" t="str">
        <x:f>IF(AND(BJ$5&gt;=$C111,BJ$5&lt;=$D111,$A111&lt;&gt;""),"●","")</x:f>
      </x:c>
      <x:c r="BK111" s="165" t="str">
        <x:f>IF(AND(BK$5&gt;=$C111,BK$5&lt;=$D111,$A111&lt;&gt;""),"●","")</x:f>
      </x:c>
      <x:c r="BL111" s="165" t="str">
        <x:f>IF(AND(BL$5&gt;=$C111,BL$5&lt;=$D111,$A111&lt;&gt;""),"●","")</x:f>
      </x:c>
      <x:c r="BM111" s="165" t="str">
        <x:f>IF(AND(BM$5&gt;=$C111,BM$5&lt;=$D111,$A111&lt;&gt;""),"●","")</x:f>
      </x:c>
      <x:c r="BN111" s="165" t="str">
        <x:f>IF(AND(BN$5&gt;=$C111,BN$5&lt;=$D111,$A111&lt;&gt;""),"●","")</x:f>
      </x:c>
      <x:c r="BO111" s="165" t="str">
        <x:f>IF(AND(BO$5&gt;=$C111,BO$5&lt;=$D111,$A111&lt;&gt;""),"●","")</x:f>
      </x:c>
      <x:c r="BP111" s="165" t="str">
        <x:f>IF(AND(BP$5&gt;=$C111,BP$5&lt;=$D111,$A111&lt;&gt;""),"●","")</x:f>
      </x:c>
      <x:c r="BQ111" s="165" t="str">
        <x:f>IF(AND(BQ$5&gt;=$C111,BQ$5&lt;=$D111,$A111&lt;&gt;""),"●","")</x:f>
      </x:c>
      <x:c r="BR111" s="165" t="str">
        <x:f>IF(AND(BR$5&gt;=$C111,BR$5&lt;=$D111,$A111&lt;&gt;""),"●","")</x:f>
      </x:c>
      <x:c r="BS111" s="165" t="str">
        <x:f>IF(AND(BS$5&gt;=$C111,BS$5&lt;=$D111,$A111&lt;&gt;""),"●","")</x:f>
      </x:c>
      <x:c r="BT111" s="165" t="str">
        <x:f>IF(AND(BT$5&gt;=$C111,BT$5&lt;=$D111,$A111&lt;&gt;""),"●","")</x:f>
      </x:c>
      <x:c r="BU111" s="165" t="str">
        <x:f>IF(AND(BU$5&gt;=$C111,BU$5&lt;=$D111,$A111&lt;&gt;""),"●","")</x:f>
      </x:c>
      <x:c r="BV111" s="165" t="str">
        <x:f>IF(AND(BV$5&gt;=$C111,BV$5&lt;=$D111,$A111&lt;&gt;""),"●","")</x:f>
      </x:c>
      <x:c r="BW111" s="165" t="str">
        <x:f>IF(AND(BW$5&gt;=$C111,BW$5&lt;=$D111,$A111&lt;&gt;""),"●","")</x:f>
      </x:c>
    </x:row>
    <x:row r="112">
      <x:c r="A112" s="159" t="str">
        <x:f>IF('รายการสัญญา'!A112="","",'รายการสัญญา'!A112)</x:f>
      </x:c>
      <x:c r="B112" s="159" t="str">
        <x:f>IF('รายการสัญญา'!A112="","",'รายการสัญญา'!C112)</x:f>
      </x:c>
      <x:c r="C112" s="162" t="str">
        <x:f>IF('รายการสัญญา'!A112="","",'รายการสัญญา'!E112)</x:f>
      </x:c>
      <x:c r="D112" s="162" t="str">
        <x:f>IF('รายการสัญญา'!A112="","",'รายการสัญญา'!G112)</x:f>
      </x:c>
      <x:c r="E112" s="159" t="str">
        <x:f>IF('รายการสัญญา'!A112="","",'รายการสัญญา'!K112)</x:f>
      </x:c>
      <x:c r="F112" s="165" t="str">
        <x:f>IF(AND(F$5&gt;=$C112,F$5&lt;=$D112,$A112&lt;&gt;""),"●","")</x:f>
      </x:c>
      <x:c r="G112" s="165" t="str">
        <x:f>IF(AND(G$5&gt;=$C112,G$5&lt;=$D112,$A112&lt;&gt;""),"●","")</x:f>
      </x:c>
      <x:c r="H112" s="165" t="str">
        <x:f>IF(AND(H$5&gt;=$C112,H$5&lt;=$D112,$A112&lt;&gt;""),"●","")</x:f>
      </x:c>
      <x:c r="I112" s="165" t="str">
        <x:f>IF(AND(I$5&gt;=$C112,I$5&lt;=$D112,$A112&lt;&gt;""),"●","")</x:f>
      </x:c>
      <x:c r="J112" s="165" t="str">
        <x:f>IF(AND(J$5&gt;=$C112,J$5&lt;=$D112,$A112&lt;&gt;""),"●","")</x:f>
      </x:c>
      <x:c r="K112" s="165" t="str">
        <x:f>IF(AND(K$5&gt;=$C112,K$5&lt;=$D112,$A112&lt;&gt;""),"●","")</x:f>
      </x:c>
      <x:c r="L112" s="165" t="str">
        <x:f>IF(AND(L$5&gt;=$C112,L$5&lt;=$D112,$A112&lt;&gt;""),"●","")</x:f>
      </x:c>
      <x:c r="M112" s="165" t="str">
        <x:f>IF(AND(M$5&gt;=$C112,M$5&lt;=$D112,$A112&lt;&gt;""),"●","")</x:f>
      </x:c>
      <x:c r="N112" s="165" t="str">
        <x:f>IF(AND(N$5&gt;=$C112,N$5&lt;=$D112,$A112&lt;&gt;""),"●","")</x:f>
      </x:c>
      <x:c r="O112" s="165" t="str">
        <x:f>IF(AND(O$5&gt;=$C112,O$5&lt;=$D112,$A112&lt;&gt;""),"●","")</x:f>
      </x:c>
      <x:c r="P112" s="165" t="str">
        <x:f>IF(AND(P$5&gt;=$C112,P$5&lt;=$D112,$A112&lt;&gt;""),"●","")</x:f>
      </x:c>
      <x:c r="Q112" s="165" t="str">
        <x:f>IF(AND(Q$5&gt;=$C112,Q$5&lt;=$D112,$A112&lt;&gt;""),"●","")</x:f>
      </x:c>
      <x:c r="R112" s="165" t="str">
        <x:f>IF(AND(R$5&gt;=$C112,R$5&lt;=$D112,$A112&lt;&gt;""),"●","")</x:f>
      </x:c>
      <x:c r="S112" s="165" t="str">
        <x:f>IF(AND(S$5&gt;=$C112,S$5&lt;=$D112,$A112&lt;&gt;""),"●","")</x:f>
      </x:c>
      <x:c r="T112" s="165" t="str">
        <x:f>IF(AND(T$5&gt;=$C112,T$5&lt;=$D112,$A112&lt;&gt;""),"●","")</x:f>
      </x:c>
      <x:c r="U112" s="165" t="str">
        <x:f>IF(AND(U$5&gt;=$C112,U$5&lt;=$D112,$A112&lt;&gt;""),"●","")</x:f>
      </x:c>
      <x:c r="V112" s="165" t="str">
        <x:f>IF(AND(V$5&gt;=$C112,V$5&lt;=$D112,$A112&lt;&gt;""),"●","")</x:f>
      </x:c>
      <x:c r="W112" s="165" t="str">
        <x:f>IF(AND(W$5&gt;=$C112,W$5&lt;=$D112,$A112&lt;&gt;""),"●","")</x:f>
      </x:c>
      <x:c r="X112" s="165" t="str">
        <x:f>IF(AND(X$5&gt;=$C112,X$5&lt;=$D112,$A112&lt;&gt;""),"●","")</x:f>
      </x:c>
      <x:c r="Y112" s="165" t="str">
        <x:f>IF(AND(Y$5&gt;=$C112,Y$5&lt;=$D112,$A112&lt;&gt;""),"●","")</x:f>
      </x:c>
      <x:c r="Z112" s="165" t="str">
        <x:f>IF(AND(Z$5&gt;=$C112,Z$5&lt;=$D112,$A112&lt;&gt;""),"●","")</x:f>
      </x:c>
      <x:c r="AA112" s="165" t="str">
        <x:f>IF(AND(AA$5&gt;=$C112,AA$5&lt;=$D112,$A112&lt;&gt;""),"●","")</x:f>
      </x:c>
      <x:c r="AB112" s="165" t="str">
        <x:f>IF(AND(AB$5&gt;=$C112,AB$5&lt;=$D112,$A112&lt;&gt;""),"●","")</x:f>
      </x:c>
      <x:c r="AC112" s="165" t="str">
        <x:f>IF(AND(AC$5&gt;=$C112,AC$5&lt;=$D112,$A112&lt;&gt;""),"●","")</x:f>
      </x:c>
      <x:c r="AD112" s="165" t="str">
        <x:f>IF(AND(AD$5&gt;=$C112,AD$5&lt;=$D112,$A112&lt;&gt;""),"●","")</x:f>
      </x:c>
      <x:c r="AE112" s="165" t="str">
        <x:f>IF(AND(AE$5&gt;=$C112,AE$5&lt;=$D112,$A112&lt;&gt;""),"●","")</x:f>
      </x:c>
      <x:c r="AF112" s="165" t="str">
        <x:f>IF(AND(AF$5&gt;=$C112,AF$5&lt;=$D112,$A112&lt;&gt;""),"●","")</x:f>
      </x:c>
      <x:c r="AG112" s="165" t="str">
        <x:f>IF(AND(AG$5&gt;=$C112,AG$5&lt;=$D112,$A112&lt;&gt;""),"●","")</x:f>
      </x:c>
      <x:c r="AH112" s="165" t="str">
        <x:f>IF(AND(AH$5&gt;=$C112,AH$5&lt;=$D112,$A112&lt;&gt;""),"●","")</x:f>
      </x:c>
      <x:c r="AI112" s="165" t="str">
        <x:f>IF(AND(AI$5&gt;=$C112,AI$5&lt;=$D112,$A112&lt;&gt;""),"●","")</x:f>
      </x:c>
      <x:c r="AJ112" s="165" t="str">
        <x:f>IF(AND(AJ$5&gt;=$C112,AJ$5&lt;=$D112,$A112&lt;&gt;""),"●","")</x:f>
      </x:c>
      <x:c r="AK112" s="165" t="str">
        <x:f>IF(AND(AK$5&gt;=$C112,AK$5&lt;=$D112,$A112&lt;&gt;""),"●","")</x:f>
      </x:c>
      <x:c r="AL112" s="165" t="str">
        <x:f>IF(AND(AL$5&gt;=$C112,AL$5&lt;=$D112,$A112&lt;&gt;""),"●","")</x:f>
      </x:c>
      <x:c r="AM112" s="165" t="str">
        <x:f>IF(AND(AM$5&gt;=$C112,AM$5&lt;=$D112,$A112&lt;&gt;""),"●","")</x:f>
      </x:c>
      <x:c r="AN112" s="165" t="str">
        <x:f>IF(AND(AN$5&gt;=$C112,AN$5&lt;=$D112,$A112&lt;&gt;""),"●","")</x:f>
      </x:c>
      <x:c r="AO112" s="165" t="str">
        <x:f>IF(AND(AO$5&gt;=$C112,AO$5&lt;=$D112,$A112&lt;&gt;""),"●","")</x:f>
      </x:c>
      <x:c r="AP112" s="165" t="str">
        <x:f>IF(AND(AP$5&gt;=$C112,AP$5&lt;=$D112,$A112&lt;&gt;""),"●","")</x:f>
      </x:c>
      <x:c r="AQ112" s="165" t="str">
        <x:f>IF(AND(AQ$5&gt;=$C112,AQ$5&lt;=$D112,$A112&lt;&gt;""),"●","")</x:f>
      </x:c>
      <x:c r="AR112" s="165" t="str">
        <x:f>IF(AND(AR$5&gt;=$C112,AR$5&lt;=$D112,$A112&lt;&gt;""),"●","")</x:f>
      </x:c>
      <x:c r="AS112" s="165" t="str">
        <x:f>IF(AND(AS$5&gt;=$C112,AS$5&lt;=$D112,$A112&lt;&gt;""),"●","")</x:f>
      </x:c>
      <x:c r="AT112" s="165" t="str">
        <x:f>IF(AND(AT$5&gt;=$C112,AT$5&lt;=$D112,$A112&lt;&gt;""),"●","")</x:f>
      </x:c>
      <x:c r="AU112" s="165" t="str">
        <x:f>IF(AND(AU$5&gt;=$C112,AU$5&lt;=$D112,$A112&lt;&gt;""),"●","")</x:f>
      </x:c>
      <x:c r="AV112" s="165" t="str">
        <x:f>IF(AND(AV$5&gt;=$C112,AV$5&lt;=$D112,$A112&lt;&gt;""),"●","")</x:f>
      </x:c>
      <x:c r="AW112" s="165" t="str">
        <x:f>IF(AND(AW$5&gt;=$C112,AW$5&lt;=$D112,$A112&lt;&gt;""),"●","")</x:f>
      </x:c>
      <x:c r="AX112" s="165" t="str">
        <x:f>IF(AND(AX$5&gt;=$C112,AX$5&lt;=$D112,$A112&lt;&gt;""),"●","")</x:f>
      </x:c>
      <x:c r="AY112" s="165" t="str">
        <x:f>IF(AND(AY$5&gt;=$C112,AY$5&lt;=$D112,$A112&lt;&gt;""),"●","")</x:f>
      </x:c>
      <x:c r="AZ112" s="165" t="str">
        <x:f>IF(AND(AZ$5&gt;=$C112,AZ$5&lt;=$D112,$A112&lt;&gt;""),"●","")</x:f>
      </x:c>
      <x:c r="BA112" s="165" t="str">
        <x:f>IF(AND(BA$5&gt;=$C112,BA$5&lt;=$D112,$A112&lt;&gt;""),"●","")</x:f>
      </x:c>
      <x:c r="BB112" s="165" t="str">
        <x:f>IF(AND(BB$5&gt;=$C112,BB$5&lt;=$D112,$A112&lt;&gt;""),"●","")</x:f>
      </x:c>
      <x:c r="BC112" s="165" t="str">
        <x:f>IF(AND(BC$5&gt;=$C112,BC$5&lt;=$D112,$A112&lt;&gt;""),"●","")</x:f>
      </x:c>
      <x:c r="BD112" s="165" t="str">
        <x:f>IF(AND(BD$5&gt;=$C112,BD$5&lt;=$D112,$A112&lt;&gt;""),"●","")</x:f>
      </x:c>
      <x:c r="BE112" s="165" t="str">
        <x:f>IF(AND(BE$5&gt;=$C112,BE$5&lt;=$D112,$A112&lt;&gt;""),"●","")</x:f>
      </x:c>
      <x:c r="BF112" s="165" t="str">
        <x:f>IF(AND(BF$5&gt;=$C112,BF$5&lt;=$D112,$A112&lt;&gt;""),"●","")</x:f>
      </x:c>
      <x:c r="BG112" s="165" t="str">
        <x:f>IF(AND(BG$5&gt;=$C112,BG$5&lt;=$D112,$A112&lt;&gt;""),"●","")</x:f>
      </x:c>
      <x:c r="BH112" s="165" t="str">
        <x:f>IF(AND(BH$5&gt;=$C112,BH$5&lt;=$D112,$A112&lt;&gt;""),"●","")</x:f>
      </x:c>
      <x:c r="BI112" s="165" t="str">
        <x:f>IF(AND(BI$5&gt;=$C112,BI$5&lt;=$D112,$A112&lt;&gt;""),"●","")</x:f>
      </x:c>
      <x:c r="BJ112" s="165" t="str">
        <x:f>IF(AND(BJ$5&gt;=$C112,BJ$5&lt;=$D112,$A112&lt;&gt;""),"●","")</x:f>
      </x:c>
      <x:c r="BK112" s="165" t="str">
        <x:f>IF(AND(BK$5&gt;=$C112,BK$5&lt;=$D112,$A112&lt;&gt;""),"●","")</x:f>
      </x:c>
      <x:c r="BL112" s="165" t="str">
        <x:f>IF(AND(BL$5&gt;=$C112,BL$5&lt;=$D112,$A112&lt;&gt;""),"●","")</x:f>
      </x:c>
      <x:c r="BM112" s="165" t="str">
        <x:f>IF(AND(BM$5&gt;=$C112,BM$5&lt;=$D112,$A112&lt;&gt;""),"●","")</x:f>
      </x:c>
      <x:c r="BN112" s="165" t="str">
        <x:f>IF(AND(BN$5&gt;=$C112,BN$5&lt;=$D112,$A112&lt;&gt;""),"●","")</x:f>
      </x:c>
      <x:c r="BO112" s="165" t="str">
        <x:f>IF(AND(BO$5&gt;=$C112,BO$5&lt;=$D112,$A112&lt;&gt;""),"●","")</x:f>
      </x:c>
      <x:c r="BP112" s="165" t="str">
        <x:f>IF(AND(BP$5&gt;=$C112,BP$5&lt;=$D112,$A112&lt;&gt;""),"●","")</x:f>
      </x:c>
      <x:c r="BQ112" s="165" t="str">
        <x:f>IF(AND(BQ$5&gt;=$C112,BQ$5&lt;=$D112,$A112&lt;&gt;""),"●","")</x:f>
      </x:c>
      <x:c r="BR112" s="165" t="str">
        <x:f>IF(AND(BR$5&gt;=$C112,BR$5&lt;=$D112,$A112&lt;&gt;""),"●","")</x:f>
      </x:c>
      <x:c r="BS112" s="165" t="str">
        <x:f>IF(AND(BS$5&gt;=$C112,BS$5&lt;=$D112,$A112&lt;&gt;""),"●","")</x:f>
      </x:c>
      <x:c r="BT112" s="165" t="str">
        <x:f>IF(AND(BT$5&gt;=$C112,BT$5&lt;=$D112,$A112&lt;&gt;""),"●","")</x:f>
      </x:c>
      <x:c r="BU112" s="165" t="str">
        <x:f>IF(AND(BU$5&gt;=$C112,BU$5&lt;=$D112,$A112&lt;&gt;""),"●","")</x:f>
      </x:c>
      <x:c r="BV112" s="165" t="str">
        <x:f>IF(AND(BV$5&gt;=$C112,BV$5&lt;=$D112,$A112&lt;&gt;""),"●","")</x:f>
      </x:c>
      <x:c r="BW112" s="165" t="str">
        <x:f>IF(AND(BW$5&gt;=$C112,BW$5&lt;=$D112,$A112&lt;&gt;""),"●","")</x:f>
      </x:c>
    </x:row>
    <x:row r="113">
      <x:c r="A113" s="159" t="str">
        <x:f>IF('รายการสัญญา'!A113="","",'รายการสัญญา'!A113)</x:f>
      </x:c>
      <x:c r="B113" s="159" t="str">
        <x:f>IF('รายการสัญญา'!A113="","",'รายการสัญญา'!C113)</x:f>
      </x:c>
      <x:c r="C113" s="162" t="str">
        <x:f>IF('รายการสัญญา'!A113="","",'รายการสัญญา'!E113)</x:f>
      </x:c>
      <x:c r="D113" s="162" t="str">
        <x:f>IF('รายการสัญญา'!A113="","",'รายการสัญญา'!G113)</x:f>
      </x:c>
      <x:c r="E113" s="159" t="str">
        <x:f>IF('รายการสัญญา'!A113="","",'รายการสัญญา'!K113)</x:f>
      </x:c>
      <x:c r="F113" s="165" t="str">
        <x:f>IF(AND(F$5&gt;=$C113,F$5&lt;=$D113,$A113&lt;&gt;""),"●","")</x:f>
      </x:c>
      <x:c r="G113" s="165" t="str">
        <x:f>IF(AND(G$5&gt;=$C113,G$5&lt;=$D113,$A113&lt;&gt;""),"●","")</x:f>
      </x:c>
      <x:c r="H113" s="165" t="str">
        <x:f>IF(AND(H$5&gt;=$C113,H$5&lt;=$D113,$A113&lt;&gt;""),"●","")</x:f>
      </x:c>
      <x:c r="I113" s="165" t="str">
        <x:f>IF(AND(I$5&gt;=$C113,I$5&lt;=$D113,$A113&lt;&gt;""),"●","")</x:f>
      </x:c>
      <x:c r="J113" s="165" t="str">
        <x:f>IF(AND(J$5&gt;=$C113,J$5&lt;=$D113,$A113&lt;&gt;""),"●","")</x:f>
      </x:c>
      <x:c r="K113" s="165" t="str">
        <x:f>IF(AND(K$5&gt;=$C113,K$5&lt;=$D113,$A113&lt;&gt;""),"●","")</x:f>
      </x:c>
      <x:c r="L113" s="165" t="str">
        <x:f>IF(AND(L$5&gt;=$C113,L$5&lt;=$D113,$A113&lt;&gt;""),"●","")</x:f>
      </x:c>
      <x:c r="M113" s="165" t="str">
        <x:f>IF(AND(M$5&gt;=$C113,M$5&lt;=$D113,$A113&lt;&gt;""),"●","")</x:f>
      </x:c>
      <x:c r="N113" s="165" t="str">
        <x:f>IF(AND(N$5&gt;=$C113,N$5&lt;=$D113,$A113&lt;&gt;""),"●","")</x:f>
      </x:c>
      <x:c r="O113" s="165" t="str">
        <x:f>IF(AND(O$5&gt;=$C113,O$5&lt;=$D113,$A113&lt;&gt;""),"●","")</x:f>
      </x:c>
      <x:c r="P113" s="165" t="str">
        <x:f>IF(AND(P$5&gt;=$C113,P$5&lt;=$D113,$A113&lt;&gt;""),"●","")</x:f>
      </x:c>
      <x:c r="Q113" s="165" t="str">
        <x:f>IF(AND(Q$5&gt;=$C113,Q$5&lt;=$D113,$A113&lt;&gt;""),"●","")</x:f>
      </x:c>
      <x:c r="R113" s="165" t="str">
        <x:f>IF(AND(R$5&gt;=$C113,R$5&lt;=$D113,$A113&lt;&gt;""),"●","")</x:f>
      </x:c>
      <x:c r="S113" s="165" t="str">
        <x:f>IF(AND(S$5&gt;=$C113,S$5&lt;=$D113,$A113&lt;&gt;""),"●","")</x:f>
      </x:c>
      <x:c r="T113" s="165" t="str">
        <x:f>IF(AND(T$5&gt;=$C113,T$5&lt;=$D113,$A113&lt;&gt;""),"●","")</x:f>
      </x:c>
      <x:c r="U113" s="165" t="str">
        <x:f>IF(AND(U$5&gt;=$C113,U$5&lt;=$D113,$A113&lt;&gt;""),"●","")</x:f>
      </x:c>
      <x:c r="V113" s="165" t="str">
        <x:f>IF(AND(V$5&gt;=$C113,V$5&lt;=$D113,$A113&lt;&gt;""),"●","")</x:f>
      </x:c>
      <x:c r="W113" s="165" t="str">
        <x:f>IF(AND(W$5&gt;=$C113,W$5&lt;=$D113,$A113&lt;&gt;""),"●","")</x:f>
      </x:c>
      <x:c r="X113" s="165" t="str">
        <x:f>IF(AND(X$5&gt;=$C113,X$5&lt;=$D113,$A113&lt;&gt;""),"●","")</x:f>
      </x:c>
      <x:c r="Y113" s="165" t="str">
        <x:f>IF(AND(Y$5&gt;=$C113,Y$5&lt;=$D113,$A113&lt;&gt;""),"●","")</x:f>
      </x:c>
      <x:c r="Z113" s="165" t="str">
        <x:f>IF(AND(Z$5&gt;=$C113,Z$5&lt;=$D113,$A113&lt;&gt;""),"●","")</x:f>
      </x:c>
      <x:c r="AA113" s="165" t="str">
        <x:f>IF(AND(AA$5&gt;=$C113,AA$5&lt;=$D113,$A113&lt;&gt;""),"●","")</x:f>
      </x:c>
      <x:c r="AB113" s="165" t="str">
        <x:f>IF(AND(AB$5&gt;=$C113,AB$5&lt;=$D113,$A113&lt;&gt;""),"●","")</x:f>
      </x:c>
      <x:c r="AC113" s="165" t="str">
        <x:f>IF(AND(AC$5&gt;=$C113,AC$5&lt;=$D113,$A113&lt;&gt;""),"●","")</x:f>
      </x:c>
      <x:c r="AD113" s="165" t="str">
        <x:f>IF(AND(AD$5&gt;=$C113,AD$5&lt;=$D113,$A113&lt;&gt;""),"●","")</x:f>
      </x:c>
      <x:c r="AE113" s="165" t="str">
        <x:f>IF(AND(AE$5&gt;=$C113,AE$5&lt;=$D113,$A113&lt;&gt;""),"●","")</x:f>
      </x:c>
      <x:c r="AF113" s="165" t="str">
        <x:f>IF(AND(AF$5&gt;=$C113,AF$5&lt;=$D113,$A113&lt;&gt;""),"●","")</x:f>
      </x:c>
      <x:c r="AG113" s="165" t="str">
        <x:f>IF(AND(AG$5&gt;=$C113,AG$5&lt;=$D113,$A113&lt;&gt;""),"●","")</x:f>
      </x:c>
      <x:c r="AH113" s="165" t="str">
        <x:f>IF(AND(AH$5&gt;=$C113,AH$5&lt;=$D113,$A113&lt;&gt;""),"●","")</x:f>
      </x:c>
      <x:c r="AI113" s="165" t="str">
        <x:f>IF(AND(AI$5&gt;=$C113,AI$5&lt;=$D113,$A113&lt;&gt;""),"●","")</x:f>
      </x:c>
      <x:c r="AJ113" s="165" t="str">
        <x:f>IF(AND(AJ$5&gt;=$C113,AJ$5&lt;=$D113,$A113&lt;&gt;""),"●","")</x:f>
      </x:c>
      <x:c r="AK113" s="165" t="str">
        <x:f>IF(AND(AK$5&gt;=$C113,AK$5&lt;=$D113,$A113&lt;&gt;""),"●","")</x:f>
      </x:c>
      <x:c r="AL113" s="165" t="str">
        <x:f>IF(AND(AL$5&gt;=$C113,AL$5&lt;=$D113,$A113&lt;&gt;""),"●","")</x:f>
      </x:c>
      <x:c r="AM113" s="165" t="str">
        <x:f>IF(AND(AM$5&gt;=$C113,AM$5&lt;=$D113,$A113&lt;&gt;""),"●","")</x:f>
      </x:c>
      <x:c r="AN113" s="165" t="str">
        <x:f>IF(AND(AN$5&gt;=$C113,AN$5&lt;=$D113,$A113&lt;&gt;""),"●","")</x:f>
      </x:c>
      <x:c r="AO113" s="165" t="str">
        <x:f>IF(AND(AO$5&gt;=$C113,AO$5&lt;=$D113,$A113&lt;&gt;""),"●","")</x:f>
      </x:c>
      <x:c r="AP113" s="165" t="str">
        <x:f>IF(AND(AP$5&gt;=$C113,AP$5&lt;=$D113,$A113&lt;&gt;""),"●","")</x:f>
      </x:c>
      <x:c r="AQ113" s="165" t="str">
        <x:f>IF(AND(AQ$5&gt;=$C113,AQ$5&lt;=$D113,$A113&lt;&gt;""),"●","")</x:f>
      </x:c>
      <x:c r="AR113" s="165" t="str">
        <x:f>IF(AND(AR$5&gt;=$C113,AR$5&lt;=$D113,$A113&lt;&gt;""),"●","")</x:f>
      </x:c>
      <x:c r="AS113" s="165" t="str">
        <x:f>IF(AND(AS$5&gt;=$C113,AS$5&lt;=$D113,$A113&lt;&gt;""),"●","")</x:f>
      </x:c>
      <x:c r="AT113" s="165" t="str">
        <x:f>IF(AND(AT$5&gt;=$C113,AT$5&lt;=$D113,$A113&lt;&gt;""),"●","")</x:f>
      </x:c>
      <x:c r="AU113" s="165" t="str">
        <x:f>IF(AND(AU$5&gt;=$C113,AU$5&lt;=$D113,$A113&lt;&gt;""),"●","")</x:f>
      </x:c>
      <x:c r="AV113" s="165" t="str">
        <x:f>IF(AND(AV$5&gt;=$C113,AV$5&lt;=$D113,$A113&lt;&gt;""),"●","")</x:f>
      </x:c>
      <x:c r="AW113" s="165" t="str">
        <x:f>IF(AND(AW$5&gt;=$C113,AW$5&lt;=$D113,$A113&lt;&gt;""),"●","")</x:f>
      </x:c>
      <x:c r="AX113" s="165" t="str">
        <x:f>IF(AND(AX$5&gt;=$C113,AX$5&lt;=$D113,$A113&lt;&gt;""),"●","")</x:f>
      </x:c>
      <x:c r="AY113" s="165" t="str">
        <x:f>IF(AND(AY$5&gt;=$C113,AY$5&lt;=$D113,$A113&lt;&gt;""),"●","")</x:f>
      </x:c>
      <x:c r="AZ113" s="165" t="str">
        <x:f>IF(AND(AZ$5&gt;=$C113,AZ$5&lt;=$D113,$A113&lt;&gt;""),"●","")</x:f>
      </x:c>
      <x:c r="BA113" s="165" t="str">
        <x:f>IF(AND(BA$5&gt;=$C113,BA$5&lt;=$D113,$A113&lt;&gt;""),"●","")</x:f>
      </x:c>
      <x:c r="BB113" s="165" t="str">
        <x:f>IF(AND(BB$5&gt;=$C113,BB$5&lt;=$D113,$A113&lt;&gt;""),"●","")</x:f>
      </x:c>
      <x:c r="BC113" s="165" t="str">
        <x:f>IF(AND(BC$5&gt;=$C113,BC$5&lt;=$D113,$A113&lt;&gt;""),"●","")</x:f>
      </x:c>
      <x:c r="BD113" s="165" t="str">
        <x:f>IF(AND(BD$5&gt;=$C113,BD$5&lt;=$D113,$A113&lt;&gt;""),"●","")</x:f>
      </x:c>
      <x:c r="BE113" s="165" t="str">
        <x:f>IF(AND(BE$5&gt;=$C113,BE$5&lt;=$D113,$A113&lt;&gt;""),"●","")</x:f>
      </x:c>
      <x:c r="BF113" s="165" t="str">
        <x:f>IF(AND(BF$5&gt;=$C113,BF$5&lt;=$D113,$A113&lt;&gt;""),"●","")</x:f>
      </x:c>
      <x:c r="BG113" s="165" t="str">
        <x:f>IF(AND(BG$5&gt;=$C113,BG$5&lt;=$D113,$A113&lt;&gt;""),"●","")</x:f>
      </x:c>
      <x:c r="BH113" s="165" t="str">
        <x:f>IF(AND(BH$5&gt;=$C113,BH$5&lt;=$D113,$A113&lt;&gt;""),"●","")</x:f>
      </x:c>
      <x:c r="BI113" s="165" t="str">
        <x:f>IF(AND(BI$5&gt;=$C113,BI$5&lt;=$D113,$A113&lt;&gt;""),"●","")</x:f>
      </x:c>
      <x:c r="BJ113" s="165" t="str">
        <x:f>IF(AND(BJ$5&gt;=$C113,BJ$5&lt;=$D113,$A113&lt;&gt;""),"●","")</x:f>
      </x:c>
      <x:c r="BK113" s="165" t="str">
        <x:f>IF(AND(BK$5&gt;=$C113,BK$5&lt;=$D113,$A113&lt;&gt;""),"●","")</x:f>
      </x:c>
      <x:c r="BL113" s="165" t="str">
        <x:f>IF(AND(BL$5&gt;=$C113,BL$5&lt;=$D113,$A113&lt;&gt;""),"●","")</x:f>
      </x:c>
      <x:c r="BM113" s="165" t="str">
        <x:f>IF(AND(BM$5&gt;=$C113,BM$5&lt;=$D113,$A113&lt;&gt;""),"●","")</x:f>
      </x:c>
      <x:c r="BN113" s="165" t="str">
        <x:f>IF(AND(BN$5&gt;=$C113,BN$5&lt;=$D113,$A113&lt;&gt;""),"●","")</x:f>
      </x:c>
      <x:c r="BO113" s="165" t="str">
        <x:f>IF(AND(BO$5&gt;=$C113,BO$5&lt;=$D113,$A113&lt;&gt;""),"●","")</x:f>
      </x:c>
      <x:c r="BP113" s="165" t="str">
        <x:f>IF(AND(BP$5&gt;=$C113,BP$5&lt;=$D113,$A113&lt;&gt;""),"●","")</x:f>
      </x:c>
      <x:c r="BQ113" s="165" t="str">
        <x:f>IF(AND(BQ$5&gt;=$C113,BQ$5&lt;=$D113,$A113&lt;&gt;""),"●","")</x:f>
      </x:c>
      <x:c r="BR113" s="165" t="str">
        <x:f>IF(AND(BR$5&gt;=$C113,BR$5&lt;=$D113,$A113&lt;&gt;""),"●","")</x:f>
      </x:c>
      <x:c r="BS113" s="165" t="str">
        <x:f>IF(AND(BS$5&gt;=$C113,BS$5&lt;=$D113,$A113&lt;&gt;""),"●","")</x:f>
      </x:c>
      <x:c r="BT113" s="165" t="str">
        <x:f>IF(AND(BT$5&gt;=$C113,BT$5&lt;=$D113,$A113&lt;&gt;""),"●","")</x:f>
      </x:c>
      <x:c r="BU113" s="165" t="str">
        <x:f>IF(AND(BU$5&gt;=$C113,BU$5&lt;=$D113,$A113&lt;&gt;""),"●","")</x:f>
      </x:c>
      <x:c r="BV113" s="165" t="str">
        <x:f>IF(AND(BV$5&gt;=$C113,BV$5&lt;=$D113,$A113&lt;&gt;""),"●","")</x:f>
      </x:c>
      <x:c r="BW113" s="165" t="str">
        <x:f>IF(AND(BW$5&gt;=$C113,BW$5&lt;=$D113,$A113&lt;&gt;""),"●","")</x:f>
      </x:c>
    </x:row>
    <x:row r="114">
      <x:c r="A114" s="159" t="str">
        <x:f>IF('รายการสัญญา'!A114="","",'รายการสัญญา'!A114)</x:f>
      </x:c>
      <x:c r="B114" s="159" t="str">
        <x:f>IF('รายการสัญญา'!A114="","",'รายการสัญญา'!C114)</x:f>
      </x:c>
      <x:c r="C114" s="162" t="str">
        <x:f>IF('รายการสัญญา'!A114="","",'รายการสัญญา'!E114)</x:f>
      </x:c>
      <x:c r="D114" s="162" t="str">
        <x:f>IF('รายการสัญญา'!A114="","",'รายการสัญญา'!G114)</x:f>
      </x:c>
      <x:c r="E114" s="159" t="str">
        <x:f>IF('รายการสัญญา'!A114="","",'รายการสัญญา'!K114)</x:f>
      </x:c>
      <x:c r="F114" s="165" t="str">
        <x:f>IF(AND(F$5&gt;=$C114,F$5&lt;=$D114,$A114&lt;&gt;""),"●","")</x:f>
      </x:c>
      <x:c r="G114" s="165" t="str">
        <x:f>IF(AND(G$5&gt;=$C114,G$5&lt;=$D114,$A114&lt;&gt;""),"●","")</x:f>
      </x:c>
      <x:c r="H114" s="165" t="str">
        <x:f>IF(AND(H$5&gt;=$C114,H$5&lt;=$D114,$A114&lt;&gt;""),"●","")</x:f>
      </x:c>
      <x:c r="I114" s="165" t="str">
        <x:f>IF(AND(I$5&gt;=$C114,I$5&lt;=$D114,$A114&lt;&gt;""),"●","")</x:f>
      </x:c>
      <x:c r="J114" s="165" t="str">
        <x:f>IF(AND(J$5&gt;=$C114,J$5&lt;=$D114,$A114&lt;&gt;""),"●","")</x:f>
      </x:c>
      <x:c r="K114" s="165" t="str">
        <x:f>IF(AND(K$5&gt;=$C114,K$5&lt;=$D114,$A114&lt;&gt;""),"●","")</x:f>
      </x:c>
      <x:c r="L114" s="165" t="str">
        <x:f>IF(AND(L$5&gt;=$C114,L$5&lt;=$D114,$A114&lt;&gt;""),"●","")</x:f>
      </x:c>
      <x:c r="M114" s="165" t="str">
        <x:f>IF(AND(M$5&gt;=$C114,M$5&lt;=$D114,$A114&lt;&gt;""),"●","")</x:f>
      </x:c>
      <x:c r="N114" s="165" t="str">
        <x:f>IF(AND(N$5&gt;=$C114,N$5&lt;=$D114,$A114&lt;&gt;""),"●","")</x:f>
      </x:c>
      <x:c r="O114" s="165" t="str">
        <x:f>IF(AND(O$5&gt;=$C114,O$5&lt;=$D114,$A114&lt;&gt;""),"●","")</x:f>
      </x:c>
      <x:c r="P114" s="165" t="str">
        <x:f>IF(AND(P$5&gt;=$C114,P$5&lt;=$D114,$A114&lt;&gt;""),"●","")</x:f>
      </x:c>
      <x:c r="Q114" s="165" t="str">
        <x:f>IF(AND(Q$5&gt;=$C114,Q$5&lt;=$D114,$A114&lt;&gt;""),"●","")</x:f>
      </x:c>
      <x:c r="R114" s="165" t="str">
        <x:f>IF(AND(R$5&gt;=$C114,R$5&lt;=$D114,$A114&lt;&gt;""),"●","")</x:f>
      </x:c>
      <x:c r="S114" s="165" t="str">
        <x:f>IF(AND(S$5&gt;=$C114,S$5&lt;=$D114,$A114&lt;&gt;""),"●","")</x:f>
      </x:c>
      <x:c r="T114" s="165" t="str">
        <x:f>IF(AND(T$5&gt;=$C114,T$5&lt;=$D114,$A114&lt;&gt;""),"●","")</x:f>
      </x:c>
      <x:c r="U114" s="165" t="str">
        <x:f>IF(AND(U$5&gt;=$C114,U$5&lt;=$D114,$A114&lt;&gt;""),"●","")</x:f>
      </x:c>
      <x:c r="V114" s="165" t="str">
        <x:f>IF(AND(V$5&gt;=$C114,V$5&lt;=$D114,$A114&lt;&gt;""),"●","")</x:f>
      </x:c>
      <x:c r="W114" s="165" t="str">
        <x:f>IF(AND(W$5&gt;=$C114,W$5&lt;=$D114,$A114&lt;&gt;""),"●","")</x:f>
      </x:c>
      <x:c r="X114" s="165" t="str">
        <x:f>IF(AND(X$5&gt;=$C114,X$5&lt;=$D114,$A114&lt;&gt;""),"●","")</x:f>
      </x:c>
      <x:c r="Y114" s="165" t="str">
        <x:f>IF(AND(Y$5&gt;=$C114,Y$5&lt;=$D114,$A114&lt;&gt;""),"●","")</x:f>
      </x:c>
      <x:c r="Z114" s="165" t="str">
        <x:f>IF(AND(Z$5&gt;=$C114,Z$5&lt;=$D114,$A114&lt;&gt;""),"●","")</x:f>
      </x:c>
      <x:c r="AA114" s="165" t="str">
        <x:f>IF(AND(AA$5&gt;=$C114,AA$5&lt;=$D114,$A114&lt;&gt;""),"●","")</x:f>
      </x:c>
      <x:c r="AB114" s="165" t="str">
        <x:f>IF(AND(AB$5&gt;=$C114,AB$5&lt;=$D114,$A114&lt;&gt;""),"●","")</x:f>
      </x:c>
      <x:c r="AC114" s="165" t="str">
        <x:f>IF(AND(AC$5&gt;=$C114,AC$5&lt;=$D114,$A114&lt;&gt;""),"●","")</x:f>
      </x:c>
      <x:c r="AD114" s="165" t="str">
        <x:f>IF(AND(AD$5&gt;=$C114,AD$5&lt;=$D114,$A114&lt;&gt;""),"●","")</x:f>
      </x:c>
      <x:c r="AE114" s="165" t="str">
        <x:f>IF(AND(AE$5&gt;=$C114,AE$5&lt;=$D114,$A114&lt;&gt;""),"●","")</x:f>
      </x:c>
      <x:c r="AF114" s="165" t="str">
        <x:f>IF(AND(AF$5&gt;=$C114,AF$5&lt;=$D114,$A114&lt;&gt;""),"●","")</x:f>
      </x:c>
      <x:c r="AG114" s="165" t="str">
        <x:f>IF(AND(AG$5&gt;=$C114,AG$5&lt;=$D114,$A114&lt;&gt;""),"●","")</x:f>
      </x:c>
      <x:c r="AH114" s="165" t="str">
        <x:f>IF(AND(AH$5&gt;=$C114,AH$5&lt;=$D114,$A114&lt;&gt;""),"●","")</x:f>
      </x:c>
      <x:c r="AI114" s="165" t="str">
        <x:f>IF(AND(AI$5&gt;=$C114,AI$5&lt;=$D114,$A114&lt;&gt;""),"●","")</x:f>
      </x:c>
      <x:c r="AJ114" s="165" t="str">
        <x:f>IF(AND(AJ$5&gt;=$C114,AJ$5&lt;=$D114,$A114&lt;&gt;""),"●","")</x:f>
      </x:c>
      <x:c r="AK114" s="165" t="str">
        <x:f>IF(AND(AK$5&gt;=$C114,AK$5&lt;=$D114,$A114&lt;&gt;""),"●","")</x:f>
      </x:c>
      <x:c r="AL114" s="165" t="str">
        <x:f>IF(AND(AL$5&gt;=$C114,AL$5&lt;=$D114,$A114&lt;&gt;""),"●","")</x:f>
      </x:c>
      <x:c r="AM114" s="165" t="str">
        <x:f>IF(AND(AM$5&gt;=$C114,AM$5&lt;=$D114,$A114&lt;&gt;""),"●","")</x:f>
      </x:c>
      <x:c r="AN114" s="165" t="str">
        <x:f>IF(AND(AN$5&gt;=$C114,AN$5&lt;=$D114,$A114&lt;&gt;""),"●","")</x:f>
      </x:c>
      <x:c r="AO114" s="165" t="str">
        <x:f>IF(AND(AO$5&gt;=$C114,AO$5&lt;=$D114,$A114&lt;&gt;""),"●","")</x:f>
      </x:c>
      <x:c r="AP114" s="165" t="str">
        <x:f>IF(AND(AP$5&gt;=$C114,AP$5&lt;=$D114,$A114&lt;&gt;""),"●","")</x:f>
      </x:c>
      <x:c r="AQ114" s="165" t="str">
        <x:f>IF(AND(AQ$5&gt;=$C114,AQ$5&lt;=$D114,$A114&lt;&gt;""),"●","")</x:f>
      </x:c>
      <x:c r="AR114" s="165" t="str">
        <x:f>IF(AND(AR$5&gt;=$C114,AR$5&lt;=$D114,$A114&lt;&gt;""),"●","")</x:f>
      </x:c>
      <x:c r="AS114" s="165" t="str">
        <x:f>IF(AND(AS$5&gt;=$C114,AS$5&lt;=$D114,$A114&lt;&gt;""),"●","")</x:f>
      </x:c>
      <x:c r="AT114" s="165" t="str">
        <x:f>IF(AND(AT$5&gt;=$C114,AT$5&lt;=$D114,$A114&lt;&gt;""),"●","")</x:f>
      </x:c>
      <x:c r="AU114" s="165" t="str">
        <x:f>IF(AND(AU$5&gt;=$C114,AU$5&lt;=$D114,$A114&lt;&gt;""),"●","")</x:f>
      </x:c>
      <x:c r="AV114" s="165" t="str">
        <x:f>IF(AND(AV$5&gt;=$C114,AV$5&lt;=$D114,$A114&lt;&gt;""),"●","")</x:f>
      </x:c>
      <x:c r="AW114" s="165" t="str">
        <x:f>IF(AND(AW$5&gt;=$C114,AW$5&lt;=$D114,$A114&lt;&gt;""),"●","")</x:f>
      </x:c>
      <x:c r="AX114" s="165" t="str">
        <x:f>IF(AND(AX$5&gt;=$C114,AX$5&lt;=$D114,$A114&lt;&gt;""),"●","")</x:f>
      </x:c>
      <x:c r="AY114" s="165" t="str">
        <x:f>IF(AND(AY$5&gt;=$C114,AY$5&lt;=$D114,$A114&lt;&gt;""),"●","")</x:f>
      </x:c>
      <x:c r="AZ114" s="165" t="str">
        <x:f>IF(AND(AZ$5&gt;=$C114,AZ$5&lt;=$D114,$A114&lt;&gt;""),"●","")</x:f>
      </x:c>
      <x:c r="BA114" s="165" t="str">
        <x:f>IF(AND(BA$5&gt;=$C114,BA$5&lt;=$D114,$A114&lt;&gt;""),"●","")</x:f>
      </x:c>
      <x:c r="BB114" s="165" t="str">
        <x:f>IF(AND(BB$5&gt;=$C114,BB$5&lt;=$D114,$A114&lt;&gt;""),"●","")</x:f>
      </x:c>
      <x:c r="BC114" s="165" t="str">
        <x:f>IF(AND(BC$5&gt;=$C114,BC$5&lt;=$D114,$A114&lt;&gt;""),"●","")</x:f>
      </x:c>
      <x:c r="BD114" s="165" t="str">
        <x:f>IF(AND(BD$5&gt;=$C114,BD$5&lt;=$D114,$A114&lt;&gt;""),"●","")</x:f>
      </x:c>
      <x:c r="BE114" s="165" t="str">
        <x:f>IF(AND(BE$5&gt;=$C114,BE$5&lt;=$D114,$A114&lt;&gt;""),"●","")</x:f>
      </x:c>
      <x:c r="BF114" s="165" t="str">
        <x:f>IF(AND(BF$5&gt;=$C114,BF$5&lt;=$D114,$A114&lt;&gt;""),"●","")</x:f>
      </x:c>
      <x:c r="BG114" s="165" t="str">
        <x:f>IF(AND(BG$5&gt;=$C114,BG$5&lt;=$D114,$A114&lt;&gt;""),"●","")</x:f>
      </x:c>
      <x:c r="BH114" s="165" t="str">
        <x:f>IF(AND(BH$5&gt;=$C114,BH$5&lt;=$D114,$A114&lt;&gt;""),"●","")</x:f>
      </x:c>
      <x:c r="BI114" s="165" t="str">
        <x:f>IF(AND(BI$5&gt;=$C114,BI$5&lt;=$D114,$A114&lt;&gt;""),"●","")</x:f>
      </x:c>
      <x:c r="BJ114" s="165" t="str">
        <x:f>IF(AND(BJ$5&gt;=$C114,BJ$5&lt;=$D114,$A114&lt;&gt;""),"●","")</x:f>
      </x:c>
      <x:c r="BK114" s="165" t="str">
        <x:f>IF(AND(BK$5&gt;=$C114,BK$5&lt;=$D114,$A114&lt;&gt;""),"●","")</x:f>
      </x:c>
      <x:c r="BL114" s="165" t="str">
        <x:f>IF(AND(BL$5&gt;=$C114,BL$5&lt;=$D114,$A114&lt;&gt;""),"●","")</x:f>
      </x:c>
      <x:c r="BM114" s="165" t="str">
        <x:f>IF(AND(BM$5&gt;=$C114,BM$5&lt;=$D114,$A114&lt;&gt;""),"●","")</x:f>
      </x:c>
      <x:c r="BN114" s="165" t="str">
        <x:f>IF(AND(BN$5&gt;=$C114,BN$5&lt;=$D114,$A114&lt;&gt;""),"●","")</x:f>
      </x:c>
      <x:c r="BO114" s="165" t="str">
        <x:f>IF(AND(BO$5&gt;=$C114,BO$5&lt;=$D114,$A114&lt;&gt;""),"●","")</x:f>
      </x:c>
      <x:c r="BP114" s="165" t="str">
        <x:f>IF(AND(BP$5&gt;=$C114,BP$5&lt;=$D114,$A114&lt;&gt;""),"●","")</x:f>
      </x:c>
      <x:c r="BQ114" s="165" t="str">
        <x:f>IF(AND(BQ$5&gt;=$C114,BQ$5&lt;=$D114,$A114&lt;&gt;""),"●","")</x:f>
      </x:c>
      <x:c r="BR114" s="165" t="str">
        <x:f>IF(AND(BR$5&gt;=$C114,BR$5&lt;=$D114,$A114&lt;&gt;""),"●","")</x:f>
      </x:c>
      <x:c r="BS114" s="165" t="str">
        <x:f>IF(AND(BS$5&gt;=$C114,BS$5&lt;=$D114,$A114&lt;&gt;""),"●","")</x:f>
      </x:c>
      <x:c r="BT114" s="165" t="str">
        <x:f>IF(AND(BT$5&gt;=$C114,BT$5&lt;=$D114,$A114&lt;&gt;""),"●","")</x:f>
      </x:c>
      <x:c r="BU114" s="165" t="str">
        <x:f>IF(AND(BU$5&gt;=$C114,BU$5&lt;=$D114,$A114&lt;&gt;""),"●","")</x:f>
      </x:c>
      <x:c r="BV114" s="165" t="str">
        <x:f>IF(AND(BV$5&gt;=$C114,BV$5&lt;=$D114,$A114&lt;&gt;""),"●","")</x:f>
      </x:c>
      <x:c r="BW114" s="165" t="str">
        <x:f>IF(AND(BW$5&gt;=$C114,BW$5&lt;=$D114,$A114&lt;&gt;""),"●","")</x:f>
      </x:c>
    </x:row>
    <x:row r="115">
      <x:c r="A115" s="159" t="str">
        <x:f>IF('รายการสัญญา'!A115="","",'รายการสัญญา'!A115)</x:f>
      </x:c>
      <x:c r="B115" s="159" t="str">
        <x:f>IF('รายการสัญญา'!A115="","",'รายการสัญญา'!C115)</x:f>
      </x:c>
      <x:c r="C115" s="162" t="str">
        <x:f>IF('รายการสัญญา'!A115="","",'รายการสัญญา'!E115)</x:f>
      </x:c>
      <x:c r="D115" s="162" t="str">
        <x:f>IF('รายการสัญญา'!A115="","",'รายการสัญญา'!G115)</x:f>
      </x:c>
      <x:c r="E115" s="159" t="str">
        <x:f>IF('รายการสัญญา'!A115="","",'รายการสัญญา'!K115)</x:f>
      </x:c>
      <x:c r="F115" s="165" t="str">
        <x:f>IF(AND(F$5&gt;=$C115,F$5&lt;=$D115,$A115&lt;&gt;""),"●","")</x:f>
      </x:c>
      <x:c r="G115" s="165" t="str">
        <x:f>IF(AND(G$5&gt;=$C115,G$5&lt;=$D115,$A115&lt;&gt;""),"●","")</x:f>
      </x:c>
      <x:c r="H115" s="165" t="str">
        <x:f>IF(AND(H$5&gt;=$C115,H$5&lt;=$D115,$A115&lt;&gt;""),"●","")</x:f>
      </x:c>
      <x:c r="I115" s="165" t="str">
        <x:f>IF(AND(I$5&gt;=$C115,I$5&lt;=$D115,$A115&lt;&gt;""),"●","")</x:f>
      </x:c>
      <x:c r="J115" s="165" t="str">
        <x:f>IF(AND(J$5&gt;=$C115,J$5&lt;=$D115,$A115&lt;&gt;""),"●","")</x:f>
      </x:c>
      <x:c r="K115" s="165" t="str">
        <x:f>IF(AND(K$5&gt;=$C115,K$5&lt;=$D115,$A115&lt;&gt;""),"●","")</x:f>
      </x:c>
      <x:c r="L115" s="165" t="str">
        <x:f>IF(AND(L$5&gt;=$C115,L$5&lt;=$D115,$A115&lt;&gt;""),"●","")</x:f>
      </x:c>
      <x:c r="M115" s="165" t="str">
        <x:f>IF(AND(M$5&gt;=$C115,M$5&lt;=$D115,$A115&lt;&gt;""),"●","")</x:f>
      </x:c>
      <x:c r="N115" s="165" t="str">
        <x:f>IF(AND(N$5&gt;=$C115,N$5&lt;=$D115,$A115&lt;&gt;""),"●","")</x:f>
      </x:c>
      <x:c r="O115" s="165" t="str">
        <x:f>IF(AND(O$5&gt;=$C115,O$5&lt;=$D115,$A115&lt;&gt;""),"●","")</x:f>
      </x:c>
      <x:c r="P115" s="165" t="str">
        <x:f>IF(AND(P$5&gt;=$C115,P$5&lt;=$D115,$A115&lt;&gt;""),"●","")</x:f>
      </x:c>
      <x:c r="Q115" s="165" t="str">
        <x:f>IF(AND(Q$5&gt;=$C115,Q$5&lt;=$D115,$A115&lt;&gt;""),"●","")</x:f>
      </x:c>
      <x:c r="R115" s="165" t="str">
        <x:f>IF(AND(R$5&gt;=$C115,R$5&lt;=$D115,$A115&lt;&gt;""),"●","")</x:f>
      </x:c>
      <x:c r="S115" s="165" t="str">
        <x:f>IF(AND(S$5&gt;=$C115,S$5&lt;=$D115,$A115&lt;&gt;""),"●","")</x:f>
      </x:c>
      <x:c r="T115" s="165" t="str">
        <x:f>IF(AND(T$5&gt;=$C115,T$5&lt;=$D115,$A115&lt;&gt;""),"●","")</x:f>
      </x:c>
      <x:c r="U115" s="165" t="str">
        <x:f>IF(AND(U$5&gt;=$C115,U$5&lt;=$D115,$A115&lt;&gt;""),"●","")</x:f>
      </x:c>
      <x:c r="V115" s="165" t="str">
        <x:f>IF(AND(V$5&gt;=$C115,V$5&lt;=$D115,$A115&lt;&gt;""),"●","")</x:f>
      </x:c>
      <x:c r="W115" s="165" t="str">
        <x:f>IF(AND(W$5&gt;=$C115,W$5&lt;=$D115,$A115&lt;&gt;""),"●","")</x:f>
      </x:c>
      <x:c r="X115" s="165" t="str">
        <x:f>IF(AND(X$5&gt;=$C115,X$5&lt;=$D115,$A115&lt;&gt;""),"●","")</x:f>
      </x:c>
      <x:c r="Y115" s="165" t="str">
        <x:f>IF(AND(Y$5&gt;=$C115,Y$5&lt;=$D115,$A115&lt;&gt;""),"●","")</x:f>
      </x:c>
      <x:c r="Z115" s="165" t="str">
        <x:f>IF(AND(Z$5&gt;=$C115,Z$5&lt;=$D115,$A115&lt;&gt;""),"●","")</x:f>
      </x:c>
      <x:c r="AA115" s="165" t="str">
        <x:f>IF(AND(AA$5&gt;=$C115,AA$5&lt;=$D115,$A115&lt;&gt;""),"●","")</x:f>
      </x:c>
      <x:c r="AB115" s="165" t="str">
        <x:f>IF(AND(AB$5&gt;=$C115,AB$5&lt;=$D115,$A115&lt;&gt;""),"●","")</x:f>
      </x:c>
      <x:c r="AC115" s="165" t="str">
        <x:f>IF(AND(AC$5&gt;=$C115,AC$5&lt;=$D115,$A115&lt;&gt;""),"●","")</x:f>
      </x:c>
      <x:c r="AD115" s="165" t="str">
        <x:f>IF(AND(AD$5&gt;=$C115,AD$5&lt;=$D115,$A115&lt;&gt;""),"●","")</x:f>
      </x:c>
      <x:c r="AE115" s="165" t="str">
        <x:f>IF(AND(AE$5&gt;=$C115,AE$5&lt;=$D115,$A115&lt;&gt;""),"●","")</x:f>
      </x:c>
      <x:c r="AF115" s="165" t="str">
        <x:f>IF(AND(AF$5&gt;=$C115,AF$5&lt;=$D115,$A115&lt;&gt;""),"●","")</x:f>
      </x:c>
      <x:c r="AG115" s="165" t="str">
        <x:f>IF(AND(AG$5&gt;=$C115,AG$5&lt;=$D115,$A115&lt;&gt;""),"●","")</x:f>
      </x:c>
      <x:c r="AH115" s="165" t="str">
        <x:f>IF(AND(AH$5&gt;=$C115,AH$5&lt;=$D115,$A115&lt;&gt;""),"●","")</x:f>
      </x:c>
      <x:c r="AI115" s="165" t="str">
        <x:f>IF(AND(AI$5&gt;=$C115,AI$5&lt;=$D115,$A115&lt;&gt;""),"●","")</x:f>
      </x:c>
      <x:c r="AJ115" s="165" t="str">
        <x:f>IF(AND(AJ$5&gt;=$C115,AJ$5&lt;=$D115,$A115&lt;&gt;""),"●","")</x:f>
      </x:c>
      <x:c r="AK115" s="165" t="str">
        <x:f>IF(AND(AK$5&gt;=$C115,AK$5&lt;=$D115,$A115&lt;&gt;""),"●","")</x:f>
      </x:c>
      <x:c r="AL115" s="165" t="str">
        <x:f>IF(AND(AL$5&gt;=$C115,AL$5&lt;=$D115,$A115&lt;&gt;""),"●","")</x:f>
      </x:c>
      <x:c r="AM115" s="165" t="str">
        <x:f>IF(AND(AM$5&gt;=$C115,AM$5&lt;=$D115,$A115&lt;&gt;""),"●","")</x:f>
      </x:c>
      <x:c r="AN115" s="165" t="str">
        <x:f>IF(AND(AN$5&gt;=$C115,AN$5&lt;=$D115,$A115&lt;&gt;""),"●","")</x:f>
      </x:c>
      <x:c r="AO115" s="165" t="str">
        <x:f>IF(AND(AO$5&gt;=$C115,AO$5&lt;=$D115,$A115&lt;&gt;""),"●","")</x:f>
      </x:c>
      <x:c r="AP115" s="165" t="str">
        <x:f>IF(AND(AP$5&gt;=$C115,AP$5&lt;=$D115,$A115&lt;&gt;""),"●","")</x:f>
      </x:c>
      <x:c r="AQ115" s="165" t="str">
        <x:f>IF(AND(AQ$5&gt;=$C115,AQ$5&lt;=$D115,$A115&lt;&gt;""),"●","")</x:f>
      </x:c>
      <x:c r="AR115" s="165" t="str">
        <x:f>IF(AND(AR$5&gt;=$C115,AR$5&lt;=$D115,$A115&lt;&gt;""),"●","")</x:f>
      </x:c>
      <x:c r="AS115" s="165" t="str">
        <x:f>IF(AND(AS$5&gt;=$C115,AS$5&lt;=$D115,$A115&lt;&gt;""),"●","")</x:f>
      </x:c>
      <x:c r="AT115" s="165" t="str">
        <x:f>IF(AND(AT$5&gt;=$C115,AT$5&lt;=$D115,$A115&lt;&gt;""),"●","")</x:f>
      </x:c>
      <x:c r="AU115" s="165" t="str">
        <x:f>IF(AND(AU$5&gt;=$C115,AU$5&lt;=$D115,$A115&lt;&gt;""),"●","")</x:f>
      </x:c>
      <x:c r="AV115" s="165" t="str">
        <x:f>IF(AND(AV$5&gt;=$C115,AV$5&lt;=$D115,$A115&lt;&gt;""),"●","")</x:f>
      </x:c>
      <x:c r="AW115" s="165" t="str">
        <x:f>IF(AND(AW$5&gt;=$C115,AW$5&lt;=$D115,$A115&lt;&gt;""),"●","")</x:f>
      </x:c>
      <x:c r="AX115" s="165" t="str">
        <x:f>IF(AND(AX$5&gt;=$C115,AX$5&lt;=$D115,$A115&lt;&gt;""),"●","")</x:f>
      </x:c>
      <x:c r="AY115" s="165" t="str">
        <x:f>IF(AND(AY$5&gt;=$C115,AY$5&lt;=$D115,$A115&lt;&gt;""),"●","")</x:f>
      </x:c>
      <x:c r="AZ115" s="165" t="str">
        <x:f>IF(AND(AZ$5&gt;=$C115,AZ$5&lt;=$D115,$A115&lt;&gt;""),"●","")</x:f>
      </x:c>
      <x:c r="BA115" s="165" t="str">
        <x:f>IF(AND(BA$5&gt;=$C115,BA$5&lt;=$D115,$A115&lt;&gt;""),"●","")</x:f>
      </x:c>
      <x:c r="BB115" s="165" t="str">
        <x:f>IF(AND(BB$5&gt;=$C115,BB$5&lt;=$D115,$A115&lt;&gt;""),"●","")</x:f>
      </x:c>
      <x:c r="BC115" s="165" t="str">
        <x:f>IF(AND(BC$5&gt;=$C115,BC$5&lt;=$D115,$A115&lt;&gt;""),"●","")</x:f>
      </x:c>
      <x:c r="BD115" s="165" t="str">
        <x:f>IF(AND(BD$5&gt;=$C115,BD$5&lt;=$D115,$A115&lt;&gt;""),"●","")</x:f>
      </x:c>
      <x:c r="BE115" s="165" t="str">
        <x:f>IF(AND(BE$5&gt;=$C115,BE$5&lt;=$D115,$A115&lt;&gt;""),"●","")</x:f>
      </x:c>
      <x:c r="BF115" s="165" t="str">
        <x:f>IF(AND(BF$5&gt;=$C115,BF$5&lt;=$D115,$A115&lt;&gt;""),"●","")</x:f>
      </x:c>
      <x:c r="BG115" s="165" t="str">
        <x:f>IF(AND(BG$5&gt;=$C115,BG$5&lt;=$D115,$A115&lt;&gt;""),"●","")</x:f>
      </x:c>
      <x:c r="BH115" s="165" t="str">
        <x:f>IF(AND(BH$5&gt;=$C115,BH$5&lt;=$D115,$A115&lt;&gt;""),"●","")</x:f>
      </x:c>
      <x:c r="BI115" s="165" t="str">
        <x:f>IF(AND(BI$5&gt;=$C115,BI$5&lt;=$D115,$A115&lt;&gt;""),"●","")</x:f>
      </x:c>
      <x:c r="BJ115" s="165" t="str">
        <x:f>IF(AND(BJ$5&gt;=$C115,BJ$5&lt;=$D115,$A115&lt;&gt;""),"●","")</x:f>
      </x:c>
      <x:c r="BK115" s="165" t="str">
        <x:f>IF(AND(BK$5&gt;=$C115,BK$5&lt;=$D115,$A115&lt;&gt;""),"●","")</x:f>
      </x:c>
      <x:c r="BL115" s="165" t="str">
        <x:f>IF(AND(BL$5&gt;=$C115,BL$5&lt;=$D115,$A115&lt;&gt;""),"●","")</x:f>
      </x:c>
      <x:c r="BM115" s="165" t="str">
        <x:f>IF(AND(BM$5&gt;=$C115,BM$5&lt;=$D115,$A115&lt;&gt;""),"●","")</x:f>
      </x:c>
      <x:c r="BN115" s="165" t="str">
        <x:f>IF(AND(BN$5&gt;=$C115,BN$5&lt;=$D115,$A115&lt;&gt;""),"●","")</x:f>
      </x:c>
      <x:c r="BO115" s="165" t="str">
        <x:f>IF(AND(BO$5&gt;=$C115,BO$5&lt;=$D115,$A115&lt;&gt;""),"●","")</x:f>
      </x:c>
      <x:c r="BP115" s="165" t="str">
        <x:f>IF(AND(BP$5&gt;=$C115,BP$5&lt;=$D115,$A115&lt;&gt;""),"●","")</x:f>
      </x:c>
      <x:c r="BQ115" s="165" t="str">
        <x:f>IF(AND(BQ$5&gt;=$C115,BQ$5&lt;=$D115,$A115&lt;&gt;""),"●","")</x:f>
      </x:c>
      <x:c r="BR115" s="165" t="str">
        <x:f>IF(AND(BR$5&gt;=$C115,BR$5&lt;=$D115,$A115&lt;&gt;""),"●","")</x:f>
      </x:c>
      <x:c r="BS115" s="165" t="str">
        <x:f>IF(AND(BS$5&gt;=$C115,BS$5&lt;=$D115,$A115&lt;&gt;""),"●","")</x:f>
      </x:c>
      <x:c r="BT115" s="165" t="str">
        <x:f>IF(AND(BT$5&gt;=$C115,BT$5&lt;=$D115,$A115&lt;&gt;""),"●","")</x:f>
      </x:c>
      <x:c r="BU115" s="165" t="str">
        <x:f>IF(AND(BU$5&gt;=$C115,BU$5&lt;=$D115,$A115&lt;&gt;""),"●","")</x:f>
      </x:c>
      <x:c r="BV115" s="165" t="str">
        <x:f>IF(AND(BV$5&gt;=$C115,BV$5&lt;=$D115,$A115&lt;&gt;""),"●","")</x:f>
      </x:c>
      <x:c r="BW115" s="165" t="str">
        <x:f>IF(AND(BW$5&gt;=$C115,BW$5&lt;=$D115,$A115&lt;&gt;""),"●","")</x:f>
      </x:c>
    </x:row>
    <x:row r="116">
      <x:c r="A116" s="159" t="str">
        <x:f>IF('รายการสัญญา'!A116="","",'รายการสัญญา'!A116)</x:f>
      </x:c>
      <x:c r="B116" s="159" t="str">
        <x:f>IF('รายการสัญญา'!A116="","",'รายการสัญญา'!C116)</x:f>
      </x:c>
      <x:c r="C116" s="162" t="str">
        <x:f>IF('รายการสัญญา'!A116="","",'รายการสัญญา'!E116)</x:f>
      </x:c>
      <x:c r="D116" s="162" t="str">
        <x:f>IF('รายการสัญญา'!A116="","",'รายการสัญญา'!G116)</x:f>
      </x:c>
      <x:c r="E116" s="159" t="str">
        <x:f>IF('รายการสัญญา'!A116="","",'รายการสัญญา'!K116)</x:f>
      </x:c>
      <x:c r="F116" s="165" t="str">
        <x:f>IF(AND(F$5&gt;=$C116,F$5&lt;=$D116,$A116&lt;&gt;""),"●","")</x:f>
      </x:c>
      <x:c r="G116" s="165" t="str">
        <x:f>IF(AND(G$5&gt;=$C116,G$5&lt;=$D116,$A116&lt;&gt;""),"●","")</x:f>
      </x:c>
      <x:c r="H116" s="165" t="str">
        <x:f>IF(AND(H$5&gt;=$C116,H$5&lt;=$D116,$A116&lt;&gt;""),"●","")</x:f>
      </x:c>
      <x:c r="I116" s="165" t="str">
        <x:f>IF(AND(I$5&gt;=$C116,I$5&lt;=$D116,$A116&lt;&gt;""),"●","")</x:f>
      </x:c>
      <x:c r="J116" s="165" t="str">
        <x:f>IF(AND(J$5&gt;=$C116,J$5&lt;=$D116,$A116&lt;&gt;""),"●","")</x:f>
      </x:c>
      <x:c r="K116" s="165" t="str">
        <x:f>IF(AND(K$5&gt;=$C116,K$5&lt;=$D116,$A116&lt;&gt;""),"●","")</x:f>
      </x:c>
      <x:c r="L116" s="165" t="str">
        <x:f>IF(AND(L$5&gt;=$C116,L$5&lt;=$D116,$A116&lt;&gt;""),"●","")</x:f>
      </x:c>
      <x:c r="M116" s="165" t="str">
        <x:f>IF(AND(M$5&gt;=$C116,M$5&lt;=$D116,$A116&lt;&gt;""),"●","")</x:f>
      </x:c>
      <x:c r="N116" s="165" t="str">
        <x:f>IF(AND(N$5&gt;=$C116,N$5&lt;=$D116,$A116&lt;&gt;""),"●","")</x:f>
      </x:c>
      <x:c r="O116" s="165" t="str">
        <x:f>IF(AND(O$5&gt;=$C116,O$5&lt;=$D116,$A116&lt;&gt;""),"●","")</x:f>
      </x:c>
      <x:c r="P116" s="165" t="str">
        <x:f>IF(AND(P$5&gt;=$C116,P$5&lt;=$D116,$A116&lt;&gt;""),"●","")</x:f>
      </x:c>
      <x:c r="Q116" s="165" t="str">
        <x:f>IF(AND(Q$5&gt;=$C116,Q$5&lt;=$D116,$A116&lt;&gt;""),"●","")</x:f>
      </x:c>
      <x:c r="R116" s="165" t="str">
        <x:f>IF(AND(R$5&gt;=$C116,R$5&lt;=$D116,$A116&lt;&gt;""),"●","")</x:f>
      </x:c>
      <x:c r="S116" s="165" t="str">
        <x:f>IF(AND(S$5&gt;=$C116,S$5&lt;=$D116,$A116&lt;&gt;""),"●","")</x:f>
      </x:c>
      <x:c r="T116" s="165" t="str">
        <x:f>IF(AND(T$5&gt;=$C116,T$5&lt;=$D116,$A116&lt;&gt;""),"●","")</x:f>
      </x:c>
      <x:c r="U116" s="165" t="str">
        <x:f>IF(AND(U$5&gt;=$C116,U$5&lt;=$D116,$A116&lt;&gt;""),"●","")</x:f>
      </x:c>
      <x:c r="V116" s="165" t="str">
        <x:f>IF(AND(V$5&gt;=$C116,V$5&lt;=$D116,$A116&lt;&gt;""),"●","")</x:f>
      </x:c>
      <x:c r="W116" s="165" t="str">
        <x:f>IF(AND(W$5&gt;=$C116,W$5&lt;=$D116,$A116&lt;&gt;""),"●","")</x:f>
      </x:c>
      <x:c r="X116" s="165" t="str">
        <x:f>IF(AND(X$5&gt;=$C116,X$5&lt;=$D116,$A116&lt;&gt;""),"●","")</x:f>
      </x:c>
      <x:c r="Y116" s="165" t="str">
        <x:f>IF(AND(Y$5&gt;=$C116,Y$5&lt;=$D116,$A116&lt;&gt;""),"●","")</x:f>
      </x:c>
      <x:c r="Z116" s="165" t="str">
        <x:f>IF(AND(Z$5&gt;=$C116,Z$5&lt;=$D116,$A116&lt;&gt;""),"●","")</x:f>
      </x:c>
      <x:c r="AA116" s="165" t="str">
        <x:f>IF(AND(AA$5&gt;=$C116,AA$5&lt;=$D116,$A116&lt;&gt;""),"●","")</x:f>
      </x:c>
      <x:c r="AB116" s="165" t="str">
        <x:f>IF(AND(AB$5&gt;=$C116,AB$5&lt;=$D116,$A116&lt;&gt;""),"●","")</x:f>
      </x:c>
      <x:c r="AC116" s="165" t="str">
        <x:f>IF(AND(AC$5&gt;=$C116,AC$5&lt;=$D116,$A116&lt;&gt;""),"●","")</x:f>
      </x:c>
      <x:c r="AD116" s="165" t="str">
        <x:f>IF(AND(AD$5&gt;=$C116,AD$5&lt;=$D116,$A116&lt;&gt;""),"●","")</x:f>
      </x:c>
      <x:c r="AE116" s="165" t="str">
        <x:f>IF(AND(AE$5&gt;=$C116,AE$5&lt;=$D116,$A116&lt;&gt;""),"●","")</x:f>
      </x:c>
      <x:c r="AF116" s="165" t="str">
        <x:f>IF(AND(AF$5&gt;=$C116,AF$5&lt;=$D116,$A116&lt;&gt;""),"●","")</x:f>
      </x:c>
      <x:c r="AG116" s="165" t="str">
        <x:f>IF(AND(AG$5&gt;=$C116,AG$5&lt;=$D116,$A116&lt;&gt;""),"●","")</x:f>
      </x:c>
      <x:c r="AH116" s="165" t="str">
        <x:f>IF(AND(AH$5&gt;=$C116,AH$5&lt;=$D116,$A116&lt;&gt;""),"●","")</x:f>
      </x:c>
      <x:c r="AI116" s="165" t="str">
        <x:f>IF(AND(AI$5&gt;=$C116,AI$5&lt;=$D116,$A116&lt;&gt;""),"●","")</x:f>
      </x:c>
      <x:c r="AJ116" s="165" t="str">
        <x:f>IF(AND(AJ$5&gt;=$C116,AJ$5&lt;=$D116,$A116&lt;&gt;""),"●","")</x:f>
      </x:c>
      <x:c r="AK116" s="165" t="str">
        <x:f>IF(AND(AK$5&gt;=$C116,AK$5&lt;=$D116,$A116&lt;&gt;""),"●","")</x:f>
      </x:c>
      <x:c r="AL116" s="165" t="str">
        <x:f>IF(AND(AL$5&gt;=$C116,AL$5&lt;=$D116,$A116&lt;&gt;""),"●","")</x:f>
      </x:c>
      <x:c r="AM116" s="165" t="str">
        <x:f>IF(AND(AM$5&gt;=$C116,AM$5&lt;=$D116,$A116&lt;&gt;""),"●","")</x:f>
      </x:c>
      <x:c r="AN116" s="165" t="str">
        <x:f>IF(AND(AN$5&gt;=$C116,AN$5&lt;=$D116,$A116&lt;&gt;""),"●","")</x:f>
      </x:c>
      <x:c r="AO116" s="165" t="str">
        <x:f>IF(AND(AO$5&gt;=$C116,AO$5&lt;=$D116,$A116&lt;&gt;""),"●","")</x:f>
      </x:c>
      <x:c r="AP116" s="165" t="str">
        <x:f>IF(AND(AP$5&gt;=$C116,AP$5&lt;=$D116,$A116&lt;&gt;""),"●","")</x:f>
      </x:c>
      <x:c r="AQ116" s="165" t="str">
        <x:f>IF(AND(AQ$5&gt;=$C116,AQ$5&lt;=$D116,$A116&lt;&gt;""),"●","")</x:f>
      </x:c>
      <x:c r="AR116" s="165" t="str">
        <x:f>IF(AND(AR$5&gt;=$C116,AR$5&lt;=$D116,$A116&lt;&gt;""),"●","")</x:f>
      </x:c>
      <x:c r="AS116" s="165" t="str">
        <x:f>IF(AND(AS$5&gt;=$C116,AS$5&lt;=$D116,$A116&lt;&gt;""),"●","")</x:f>
      </x:c>
      <x:c r="AT116" s="165" t="str">
        <x:f>IF(AND(AT$5&gt;=$C116,AT$5&lt;=$D116,$A116&lt;&gt;""),"●","")</x:f>
      </x:c>
      <x:c r="AU116" s="165" t="str">
        <x:f>IF(AND(AU$5&gt;=$C116,AU$5&lt;=$D116,$A116&lt;&gt;""),"●","")</x:f>
      </x:c>
      <x:c r="AV116" s="165" t="str">
        <x:f>IF(AND(AV$5&gt;=$C116,AV$5&lt;=$D116,$A116&lt;&gt;""),"●","")</x:f>
      </x:c>
      <x:c r="AW116" s="165" t="str">
        <x:f>IF(AND(AW$5&gt;=$C116,AW$5&lt;=$D116,$A116&lt;&gt;""),"●","")</x:f>
      </x:c>
      <x:c r="AX116" s="165" t="str">
        <x:f>IF(AND(AX$5&gt;=$C116,AX$5&lt;=$D116,$A116&lt;&gt;""),"●","")</x:f>
      </x:c>
      <x:c r="AY116" s="165" t="str">
        <x:f>IF(AND(AY$5&gt;=$C116,AY$5&lt;=$D116,$A116&lt;&gt;""),"●","")</x:f>
      </x:c>
      <x:c r="AZ116" s="165" t="str">
        <x:f>IF(AND(AZ$5&gt;=$C116,AZ$5&lt;=$D116,$A116&lt;&gt;""),"●","")</x:f>
      </x:c>
      <x:c r="BA116" s="165" t="str">
        <x:f>IF(AND(BA$5&gt;=$C116,BA$5&lt;=$D116,$A116&lt;&gt;""),"●","")</x:f>
      </x:c>
      <x:c r="BB116" s="165" t="str">
        <x:f>IF(AND(BB$5&gt;=$C116,BB$5&lt;=$D116,$A116&lt;&gt;""),"●","")</x:f>
      </x:c>
      <x:c r="BC116" s="165" t="str">
        <x:f>IF(AND(BC$5&gt;=$C116,BC$5&lt;=$D116,$A116&lt;&gt;""),"●","")</x:f>
      </x:c>
      <x:c r="BD116" s="165" t="str">
        <x:f>IF(AND(BD$5&gt;=$C116,BD$5&lt;=$D116,$A116&lt;&gt;""),"●","")</x:f>
      </x:c>
      <x:c r="BE116" s="165" t="str">
        <x:f>IF(AND(BE$5&gt;=$C116,BE$5&lt;=$D116,$A116&lt;&gt;""),"●","")</x:f>
      </x:c>
      <x:c r="BF116" s="165" t="str">
        <x:f>IF(AND(BF$5&gt;=$C116,BF$5&lt;=$D116,$A116&lt;&gt;""),"●","")</x:f>
      </x:c>
      <x:c r="BG116" s="165" t="str">
        <x:f>IF(AND(BG$5&gt;=$C116,BG$5&lt;=$D116,$A116&lt;&gt;""),"●","")</x:f>
      </x:c>
      <x:c r="BH116" s="165" t="str">
        <x:f>IF(AND(BH$5&gt;=$C116,BH$5&lt;=$D116,$A116&lt;&gt;""),"●","")</x:f>
      </x:c>
      <x:c r="BI116" s="165" t="str">
        <x:f>IF(AND(BI$5&gt;=$C116,BI$5&lt;=$D116,$A116&lt;&gt;""),"●","")</x:f>
      </x:c>
      <x:c r="BJ116" s="165" t="str">
        <x:f>IF(AND(BJ$5&gt;=$C116,BJ$5&lt;=$D116,$A116&lt;&gt;""),"●","")</x:f>
      </x:c>
      <x:c r="BK116" s="165" t="str">
        <x:f>IF(AND(BK$5&gt;=$C116,BK$5&lt;=$D116,$A116&lt;&gt;""),"●","")</x:f>
      </x:c>
      <x:c r="BL116" s="165" t="str">
        <x:f>IF(AND(BL$5&gt;=$C116,BL$5&lt;=$D116,$A116&lt;&gt;""),"●","")</x:f>
      </x:c>
      <x:c r="BM116" s="165" t="str">
        <x:f>IF(AND(BM$5&gt;=$C116,BM$5&lt;=$D116,$A116&lt;&gt;""),"●","")</x:f>
      </x:c>
      <x:c r="BN116" s="165" t="str">
        <x:f>IF(AND(BN$5&gt;=$C116,BN$5&lt;=$D116,$A116&lt;&gt;""),"●","")</x:f>
      </x:c>
      <x:c r="BO116" s="165" t="str">
        <x:f>IF(AND(BO$5&gt;=$C116,BO$5&lt;=$D116,$A116&lt;&gt;""),"●","")</x:f>
      </x:c>
      <x:c r="BP116" s="165" t="str">
        <x:f>IF(AND(BP$5&gt;=$C116,BP$5&lt;=$D116,$A116&lt;&gt;""),"●","")</x:f>
      </x:c>
      <x:c r="BQ116" s="165" t="str">
        <x:f>IF(AND(BQ$5&gt;=$C116,BQ$5&lt;=$D116,$A116&lt;&gt;""),"●","")</x:f>
      </x:c>
      <x:c r="BR116" s="165" t="str">
        <x:f>IF(AND(BR$5&gt;=$C116,BR$5&lt;=$D116,$A116&lt;&gt;""),"●","")</x:f>
      </x:c>
      <x:c r="BS116" s="165" t="str">
        <x:f>IF(AND(BS$5&gt;=$C116,BS$5&lt;=$D116,$A116&lt;&gt;""),"●","")</x:f>
      </x:c>
      <x:c r="BT116" s="165" t="str">
        <x:f>IF(AND(BT$5&gt;=$C116,BT$5&lt;=$D116,$A116&lt;&gt;""),"●","")</x:f>
      </x:c>
      <x:c r="BU116" s="165" t="str">
        <x:f>IF(AND(BU$5&gt;=$C116,BU$5&lt;=$D116,$A116&lt;&gt;""),"●","")</x:f>
      </x:c>
      <x:c r="BV116" s="165" t="str">
        <x:f>IF(AND(BV$5&gt;=$C116,BV$5&lt;=$D116,$A116&lt;&gt;""),"●","")</x:f>
      </x:c>
      <x:c r="BW116" s="165" t="str">
        <x:f>IF(AND(BW$5&gt;=$C116,BW$5&lt;=$D116,$A116&lt;&gt;""),"●","")</x:f>
      </x:c>
    </x:row>
    <x:row r="117">
      <x:c r="A117" s="159" t="str">
        <x:f>IF('รายการสัญญา'!A117="","",'รายการสัญญา'!A117)</x:f>
      </x:c>
      <x:c r="B117" s="159" t="str">
        <x:f>IF('รายการสัญญา'!A117="","",'รายการสัญญา'!C117)</x:f>
      </x:c>
      <x:c r="C117" s="162" t="str">
        <x:f>IF('รายการสัญญา'!A117="","",'รายการสัญญา'!E117)</x:f>
      </x:c>
      <x:c r="D117" s="162" t="str">
        <x:f>IF('รายการสัญญา'!A117="","",'รายการสัญญา'!G117)</x:f>
      </x:c>
      <x:c r="E117" s="159" t="str">
        <x:f>IF('รายการสัญญา'!A117="","",'รายการสัญญา'!K117)</x:f>
      </x:c>
      <x:c r="F117" s="165" t="str">
        <x:f>IF(AND(F$5&gt;=$C117,F$5&lt;=$D117,$A117&lt;&gt;""),"●","")</x:f>
      </x:c>
      <x:c r="G117" s="165" t="str">
        <x:f>IF(AND(G$5&gt;=$C117,G$5&lt;=$D117,$A117&lt;&gt;""),"●","")</x:f>
      </x:c>
      <x:c r="H117" s="165" t="str">
        <x:f>IF(AND(H$5&gt;=$C117,H$5&lt;=$D117,$A117&lt;&gt;""),"●","")</x:f>
      </x:c>
      <x:c r="I117" s="165" t="str">
        <x:f>IF(AND(I$5&gt;=$C117,I$5&lt;=$D117,$A117&lt;&gt;""),"●","")</x:f>
      </x:c>
      <x:c r="J117" s="165" t="str">
        <x:f>IF(AND(J$5&gt;=$C117,J$5&lt;=$D117,$A117&lt;&gt;""),"●","")</x:f>
      </x:c>
      <x:c r="K117" s="165" t="str">
        <x:f>IF(AND(K$5&gt;=$C117,K$5&lt;=$D117,$A117&lt;&gt;""),"●","")</x:f>
      </x:c>
      <x:c r="L117" s="165" t="str">
        <x:f>IF(AND(L$5&gt;=$C117,L$5&lt;=$D117,$A117&lt;&gt;""),"●","")</x:f>
      </x:c>
      <x:c r="M117" s="165" t="str">
        <x:f>IF(AND(M$5&gt;=$C117,M$5&lt;=$D117,$A117&lt;&gt;""),"●","")</x:f>
      </x:c>
      <x:c r="N117" s="165" t="str">
        <x:f>IF(AND(N$5&gt;=$C117,N$5&lt;=$D117,$A117&lt;&gt;""),"●","")</x:f>
      </x:c>
      <x:c r="O117" s="165" t="str">
        <x:f>IF(AND(O$5&gt;=$C117,O$5&lt;=$D117,$A117&lt;&gt;""),"●","")</x:f>
      </x:c>
      <x:c r="P117" s="165" t="str">
        <x:f>IF(AND(P$5&gt;=$C117,P$5&lt;=$D117,$A117&lt;&gt;""),"●","")</x:f>
      </x:c>
      <x:c r="Q117" s="165" t="str">
        <x:f>IF(AND(Q$5&gt;=$C117,Q$5&lt;=$D117,$A117&lt;&gt;""),"●","")</x:f>
      </x:c>
      <x:c r="R117" s="165" t="str">
        <x:f>IF(AND(R$5&gt;=$C117,R$5&lt;=$D117,$A117&lt;&gt;""),"●","")</x:f>
      </x:c>
      <x:c r="S117" s="165" t="str">
        <x:f>IF(AND(S$5&gt;=$C117,S$5&lt;=$D117,$A117&lt;&gt;""),"●","")</x:f>
      </x:c>
      <x:c r="T117" s="165" t="str">
        <x:f>IF(AND(T$5&gt;=$C117,T$5&lt;=$D117,$A117&lt;&gt;""),"●","")</x:f>
      </x:c>
      <x:c r="U117" s="165" t="str">
        <x:f>IF(AND(U$5&gt;=$C117,U$5&lt;=$D117,$A117&lt;&gt;""),"●","")</x:f>
      </x:c>
      <x:c r="V117" s="165" t="str">
        <x:f>IF(AND(V$5&gt;=$C117,V$5&lt;=$D117,$A117&lt;&gt;""),"●","")</x:f>
      </x:c>
      <x:c r="W117" s="165" t="str">
        <x:f>IF(AND(W$5&gt;=$C117,W$5&lt;=$D117,$A117&lt;&gt;""),"●","")</x:f>
      </x:c>
      <x:c r="X117" s="165" t="str">
        <x:f>IF(AND(X$5&gt;=$C117,X$5&lt;=$D117,$A117&lt;&gt;""),"●","")</x:f>
      </x:c>
      <x:c r="Y117" s="165" t="str">
        <x:f>IF(AND(Y$5&gt;=$C117,Y$5&lt;=$D117,$A117&lt;&gt;""),"●","")</x:f>
      </x:c>
      <x:c r="Z117" s="165" t="str">
        <x:f>IF(AND(Z$5&gt;=$C117,Z$5&lt;=$D117,$A117&lt;&gt;""),"●","")</x:f>
      </x:c>
      <x:c r="AA117" s="165" t="str">
        <x:f>IF(AND(AA$5&gt;=$C117,AA$5&lt;=$D117,$A117&lt;&gt;""),"●","")</x:f>
      </x:c>
      <x:c r="AB117" s="165" t="str">
        <x:f>IF(AND(AB$5&gt;=$C117,AB$5&lt;=$D117,$A117&lt;&gt;""),"●","")</x:f>
      </x:c>
      <x:c r="AC117" s="165" t="str">
        <x:f>IF(AND(AC$5&gt;=$C117,AC$5&lt;=$D117,$A117&lt;&gt;""),"●","")</x:f>
      </x:c>
      <x:c r="AD117" s="165" t="str">
        <x:f>IF(AND(AD$5&gt;=$C117,AD$5&lt;=$D117,$A117&lt;&gt;""),"●","")</x:f>
      </x:c>
      <x:c r="AE117" s="165" t="str">
        <x:f>IF(AND(AE$5&gt;=$C117,AE$5&lt;=$D117,$A117&lt;&gt;""),"●","")</x:f>
      </x:c>
      <x:c r="AF117" s="165" t="str">
        <x:f>IF(AND(AF$5&gt;=$C117,AF$5&lt;=$D117,$A117&lt;&gt;""),"●","")</x:f>
      </x:c>
      <x:c r="AG117" s="165" t="str">
        <x:f>IF(AND(AG$5&gt;=$C117,AG$5&lt;=$D117,$A117&lt;&gt;""),"●","")</x:f>
      </x:c>
      <x:c r="AH117" s="165" t="str">
        <x:f>IF(AND(AH$5&gt;=$C117,AH$5&lt;=$D117,$A117&lt;&gt;""),"●","")</x:f>
      </x:c>
      <x:c r="AI117" s="165" t="str">
        <x:f>IF(AND(AI$5&gt;=$C117,AI$5&lt;=$D117,$A117&lt;&gt;""),"●","")</x:f>
      </x:c>
      <x:c r="AJ117" s="165" t="str">
        <x:f>IF(AND(AJ$5&gt;=$C117,AJ$5&lt;=$D117,$A117&lt;&gt;""),"●","")</x:f>
      </x:c>
      <x:c r="AK117" s="165" t="str">
        <x:f>IF(AND(AK$5&gt;=$C117,AK$5&lt;=$D117,$A117&lt;&gt;""),"●","")</x:f>
      </x:c>
      <x:c r="AL117" s="165" t="str">
        <x:f>IF(AND(AL$5&gt;=$C117,AL$5&lt;=$D117,$A117&lt;&gt;""),"●","")</x:f>
      </x:c>
      <x:c r="AM117" s="165" t="str">
        <x:f>IF(AND(AM$5&gt;=$C117,AM$5&lt;=$D117,$A117&lt;&gt;""),"●","")</x:f>
      </x:c>
      <x:c r="AN117" s="165" t="str">
        <x:f>IF(AND(AN$5&gt;=$C117,AN$5&lt;=$D117,$A117&lt;&gt;""),"●","")</x:f>
      </x:c>
      <x:c r="AO117" s="165" t="str">
        <x:f>IF(AND(AO$5&gt;=$C117,AO$5&lt;=$D117,$A117&lt;&gt;""),"●","")</x:f>
      </x:c>
      <x:c r="AP117" s="165" t="str">
        <x:f>IF(AND(AP$5&gt;=$C117,AP$5&lt;=$D117,$A117&lt;&gt;""),"●","")</x:f>
      </x:c>
      <x:c r="AQ117" s="165" t="str">
        <x:f>IF(AND(AQ$5&gt;=$C117,AQ$5&lt;=$D117,$A117&lt;&gt;""),"●","")</x:f>
      </x:c>
      <x:c r="AR117" s="165" t="str">
        <x:f>IF(AND(AR$5&gt;=$C117,AR$5&lt;=$D117,$A117&lt;&gt;""),"●","")</x:f>
      </x:c>
      <x:c r="AS117" s="165" t="str">
        <x:f>IF(AND(AS$5&gt;=$C117,AS$5&lt;=$D117,$A117&lt;&gt;""),"●","")</x:f>
      </x:c>
      <x:c r="AT117" s="165" t="str">
        <x:f>IF(AND(AT$5&gt;=$C117,AT$5&lt;=$D117,$A117&lt;&gt;""),"●","")</x:f>
      </x:c>
      <x:c r="AU117" s="165" t="str">
        <x:f>IF(AND(AU$5&gt;=$C117,AU$5&lt;=$D117,$A117&lt;&gt;""),"●","")</x:f>
      </x:c>
      <x:c r="AV117" s="165" t="str">
        <x:f>IF(AND(AV$5&gt;=$C117,AV$5&lt;=$D117,$A117&lt;&gt;""),"●","")</x:f>
      </x:c>
      <x:c r="AW117" s="165" t="str">
        <x:f>IF(AND(AW$5&gt;=$C117,AW$5&lt;=$D117,$A117&lt;&gt;""),"●","")</x:f>
      </x:c>
      <x:c r="AX117" s="165" t="str">
        <x:f>IF(AND(AX$5&gt;=$C117,AX$5&lt;=$D117,$A117&lt;&gt;""),"●","")</x:f>
      </x:c>
      <x:c r="AY117" s="165" t="str">
        <x:f>IF(AND(AY$5&gt;=$C117,AY$5&lt;=$D117,$A117&lt;&gt;""),"●","")</x:f>
      </x:c>
      <x:c r="AZ117" s="165" t="str">
        <x:f>IF(AND(AZ$5&gt;=$C117,AZ$5&lt;=$D117,$A117&lt;&gt;""),"●","")</x:f>
      </x:c>
      <x:c r="BA117" s="165" t="str">
        <x:f>IF(AND(BA$5&gt;=$C117,BA$5&lt;=$D117,$A117&lt;&gt;""),"●","")</x:f>
      </x:c>
      <x:c r="BB117" s="165" t="str">
        <x:f>IF(AND(BB$5&gt;=$C117,BB$5&lt;=$D117,$A117&lt;&gt;""),"●","")</x:f>
      </x:c>
      <x:c r="BC117" s="165" t="str">
        <x:f>IF(AND(BC$5&gt;=$C117,BC$5&lt;=$D117,$A117&lt;&gt;""),"●","")</x:f>
      </x:c>
      <x:c r="BD117" s="165" t="str">
        <x:f>IF(AND(BD$5&gt;=$C117,BD$5&lt;=$D117,$A117&lt;&gt;""),"●","")</x:f>
      </x:c>
      <x:c r="BE117" s="165" t="str">
        <x:f>IF(AND(BE$5&gt;=$C117,BE$5&lt;=$D117,$A117&lt;&gt;""),"●","")</x:f>
      </x:c>
      <x:c r="BF117" s="165" t="str">
        <x:f>IF(AND(BF$5&gt;=$C117,BF$5&lt;=$D117,$A117&lt;&gt;""),"●","")</x:f>
      </x:c>
      <x:c r="BG117" s="165" t="str">
        <x:f>IF(AND(BG$5&gt;=$C117,BG$5&lt;=$D117,$A117&lt;&gt;""),"●","")</x:f>
      </x:c>
      <x:c r="BH117" s="165" t="str">
        <x:f>IF(AND(BH$5&gt;=$C117,BH$5&lt;=$D117,$A117&lt;&gt;""),"●","")</x:f>
      </x:c>
      <x:c r="BI117" s="165" t="str">
        <x:f>IF(AND(BI$5&gt;=$C117,BI$5&lt;=$D117,$A117&lt;&gt;""),"●","")</x:f>
      </x:c>
      <x:c r="BJ117" s="165" t="str">
        <x:f>IF(AND(BJ$5&gt;=$C117,BJ$5&lt;=$D117,$A117&lt;&gt;""),"●","")</x:f>
      </x:c>
      <x:c r="BK117" s="165" t="str">
        <x:f>IF(AND(BK$5&gt;=$C117,BK$5&lt;=$D117,$A117&lt;&gt;""),"●","")</x:f>
      </x:c>
      <x:c r="BL117" s="165" t="str">
        <x:f>IF(AND(BL$5&gt;=$C117,BL$5&lt;=$D117,$A117&lt;&gt;""),"●","")</x:f>
      </x:c>
      <x:c r="BM117" s="165" t="str">
        <x:f>IF(AND(BM$5&gt;=$C117,BM$5&lt;=$D117,$A117&lt;&gt;""),"●","")</x:f>
      </x:c>
      <x:c r="BN117" s="165" t="str">
        <x:f>IF(AND(BN$5&gt;=$C117,BN$5&lt;=$D117,$A117&lt;&gt;""),"●","")</x:f>
      </x:c>
      <x:c r="BO117" s="165" t="str">
        <x:f>IF(AND(BO$5&gt;=$C117,BO$5&lt;=$D117,$A117&lt;&gt;""),"●","")</x:f>
      </x:c>
      <x:c r="BP117" s="165" t="str">
        <x:f>IF(AND(BP$5&gt;=$C117,BP$5&lt;=$D117,$A117&lt;&gt;""),"●","")</x:f>
      </x:c>
      <x:c r="BQ117" s="165" t="str">
        <x:f>IF(AND(BQ$5&gt;=$C117,BQ$5&lt;=$D117,$A117&lt;&gt;""),"●","")</x:f>
      </x:c>
      <x:c r="BR117" s="165" t="str">
        <x:f>IF(AND(BR$5&gt;=$C117,BR$5&lt;=$D117,$A117&lt;&gt;""),"●","")</x:f>
      </x:c>
      <x:c r="BS117" s="165" t="str">
        <x:f>IF(AND(BS$5&gt;=$C117,BS$5&lt;=$D117,$A117&lt;&gt;""),"●","")</x:f>
      </x:c>
      <x:c r="BT117" s="165" t="str">
        <x:f>IF(AND(BT$5&gt;=$C117,BT$5&lt;=$D117,$A117&lt;&gt;""),"●","")</x:f>
      </x:c>
      <x:c r="BU117" s="165" t="str">
        <x:f>IF(AND(BU$5&gt;=$C117,BU$5&lt;=$D117,$A117&lt;&gt;""),"●","")</x:f>
      </x:c>
      <x:c r="BV117" s="165" t="str">
        <x:f>IF(AND(BV$5&gt;=$C117,BV$5&lt;=$D117,$A117&lt;&gt;""),"●","")</x:f>
      </x:c>
      <x:c r="BW117" s="165" t="str">
        <x:f>IF(AND(BW$5&gt;=$C117,BW$5&lt;=$D117,$A117&lt;&gt;""),"●","")</x:f>
      </x:c>
    </x:row>
    <x:row r="118">
      <x:c r="A118" s="159" t="str">
        <x:f>IF('รายการสัญญา'!A118="","",'รายการสัญญา'!A118)</x:f>
      </x:c>
      <x:c r="B118" s="159" t="str">
        <x:f>IF('รายการสัญญา'!A118="","",'รายการสัญญา'!C118)</x:f>
      </x:c>
      <x:c r="C118" s="162" t="str">
        <x:f>IF('รายการสัญญา'!A118="","",'รายการสัญญา'!E118)</x:f>
      </x:c>
      <x:c r="D118" s="162" t="str">
        <x:f>IF('รายการสัญญา'!A118="","",'รายการสัญญา'!G118)</x:f>
      </x:c>
      <x:c r="E118" s="159" t="str">
        <x:f>IF('รายการสัญญา'!A118="","",'รายการสัญญา'!K118)</x:f>
      </x:c>
      <x:c r="F118" s="165" t="str">
        <x:f>IF(AND(F$5&gt;=$C118,F$5&lt;=$D118,$A118&lt;&gt;""),"●","")</x:f>
      </x:c>
      <x:c r="G118" s="165" t="str">
        <x:f>IF(AND(G$5&gt;=$C118,G$5&lt;=$D118,$A118&lt;&gt;""),"●","")</x:f>
      </x:c>
      <x:c r="H118" s="165" t="str">
        <x:f>IF(AND(H$5&gt;=$C118,H$5&lt;=$D118,$A118&lt;&gt;""),"●","")</x:f>
      </x:c>
      <x:c r="I118" s="165" t="str">
        <x:f>IF(AND(I$5&gt;=$C118,I$5&lt;=$D118,$A118&lt;&gt;""),"●","")</x:f>
      </x:c>
      <x:c r="J118" s="165" t="str">
        <x:f>IF(AND(J$5&gt;=$C118,J$5&lt;=$D118,$A118&lt;&gt;""),"●","")</x:f>
      </x:c>
      <x:c r="K118" s="165" t="str">
        <x:f>IF(AND(K$5&gt;=$C118,K$5&lt;=$D118,$A118&lt;&gt;""),"●","")</x:f>
      </x:c>
      <x:c r="L118" s="165" t="str">
        <x:f>IF(AND(L$5&gt;=$C118,L$5&lt;=$D118,$A118&lt;&gt;""),"●","")</x:f>
      </x:c>
      <x:c r="M118" s="165" t="str">
        <x:f>IF(AND(M$5&gt;=$C118,M$5&lt;=$D118,$A118&lt;&gt;""),"●","")</x:f>
      </x:c>
      <x:c r="N118" s="165" t="str">
        <x:f>IF(AND(N$5&gt;=$C118,N$5&lt;=$D118,$A118&lt;&gt;""),"●","")</x:f>
      </x:c>
      <x:c r="O118" s="165" t="str">
        <x:f>IF(AND(O$5&gt;=$C118,O$5&lt;=$D118,$A118&lt;&gt;""),"●","")</x:f>
      </x:c>
      <x:c r="P118" s="165" t="str">
        <x:f>IF(AND(P$5&gt;=$C118,P$5&lt;=$D118,$A118&lt;&gt;""),"●","")</x:f>
      </x:c>
      <x:c r="Q118" s="165" t="str">
        <x:f>IF(AND(Q$5&gt;=$C118,Q$5&lt;=$D118,$A118&lt;&gt;""),"●","")</x:f>
      </x:c>
      <x:c r="R118" s="165" t="str">
        <x:f>IF(AND(R$5&gt;=$C118,R$5&lt;=$D118,$A118&lt;&gt;""),"●","")</x:f>
      </x:c>
      <x:c r="S118" s="165" t="str">
        <x:f>IF(AND(S$5&gt;=$C118,S$5&lt;=$D118,$A118&lt;&gt;""),"●","")</x:f>
      </x:c>
      <x:c r="T118" s="165" t="str">
        <x:f>IF(AND(T$5&gt;=$C118,T$5&lt;=$D118,$A118&lt;&gt;""),"●","")</x:f>
      </x:c>
      <x:c r="U118" s="165" t="str">
        <x:f>IF(AND(U$5&gt;=$C118,U$5&lt;=$D118,$A118&lt;&gt;""),"●","")</x:f>
      </x:c>
      <x:c r="V118" s="165" t="str">
        <x:f>IF(AND(V$5&gt;=$C118,V$5&lt;=$D118,$A118&lt;&gt;""),"●","")</x:f>
      </x:c>
      <x:c r="W118" s="165" t="str">
        <x:f>IF(AND(W$5&gt;=$C118,W$5&lt;=$D118,$A118&lt;&gt;""),"●","")</x:f>
      </x:c>
      <x:c r="X118" s="165" t="str">
        <x:f>IF(AND(X$5&gt;=$C118,X$5&lt;=$D118,$A118&lt;&gt;""),"●","")</x:f>
      </x:c>
      <x:c r="Y118" s="165" t="str">
        <x:f>IF(AND(Y$5&gt;=$C118,Y$5&lt;=$D118,$A118&lt;&gt;""),"●","")</x:f>
      </x:c>
      <x:c r="Z118" s="165" t="str">
        <x:f>IF(AND(Z$5&gt;=$C118,Z$5&lt;=$D118,$A118&lt;&gt;""),"●","")</x:f>
      </x:c>
      <x:c r="AA118" s="165" t="str">
        <x:f>IF(AND(AA$5&gt;=$C118,AA$5&lt;=$D118,$A118&lt;&gt;""),"●","")</x:f>
      </x:c>
      <x:c r="AB118" s="165" t="str">
        <x:f>IF(AND(AB$5&gt;=$C118,AB$5&lt;=$D118,$A118&lt;&gt;""),"●","")</x:f>
      </x:c>
      <x:c r="AC118" s="165" t="str">
        <x:f>IF(AND(AC$5&gt;=$C118,AC$5&lt;=$D118,$A118&lt;&gt;""),"●","")</x:f>
      </x:c>
      <x:c r="AD118" s="165" t="str">
        <x:f>IF(AND(AD$5&gt;=$C118,AD$5&lt;=$D118,$A118&lt;&gt;""),"●","")</x:f>
      </x:c>
      <x:c r="AE118" s="165" t="str">
        <x:f>IF(AND(AE$5&gt;=$C118,AE$5&lt;=$D118,$A118&lt;&gt;""),"●","")</x:f>
      </x:c>
      <x:c r="AF118" s="165" t="str">
        <x:f>IF(AND(AF$5&gt;=$C118,AF$5&lt;=$D118,$A118&lt;&gt;""),"●","")</x:f>
      </x:c>
      <x:c r="AG118" s="165" t="str">
        <x:f>IF(AND(AG$5&gt;=$C118,AG$5&lt;=$D118,$A118&lt;&gt;""),"●","")</x:f>
      </x:c>
      <x:c r="AH118" s="165" t="str">
        <x:f>IF(AND(AH$5&gt;=$C118,AH$5&lt;=$D118,$A118&lt;&gt;""),"●","")</x:f>
      </x:c>
      <x:c r="AI118" s="165" t="str">
        <x:f>IF(AND(AI$5&gt;=$C118,AI$5&lt;=$D118,$A118&lt;&gt;""),"●","")</x:f>
      </x:c>
      <x:c r="AJ118" s="165" t="str">
        <x:f>IF(AND(AJ$5&gt;=$C118,AJ$5&lt;=$D118,$A118&lt;&gt;""),"●","")</x:f>
      </x:c>
      <x:c r="AK118" s="165" t="str">
        <x:f>IF(AND(AK$5&gt;=$C118,AK$5&lt;=$D118,$A118&lt;&gt;""),"●","")</x:f>
      </x:c>
      <x:c r="AL118" s="165" t="str">
        <x:f>IF(AND(AL$5&gt;=$C118,AL$5&lt;=$D118,$A118&lt;&gt;""),"●","")</x:f>
      </x:c>
      <x:c r="AM118" s="165" t="str">
        <x:f>IF(AND(AM$5&gt;=$C118,AM$5&lt;=$D118,$A118&lt;&gt;""),"●","")</x:f>
      </x:c>
      <x:c r="AN118" s="165" t="str">
        <x:f>IF(AND(AN$5&gt;=$C118,AN$5&lt;=$D118,$A118&lt;&gt;""),"●","")</x:f>
      </x:c>
      <x:c r="AO118" s="165" t="str">
        <x:f>IF(AND(AO$5&gt;=$C118,AO$5&lt;=$D118,$A118&lt;&gt;""),"●","")</x:f>
      </x:c>
      <x:c r="AP118" s="165" t="str">
        <x:f>IF(AND(AP$5&gt;=$C118,AP$5&lt;=$D118,$A118&lt;&gt;""),"●","")</x:f>
      </x:c>
      <x:c r="AQ118" s="165" t="str">
        <x:f>IF(AND(AQ$5&gt;=$C118,AQ$5&lt;=$D118,$A118&lt;&gt;""),"●","")</x:f>
      </x:c>
      <x:c r="AR118" s="165" t="str">
        <x:f>IF(AND(AR$5&gt;=$C118,AR$5&lt;=$D118,$A118&lt;&gt;""),"●","")</x:f>
      </x:c>
      <x:c r="AS118" s="165" t="str">
        <x:f>IF(AND(AS$5&gt;=$C118,AS$5&lt;=$D118,$A118&lt;&gt;""),"●","")</x:f>
      </x:c>
      <x:c r="AT118" s="165" t="str">
        <x:f>IF(AND(AT$5&gt;=$C118,AT$5&lt;=$D118,$A118&lt;&gt;""),"●","")</x:f>
      </x:c>
      <x:c r="AU118" s="165" t="str">
        <x:f>IF(AND(AU$5&gt;=$C118,AU$5&lt;=$D118,$A118&lt;&gt;""),"●","")</x:f>
      </x:c>
      <x:c r="AV118" s="165" t="str">
        <x:f>IF(AND(AV$5&gt;=$C118,AV$5&lt;=$D118,$A118&lt;&gt;""),"●","")</x:f>
      </x:c>
      <x:c r="AW118" s="165" t="str">
        <x:f>IF(AND(AW$5&gt;=$C118,AW$5&lt;=$D118,$A118&lt;&gt;""),"●","")</x:f>
      </x:c>
      <x:c r="AX118" s="165" t="str">
        <x:f>IF(AND(AX$5&gt;=$C118,AX$5&lt;=$D118,$A118&lt;&gt;""),"●","")</x:f>
      </x:c>
      <x:c r="AY118" s="165" t="str">
        <x:f>IF(AND(AY$5&gt;=$C118,AY$5&lt;=$D118,$A118&lt;&gt;""),"●","")</x:f>
      </x:c>
      <x:c r="AZ118" s="165" t="str">
        <x:f>IF(AND(AZ$5&gt;=$C118,AZ$5&lt;=$D118,$A118&lt;&gt;""),"●","")</x:f>
      </x:c>
      <x:c r="BA118" s="165" t="str">
        <x:f>IF(AND(BA$5&gt;=$C118,BA$5&lt;=$D118,$A118&lt;&gt;""),"●","")</x:f>
      </x:c>
      <x:c r="BB118" s="165" t="str">
        <x:f>IF(AND(BB$5&gt;=$C118,BB$5&lt;=$D118,$A118&lt;&gt;""),"●","")</x:f>
      </x:c>
      <x:c r="BC118" s="165" t="str">
        <x:f>IF(AND(BC$5&gt;=$C118,BC$5&lt;=$D118,$A118&lt;&gt;""),"●","")</x:f>
      </x:c>
      <x:c r="BD118" s="165" t="str">
        <x:f>IF(AND(BD$5&gt;=$C118,BD$5&lt;=$D118,$A118&lt;&gt;""),"●","")</x:f>
      </x:c>
      <x:c r="BE118" s="165" t="str">
        <x:f>IF(AND(BE$5&gt;=$C118,BE$5&lt;=$D118,$A118&lt;&gt;""),"●","")</x:f>
      </x:c>
      <x:c r="BF118" s="165" t="str">
        <x:f>IF(AND(BF$5&gt;=$C118,BF$5&lt;=$D118,$A118&lt;&gt;""),"●","")</x:f>
      </x:c>
      <x:c r="BG118" s="165" t="str">
        <x:f>IF(AND(BG$5&gt;=$C118,BG$5&lt;=$D118,$A118&lt;&gt;""),"●","")</x:f>
      </x:c>
      <x:c r="BH118" s="165" t="str">
        <x:f>IF(AND(BH$5&gt;=$C118,BH$5&lt;=$D118,$A118&lt;&gt;""),"●","")</x:f>
      </x:c>
      <x:c r="BI118" s="165" t="str">
        <x:f>IF(AND(BI$5&gt;=$C118,BI$5&lt;=$D118,$A118&lt;&gt;""),"●","")</x:f>
      </x:c>
      <x:c r="BJ118" s="165" t="str">
        <x:f>IF(AND(BJ$5&gt;=$C118,BJ$5&lt;=$D118,$A118&lt;&gt;""),"●","")</x:f>
      </x:c>
      <x:c r="BK118" s="165" t="str">
        <x:f>IF(AND(BK$5&gt;=$C118,BK$5&lt;=$D118,$A118&lt;&gt;""),"●","")</x:f>
      </x:c>
      <x:c r="BL118" s="165" t="str">
        <x:f>IF(AND(BL$5&gt;=$C118,BL$5&lt;=$D118,$A118&lt;&gt;""),"●","")</x:f>
      </x:c>
      <x:c r="BM118" s="165" t="str">
        <x:f>IF(AND(BM$5&gt;=$C118,BM$5&lt;=$D118,$A118&lt;&gt;""),"●","")</x:f>
      </x:c>
      <x:c r="BN118" s="165" t="str">
        <x:f>IF(AND(BN$5&gt;=$C118,BN$5&lt;=$D118,$A118&lt;&gt;""),"●","")</x:f>
      </x:c>
      <x:c r="BO118" s="165" t="str">
        <x:f>IF(AND(BO$5&gt;=$C118,BO$5&lt;=$D118,$A118&lt;&gt;""),"●","")</x:f>
      </x:c>
      <x:c r="BP118" s="165" t="str">
        <x:f>IF(AND(BP$5&gt;=$C118,BP$5&lt;=$D118,$A118&lt;&gt;""),"●","")</x:f>
      </x:c>
      <x:c r="BQ118" s="165" t="str">
        <x:f>IF(AND(BQ$5&gt;=$C118,BQ$5&lt;=$D118,$A118&lt;&gt;""),"●","")</x:f>
      </x:c>
      <x:c r="BR118" s="165" t="str">
        <x:f>IF(AND(BR$5&gt;=$C118,BR$5&lt;=$D118,$A118&lt;&gt;""),"●","")</x:f>
      </x:c>
      <x:c r="BS118" s="165" t="str">
        <x:f>IF(AND(BS$5&gt;=$C118,BS$5&lt;=$D118,$A118&lt;&gt;""),"●","")</x:f>
      </x:c>
      <x:c r="BT118" s="165" t="str">
        <x:f>IF(AND(BT$5&gt;=$C118,BT$5&lt;=$D118,$A118&lt;&gt;""),"●","")</x:f>
      </x:c>
      <x:c r="BU118" s="165" t="str">
        <x:f>IF(AND(BU$5&gt;=$C118,BU$5&lt;=$D118,$A118&lt;&gt;""),"●","")</x:f>
      </x:c>
      <x:c r="BV118" s="165" t="str">
        <x:f>IF(AND(BV$5&gt;=$C118,BV$5&lt;=$D118,$A118&lt;&gt;""),"●","")</x:f>
      </x:c>
      <x:c r="BW118" s="165" t="str">
        <x:f>IF(AND(BW$5&gt;=$C118,BW$5&lt;=$D118,$A118&lt;&gt;""),"●","")</x:f>
      </x:c>
    </x:row>
    <x:row r="119">
      <x:c r="A119" s="159" t="str">
        <x:f>IF('รายการสัญญา'!A119="","",'รายการสัญญา'!A119)</x:f>
      </x:c>
      <x:c r="B119" s="159" t="str">
        <x:f>IF('รายการสัญญา'!A119="","",'รายการสัญญา'!C119)</x:f>
      </x:c>
      <x:c r="C119" s="162" t="str">
        <x:f>IF('รายการสัญญา'!A119="","",'รายการสัญญา'!E119)</x:f>
      </x:c>
      <x:c r="D119" s="162" t="str">
        <x:f>IF('รายการสัญญา'!A119="","",'รายการสัญญา'!G119)</x:f>
      </x:c>
      <x:c r="E119" s="159" t="str">
        <x:f>IF('รายการสัญญา'!A119="","",'รายการสัญญา'!K119)</x:f>
      </x:c>
      <x:c r="F119" s="165" t="str">
        <x:f>IF(AND(F$5&gt;=$C119,F$5&lt;=$D119,$A119&lt;&gt;""),"●","")</x:f>
      </x:c>
      <x:c r="G119" s="165" t="str">
        <x:f>IF(AND(G$5&gt;=$C119,G$5&lt;=$D119,$A119&lt;&gt;""),"●","")</x:f>
      </x:c>
      <x:c r="H119" s="165" t="str">
        <x:f>IF(AND(H$5&gt;=$C119,H$5&lt;=$D119,$A119&lt;&gt;""),"●","")</x:f>
      </x:c>
      <x:c r="I119" s="165" t="str">
        <x:f>IF(AND(I$5&gt;=$C119,I$5&lt;=$D119,$A119&lt;&gt;""),"●","")</x:f>
      </x:c>
      <x:c r="J119" s="165" t="str">
        <x:f>IF(AND(J$5&gt;=$C119,J$5&lt;=$D119,$A119&lt;&gt;""),"●","")</x:f>
      </x:c>
      <x:c r="K119" s="165" t="str">
        <x:f>IF(AND(K$5&gt;=$C119,K$5&lt;=$D119,$A119&lt;&gt;""),"●","")</x:f>
      </x:c>
      <x:c r="L119" s="165" t="str">
        <x:f>IF(AND(L$5&gt;=$C119,L$5&lt;=$D119,$A119&lt;&gt;""),"●","")</x:f>
      </x:c>
      <x:c r="M119" s="165" t="str">
        <x:f>IF(AND(M$5&gt;=$C119,M$5&lt;=$D119,$A119&lt;&gt;""),"●","")</x:f>
      </x:c>
      <x:c r="N119" s="165" t="str">
        <x:f>IF(AND(N$5&gt;=$C119,N$5&lt;=$D119,$A119&lt;&gt;""),"●","")</x:f>
      </x:c>
      <x:c r="O119" s="165" t="str">
        <x:f>IF(AND(O$5&gt;=$C119,O$5&lt;=$D119,$A119&lt;&gt;""),"●","")</x:f>
      </x:c>
      <x:c r="P119" s="165" t="str">
        <x:f>IF(AND(P$5&gt;=$C119,P$5&lt;=$D119,$A119&lt;&gt;""),"●","")</x:f>
      </x:c>
      <x:c r="Q119" s="165" t="str">
        <x:f>IF(AND(Q$5&gt;=$C119,Q$5&lt;=$D119,$A119&lt;&gt;""),"●","")</x:f>
      </x:c>
      <x:c r="R119" s="165" t="str">
        <x:f>IF(AND(R$5&gt;=$C119,R$5&lt;=$D119,$A119&lt;&gt;""),"●","")</x:f>
      </x:c>
      <x:c r="S119" s="165" t="str">
        <x:f>IF(AND(S$5&gt;=$C119,S$5&lt;=$D119,$A119&lt;&gt;""),"●","")</x:f>
      </x:c>
      <x:c r="T119" s="165" t="str">
        <x:f>IF(AND(T$5&gt;=$C119,T$5&lt;=$D119,$A119&lt;&gt;""),"●","")</x:f>
      </x:c>
      <x:c r="U119" s="165" t="str">
        <x:f>IF(AND(U$5&gt;=$C119,U$5&lt;=$D119,$A119&lt;&gt;""),"●","")</x:f>
      </x:c>
      <x:c r="V119" s="165" t="str">
        <x:f>IF(AND(V$5&gt;=$C119,V$5&lt;=$D119,$A119&lt;&gt;""),"●","")</x:f>
      </x:c>
      <x:c r="W119" s="165" t="str">
        <x:f>IF(AND(W$5&gt;=$C119,W$5&lt;=$D119,$A119&lt;&gt;""),"●","")</x:f>
      </x:c>
      <x:c r="X119" s="165" t="str">
        <x:f>IF(AND(X$5&gt;=$C119,X$5&lt;=$D119,$A119&lt;&gt;""),"●","")</x:f>
      </x:c>
      <x:c r="Y119" s="165" t="str">
        <x:f>IF(AND(Y$5&gt;=$C119,Y$5&lt;=$D119,$A119&lt;&gt;""),"●","")</x:f>
      </x:c>
      <x:c r="Z119" s="165" t="str">
        <x:f>IF(AND(Z$5&gt;=$C119,Z$5&lt;=$D119,$A119&lt;&gt;""),"●","")</x:f>
      </x:c>
      <x:c r="AA119" s="165" t="str">
        <x:f>IF(AND(AA$5&gt;=$C119,AA$5&lt;=$D119,$A119&lt;&gt;""),"●","")</x:f>
      </x:c>
      <x:c r="AB119" s="165" t="str">
        <x:f>IF(AND(AB$5&gt;=$C119,AB$5&lt;=$D119,$A119&lt;&gt;""),"●","")</x:f>
      </x:c>
      <x:c r="AC119" s="165" t="str">
        <x:f>IF(AND(AC$5&gt;=$C119,AC$5&lt;=$D119,$A119&lt;&gt;""),"●","")</x:f>
      </x:c>
      <x:c r="AD119" s="165" t="str">
        <x:f>IF(AND(AD$5&gt;=$C119,AD$5&lt;=$D119,$A119&lt;&gt;""),"●","")</x:f>
      </x:c>
      <x:c r="AE119" s="165" t="str">
        <x:f>IF(AND(AE$5&gt;=$C119,AE$5&lt;=$D119,$A119&lt;&gt;""),"●","")</x:f>
      </x:c>
      <x:c r="AF119" s="165" t="str">
        <x:f>IF(AND(AF$5&gt;=$C119,AF$5&lt;=$D119,$A119&lt;&gt;""),"●","")</x:f>
      </x:c>
      <x:c r="AG119" s="165" t="str">
        <x:f>IF(AND(AG$5&gt;=$C119,AG$5&lt;=$D119,$A119&lt;&gt;""),"●","")</x:f>
      </x:c>
      <x:c r="AH119" s="165" t="str">
        <x:f>IF(AND(AH$5&gt;=$C119,AH$5&lt;=$D119,$A119&lt;&gt;""),"●","")</x:f>
      </x:c>
      <x:c r="AI119" s="165" t="str">
        <x:f>IF(AND(AI$5&gt;=$C119,AI$5&lt;=$D119,$A119&lt;&gt;""),"●","")</x:f>
      </x:c>
      <x:c r="AJ119" s="165" t="str">
        <x:f>IF(AND(AJ$5&gt;=$C119,AJ$5&lt;=$D119,$A119&lt;&gt;""),"●","")</x:f>
      </x:c>
      <x:c r="AK119" s="165" t="str">
        <x:f>IF(AND(AK$5&gt;=$C119,AK$5&lt;=$D119,$A119&lt;&gt;""),"●","")</x:f>
      </x:c>
      <x:c r="AL119" s="165" t="str">
        <x:f>IF(AND(AL$5&gt;=$C119,AL$5&lt;=$D119,$A119&lt;&gt;""),"●","")</x:f>
      </x:c>
      <x:c r="AM119" s="165" t="str">
        <x:f>IF(AND(AM$5&gt;=$C119,AM$5&lt;=$D119,$A119&lt;&gt;""),"●","")</x:f>
      </x:c>
      <x:c r="AN119" s="165" t="str">
        <x:f>IF(AND(AN$5&gt;=$C119,AN$5&lt;=$D119,$A119&lt;&gt;""),"●","")</x:f>
      </x:c>
      <x:c r="AO119" s="165" t="str">
        <x:f>IF(AND(AO$5&gt;=$C119,AO$5&lt;=$D119,$A119&lt;&gt;""),"●","")</x:f>
      </x:c>
      <x:c r="AP119" s="165" t="str">
        <x:f>IF(AND(AP$5&gt;=$C119,AP$5&lt;=$D119,$A119&lt;&gt;""),"●","")</x:f>
      </x:c>
      <x:c r="AQ119" s="165" t="str">
        <x:f>IF(AND(AQ$5&gt;=$C119,AQ$5&lt;=$D119,$A119&lt;&gt;""),"●","")</x:f>
      </x:c>
      <x:c r="AR119" s="165" t="str">
        <x:f>IF(AND(AR$5&gt;=$C119,AR$5&lt;=$D119,$A119&lt;&gt;""),"●","")</x:f>
      </x:c>
      <x:c r="AS119" s="165" t="str">
        <x:f>IF(AND(AS$5&gt;=$C119,AS$5&lt;=$D119,$A119&lt;&gt;""),"●","")</x:f>
      </x:c>
      <x:c r="AT119" s="165" t="str">
        <x:f>IF(AND(AT$5&gt;=$C119,AT$5&lt;=$D119,$A119&lt;&gt;""),"●","")</x:f>
      </x:c>
      <x:c r="AU119" s="165" t="str">
        <x:f>IF(AND(AU$5&gt;=$C119,AU$5&lt;=$D119,$A119&lt;&gt;""),"●","")</x:f>
      </x:c>
      <x:c r="AV119" s="165" t="str">
        <x:f>IF(AND(AV$5&gt;=$C119,AV$5&lt;=$D119,$A119&lt;&gt;""),"●","")</x:f>
      </x:c>
      <x:c r="AW119" s="165" t="str">
        <x:f>IF(AND(AW$5&gt;=$C119,AW$5&lt;=$D119,$A119&lt;&gt;""),"●","")</x:f>
      </x:c>
      <x:c r="AX119" s="165" t="str">
        <x:f>IF(AND(AX$5&gt;=$C119,AX$5&lt;=$D119,$A119&lt;&gt;""),"●","")</x:f>
      </x:c>
      <x:c r="AY119" s="165" t="str">
        <x:f>IF(AND(AY$5&gt;=$C119,AY$5&lt;=$D119,$A119&lt;&gt;""),"●","")</x:f>
      </x:c>
      <x:c r="AZ119" s="165" t="str">
        <x:f>IF(AND(AZ$5&gt;=$C119,AZ$5&lt;=$D119,$A119&lt;&gt;""),"●","")</x:f>
      </x:c>
      <x:c r="BA119" s="165" t="str">
        <x:f>IF(AND(BA$5&gt;=$C119,BA$5&lt;=$D119,$A119&lt;&gt;""),"●","")</x:f>
      </x:c>
      <x:c r="BB119" s="165" t="str">
        <x:f>IF(AND(BB$5&gt;=$C119,BB$5&lt;=$D119,$A119&lt;&gt;""),"●","")</x:f>
      </x:c>
      <x:c r="BC119" s="165" t="str">
        <x:f>IF(AND(BC$5&gt;=$C119,BC$5&lt;=$D119,$A119&lt;&gt;""),"●","")</x:f>
      </x:c>
      <x:c r="BD119" s="165" t="str">
        <x:f>IF(AND(BD$5&gt;=$C119,BD$5&lt;=$D119,$A119&lt;&gt;""),"●","")</x:f>
      </x:c>
      <x:c r="BE119" s="165" t="str">
        <x:f>IF(AND(BE$5&gt;=$C119,BE$5&lt;=$D119,$A119&lt;&gt;""),"●","")</x:f>
      </x:c>
      <x:c r="BF119" s="165" t="str">
        <x:f>IF(AND(BF$5&gt;=$C119,BF$5&lt;=$D119,$A119&lt;&gt;""),"●","")</x:f>
      </x:c>
      <x:c r="BG119" s="165" t="str">
        <x:f>IF(AND(BG$5&gt;=$C119,BG$5&lt;=$D119,$A119&lt;&gt;""),"●","")</x:f>
      </x:c>
      <x:c r="BH119" s="165" t="str">
        <x:f>IF(AND(BH$5&gt;=$C119,BH$5&lt;=$D119,$A119&lt;&gt;""),"●","")</x:f>
      </x:c>
      <x:c r="BI119" s="165" t="str">
        <x:f>IF(AND(BI$5&gt;=$C119,BI$5&lt;=$D119,$A119&lt;&gt;""),"●","")</x:f>
      </x:c>
      <x:c r="BJ119" s="165" t="str">
        <x:f>IF(AND(BJ$5&gt;=$C119,BJ$5&lt;=$D119,$A119&lt;&gt;""),"●","")</x:f>
      </x:c>
      <x:c r="BK119" s="165" t="str">
        <x:f>IF(AND(BK$5&gt;=$C119,BK$5&lt;=$D119,$A119&lt;&gt;""),"●","")</x:f>
      </x:c>
      <x:c r="BL119" s="165" t="str">
        <x:f>IF(AND(BL$5&gt;=$C119,BL$5&lt;=$D119,$A119&lt;&gt;""),"●","")</x:f>
      </x:c>
      <x:c r="BM119" s="165" t="str">
        <x:f>IF(AND(BM$5&gt;=$C119,BM$5&lt;=$D119,$A119&lt;&gt;""),"●","")</x:f>
      </x:c>
      <x:c r="BN119" s="165" t="str">
        <x:f>IF(AND(BN$5&gt;=$C119,BN$5&lt;=$D119,$A119&lt;&gt;""),"●","")</x:f>
      </x:c>
      <x:c r="BO119" s="165" t="str">
        <x:f>IF(AND(BO$5&gt;=$C119,BO$5&lt;=$D119,$A119&lt;&gt;""),"●","")</x:f>
      </x:c>
      <x:c r="BP119" s="165" t="str">
        <x:f>IF(AND(BP$5&gt;=$C119,BP$5&lt;=$D119,$A119&lt;&gt;""),"●","")</x:f>
      </x:c>
      <x:c r="BQ119" s="165" t="str">
        <x:f>IF(AND(BQ$5&gt;=$C119,BQ$5&lt;=$D119,$A119&lt;&gt;""),"●","")</x:f>
      </x:c>
      <x:c r="BR119" s="165" t="str">
        <x:f>IF(AND(BR$5&gt;=$C119,BR$5&lt;=$D119,$A119&lt;&gt;""),"●","")</x:f>
      </x:c>
      <x:c r="BS119" s="165" t="str">
        <x:f>IF(AND(BS$5&gt;=$C119,BS$5&lt;=$D119,$A119&lt;&gt;""),"●","")</x:f>
      </x:c>
      <x:c r="BT119" s="165" t="str">
        <x:f>IF(AND(BT$5&gt;=$C119,BT$5&lt;=$D119,$A119&lt;&gt;""),"●","")</x:f>
      </x:c>
      <x:c r="BU119" s="165" t="str">
        <x:f>IF(AND(BU$5&gt;=$C119,BU$5&lt;=$D119,$A119&lt;&gt;""),"●","")</x:f>
      </x:c>
      <x:c r="BV119" s="165" t="str">
        <x:f>IF(AND(BV$5&gt;=$C119,BV$5&lt;=$D119,$A119&lt;&gt;""),"●","")</x:f>
      </x:c>
      <x:c r="BW119" s="165" t="str">
        <x:f>IF(AND(BW$5&gt;=$C119,BW$5&lt;=$D119,$A119&lt;&gt;""),"●","")</x:f>
      </x:c>
    </x:row>
    <x:row r="120">
      <x:c r="A120" s="159" t="str">
        <x:f>IF('รายการสัญญา'!A120="","",'รายการสัญญา'!A120)</x:f>
      </x:c>
      <x:c r="B120" s="159" t="str">
        <x:f>IF('รายการสัญญา'!A120="","",'รายการสัญญา'!C120)</x:f>
      </x:c>
      <x:c r="C120" s="162" t="str">
        <x:f>IF('รายการสัญญา'!A120="","",'รายการสัญญา'!E120)</x:f>
      </x:c>
      <x:c r="D120" s="162" t="str">
        <x:f>IF('รายการสัญญา'!A120="","",'รายการสัญญา'!G120)</x:f>
      </x:c>
      <x:c r="E120" s="159" t="str">
        <x:f>IF('รายการสัญญา'!A120="","",'รายการสัญญา'!K120)</x:f>
      </x:c>
      <x:c r="F120" s="165" t="str">
        <x:f>IF(AND(F$5&gt;=$C120,F$5&lt;=$D120,$A120&lt;&gt;""),"●","")</x:f>
      </x:c>
      <x:c r="G120" s="165" t="str">
        <x:f>IF(AND(G$5&gt;=$C120,G$5&lt;=$D120,$A120&lt;&gt;""),"●","")</x:f>
      </x:c>
      <x:c r="H120" s="165" t="str">
        <x:f>IF(AND(H$5&gt;=$C120,H$5&lt;=$D120,$A120&lt;&gt;""),"●","")</x:f>
      </x:c>
      <x:c r="I120" s="165" t="str">
        <x:f>IF(AND(I$5&gt;=$C120,I$5&lt;=$D120,$A120&lt;&gt;""),"●","")</x:f>
      </x:c>
      <x:c r="J120" s="165" t="str">
        <x:f>IF(AND(J$5&gt;=$C120,J$5&lt;=$D120,$A120&lt;&gt;""),"●","")</x:f>
      </x:c>
      <x:c r="K120" s="165" t="str">
        <x:f>IF(AND(K$5&gt;=$C120,K$5&lt;=$D120,$A120&lt;&gt;""),"●","")</x:f>
      </x:c>
      <x:c r="L120" s="165" t="str">
        <x:f>IF(AND(L$5&gt;=$C120,L$5&lt;=$D120,$A120&lt;&gt;""),"●","")</x:f>
      </x:c>
      <x:c r="M120" s="165" t="str">
        <x:f>IF(AND(M$5&gt;=$C120,M$5&lt;=$D120,$A120&lt;&gt;""),"●","")</x:f>
      </x:c>
      <x:c r="N120" s="165" t="str">
        <x:f>IF(AND(N$5&gt;=$C120,N$5&lt;=$D120,$A120&lt;&gt;""),"●","")</x:f>
      </x:c>
      <x:c r="O120" s="165" t="str">
        <x:f>IF(AND(O$5&gt;=$C120,O$5&lt;=$D120,$A120&lt;&gt;""),"●","")</x:f>
      </x:c>
      <x:c r="P120" s="165" t="str">
        <x:f>IF(AND(P$5&gt;=$C120,P$5&lt;=$D120,$A120&lt;&gt;""),"●","")</x:f>
      </x:c>
      <x:c r="Q120" s="165" t="str">
        <x:f>IF(AND(Q$5&gt;=$C120,Q$5&lt;=$D120,$A120&lt;&gt;""),"●","")</x:f>
      </x:c>
      <x:c r="R120" s="165" t="str">
        <x:f>IF(AND(R$5&gt;=$C120,R$5&lt;=$D120,$A120&lt;&gt;""),"●","")</x:f>
      </x:c>
      <x:c r="S120" s="165" t="str">
        <x:f>IF(AND(S$5&gt;=$C120,S$5&lt;=$D120,$A120&lt;&gt;""),"●","")</x:f>
      </x:c>
      <x:c r="T120" s="165" t="str">
        <x:f>IF(AND(T$5&gt;=$C120,T$5&lt;=$D120,$A120&lt;&gt;""),"●","")</x:f>
      </x:c>
      <x:c r="U120" s="165" t="str">
        <x:f>IF(AND(U$5&gt;=$C120,U$5&lt;=$D120,$A120&lt;&gt;""),"●","")</x:f>
      </x:c>
      <x:c r="V120" s="165" t="str">
        <x:f>IF(AND(V$5&gt;=$C120,V$5&lt;=$D120,$A120&lt;&gt;""),"●","")</x:f>
      </x:c>
      <x:c r="W120" s="165" t="str">
        <x:f>IF(AND(W$5&gt;=$C120,W$5&lt;=$D120,$A120&lt;&gt;""),"●","")</x:f>
      </x:c>
      <x:c r="X120" s="165" t="str">
        <x:f>IF(AND(X$5&gt;=$C120,X$5&lt;=$D120,$A120&lt;&gt;""),"●","")</x:f>
      </x:c>
      <x:c r="Y120" s="165" t="str">
        <x:f>IF(AND(Y$5&gt;=$C120,Y$5&lt;=$D120,$A120&lt;&gt;""),"●","")</x:f>
      </x:c>
      <x:c r="Z120" s="165" t="str">
        <x:f>IF(AND(Z$5&gt;=$C120,Z$5&lt;=$D120,$A120&lt;&gt;""),"●","")</x:f>
      </x:c>
      <x:c r="AA120" s="165" t="str">
        <x:f>IF(AND(AA$5&gt;=$C120,AA$5&lt;=$D120,$A120&lt;&gt;""),"●","")</x:f>
      </x:c>
      <x:c r="AB120" s="165" t="str">
        <x:f>IF(AND(AB$5&gt;=$C120,AB$5&lt;=$D120,$A120&lt;&gt;""),"●","")</x:f>
      </x:c>
      <x:c r="AC120" s="165" t="str">
        <x:f>IF(AND(AC$5&gt;=$C120,AC$5&lt;=$D120,$A120&lt;&gt;""),"●","")</x:f>
      </x:c>
      <x:c r="AD120" s="165" t="str">
        <x:f>IF(AND(AD$5&gt;=$C120,AD$5&lt;=$D120,$A120&lt;&gt;""),"●","")</x:f>
      </x:c>
      <x:c r="AE120" s="165" t="str">
        <x:f>IF(AND(AE$5&gt;=$C120,AE$5&lt;=$D120,$A120&lt;&gt;""),"●","")</x:f>
      </x:c>
      <x:c r="AF120" s="165" t="str">
        <x:f>IF(AND(AF$5&gt;=$C120,AF$5&lt;=$D120,$A120&lt;&gt;""),"●","")</x:f>
      </x:c>
      <x:c r="AG120" s="165" t="str">
        <x:f>IF(AND(AG$5&gt;=$C120,AG$5&lt;=$D120,$A120&lt;&gt;""),"●","")</x:f>
      </x:c>
      <x:c r="AH120" s="165" t="str">
        <x:f>IF(AND(AH$5&gt;=$C120,AH$5&lt;=$D120,$A120&lt;&gt;""),"●","")</x:f>
      </x:c>
      <x:c r="AI120" s="165" t="str">
        <x:f>IF(AND(AI$5&gt;=$C120,AI$5&lt;=$D120,$A120&lt;&gt;""),"●","")</x:f>
      </x:c>
      <x:c r="AJ120" s="165" t="str">
        <x:f>IF(AND(AJ$5&gt;=$C120,AJ$5&lt;=$D120,$A120&lt;&gt;""),"●","")</x:f>
      </x:c>
      <x:c r="AK120" s="165" t="str">
        <x:f>IF(AND(AK$5&gt;=$C120,AK$5&lt;=$D120,$A120&lt;&gt;""),"●","")</x:f>
      </x:c>
      <x:c r="AL120" s="165" t="str">
        <x:f>IF(AND(AL$5&gt;=$C120,AL$5&lt;=$D120,$A120&lt;&gt;""),"●","")</x:f>
      </x:c>
      <x:c r="AM120" s="165" t="str">
        <x:f>IF(AND(AM$5&gt;=$C120,AM$5&lt;=$D120,$A120&lt;&gt;""),"●","")</x:f>
      </x:c>
      <x:c r="AN120" s="165" t="str">
        <x:f>IF(AND(AN$5&gt;=$C120,AN$5&lt;=$D120,$A120&lt;&gt;""),"●","")</x:f>
      </x:c>
      <x:c r="AO120" s="165" t="str">
        <x:f>IF(AND(AO$5&gt;=$C120,AO$5&lt;=$D120,$A120&lt;&gt;""),"●","")</x:f>
      </x:c>
      <x:c r="AP120" s="165" t="str">
        <x:f>IF(AND(AP$5&gt;=$C120,AP$5&lt;=$D120,$A120&lt;&gt;""),"●","")</x:f>
      </x:c>
      <x:c r="AQ120" s="165" t="str">
        <x:f>IF(AND(AQ$5&gt;=$C120,AQ$5&lt;=$D120,$A120&lt;&gt;""),"●","")</x:f>
      </x:c>
      <x:c r="AR120" s="165" t="str">
        <x:f>IF(AND(AR$5&gt;=$C120,AR$5&lt;=$D120,$A120&lt;&gt;""),"●","")</x:f>
      </x:c>
      <x:c r="AS120" s="165" t="str">
        <x:f>IF(AND(AS$5&gt;=$C120,AS$5&lt;=$D120,$A120&lt;&gt;""),"●","")</x:f>
      </x:c>
      <x:c r="AT120" s="165" t="str">
        <x:f>IF(AND(AT$5&gt;=$C120,AT$5&lt;=$D120,$A120&lt;&gt;""),"●","")</x:f>
      </x:c>
      <x:c r="AU120" s="165" t="str">
        <x:f>IF(AND(AU$5&gt;=$C120,AU$5&lt;=$D120,$A120&lt;&gt;""),"●","")</x:f>
      </x:c>
      <x:c r="AV120" s="165" t="str">
        <x:f>IF(AND(AV$5&gt;=$C120,AV$5&lt;=$D120,$A120&lt;&gt;""),"●","")</x:f>
      </x:c>
      <x:c r="AW120" s="165" t="str">
        <x:f>IF(AND(AW$5&gt;=$C120,AW$5&lt;=$D120,$A120&lt;&gt;""),"●","")</x:f>
      </x:c>
      <x:c r="AX120" s="165" t="str">
        <x:f>IF(AND(AX$5&gt;=$C120,AX$5&lt;=$D120,$A120&lt;&gt;""),"●","")</x:f>
      </x:c>
      <x:c r="AY120" s="165" t="str">
        <x:f>IF(AND(AY$5&gt;=$C120,AY$5&lt;=$D120,$A120&lt;&gt;""),"●","")</x:f>
      </x:c>
      <x:c r="AZ120" s="165" t="str">
        <x:f>IF(AND(AZ$5&gt;=$C120,AZ$5&lt;=$D120,$A120&lt;&gt;""),"●","")</x:f>
      </x:c>
      <x:c r="BA120" s="165" t="str">
        <x:f>IF(AND(BA$5&gt;=$C120,BA$5&lt;=$D120,$A120&lt;&gt;""),"●","")</x:f>
      </x:c>
      <x:c r="BB120" s="165" t="str">
        <x:f>IF(AND(BB$5&gt;=$C120,BB$5&lt;=$D120,$A120&lt;&gt;""),"●","")</x:f>
      </x:c>
      <x:c r="BC120" s="165" t="str">
        <x:f>IF(AND(BC$5&gt;=$C120,BC$5&lt;=$D120,$A120&lt;&gt;""),"●","")</x:f>
      </x:c>
      <x:c r="BD120" s="165" t="str">
        <x:f>IF(AND(BD$5&gt;=$C120,BD$5&lt;=$D120,$A120&lt;&gt;""),"●","")</x:f>
      </x:c>
      <x:c r="BE120" s="165" t="str">
        <x:f>IF(AND(BE$5&gt;=$C120,BE$5&lt;=$D120,$A120&lt;&gt;""),"●","")</x:f>
      </x:c>
      <x:c r="BF120" s="165" t="str">
        <x:f>IF(AND(BF$5&gt;=$C120,BF$5&lt;=$D120,$A120&lt;&gt;""),"●","")</x:f>
      </x:c>
      <x:c r="BG120" s="165" t="str">
        <x:f>IF(AND(BG$5&gt;=$C120,BG$5&lt;=$D120,$A120&lt;&gt;""),"●","")</x:f>
      </x:c>
      <x:c r="BH120" s="165" t="str">
        <x:f>IF(AND(BH$5&gt;=$C120,BH$5&lt;=$D120,$A120&lt;&gt;""),"●","")</x:f>
      </x:c>
      <x:c r="BI120" s="165" t="str">
        <x:f>IF(AND(BI$5&gt;=$C120,BI$5&lt;=$D120,$A120&lt;&gt;""),"●","")</x:f>
      </x:c>
      <x:c r="BJ120" s="165" t="str">
        <x:f>IF(AND(BJ$5&gt;=$C120,BJ$5&lt;=$D120,$A120&lt;&gt;""),"●","")</x:f>
      </x:c>
      <x:c r="BK120" s="165" t="str">
        <x:f>IF(AND(BK$5&gt;=$C120,BK$5&lt;=$D120,$A120&lt;&gt;""),"●","")</x:f>
      </x:c>
      <x:c r="BL120" s="165" t="str">
        <x:f>IF(AND(BL$5&gt;=$C120,BL$5&lt;=$D120,$A120&lt;&gt;""),"●","")</x:f>
      </x:c>
      <x:c r="BM120" s="165" t="str">
        <x:f>IF(AND(BM$5&gt;=$C120,BM$5&lt;=$D120,$A120&lt;&gt;""),"●","")</x:f>
      </x:c>
      <x:c r="BN120" s="165" t="str">
        <x:f>IF(AND(BN$5&gt;=$C120,BN$5&lt;=$D120,$A120&lt;&gt;""),"●","")</x:f>
      </x:c>
      <x:c r="BO120" s="165" t="str">
        <x:f>IF(AND(BO$5&gt;=$C120,BO$5&lt;=$D120,$A120&lt;&gt;""),"●","")</x:f>
      </x:c>
      <x:c r="BP120" s="165" t="str">
        <x:f>IF(AND(BP$5&gt;=$C120,BP$5&lt;=$D120,$A120&lt;&gt;""),"●","")</x:f>
      </x:c>
      <x:c r="BQ120" s="165" t="str">
        <x:f>IF(AND(BQ$5&gt;=$C120,BQ$5&lt;=$D120,$A120&lt;&gt;""),"●","")</x:f>
      </x:c>
      <x:c r="BR120" s="165" t="str">
        <x:f>IF(AND(BR$5&gt;=$C120,BR$5&lt;=$D120,$A120&lt;&gt;""),"●","")</x:f>
      </x:c>
      <x:c r="BS120" s="165" t="str">
        <x:f>IF(AND(BS$5&gt;=$C120,BS$5&lt;=$D120,$A120&lt;&gt;""),"●","")</x:f>
      </x:c>
      <x:c r="BT120" s="165" t="str">
        <x:f>IF(AND(BT$5&gt;=$C120,BT$5&lt;=$D120,$A120&lt;&gt;""),"●","")</x:f>
      </x:c>
      <x:c r="BU120" s="165" t="str">
        <x:f>IF(AND(BU$5&gt;=$C120,BU$5&lt;=$D120,$A120&lt;&gt;""),"●","")</x:f>
      </x:c>
      <x:c r="BV120" s="165" t="str">
        <x:f>IF(AND(BV$5&gt;=$C120,BV$5&lt;=$D120,$A120&lt;&gt;""),"●","")</x:f>
      </x:c>
      <x:c r="BW120" s="165" t="str">
        <x:f>IF(AND(BW$5&gt;=$C120,BW$5&lt;=$D120,$A120&lt;&gt;""),"●","")</x:f>
      </x:c>
    </x:row>
    <x:row r="121">
      <x:c r="A121" s="159" t="str">
        <x:f>IF('รายการสัญญา'!A121="","",'รายการสัญญา'!A121)</x:f>
      </x:c>
      <x:c r="B121" s="159" t="str">
        <x:f>IF('รายการสัญญา'!A121="","",'รายการสัญญา'!C121)</x:f>
      </x:c>
      <x:c r="C121" s="162" t="str">
        <x:f>IF('รายการสัญญา'!A121="","",'รายการสัญญา'!E121)</x:f>
      </x:c>
      <x:c r="D121" s="162" t="str">
        <x:f>IF('รายการสัญญา'!A121="","",'รายการสัญญา'!G121)</x:f>
      </x:c>
      <x:c r="E121" s="159" t="str">
        <x:f>IF('รายการสัญญา'!A121="","",'รายการสัญญา'!K121)</x:f>
      </x:c>
      <x:c r="F121" s="165" t="str">
        <x:f>IF(AND(F$5&gt;=$C121,F$5&lt;=$D121,$A121&lt;&gt;""),"●","")</x:f>
      </x:c>
      <x:c r="G121" s="165" t="str">
        <x:f>IF(AND(G$5&gt;=$C121,G$5&lt;=$D121,$A121&lt;&gt;""),"●","")</x:f>
      </x:c>
      <x:c r="H121" s="165" t="str">
        <x:f>IF(AND(H$5&gt;=$C121,H$5&lt;=$D121,$A121&lt;&gt;""),"●","")</x:f>
      </x:c>
      <x:c r="I121" s="165" t="str">
        <x:f>IF(AND(I$5&gt;=$C121,I$5&lt;=$D121,$A121&lt;&gt;""),"●","")</x:f>
      </x:c>
      <x:c r="J121" s="165" t="str">
        <x:f>IF(AND(J$5&gt;=$C121,J$5&lt;=$D121,$A121&lt;&gt;""),"●","")</x:f>
      </x:c>
      <x:c r="K121" s="165" t="str">
        <x:f>IF(AND(K$5&gt;=$C121,K$5&lt;=$D121,$A121&lt;&gt;""),"●","")</x:f>
      </x:c>
      <x:c r="L121" s="165" t="str">
        <x:f>IF(AND(L$5&gt;=$C121,L$5&lt;=$D121,$A121&lt;&gt;""),"●","")</x:f>
      </x:c>
      <x:c r="M121" s="165" t="str">
        <x:f>IF(AND(M$5&gt;=$C121,M$5&lt;=$D121,$A121&lt;&gt;""),"●","")</x:f>
      </x:c>
      <x:c r="N121" s="165" t="str">
        <x:f>IF(AND(N$5&gt;=$C121,N$5&lt;=$D121,$A121&lt;&gt;""),"●","")</x:f>
      </x:c>
      <x:c r="O121" s="165" t="str">
        <x:f>IF(AND(O$5&gt;=$C121,O$5&lt;=$D121,$A121&lt;&gt;""),"●","")</x:f>
      </x:c>
      <x:c r="P121" s="165" t="str">
        <x:f>IF(AND(P$5&gt;=$C121,P$5&lt;=$D121,$A121&lt;&gt;""),"●","")</x:f>
      </x:c>
      <x:c r="Q121" s="165" t="str">
        <x:f>IF(AND(Q$5&gt;=$C121,Q$5&lt;=$D121,$A121&lt;&gt;""),"●","")</x:f>
      </x:c>
      <x:c r="R121" s="165" t="str">
        <x:f>IF(AND(R$5&gt;=$C121,R$5&lt;=$D121,$A121&lt;&gt;""),"●","")</x:f>
      </x:c>
      <x:c r="S121" s="165" t="str">
        <x:f>IF(AND(S$5&gt;=$C121,S$5&lt;=$D121,$A121&lt;&gt;""),"●","")</x:f>
      </x:c>
      <x:c r="T121" s="165" t="str">
        <x:f>IF(AND(T$5&gt;=$C121,T$5&lt;=$D121,$A121&lt;&gt;""),"●","")</x:f>
      </x:c>
      <x:c r="U121" s="165" t="str">
        <x:f>IF(AND(U$5&gt;=$C121,U$5&lt;=$D121,$A121&lt;&gt;""),"●","")</x:f>
      </x:c>
      <x:c r="V121" s="165" t="str">
        <x:f>IF(AND(V$5&gt;=$C121,V$5&lt;=$D121,$A121&lt;&gt;""),"●","")</x:f>
      </x:c>
      <x:c r="W121" s="165" t="str">
        <x:f>IF(AND(W$5&gt;=$C121,W$5&lt;=$D121,$A121&lt;&gt;""),"●","")</x:f>
      </x:c>
      <x:c r="X121" s="165" t="str">
        <x:f>IF(AND(X$5&gt;=$C121,X$5&lt;=$D121,$A121&lt;&gt;""),"●","")</x:f>
      </x:c>
      <x:c r="Y121" s="165" t="str">
        <x:f>IF(AND(Y$5&gt;=$C121,Y$5&lt;=$D121,$A121&lt;&gt;""),"●","")</x:f>
      </x:c>
      <x:c r="Z121" s="165" t="str">
        <x:f>IF(AND(Z$5&gt;=$C121,Z$5&lt;=$D121,$A121&lt;&gt;""),"●","")</x:f>
      </x:c>
      <x:c r="AA121" s="165" t="str">
        <x:f>IF(AND(AA$5&gt;=$C121,AA$5&lt;=$D121,$A121&lt;&gt;""),"●","")</x:f>
      </x:c>
      <x:c r="AB121" s="165" t="str">
        <x:f>IF(AND(AB$5&gt;=$C121,AB$5&lt;=$D121,$A121&lt;&gt;""),"●","")</x:f>
      </x:c>
      <x:c r="AC121" s="165" t="str">
        <x:f>IF(AND(AC$5&gt;=$C121,AC$5&lt;=$D121,$A121&lt;&gt;""),"●","")</x:f>
      </x:c>
      <x:c r="AD121" s="165" t="str">
        <x:f>IF(AND(AD$5&gt;=$C121,AD$5&lt;=$D121,$A121&lt;&gt;""),"●","")</x:f>
      </x:c>
      <x:c r="AE121" s="165" t="str">
        <x:f>IF(AND(AE$5&gt;=$C121,AE$5&lt;=$D121,$A121&lt;&gt;""),"●","")</x:f>
      </x:c>
      <x:c r="AF121" s="165" t="str">
        <x:f>IF(AND(AF$5&gt;=$C121,AF$5&lt;=$D121,$A121&lt;&gt;""),"●","")</x:f>
      </x:c>
      <x:c r="AG121" s="165" t="str">
        <x:f>IF(AND(AG$5&gt;=$C121,AG$5&lt;=$D121,$A121&lt;&gt;""),"●","")</x:f>
      </x:c>
      <x:c r="AH121" s="165" t="str">
        <x:f>IF(AND(AH$5&gt;=$C121,AH$5&lt;=$D121,$A121&lt;&gt;""),"●","")</x:f>
      </x:c>
      <x:c r="AI121" s="165" t="str">
        <x:f>IF(AND(AI$5&gt;=$C121,AI$5&lt;=$D121,$A121&lt;&gt;""),"●","")</x:f>
      </x:c>
      <x:c r="AJ121" s="165" t="str">
        <x:f>IF(AND(AJ$5&gt;=$C121,AJ$5&lt;=$D121,$A121&lt;&gt;""),"●","")</x:f>
      </x:c>
      <x:c r="AK121" s="165" t="str">
        <x:f>IF(AND(AK$5&gt;=$C121,AK$5&lt;=$D121,$A121&lt;&gt;""),"●","")</x:f>
      </x:c>
      <x:c r="AL121" s="165" t="str">
        <x:f>IF(AND(AL$5&gt;=$C121,AL$5&lt;=$D121,$A121&lt;&gt;""),"●","")</x:f>
      </x:c>
      <x:c r="AM121" s="165" t="str">
        <x:f>IF(AND(AM$5&gt;=$C121,AM$5&lt;=$D121,$A121&lt;&gt;""),"●","")</x:f>
      </x:c>
      <x:c r="AN121" s="165" t="str">
        <x:f>IF(AND(AN$5&gt;=$C121,AN$5&lt;=$D121,$A121&lt;&gt;""),"●","")</x:f>
      </x:c>
      <x:c r="AO121" s="165" t="str">
        <x:f>IF(AND(AO$5&gt;=$C121,AO$5&lt;=$D121,$A121&lt;&gt;""),"●","")</x:f>
      </x:c>
      <x:c r="AP121" s="165" t="str">
        <x:f>IF(AND(AP$5&gt;=$C121,AP$5&lt;=$D121,$A121&lt;&gt;""),"●","")</x:f>
      </x:c>
      <x:c r="AQ121" s="165" t="str">
        <x:f>IF(AND(AQ$5&gt;=$C121,AQ$5&lt;=$D121,$A121&lt;&gt;""),"●","")</x:f>
      </x:c>
      <x:c r="AR121" s="165" t="str">
        <x:f>IF(AND(AR$5&gt;=$C121,AR$5&lt;=$D121,$A121&lt;&gt;""),"●","")</x:f>
      </x:c>
      <x:c r="AS121" s="165" t="str">
        <x:f>IF(AND(AS$5&gt;=$C121,AS$5&lt;=$D121,$A121&lt;&gt;""),"●","")</x:f>
      </x:c>
      <x:c r="AT121" s="165" t="str">
        <x:f>IF(AND(AT$5&gt;=$C121,AT$5&lt;=$D121,$A121&lt;&gt;""),"●","")</x:f>
      </x:c>
      <x:c r="AU121" s="165" t="str">
        <x:f>IF(AND(AU$5&gt;=$C121,AU$5&lt;=$D121,$A121&lt;&gt;""),"●","")</x:f>
      </x:c>
      <x:c r="AV121" s="165" t="str">
        <x:f>IF(AND(AV$5&gt;=$C121,AV$5&lt;=$D121,$A121&lt;&gt;""),"●","")</x:f>
      </x:c>
      <x:c r="AW121" s="165" t="str">
        <x:f>IF(AND(AW$5&gt;=$C121,AW$5&lt;=$D121,$A121&lt;&gt;""),"●","")</x:f>
      </x:c>
      <x:c r="AX121" s="165" t="str">
        <x:f>IF(AND(AX$5&gt;=$C121,AX$5&lt;=$D121,$A121&lt;&gt;""),"●","")</x:f>
      </x:c>
      <x:c r="AY121" s="165" t="str">
        <x:f>IF(AND(AY$5&gt;=$C121,AY$5&lt;=$D121,$A121&lt;&gt;""),"●","")</x:f>
      </x:c>
      <x:c r="AZ121" s="165" t="str">
        <x:f>IF(AND(AZ$5&gt;=$C121,AZ$5&lt;=$D121,$A121&lt;&gt;""),"●","")</x:f>
      </x:c>
      <x:c r="BA121" s="165" t="str">
        <x:f>IF(AND(BA$5&gt;=$C121,BA$5&lt;=$D121,$A121&lt;&gt;""),"●","")</x:f>
      </x:c>
      <x:c r="BB121" s="165" t="str">
        <x:f>IF(AND(BB$5&gt;=$C121,BB$5&lt;=$D121,$A121&lt;&gt;""),"●","")</x:f>
      </x:c>
      <x:c r="BC121" s="165" t="str">
        <x:f>IF(AND(BC$5&gt;=$C121,BC$5&lt;=$D121,$A121&lt;&gt;""),"●","")</x:f>
      </x:c>
      <x:c r="BD121" s="165" t="str">
        <x:f>IF(AND(BD$5&gt;=$C121,BD$5&lt;=$D121,$A121&lt;&gt;""),"●","")</x:f>
      </x:c>
      <x:c r="BE121" s="165" t="str">
        <x:f>IF(AND(BE$5&gt;=$C121,BE$5&lt;=$D121,$A121&lt;&gt;""),"●","")</x:f>
      </x:c>
      <x:c r="BF121" s="165" t="str">
        <x:f>IF(AND(BF$5&gt;=$C121,BF$5&lt;=$D121,$A121&lt;&gt;""),"●","")</x:f>
      </x:c>
      <x:c r="BG121" s="165" t="str">
        <x:f>IF(AND(BG$5&gt;=$C121,BG$5&lt;=$D121,$A121&lt;&gt;""),"●","")</x:f>
      </x:c>
      <x:c r="BH121" s="165" t="str">
        <x:f>IF(AND(BH$5&gt;=$C121,BH$5&lt;=$D121,$A121&lt;&gt;""),"●","")</x:f>
      </x:c>
      <x:c r="BI121" s="165" t="str">
        <x:f>IF(AND(BI$5&gt;=$C121,BI$5&lt;=$D121,$A121&lt;&gt;""),"●","")</x:f>
      </x:c>
      <x:c r="BJ121" s="165" t="str">
        <x:f>IF(AND(BJ$5&gt;=$C121,BJ$5&lt;=$D121,$A121&lt;&gt;""),"●","")</x:f>
      </x:c>
      <x:c r="BK121" s="165" t="str">
        <x:f>IF(AND(BK$5&gt;=$C121,BK$5&lt;=$D121,$A121&lt;&gt;""),"●","")</x:f>
      </x:c>
      <x:c r="BL121" s="165" t="str">
        <x:f>IF(AND(BL$5&gt;=$C121,BL$5&lt;=$D121,$A121&lt;&gt;""),"●","")</x:f>
      </x:c>
      <x:c r="BM121" s="165" t="str">
        <x:f>IF(AND(BM$5&gt;=$C121,BM$5&lt;=$D121,$A121&lt;&gt;""),"●","")</x:f>
      </x:c>
      <x:c r="BN121" s="165" t="str">
        <x:f>IF(AND(BN$5&gt;=$C121,BN$5&lt;=$D121,$A121&lt;&gt;""),"●","")</x:f>
      </x:c>
      <x:c r="BO121" s="165" t="str">
        <x:f>IF(AND(BO$5&gt;=$C121,BO$5&lt;=$D121,$A121&lt;&gt;""),"●","")</x:f>
      </x:c>
      <x:c r="BP121" s="165" t="str">
        <x:f>IF(AND(BP$5&gt;=$C121,BP$5&lt;=$D121,$A121&lt;&gt;""),"●","")</x:f>
      </x:c>
      <x:c r="BQ121" s="165" t="str">
        <x:f>IF(AND(BQ$5&gt;=$C121,BQ$5&lt;=$D121,$A121&lt;&gt;""),"●","")</x:f>
      </x:c>
      <x:c r="BR121" s="165" t="str">
        <x:f>IF(AND(BR$5&gt;=$C121,BR$5&lt;=$D121,$A121&lt;&gt;""),"●","")</x:f>
      </x:c>
      <x:c r="BS121" s="165" t="str">
        <x:f>IF(AND(BS$5&gt;=$C121,BS$5&lt;=$D121,$A121&lt;&gt;""),"●","")</x:f>
      </x:c>
      <x:c r="BT121" s="165" t="str">
        <x:f>IF(AND(BT$5&gt;=$C121,BT$5&lt;=$D121,$A121&lt;&gt;""),"●","")</x:f>
      </x:c>
      <x:c r="BU121" s="165" t="str">
        <x:f>IF(AND(BU$5&gt;=$C121,BU$5&lt;=$D121,$A121&lt;&gt;""),"●","")</x:f>
      </x:c>
      <x:c r="BV121" s="165" t="str">
        <x:f>IF(AND(BV$5&gt;=$C121,BV$5&lt;=$D121,$A121&lt;&gt;""),"●","")</x:f>
      </x:c>
      <x:c r="BW121" s="165" t="str">
        <x:f>IF(AND(BW$5&gt;=$C121,BW$5&lt;=$D121,$A121&lt;&gt;""),"●","")</x:f>
      </x:c>
    </x:row>
    <x:row r="122">
      <x:c r="A122" s="159" t="str">
        <x:f>IF('รายการสัญญา'!A122="","",'รายการสัญญา'!A122)</x:f>
      </x:c>
      <x:c r="B122" s="159" t="str">
        <x:f>IF('รายการสัญญา'!A122="","",'รายการสัญญา'!C122)</x:f>
      </x:c>
      <x:c r="C122" s="162" t="str">
        <x:f>IF('รายการสัญญา'!A122="","",'รายการสัญญา'!E122)</x:f>
      </x:c>
      <x:c r="D122" s="162" t="str">
        <x:f>IF('รายการสัญญา'!A122="","",'รายการสัญญา'!G122)</x:f>
      </x:c>
      <x:c r="E122" s="159" t="str">
        <x:f>IF('รายการสัญญา'!A122="","",'รายการสัญญา'!K122)</x:f>
      </x:c>
      <x:c r="F122" s="165" t="str">
        <x:f>IF(AND(F$5&gt;=$C122,F$5&lt;=$D122,$A122&lt;&gt;""),"●","")</x:f>
      </x:c>
      <x:c r="G122" s="165" t="str">
        <x:f>IF(AND(G$5&gt;=$C122,G$5&lt;=$D122,$A122&lt;&gt;""),"●","")</x:f>
      </x:c>
      <x:c r="H122" s="165" t="str">
        <x:f>IF(AND(H$5&gt;=$C122,H$5&lt;=$D122,$A122&lt;&gt;""),"●","")</x:f>
      </x:c>
      <x:c r="I122" s="165" t="str">
        <x:f>IF(AND(I$5&gt;=$C122,I$5&lt;=$D122,$A122&lt;&gt;""),"●","")</x:f>
      </x:c>
      <x:c r="J122" s="165" t="str">
        <x:f>IF(AND(J$5&gt;=$C122,J$5&lt;=$D122,$A122&lt;&gt;""),"●","")</x:f>
      </x:c>
      <x:c r="K122" s="165" t="str">
        <x:f>IF(AND(K$5&gt;=$C122,K$5&lt;=$D122,$A122&lt;&gt;""),"●","")</x:f>
      </x:c>
      <x:c r="L122" s="165" t="str">
        <x:f>IF(AND(L$5&gt;=$C122,L$5&lt;=$D122,$A122&lt;&gt;""),"●","")</x:f>
      </x:c>
      <x:c r="M122" s="165" t="str">
        <x:f>IF(AND(M$5&gt;=$C122,M$5&lt;=$D122,$A122&lt;&gt;""),"●","")</x:f>
      </x:c>
      <x:c r="N122" s="165" t="str">
        <x:f>IF(AND(N$5&gt;=$C122,N$5&lt;=$D122,$A122&lt;&gt;""),"●","")</x:f>
      </x:c>
      <x:c r="O122" s="165" t="str">
        <x:f>IF(AND(O$5&gt;=$C122,O$5&lt;=$D122,$A122&lt;&gt;""),"●","")</x:f>
      </x:c>
      <x:c r="P122" s="165" t="str">
        <x:f>IF(AND(P$5&gt;=$C122,P$5&lt;=$D122,$A122&lt;&gt;""),"●","")</x:f>
      </x:c>
      <x:c r="Q122" s="165" t="str">
        <x:f>IF(AND(Q$5&gt;=$C122,Q$5&lt;=$D122,$A122&lt;&gt;""),"●","")</x:f>
      </x:c>
      <x:c r="R122" s="165" t="str">
        <x:f>IF(AND(R$5&gt;=$C122,R$5&lt;=$D122,$A122&lt;&gt;""),"●","")</x:f>
      </x:c>
      <x:c r="S122" s="165" t="str">
        <x:f>IF(AND(S$5&gt;=$C122,S$5&lt;=$D122,$A122&lt;&gt;""),"●","")</x:f>
      </x:c>
      <x:c r="T122" s="165" t="str">
        <x:f>IF(AND(T$5&gt;=$C122,T$5&lt;=$D122,$A122&lt;&gt;""),"●","")</x:f>
      </x:c>
      <x:c r="U122" s="165" t="str">
        <x:f>IF(AND(U$5&gt;=$C122,U$5&lt;=$D122,$A122&lt;&gt;""),"●","")</x:f>
      </x:c>
      <x:c r="V122" s="165" t="str">
        <x:f>IF(AND(V$5&gt;=$C122,V$5&lt;=$D122,$A122&lt;&gt;""),"●","")</x:f>
      </x:c>
      <x:c r="W122" s="165" t="str">
        <x:f>IF(AND(W$5&gt;=$C122,W$5&lt;=$D122,$A122&lt;&gt;""),"●","")</x:f>
      </x:c>
      <x:c r="X122" s="165" t="str">
        <x:f>IF(AND(X$5&gt;=$C122,X$5&lt;=$D122,$A122&lt;&gt;""),"●","")</x:f>
      </x:c>
      <x:c r="Y122" s="165" t="str">
        <x:f>IF(AND(Y$5&gt;=$C122,Y$5&lt;=$D122,$A122&lt;&gt;""),"●","")</x:f>
      </x:c>
      <x:c r="Z122" s="165" t="str">
        <x:f>IF(AND(Z$5&gt;=$C122,Z$5&lt;=$D122,$A122&lt;&gt;""),"●","")</x:f>
      </x:c>
      <x:c r="AA122" s="165" t="str">
        <x:f>IF(AND(AA$5&gt;=$C122,AA$5&lt;=$D122,$A122&lt;&gt;""),"●","")</x:f>
      </x:c>
      <x:c r="AB122" s="165" t="str">
        <x:f>IF(AND(AB$5&gt;=$C122,AB$5&lt;=$D122,$A122&lt;&gt;""),"●","")</x:f>
      </x:c>
      <x:c r="AC122" s="165" t="str">
        <x:f>IF(AND(AC$5&gt;=$C122,AC$5&lt;=$D122,$A122&lt;&gt;""),"●","")</x:f>
      </x:c>
      <x:c r="AD122" s="165" t="str">
        <x:f>IF(AND(AD$5&gt;=$C122,AD$5&lt;=$D122,$A122&lt;&gt;""),"●","")</x:f>
      </x:c>
      <x:c r="AE122" s="165" t="str">
        <x:f>IF(AND(AE$5&gt;=$C122,AE$5&lt;=$D122,$A122&lt;&gt;""),"●","")</x:f>
      </x:c>
      <x:c r="AF122" s="165" t="str">
        <x:f>IF(AND(AF$5&gt;=$C122,AF$5&lt;=$D122,$A122&lt;&gt;""),"●","")</x:f>
      </x:c>
      <x:c r="AG122" s="165" t="str">
        <x:f>IF(AND(AG$5&gt;=$C122,AG$5&lt;=$D122,$A122&lt;&gt;""),"●","")</x:f>
      </x:c>
      <x:c r="AH122" s="165" t="str">
        <x:f>IF(AND(AH$5&gt;=$C122,AH$5&lt;=$D122,$A122&lt;&gt;""),"●","")</x:f>
      </x:c>
      <x:c r="AI122" s="165" t="str">
        <x:f>IF(AND(AI$5&gt;=$C122,AI$5&lt;=$D122,$A122&lt;&gt;""),"●","")</x:f>
      </x:c>
      <x:c r="AJ122" s="165" t="str">
        <x:f>IF(AND(AJ$5&gt;=$C122,AJ$5&lt;=$D122,$A122&lt;&gt;""),"●","")</x:f>
      </x:c>
      <x:c r="AK122" s="165" t="str">
        <x:f>IF(AND(AK$5&gt;=$C122,AK$5&lt;=$D122,$A122&lt;&gt;""),"●","")</x:f>
      </x:c>
      <x:c r="AL122" s="165" t="str">
        <x:f>IF(AND(AL$5&gt;=$C122,AL$5&lt;=$D122,$A122&lt;&gt;""),"●","")</x:f>
      </x:c>
      <x:c r="AM122" s="165" t="str">
        <x:f>IF(AND(AM$5&gt;=$C122,AM$5&lt;=$D122,$A122&lt;&gt;""),"●","")</x:f>
      </x:c>
      <x:c r="AN122" s="165" t="str">
        <x:f>IF(AND(AN$5&gt;=$C122,AN$5&lt;=$D122,$A122&lt;&gt;""),"●","")</x:f>
      </x:c>
      <x:c r="AO122" s="165" t="str">
        <x:f>IF(AND(AO$5&gt;=$C122,AO$5&lt;=$D122,$A122&lt;&gt;""),"●","")</x:f>
      </x:c>
      <x:c r="AP122" s="165" t="str">
        <x:f>IF(AND(AP$5&gt;=$C122,AP$5&lt;=$D122,$A122&lt;&gt;""),"●","")</x:f>
      </x:c>
      <x:c r="AQ122" s="165" t="str">
        <x:f>IF(AND(AQ$5&gt;=$C122,AQ$5&lt;=$D122,$A122&lt;&gt;""),"●","")</x:f>
      </x:c>
      <x:c r="AR122" s="165" t="str">
        <x:f>IF(AND(AR$5&gt;=$C122,AR$5&lt;=$D122,$A122&lt;&gt;""),"●","")</x:f>
      </x:c>
      <x:c r="AS122" s="165" t="str">
        <x:f>IF(AND(AS$5&gt;=$C122,AS$5&lt;=$D122,$A122&lt;&gt;""),"●","")</x:f>
      </x:c>
      <x:c r="AT122" s="165" t="str">
        <x:f>IF(AND(AT$5&gt;=$C122,AT$5&lt;=$D122,$A122&lt;&gt;""),"●","")</x:f>
      </x:c>
      <x:c r="AU122" s="165" t="str">
        <x:f>IF(AND(AU$5&gt;=$C122,AU$5&lt;=$D122,$A122&lt;&gt;""),"●","")</x:f>
      </x:c>
      <x:c r="AV122" s="165" t="str">
        <x:f>IF(AND(AV$5&gt;=$C122,AV$5&lt;=$D122,$A122&lt;&gt;""),"●","")</x:f>
      </x:c>
      <x:c r="AW122" s="165" t="str">
        <x:f>IF(AND(AW$5&gt;=$C122,AW$5&lt;=$D122,$A122&lt;&gt;""),"●","")</x:f>
      </x:c>
      <x:c r="AX122" s="165" t="str">
        <x:f>IF(AND(AX$5&gt;=$C122,AX$5&lt;=$D122,$A122&lt;&gt;""),"●","")</x:f>
      </x:c>
      <x:c r="AY122" s="165" t="str">
        <x:f>IF(AND(AY$5&gt;=$C122,AY$5&lt;=$D122,$A122&lt;&gt;""),"●","")</x:f>
      </x:c>
      <x:c r="AZ122" s="165" t="str">
        <x:f>IF(AND(AZ$5&gt;=$C122,AZ$5&lt;=$D122,$A122&lt;&gt;""),"●","")</x:f>
      </x:c>
      <x:c r="BA122" s="165" t="str">
        <x:f>IF(AND(BA$5&gt;=$C122,BA$5&lt;=$D122,$A122&lt;&gt;""),"●","")</x:f>
      </x:c>
      <x:c r="BB122" s="165" t="str">
        <x:f>IF(AND(BB$5&gt;=$C122,BB$5&lt;=$D122,$A122&lt;&gt;""),"●","")</x:f>
      </x:c>
      <x:c r="BC122" s="165" t="str">
        <x:f>IF(AND(BC$5&gt;=$C122,BC$5&lt;=$D122,$A122&lt;&gt;""),"●","")</x:f>
      </x:c>
      <x:c r="BD122" s="165" t="str">
        <x:f>IF(AND(BD$5&gt;=$C122,BD$5&lt;=$D122,$A122&lt;&gt;""),"●","")</x:f>
      </x:c>
      <x:c r="BE122" s="165" t="str">
        <x:f>IF(AND(BE$5&gt;=$C122,BE$5&lt;=$D122,$A122&lt;&gt;""),"●","")</x:f>
      </x:c>
      <x:c r="BF122" s="165" t="str">
        <x:f>IF(AND(BF$5&gt;=$C122,BF$5&lt;=$D122,$A122&lt;&gt;""),"●","")</x:f>
      </x:c>
      <x:c r="BG122" s="165" t="str">
        <x:f>IF(AND(BG$5&gt;=$C122,BG$5&lt;=$D122,$A122&lt;&gt;""),"●","")</x:f>
      </x:c>
      <x:c r="BH122" s="165" t="str">
        <x:f>IF(AND(BH$5&gt;=$C122,BH$5&lt;=$D122,$A122&lt;&gt;""),"●","")</x:f>
      </x:c>
      <x:c r="BI122" s="165" t="str">
        <x:f>IF(AND(BI$5&gt;=$C122,BI$5&lt;=$D122,$A122&lt;&gt;""),"●","")</x:f>
      </x:c>
      <x:c r="BJ122" s="165" t="str">
        <x:f>IF(AND(BJ$5&gt;=$C122,BJ$5&lt;=$D122,$A122&lt;&gt;""),"●","")</x:f>
      </x:c>
      <x:c r="BK122" s="165" t="str">
        <x:f>IF(AND(BK$5&gt;=$C122,BK$5&lt;=$D122,$A122&lt;&gt;""),"●","")</x:f>
      </x:c>
      <x:c r="BL122" s="165" t="str">
        <x:f>IF(AND(BL$5&gt;=$C122,BL$5&lt;=$D122,$A122&lt;&gt;""),"●","")</x:f>
      </x:c>
      <x:c r="BM122" s="165" t="str">
        <x:f>IF(AND(BM$5&gt;=$C122,BM$5&lt;=$D122,$A122&lt;&gt;""),"●","")</x:f>
      </x:c>
      <x:c r="BN122" s="165" t="str">
        <x:f>IF(AND(BN$5&gt;=$C122,BN$5&lt;=$D122,$A122&lt;&gt;""),"●","")</x:f>
      </x:c>
      <x:c r="BO122" s="165" t="str">
        <x:f>IF(AND(BO$5&gt;=$C122,BO$5&lt;=$D122,$A122&lt;&gt;""),"●","")</x:f>
      </x:c>
      <x:c r="BP122" s="165" t="str">
        <x:f>IF(AND(BP$5&gt;=$C122,BP$5&lt;=$D122,$A122&lt;&gt;""),"●","")</x:f>
      </x:c>
      <x:c r="BQ122" s="165" t="str">
        <x:f>IF(AND(BQ$5&gt;=$C122,BQ$5&lt;=$D122,$A122&lt;&gt;""),"●","")</x:f>
      </x:c>
      <x:c r="BR122" s="165" t="str">
        <x:f>IF(AND(BR$5&gt;=$C122,BR$5&lt;=$D122,$A122&lt;&gt;""),"●","")</x:f>
      </x:c>
      <x:c r="BS122" s="165" t="str">
        <x:f>IF(AND(BS$5&gt;=$C122,BS$5&lt;=$D122,$A122&lt;&gt;""),"●","")</x:f>
      </x:c>
      <x:c r="BT122" s="165" t="str">
        <x:f>IF(AND(BT$5&gt;=$C122,BT$5&lt;=$D122,$A122&lt;&gt;""),"●","")</x:f>
      </x:c>
      <x:c r="BU122" s="165" t="str">
        <x:f>IF(AND(BU$5&gt;=$C122,BU$5&lt;=$D122,$A122&lt;&gt;""),"●","")</x:f>
      </x:c>
      <x:c r="BV122" s="165" t="str">
        <x:f>IF(AND(BV$5&gt;=$C122,BV$5&lt;=$D122,$A122&lt;&gt;""),"●","")</x:f>
      </x:c>
      <x:c r="BW122" s="165" t="str">
        <x:f>IF(AND(BW$5&gt;=$C122,BW$5&lt;=$D122,$A122&lt;&gt;""),"●","")</x:f>
      </x:c>
    </x:row>
    <x:row r="123">
      <x:c r="A123" s="159" t="str">
        <x:f>IF('รายการสัญญา'!A123="","",'รายการสัญญา'!A123)</x:f>
      </x:c>
      <x:c r="B123" s="159" t="str">
        <x:f>IF('รายการสัญญา'!A123="","",'รายการสัญญา'!C123)</x:f>
      </x:c>
      <x:c r="C123" s="162" t="str">
        <x:f>IF('รายการสัญญา'!A123="","",'รายการสัญญา'!E123)</x:f>
      </x:c>
      <x:c r="D123" s="162" t="str">
        <x:f>IF('รายการสัญญา'!A123="","",'รายการสัญญา'!G123)</x:f>
      </x:c>
      <x:c r="E123" s="159" t="str">
        <x:f>IF('รายการสัญญา'!A123="","",'รายการสัญญา'!K123)</x:f>
      </x:c>
      <x:c r="F123" s="165" t="str">
        <x:f>IF(AND(F$5&gt;=$C123,F$5&lt;=$D123,$A123&lt;&gt;""),"●","")</x:f>
      </x:c>
      <x:c r="G123" s="165" t="str">
        <x:f>IF(AND(G$5&gt;=$C123,G$5&lt;=$D123,$A123&lt;&gt;""),"●","")</x:f>
      </x:c>
      <x:c r="H123" s="165" t="str">
        <x:f>IF(AND(H$5&gt;=$C123,H$5&lt;=$D123,$A123&lt;&gt;""),"●","")</x:f>
      </x:c>
      <x:c r="I123" s="165" t="str">
        <x:f>IF(AND(I$5&gt;=$C123,I$5&lt;=$D123,$A123&lt;&gt;""),"●","")</x:f>
      </x:c>
      <x:c r="J123" s="165" t="str">
        <x:f>IF(AND(J$5&gt;=$C123,J$5&lt;=$D123,$A123&lt;&gt;""),"●","")</x:f>
      </x:c>
      <x:c r="K123" s="165" t="str">
        <x:f>IF(AND(K$5&gt;=$C123,K$5&lt;=$D123,$A123&lt;&gt;""),"●","")</x:f>
      </x:c>
      <x:c r="L123" s="165" t="str">
        <x:f>IF(AND(L$5&gt;=$C123,L$5&lt;=$D123,$A123&lt;&gt;""),"●","")</x:f>
      </x:c>
      <x:c r="M123" s="165" t="str">
        <x:f>IF(AND(M$5&gt;=$C123,M$5&lt;=$D123,$A123&lt;&gt;""),"●","")</x:f>
      </x:c>
      <x:c r="N123" s="165" t="str">
        <x:f>IF(AND(N$5&gt;=$C123,N$5&lt;=$D123,$A123&lt;&gt;""),"●","")</x:f>
      </x:c>
      <x:c r="O123" s="165" t="str">
        <x:f>IF(AND(O$5&gt;=$C123,O$5&lt;=$D123,$A123&lt;&gt;""),"●","")</x:f>
      </x:c>
      <x:c r="P123" s="165" t="str">
        <x:f>IF(AND(P$5&gt;=$C123,P$5&lt;=$D123,$A123&lt;&gt;""),"●","")</x:f>
      </x:c>
      <x:c r="Q123" s="165" t="str">
        <x:f>IF(AND(Q$5&gt;=$C123,Q$5&lt;=$D123,$A123&lt;&gt;""),"●","")</x:f>
      </x:c>
      <x:c r="R123" s="165" t="str">
        <x:f>IF(AND(R$5&gt;=$C123,R$5&lt;=$D123,$A123&lt;&gt;""),"●","")</x:f>
      </x:c>
      <x:c r="S123" s="165" t="str">
        <x:f>IF(AND(S$5&gt;=$C123,S$5&lt;=$D123,$A123&lt;&gt;""),"●","")</x:f>
      </x:c>
      <x:c r="T123" s="165" t="str">
        <x:f>IF(AND(T$5&gt;=$C123,T$5&lt;=$D123,$A123&lt;&gt;""),"●","")</x:f>
      </x:c>
      <x:c r="U123" s="165" t="str">
        <x:f>IF(AND(U$5&gt;=$C123,U$5&lt;=$D123,$A123&lt;&gt;""),"●","")</x:f>
      </x:c>
      <x:c r="V123" s="165" t="str">
        <x:f>IF(AND(V$5&gt;=$C123,V$5&lt;=$D123,$A123&lt;&gt;""),"●","")</x:f>
      </x:c>
      <x:c r="W123" s="165" t="str">
        <x:f>IF(AND(W$5&gt;=$C123,W$5&lt;=$D123,$A123&lt;&gt;""),"●","")</x:f>
      </x:c>
      <x:c r="X123" s="165" t="str">
        <x:f>IF(AND(X$5&gt;=$C123,X$5&lt;=$D123,$A123&lt;&gt;""),"●","")</x:f>
      </x:c>
      <x:c r="Y123" s="165" t="str">
        <x:f>IF(AND(Y$5&gt;=$C123,Y$5&lt;=$D123,$A123&lt;&gt;""),"●","")</x:f>
      </x:c>
      <x:c r="Z123" s="165" t="str">
        <x:f>IF(AND(Z$5&gt;=$C123,Z$5&lt;=$D123,$A123&lt;&gt;""),"●","")</x:f>
      </x:c>
      <x:c r="AA123" s="165" t="str">
        <x:f>IF(AND(AA$5&gt;=$C123,AA$5&lt;=$D123,$A123&lt;&gt;""),"●","")</x:f>
      </x:c>
      <x:c r="AB123" s="165" t="str">
        <x:f>IF(AND(AB$5&gt;=$C123,AB$5&lt;=$D123,$A123&lt;&gt;""),"●","")</x:f>
      </x:c>
      <x:c r="AC123" s="165" t="str">
        <x:f>IF(AND(AC$5&gt;=$C123,AC$5&lt;=$D123,$A123&lt;&gt;""),"●","")</x:f>
      </x:c>
      <x:c r="AD123" s="165" t="str">
        <x:f>IF(AND(AD$5&gt;=$C123,AD$5&lt;=$D123,$A123&lt;&gt;""),"●","")</x:f>
      </x:c>
      <x:c r="AE123" s="165" t="str">
        <x:f>IF(AND(AE$5&gt;=$C123,AE$5&lt;=$D123,$A123&lt;&gt;""),"●","")</x:f>
      </x:c>
      <x:c r="AF123" s="165" t="str">
        <x:f>IF(AND(AF$5&gt;=$C123,AF$5&lt;=$D123,$A123&lt;&gt;""),"●","")</x:f>
      </x:c>
      <x:c r="AG123" s="165" t="str">
        <x:f>IF(AND(AG$5&gt;=$C123,AG$5&lt;=$D123,$A123&lt;&gt;""),"●","")</x:f>
      </x:c>
      <x:c r="AH123" s="165" t="str">
        <x:f>IF(AND(AH$5&gt;=$C123,AH$5&lt;=$D123,$A123&lt;&gt;""),"●","")</x:f>
      </x:c>
      <x:c r="AI123" s="165" t="str">
        <x:f>IF(AND(AI$5&gt;=$C123,AI$5&lt;=$D123,$A123&lt;&gt;""),"●","")</x:f>
      </x:c>
      <x:c r="AJ123" s="165" t="str">
        <x:f>IF(AND(AJ$5&gt;=$C123,AJ$5&lt;=$D123,$A123&lt;&gt;""),"●","")</x:f>
      </x:c>
      <x:c r="AK123" s="165" t="str">
        <x:f>IF(AND(AK$5&gt;=$C123,AK$5&lt;=$D123,$A123&lt;&gt;""),"●","")</x:f>
      </x:c>
      <x:c r="AL123" s="165" t="str">
        <x:f>IF(AND(AL$5&gt;=$C123,AL$5&lt;=$D123,$A123&lt;&gt;""),"●","")</x:f>
      </x:c>
      <x:c r="AM123" s="165" t="str">
        <x:f>IF(AND(AM$5&gt;=$C123,AM$5&lt;=$D123,$A123&lt;&gt;""),"●","")</x:f>
      </x:c>
      <x:c r="AN123" s="165" t="str">
        <x:f>IF(AND(AN$5&gt;=$C123,AN$5&lt;=$D123,$A123&lt;&gt;""),"●","")</x:f>
      </x:c>
      <x:c r="AO123" s="165" t="str">
        <x:f>IF(AND(AO$5&gt;=$C123,AO$5&lt;=$D123,$A123&lt;&gt;""),"●","")</x:f>
      </x:c>
      <x:c r="AP123" s="165" t="str">
        <x:f>IF(AND(AP$5&gt;=$C123,AP$5&lt;=$D123,$A123&lt;&gt;""),"●","")</x:f>
      </x:c>
      <x:c r="AQ123" s="165" t="str">
        <x:f>IF(AND(AQ$5&gt;=$C123,AQ$5&lt;=$D123,$A123&lt;&gt;""),"●","")</x:f>
      </x:c>
      <x:c r="AR123" s="165" t="str">
        <x:f>IF(AND(AR$5&gt;=$C123,AR$5&lt;=$D123,$A123&lt;&gt;""),"●","")</x:f>
      </x:c>
      <x:c r="AS123" s="165" t="str">
        <x:f>IF(AND(AS$5&gt;=$C123,AS$5&lt;=$D123,$A123&lt;&gt;""),"●","")</x:f>
      </x:c>
      <x:c r="AT123" s="165" t="str">
        <x:f>IF(AND(AT$5&gt;=$C123,AT$5&lt;=$D123,$A123&lt;&gt;""),"●","")</x:f>
      </x:c>
      <x:c r="AU123" s="165" t="str">
        <x:f>IF(AND(AU$5&gt;=$C123,AU$5&lt;=$D123,$A123&lt;&gt;""),"●","")</x:f>
      </x:c>
      <x:c r="AV123" s="165" t="str">
        <x:f>IF(AND(AV$5&gt;=$C123,AV$5&lt;=$D123,$A123&lt;&gt;""),"●","")</x:f>
      </x:c>
      <x:c r="AW123" s="165" t="str">
        <x:f>IF(AND(AW$5&gt;=$C123,AW$5&lt;=$D123,$A123&lt;&gt;""),"●","")</x:f>
      </x:c>
      <x:c r="AX123" s="165" t="str">
        <x:f>IF(AND(AX$5&gt;=$C123,AX$5&lt;=$D123,$A123&lt;&gt;""),"●","")</x:f>
      </x:c>
      <x:c r="AY123" s="165" t="str">
        <x:f>IF(AND(AY$5&gt;=$C123,AY$5&lt;=$D123,$A123&lt;&gt;""),"●","")</x:f>
      </x:c>
      <x:c r="AZ123" s="165" t="str">
        <x:f>IF(AND(AZ$5&gt;=$C123,AZ$5&lt;=$D123,$A123&lt;&gt;""),"●","")</x:f>
      </x:c>
      <x:c r="BA123" s="165" t="str">
        <x:f>IF(AND(BA$5&gt;=$C123,BA$5&lt;=$D123,$A123&lt;&gt;""),"●","")</x:f>
      </x:c>
      <x:c r="BB123" s="165" t="str">
        <x:f>IF(AND(BB$5&gt;=$C123,BB$5&lt;=$D123,$A123&lt;&gt;""),"●","")</x:f>
      </x:c>
      <x:c r="BC123" s="165" t="str">
        <x:f>IF(AND(BC$5&gt;=$C123,BC$5&lt;=$D123,$A123&lt;&gt;""),"●","")</x:f>
      </x:c>
      <x:c r="BD123" s="165" t="str">
        <x:f>IF(AND(BD$5&gt;=$C123,BD$5&lt;=$D123,$A123&lt;&gt;""),"●","")</x:f>
      </x:c>
      <x:c r="BE123" s="165" t="str">
        <x:f>IF(AND(BE$5&gt;=$C123,BE$5&lt;=$D123,$A123&lt;&gt;""),"●","")</x:f>
      </x:c>
      <x:c r="BF123" s="165" t="str">
        <x:f>IF(AND(BF$5&gt;=$C123,BF$5&lt;=$D123,$A123&lt;&gt;""),"●","")</x:f>
      </x:c>
      <x:c r="BG123" s="165" t="str">
        <x:f>IF(AND(BG$5&gt;=$C123,BG$5&lt;=$D123,$A123&lt;&gt;""),"●","")</x:f>
      </x:c>
      <x:c r="BH123" s="165" t="str">
        <x:f>IF(AND(BH$5&gt;=$C123,BH$5&lt;=$D123,$A123&lt;&gt;""),"●","")</x:f>
      </x:c>
      <x:c r="BI123" s="165" t="str">
        <x:f>IF(AND(BI$5&gt;=$C123,BI$5&lt;=$D123,$A123&lt;&gt;""),"●","")</x:f>
      </x:c>
      <x:c r="BJ123" s="165" t="str">
        <x:f>IF(AND(BJ$5&gt;=$C123,BJ$5&lt;=$D123,$A123&lt;&gt;""),"●","")</x:f>
      </x:c>
      <x:c r="BK123" s="165" t="str">
        <x:f>IF(AND(BK$5&gt;=$C123,BK$5&lt;=$D123,$A123&lt;&gt;""),"●","")</x:f>
      </x:c>
      <x:c r="BL123" s="165" t="str">
        <x:f>IF(AND(BL$5&gt;=$C123,BL$5&lt;=$D123,$A123&lt;&gt;""),"●","")</x:f>
      </x:c>
      <x:c r="BM123" s="165" t="str">
        <x:f>IF(AND(BM$5&gt;=$C123,BM$5&lt;=$D123,$A123&lt;&gt;""),"●","")</x:f>
      </x:c>
      <x:c r="BN123" s="165" t="str">
        <x:f>IF(AND(BN$5&gt;=$C123,BN$5&lt;=$D123,$A123&lt;&gt;""),"●","")</x:f>
      </x:c>
      <x:c r="BO123" s="165" t="str">
        <x:f>IF(AND(BO$5&gt;=$C123,BO$5&lt;=$D123,$A123&lt;&gt;""),"●","")</x:f>
      </x:c>
      <x:c r="BP123" s="165" t="str">
        <x:f>IF(AND(BP$5&gt;=$C123,BP$5&lt;=$D123,$A123&lt;&gt;""),"●","")</x:f>
      </x:c>
      <x:c r="BQ123" s="165" t="str">
        <x:f>IF(AND(BQ$5&gt;=$C123,BQ$5&lt;=$D123,$A123&lt;&gt;""),"●","")</x:f>
      </x:c>
      <x:c r="BR123" s="165" t="str">
        <x:f>IF(AND(BR$5&gt;=$C123,BR$5&lt;=$D123,$A123&lt;&gt;""),"●","")</x:f>
      </x:c>
      <x:c r="BS123" s="165" t="str">
        <x:f>IF(AND(BS$5&gt;=$C123,BS$5&lt;=$D123,$A123&lt;&gt;""),"●","")</x:f>
      </x:c>
      <x:c r="BT123" s="165" t="str">
        <x:f>IF(AND(BT$5&gt;=$C123,BT$5&lt;=$D123,$A123&lt;&gt;""),"●","")</x:f>
      </x:c>
      <x:c r="BU123" s="165" t="str">
        <x:f>IF(AND(BU$5&gt;=$C123,BU$5&lt;=$D123,$A123&lt;&gt;""),"●","")</x:f>
      </x:c>
      <x:c r="BV123" s="165" t="str">
        <x:f>IF(AND(BV$5&gt;=$C123,BV$5&lt;=$D123,$A123&lt;&gt;""),"●","")</x:f>
      </x:c>
      <x:c r="BW123" s="165" t="str">
        <x:f>IF(AND(BW$5&gt;=$C123,BW$5&lt;=$D123,$A123&lt;&gt;""),"●","")</x:f>
      </x:c>
    </x:row>
    <x:row r="124">
      <x:c r="A124" s="159" t="str">
        <x:f>IF('รายการสัญญา'!A124="","",'รายการสัญญา'!A124)</x:f>
      </x:c>
      <x:c r="B124" s="159" t="str">
        <x:f>IF('รายการสัญญา'!A124="","",'รายการสัญญา'!C124)</x:f>
      </x:c>
      <x:c r="C124" s="162" t="str">
        <x:f>IF('รายการสัญญา'!A124="","",'รายการสัญญา'!E124)</x:f>
      </x:c>
      <x:c r="D124" s="162" t="str">
        <x:f>IF('รายการสัญญา'!A124="","",'รายการสัญญา'!G124)</x:f>
      </x:c>
      <x:c r="E124" s="159" t="str">
        <x:f>IF('รายการสัญญา'!A124="","",'รายการสัญญา'!K124)</x:f>
      </x:c>
      <x:c r="F124" s="165" t="str">
        <x:f>IF(AND(F$5&gt;=$C124,F$5&lt;=$D124,$A124&lt;&gt;""),"●","")</x:f>
      </x:c>
      <x:c r="G124" s="165" t="str">
        <x:f>IF(AND(G$5&gt;=$C124,G$5&lt;=$D124,$A124&lt;&gt;""),"●","")</x:f>
      </x:c>
      <x:c r="H124" s="165" t="str">
        <x:f>IF(AND(H$5&gt;=$C124,H$5&lt;=$D124,$A124&lt;&gt;""),"●","")</x:f>
      </x:c>
      <x:c r="I124" s="165" t="str">
        <x:f>IF(AND(I$5&gt;=$C124,I$5&lt;=$D124,$A124&lt;&gt;""),"●","")</x:f>
      </x:c>
      <x:c r="J124" s="165" t="str">
        <x:f>IF(AND(J$5&gt;=$C124,J$5&lt;=$D124,$A124&lt;&gt;""),"●","")</x:f>
      </x:c>
      <x:c r="K124" s="165" t="str">
        <x:f>IF(AND(K$5&gt;=$C124,K$5&lt;=$D124,$A124&lt;&gt;""),"●","")</x:f>
      </x:c>
      <x:c r="L124" s="165" t="str">
        <x:f>IF(AND(L$5&gt;=$C124,L$5&lt;=$D124,$A124&lt;&gt;""),"●","")</x:f>
      </x:c>
      <x:c r="M124" s="165" t="str">
        <x:f>IF(AND(M$5&gt;=$C124,M$5&lt;=$D124,$A124&lt;&gt;""),"●","")</x:f>
      </x:c>
      <x:c r="N124" s="165" t="str">
        <x:f>IF(AND(N$5&gt;=$C124,N$5&lt;=$D124,$A124&lt;&gt;""),"●","")</x:f>
      </x:c>
      <x:c r="O124" s="165" t="str">
        <x:f>IF(AND(O$5&gt;=$C124,O$5&lt;=$D124,$A124&lt;&gt;""),"●","")</x:f>
      </x:c>
      <x:c r="P124" s="165" t="str">
        <x:f>IF(AND(P$5&gt;=$C124,P$5&lt;=$D124,$A124&lt;&gt;""),"●","")</x:f>
      </x:c>
      <x:c r="Q124" s="165" t="str">
        <x:f>IF(AND(Q$5&gt;=$C124,Q$5&lt;=$D124,$A124&lt;&gt;""),"●","")</x:f>
      </x:c>
      <x:c r="R124" s="165" t="str">
        <x:f>IF(AND(R$5&gt;=$C124,R$5&lt;=$D124,$A124&lt;&gt;""),"●","")</x:f>
      </x:c>
      <x:c r="S124" s="165" t="str">
        <x:f>IF(AND(S$5&gt;=$C124,S$5&lt;=$D124,$A124&lt;&gt;""),"●","")</x:f>
      </x:c>
      <x:c r="T124" s="165" t="str">
        <x:f>IF(AND(T$5&gt;=$C124,T$5&lt;=$D124,$A124&lt;&gt;""),"●","")</x:f>
      </x:c>
      <x:c r="U124" s="165" t="str">
        <x:f>IF(AND(U$5&gt;=$C124,U$5&lt;=$D124,$A124&lt;&gt;""),"●","")</x:f>
      </x:c>
      <x:c r="V124" s="165" t="str">
        <x:f>IF(AND(V$5&gt;=$C124,V$5&lt;=$D124,$A124&lt;&gt;""),"●","")</x:f>
      </x:c>
      <x:c r="W124" s="165" t="str">
        <x:f>IF(AND(W$5&gt;=$C124,W$5&lt;=$D124,$A124&lt;&gt;""),"●","")</x:f>
      </x:c>
      <x:c r="X124" s="165" t="str">
        <x:f>IF(AND(X$5&gt;=$C124,X$5&lt;=$D124,$A124&lt;&gt;""),"●","")</x:f>
      </x:c>
      <x:c r="Y124" s="165" t="str">
        <x:f>IF(AND(Y$5&gt;=$C124,Y$5&lt;=$D124,$A124&lt;&gt;""),"●","")</x:f>
      </x:c>
      <x:c r="Z124" s="165" t="str">
        <x:f>IF(AND(Z$5&gt;=$C124,Z$5&lt;=$D124,$A124&lt;&gt;""),"●","")</x:f>
      </x:c>
      <x:c r="AA124" s="165" t="str">
        <x:f>IF(AND(AA$5&gt;=$C124,AA$5&lt;=$D124,$A124&lt;&gt;""),"●","")</x:f>
      </x:c>
      <x:c r="AB124" s="165" t="str">
        <x:f>IF(AND(AB$5&gt;=$C124,AB$5&lt;=$D124,$A124&lt;&gt;""),"●","")</x:f>
      </x:c>
      <x:c r="AC124" s="165" t="str">
        <x:f>IF(AND(AC$5&gt;=$C124,AC$5&lt;=$D124,$A124&lt;&gt;""),"●","")</x:f>
      </x:c>
      <x:c r="AD124" s="165" t="str">
        <x:f>IF(AND(AD$5&gt;=$C124,AD$5&lt;=$D124,$A124&lt;&gt;""),"●","")</x:f>
      </x:c>
      <x:c r="AE124" s="165" t="str">
        <x:f>IF(AND(AE$5&gt;=$C124,AE$5&lt;=$D124,$A124&lt;&gt;""),"●","")</x:f>
      </x:c>
      <x:c r="AF124" s="165" t="str">
        <x:f>IF(AND(AF$5&gt;=$C124,AF$5&lt;=$D124,$A124&lt;&gt;""),"●","")</x:f>
      </x:c>
      <x:c r="AG124" s="165" t="str">
        <x:f>IF(AND(AG$5&gt;=$C124,AG$5&lt;=$D124,$A124&lt;&gt;""),"●","")</x:f>
      </x:c>
      <x:c r="AH124" s="165" t="str">
        <x:f>IF(AND(AH$5&gt;=$C124,AH$5&lt;=$D124,$A124&lt;&gt;""),"●","")</x:f>
      </x:c>
      <x:c r="AI124" s="165" t="str">
        <x:f>IF(AND(AI$5&gt;=$C124,AI$5&lt;=$D124,$A124&lt;&gt;""),"●","")</x:f>
      </x:c>
      <x:c r="AJ124" s="165" t="str">
        <x:f>IF(AND(AJ$5&gt;=$C124,AJ$5&lt;=$D124,$A124&lt;&gt;""),"●","")</x:f>
      </x:c>
      <x:c r="AK124" s="165" t="str">
        <x:f>IF(AND(AK$5&gt;=$C124,AK$5&lt;=$D124,$A124&lt;&gt;""),"●","")</x:f>
      </x:c>
      <x:c r="AL124" s="165" t="str">
        <x:f>IF(AND(AL$5&gt;=$C124,AL$5&lt;=$D124,$A124&lt;&gt;""),"●","")</x:f>
      </x:c>
      <x:c r="AM124" s="165" t="str">
        <x:f>IF(AND(AM$5&gt;=$C124,AM$5&lt;=$D124,$A124&lt;&gt;""),"●","")</x:f>
      </x:c>
      <x:c r="AN124" s="165" t="str">
        <x:f>IF(AND(AN$5&gt;=$C124,AN$5&lt;=$D124,$A124&lt;&gt;""),"●","")</x:f>
      </x:c>
      <x:c r="AO124" s="165" t="str">
        <x:f>IF(AND(AO$5&gt;=$C124,AO$5&lt;=$D124,$A124&lt;&gt;""),"●","")</x:f>
      </x:c>
      <x:c r="AP124" s="165" t="str">
        <x:f>IF(AND(AP$5&gt;=$C124,AP$5&lt;=$D124,$A124&lt;&gt;""),"●","")</x:f>
      </x:c>
      <x:c r="AQ124" s="165" t="str">
        <x:f>IF(AND(AQ$5&gt;=$C124,AQ$5&lt;=$D124,$A124&lt;&gt;""),"●","")</x:f>
      </x:c>
      <x:c r="AR124" s="165" t="str">
        <x:f>IF(AND(AR$5&gt;=$C124,AR$5&lt;=$D124,$A124&lt;&gt;""),"●","")</x:f>
      </x:c>
      <x:c r="AS124" s="165" t="str">
        <x:f>IF(AND(AS$5&gt;=$C124,AS$5&lt;=$D124,$A124&lt;&gt;""),"●","")</x:f>
      </x:c>
      <x:c r="AT124" s="165" t="str">
        <x:f>IF(AND(AT$5&gt;=$C124,AT$5&lt;=$D124,$A124&lt;&gt;""),"●","")</x:f>
      </x:c>
      <x:c r="AU124" s="165" t="str">
        <x:f>IF(AND(AU$5&gt;=$C124,AU$5&lt;=$D124,$A124&lt;&gt;""),"●","")</x:f>
      </x:c>
      <x:c r="AV124" s="165" t="str">
        <x:f>IF(AND(AV$5&gt;=$C124,AV$5&lt;=$D124,$A124&lt;&gt;""),"●","")</x:f>
      </x:c>
      <x:c r="AW124" s="165" t="str">
        <x:f>IF(AND(AW$5&gt;=$C124,AW$5&lt;=$D124,$A124&lt;&gt;""),"●","")</x:f>
      </x:c>
      <x:c r="AX124" s="165" t="str">
        <x:f>IF(AND(AX$5&gt;=$C124,AX$5&lt;=$D124,$A124&lt;&gt;""),"●","")</x:f>
      </x:c>
      <x:c r="AY124" s="165" t="str">
        <x:f>IF(AND(AY$5&gt;=$C124,AY$5&lt;=$D124,$A124&lt;&gt;""),"●","")</x:f>
      </x:c>
      <x:c r="AZ124" s="165" t="str">
        <x:f>IF(AND(AZ$5&gt;=$C124,AZ$5&lt;=$D124,$A124&lt;&gt;""),"●","")</x:f>
      </x:c>
      <x:c r="BA124" s="165" t="str">
        <x:f>IF(AND(BA$5&gt;=$C124,BA$5&lt;=$D124,$A124&lt;&gt;""),"●","")</x:f>
      </x:c>
      <x:c r="BB124" s="165" t="str">
        <x:f>IF(AND(BB$5&gt;=$C124,BB$5&lt;=$D124,$A124&lt;&gt;""),"●","")</x:f>
      </x:c>
      <x:c r="BC124" s="165" t="str">
        <x:f>IF(AND(BC$5&gt;=$C124,BC$5&lt;=$D124,$A124&lt;&gt;""),"●","")</x:f>
      </x:c>
      <x:c r="BD124" s="165" t="str">
        <x:f>IF(AND(BD$5&gt;=$C124,BD$5&lt;=$D124,$A124&lt;&gt;""),"●","")</x:f>
      </x:c>
      <x:c r="BE124" s="165" t="str">
        <x:f>IF(AND(BE$5&gt;=$C124,BE$5&lt;=$D124,$A124&lt;&gt;""),"●","")</x:f>
      </x:c>
      <x:c r="BF124" s="165" t="str">
        <x:f>IF(AND(BF$5&gt;=$C124,BF$5&lt;=$D124,$A124&lt;&gt;""),"●","")</x:f>
      </x:c>
      <x:c r="BG124" s="165" t="str">
        <x:f>IF(AND(BG$5&gt;=$C124,BG$5&lt;=$D124,$A124&lt;&gt;""),"●","")</x:f>
      </x:c>
      <x:c r="BH124" s="165" t="str">
        <x:f>IF(AND(BH$5&gt;=$C124,BH$5&lt;=$D124,$A124&lt;&gt;""),"●","")</x:f>
      </x:c>
      <x:c r="BI124" s="165" t="str">
        <x:f>IF(AND(BI$5&gt;=$C124,BI$5&lt;=$D124,$A124&lt;&gt;""),"●","")</x:f>
      </x:c>
      <x:c r="BJ124" s="165" t="str">
        <x:f>IF(AND(BJ$5&gt;=$C124,BJ$5&lt;=$D124,$A124&lt;&gt;""),"●","")</x:f>
      </x:c>
      <x:c r="BK124" s="165" t="str">
        <x:f>IF(AND(BK$5&gt;=$C124,BK$5&lt;=$D124,$A124&lt;&gt;""),"●","")</x:f>
      </x:c>
      <x:c r="BL124" s="165" t="str">
        <x:f>IF(AND(BL$5&gt;=$C124,BL$5&lt;=$D124,$A124&lt;&gt;""),"●","")</x:f>
      </x:c>
      <x:c r="BM124" s="165" t="str">
        <x:f>IF(AND(BM$5&gt;=$C124,BM$5&lt;=$D124,$A124&lt;&gt;""),"●","")</x:f>
      </x:c>
      <x:c r="BN124" s="165" t="str">
        <x:f>IF(AND(BN$5&gt;=$C124,BN$5&lt;=$D124,$A124&lt;&gt;""),"●","")</x:f>
      </x:c>
      <x:c r="BO124" s="165" t="str">
        <x:f>IF(AND(BO$5&gt;=$C124,BO$5&lt;=$D124,$A124&lt;&gt;""),"●","")</x:f>
      </x:c>
      <x:c r="BP124" s="165" t="str">
        <x:f>IF(AND(BP$5&gt;=$C124,BP$5&lt;=$D124,$A124&lt;&gt;""),"●","")</x:f>
      </x:c>
      <x:c r="BQ124" s="165" t="str">
        <x:f>IF(AND(BQ$5&gt;=$C124,BQ$5&lt;=$D124,$A124&lt;&gt;""),"●","")</x:f>
      </x:c>
      <x:c r="BR124" s="165" t="str">
        <x:f>IF(AND(BR$5&gt;=$C124,BR$5&lt;=$D124,$A124&lt;&gt;""),"●","")</x:f>
      </x:c>
      <x:c r="BS124" s="165" t="str">
        <x:f>IF(AND(BS$5&gt;=$C124,BS$5&lt;=$D124,$A124&lt;&gt;""),"●","")</x:f>
      </x:c>
      <x:c r="BT124" s="165" t="str">
        <x:f>IF(AND(BT$5&gt;=$C124,BT$5&lt;=$D124,$A124&lt;&gt;""),"●","")</x:f>
      </x:c>
      <x:c r="BU124" s="165" t="str">
        <x:f>IF(AND(BU$5&gt;=$C124,BU$5&lt;=$D124,$A124&lt;&gt;""),"●","")</x:f>
      </x:c>
      <x:c r="BV124" s="165" t="str">
        <x:f>IF(AND(BV$5&gt;=$C124,BV$5&lt;=$D124,$A124&lt;&gt;""),"●","")</x:f>
      </x:c>
      <x:c r="BW124" s="165" t="str">
        <x:f>IF(AND(BW$5&gt;=$C124,BW$5&lt;=$D124,$A124&lt;&gt;""),"●","")</x:f>
      </x:c>
    </x:row>
    <x:row r="125">
      <x:c r="A125" s="159" t="str">
        <x:f>IF('รายการสัญญา'!A125="","",'รายการสัญญา'!A125)</x:f>
      </x:c>
      <x:c r="B125" s="159" t="str">
        <x:f>IF('รายการสัญญา'!A125="","",'รายการสัญญา'!C125)</x:f>
      </x:c>
      <x:c r="C125" s="162" t="str">
        <x:f>IF('รายการสัญญา'!A125="","",'รายการสัญญา'!E125)</x:f>
      </x:c>
      <x:c r="D125" s="162" t="str">
        <x:f>IF('รายการสัญญา'!A125="","",'รายการสัญญา'!G125)</x:f>
      </x:c>
      <x:c r="E125" s="159" t="str">
        <x:f>IF('รายการสัญญา'!A125="","",'รายการสัญญา'!K125)</x:f>
      </x:c>
      <x:c r="F125" s="165" t="str">
        <x:f>IF(AND(F$5&gt;=$C125,F$5&lt;=$D125,$A125&lt;&gt;""),"●","")</x:f>
      </x:c>
      <x:c r="G125" s="165" t="str">
        <x:f>IF(AND(G$5&gt;=$C125,G$5&lt;=$D125,$A125&lt;&gt;""),"●","")</x:f>
      </x:c>
      <x:c r="H125" s="165" t="str">
        <x:f>IF(AND(H$5&gt;=$C125,H$5&lt;=$D125,$A125&lt;&gt;""),"●","")</x:f>
      </x:c>
      <x:c r="I125" s="165" t="str">
        <x:f>IF(AND(I$5&gt;=$C125,I$5&lt;=$D125,$A125&lt;&gt;""),"●","")</x:f>
      </x:c>
      <x:c r="J125" s="165" t="str">
        <x:f>IF(AND(J$5&gt;=$C125,J$5&lt;=$D125,$A125&lt;&gt;""),"●","")</x:f>
      </x:c>
      <x:c r="K125" s="165" t="str">
        <x:f>IF(AND(K$5&gt;=$C125,K$5&lt;=$D125,$A125&lt;&gt;""),"●","")</x:f>
      </x:c>
      <x:c r="L125" s="165" t="str">
        <x:f>IF(AND(L$5&gt;=$C125,L$5&lt;=$D125,$A125&lt;&gt;""),"●","")</x:f>
      </x:c>
      <x:c r="M125" s="165" t="str">
        <x:f>IF(AND(M$5&gt;=$C125,M$5&lt;=$D125,$A125&lt;&gt;""),"●","")</x:f>
      </x:c>
      <x:c r="N125" s="165" t="str">
        <x:f>IF(AND(N$5&gt;=$C125,N$5&lt;=$D125,$A125&lt;&gt;""),"●","")</x:f>
      </x:c>
      <x:c r="O125" s="165" t="str">
        <x:f>IF(AND(O$5&gt;=$C125,O$5&lt;=$D125,$A125&lt;&gt;""),"●","")</x:f>
      </x:c>
      <x:c r="P125" s="165" t="str">
        <x:f>IF(AND(P$5&gt;=$C125,P$5&lt;=$D125,$A125&lt;&gt;""),"●","")</x:f>
      </x:c>
      <x:c r="Q125" s="165" t="str">
        <x:f>IF(AND(Q$5&gt;=$C125,Q$5&lt;=$D125,$A125&lt;&gt;""),"●","")</x:f>
      </x:c>
      <x:c r="R125" s="165" t="str">
        <x:f>IF(AND(R$5&gt;=$C125,R$5&lt;=$D125,$A125&lt;&gt;""),"●","")</x:f>
      </x:c>
      <x:c r="S125" s="165" t="str">
        <x:f>IF(AND(S$5&gt;=$C125,S$5&lt;=$D125,$A125&lt;&gt;""),"●","")</x:f>
      </x:c>
      <x:c r="T125" s="165" t="str">
        <x:f>IF(AND(T$5&gt;=$C125,T$5&lt;=$D125,$A125&lt;&gt;""),"●","")</x:f>
      </x:c>
      <x:c r="U125" s="165" t="str">
        <x:f>IF(AND(U$5&gt;=$C125,U$5&lt;=$D125,$A125&lt;&gt;""),"●","")</x:f>
      </x:c>
      <x:c r="V125" s="165" t="str">
        <x:f>IF(AND(V$5&gt;=$C125,V$5&lt;=$D125,$A125&lt;&gt;""),"●","")</x:f>
      </x:c>
      <x:c r="W125" s="165" t="str">
        <x:f>IF(AND(W$5&gt;=$C125,W$5&lt;=$D125,$A125&lt;&gt;""),"●","")</x:f>
      </x:c>
      <x:c r="X125" s="165" t="str">
        <x:f>IF(AND(X$5&gt;=$C125,X$5&lt;=$D125,$A125&lt;&gt;""),"●","")</x:f>
      </x:c>
      <x:c r="Y125" s="165" t="str">
        <x:f>IF(AND(Y$5&gt;=$C125,Y$5&lt;=$D125,$A125&lt;&gt;""),"●","")</x:f>
      </x:c>
      <x:c r="Z125" s="165" t="str">
        <x:f>IF(AND(Z$5&gt;=$C125,Z$5&lt;=$D125,$A125&lt;&gt;""),"●","")</x:f>
      </x:c>
      <x:c r="AA125" s="165" t="str">
        <x:f>IF(AND(AA$5&gt;=$C125,AA$5&lt;=$D125,$A125&lt;&gt;""),"●","")</x:f>
      </x:c>
      <x:c r="AB125" s="165" t="str">
        <x:f>IF(AND(AB$5&gt;=$C125,AB$5&lt;=$D125,$A125&lt;&gt;""),"●","")</x:f>
      </x:c>
      <x:c r="AC125" s="165" t="str">
        <x:f>IF(AND(AC$5&gt;=$C125,AC$5&lt;=$D125,$A125&lt;&gt;""),"●","")</x:f>
      </x:c>
      <x:c r="AD125" s="165" t="str">
        <x:f>IF(AND(AD$5&gt;=$C125,AD$5&lt;=$D125,$A125&lt;&gt;""),"●","")</x:f>
      </x:c>
      <x:c r="AE125" s="165" t="str">
        <x:f>IF(AND(AE$5&gt;=$C125,AE$5&lt;=$D125,$A125&lt;&gt;""),"●","")</x:f>
      </x:c>
      <x:c r="AF125" s="165" t="str">
        <x:f>IF(AND(AF$5&gt;=$C125,AF$5&lt;=$D125,$A125&lt;&gt;""),"●","")</x:f>
      </x:c>
      <x:c r="AG125" s="165" t="str">
        <x:f>IF(AND(AG$5&gt;=$C125,AG$5&lt;=$D125,$A125&lt;&gt;""),"●","")</x:f>
      </x:c>
      <x:c r="AH125" s="165" t="str">
        <x:f>IF(AND(AH$5&gt;=$C125,AH$5&lt;=$D125,$A125&lt;&gt;""),"●","")</x:f>
      </x:c>
      <x:c r="AI125" s="165" t="str">
        <x:f>IF(AND(AI$5&gt;=$C125,AI$5&lt;=$D125,$A125&lt;&gt;""),"●","")</x:f>
      </x:c>
      <x:c r="AJ125" s="165" t="str">
        <x:f>IF(AND(AJ$5&gt;=$C125,AJ$5&lt;=$D125,$A125&lt;&gt;""),"●","")</x:f>
      </x:c>
      <x:c r="AK125" s="165" t="str">
        <x:f>IF(AND(AK$5&gt;=$C125,AK$5&lt;=$D125,$A125&lt;&gt;""),"●","")</x:f>
      </x:c>
      <x:c r="AL125" s="165" t="str">
        <x:f>IF(AND(AL$5&gt;=$C125,AL$5&lt;=$D125,$A125&lt;&gt;""),"●","")</x:f>
      </x:c>
      <x:c r="AM125" s="165" t="str">
        <x:f>IF(AND(AM$5&gt;=$C125,AM$5&lt;=$D125,$A125&lt;&gt;""),"●","")</x:f>
      </x:c>
      <x:c r="AN125" s="165" t="str">
        <x:f>IF(AND(AN$5&gt;=$C125,AN$5&lt;=$D125,$A125&lt;&gt;""),"●","")</x:f>
      </x:c>
      <x:c r="AO125" s="165" t="str">
        <x:f>IF(AND(AO$5&gt;=$C125,AO$5&lt;=$D125,$A125&lt;&gt;""),"●","")</x:f>
      </x:c>
      <x:c r="AP125" s="165" t="str">
        <x:f>IF(AND(AP$5&gt;=$C125,AP$5&lt;=$D125,$A125&lt;&gt;""),"●","")</x:f>
      </x:c>
      <x:c r="AQ125" s="165" t="str">
        <x:f>IF(AND(AQ$5&gt;=$C125,AQ$5&lt;=$D125,$A125&lt;&gt;""),"●","")</x:f>
      </x:c>
      <x:c r="AR125" s="165" t="str">
        <x:f>IF(AND(AR$5&gt;=$C125,AR$5&lt;=$D125,$A125&lt;&gt;""),"●","")</x:f>
      </x:c>
      <x:c r="AS125" s="165" t="str">
        <x:f>IF(AND(AS$5&gt;=$C125,AS$5&lt;=$D125,$A125&lt;&gt;""),"●","")</x:f>
      </x:c>
      <x:c r="AT125" s="165" t="str">
        <x:f>IF(AND(AT$5&gt;=$C125,AT$5&lt;=$D125,$A125&lt;&gt;""),"●","")</x:f>
      </x:c>
      <x:c r="AU125" s="165" t="str">
        <x:f>IF(AND(AU$5&gt;=$C125,AU$5&lt;=$D125,$A125&lt;&gt;""),"●","")</x:f>
      </x:c>
      <x:c r="AV125" s="165" t="str">
        <x:f>IF(AND(AV$5&gt;=$C125,AV$5&lt;=$D125,$A125&lt;&gt;""),"●","")</x:f>
      </x:c>
      <x:c r="AW125" s="165" t="str">
        <x:f>IF(AND(AW$5&gt;=$C125,AW$5&lt;=$D125,$A125&lt;&gt;""),"●","")</x:f>
      </x:c>
      <x:c r="AX125" s="165" t="str">
        <x:f>IF(AND(AX$5&gt;=$C125,AX$5&lt;=$D125,$A125&lt;&gt;""),"●","")</x:f>
      </x:c>
      <x:c r="AY125" s="165" t="str">
        <x:f>IF(AND(AY$5&gt;=$C125,AY$5&lt;=$D125,$A125&lt;&gt;""),"●","")</x:f>
      </x:c>
      <x:c r="AZ125" s="165" t="str">
        <x:f>IF(AND(AZ$5&gt;=$C125,AZ$5&lt;=$D125,$A125&lt;&gt;""),"●","")</x:f>
      </x:c>
      <x:c r="BA125" s="165" t="str">
        <x:f>IF(AND(BA$5&gt;=$C125,BA$5&lt;=$D125,$A125&lt;&gt;""),"●","")</x:f>
      </x:c>
      <x:c r="BB125" s="165" t="str">
        <x:f>IF(AND(BB$5&gt;=$C125,BB$5&lt;=$D125,$A125&lt;&gt;""),"●","")</x:f>
      </x:c>
      <x:c r="BC125" s="165" t="str">
        <x:f>IF(AND(BC$5&gt;=$C125,BC$5&lt;=$D125,$A125&lt;&gt;""),"●","")</x:f>
      </x:c>
      <x:c r="BD125" s="165" t="str">
        <x:f>IF(AND(BD$5&gt;=$C125,BD$5&lt;=$D125,$A125&lt;&gt;""),"●","")</x:f>
      </x:c>
      <x:c r="BE125" s="165" t="str">
        <x:f>IF(AND(BE$5&gt;=$C125,BE$5&lt;=$D125,$A125&lt;&gt;""),"●","")</x:f>
      </x:c>
      <x:c r="BF125" s="165" t="str">
        <x:f>IF(AND(BF$5&gt;=$C125,BF$5&lt;=$D125,$A125&lt;&gt;""),"●","")</x:f>
      </x:c>
      <x:c r="BG125" s="165" t="str">
        <x:f>IF(AND(BG$5&gt;=$C125,BG$5&lt;=$D125,$A125&lt;&gt;""),"●","")</x:f>
      </x:c>
      <x:c r="BH125" s="165" t="str">
        <x:f>IF(AND(BH$5&gt;=$C125,BH$5&lt;=$D125,$A125&lt;&gt;""),"●","")</x:f>
      </x:c>
      <x:c r="BI125" s="165" t="str">
        <x:f>IF(AND(BI$5&gt;=$C125,BI$5&lt;=$D125,$A125&lt;&gt;""),"●","")</x:f>
      </x:c>
      <x:c r="BJ125" s="165" t="str">
        <x:f>IF(AND(BJ$5&gt;=$C125,BJ$5&lt;=$D125,$A125&lt;&gt;""),"●","")</x:f>
      </x:c>
      <x:c r="BK125" s="165" t="str">
        <x:f>IF(AND(BK$5&gt;=$C125,BK$5&lt;=$D125,$A125&lt;&gt;""),"●","")</x:f>
      </x:c>
      <x:c r="BL125" s="165" t="str">
        <x:f>IF(AND(BL$5&gt;=$C125,BL$5&lt;=$D125,$A125&lt;&gt;""),"●","")</x:f>
      </x:c>
      <x:c r="BM125" s="165" t="str">
        <x:f>IF(AND(BM$5&gt;=$C125,BM$5&lt;=$D125,$A125&lt;&gt;""),"●","")</x:f>
      </x:c>
      <x:c r="BN125" s="165" t="str">
        <x:f>IF(AND(BN$5&gt;=$C125,BN$5&lt;=$D125,$A125&lt;&gt;""),"●","")</x:f>
      </x:c>
      <x:c r="BO125" s="165" t="str">
        <x:f>IF(AND(BO$5&gt;=$C125,BO$5&lt;=$D125,$A125&lt;&gt;""),"●","")</x:f>
      </x:c>
      <x:c r="BP125" s="165" t="str">
        <x:f>IF(AND(BP$5&gt;=$C125,BP$5&lt;=$D125,$A125&lt;&gt;""),"●","")</x:f>
      </x:c>
      <x:c r="BQ125" s="165" t="str">
        <x:f>IF(AND(BQ$5&gt;=$C125,BQ$5&lt;=$D125,$A125&lt;&gt;""),"●","")</x:f>
      </x:c>
      <x:c r="BR125" s="165" t="str">
        <x:f>IF(AND(BR$5&gt;=$C125,BR$5&lt;=$D125,$A125&lt;&gt;""),"●","")</x:f>
      </x:c>
      <x:c r="BS125" s="165" t="str">
        <x:f>IF(AND(BS$5&gt;=$C125,BS$5&lt;=$D125,$A125&lt;&gt;""),"●","")</x:f>
      </x:c>
      <x:c r="BT125" s="165" t="str">
        <x:f>IF(AND(BT$5&gt;=$C125,BT$5&lt;=$D125,$A125&lt;&gt;""),"●","")</x:f>
      </x:c>
      <x:c r="BU125" s="165" t="str">
        <x:f>IF(AND(BU$5&gt;=$C125,BU$5&lt;=$D125,$A125&lt;&gt;""),"●","")</x:f>
      </x:c>
      <x:c r="BV125" s="165" t="str">
        <x:f>IF(AND(BV$5&gt;=$C125,BV$5&lt;=$D125,$A125&lt;&gt;""),"●","")</x:f>
      </x:c>
      <x:c r="BW125" s="165" t="str">
        <x:f>IF(AND(BW$5&gt;=$C125,BW$5&lt;=$D125,$A125&lt;&gt;""),"●","")</x:f>
      </x:c>
    </x:row>
    <x:row r="126">
      <x:c r="A126" s="159" t="str">
        <x:f>IF('รายการสัญญา'!A126="","",'รายการสัญญา'!A126)</x:f>
      </x:c>
      <x:c r="B126" s="159" t="str">
        <x:f>IF('รายการสัญญา'!A126="","",'รายการสัญญา'!C126)</x:f>
      </x:c>
      <x:c r="C126" s="162" t="str">
        <x:f>IF('รายการสัญญา'!A126="","",'รายการสัญญา'!E126)</x:f>
      </x:c>
      <x:c r="D126" s="162" t="str">
        <x:f>IF('รายการสัญญา'!A126="","",'รายการสัญญา'!G126)</x:f>
      </x:c>
      <x:c r="E126" s="159" t="str">
        <x:f>IF('รายการสัญญา'!A126="","",'รายการสัญญา'!K126)</x:f>
      </x:c>
      <x:c r="F126" s="165" t="str">
        <x:f>IF(AND(F$5&gt;=$C126,F$5&lt;=$D126,$A126&lt;&gt;""),"●","")</x:f>
      </x:c>
      <x:c r="G126" s="165" t="str">
        <x:f>IF(AND(G$5&gt;=$C126,G$5&lt;=$D126,$A126&lt;&gt;""),"●","")</x:f>
      </x:c>
      <x:c r="H126" s="165" t="str">
        <x:f>IF(AND(H$5&gt;=$C126,H$5&lt;=$D126,$A126&lt;&gt;""),"●","")</x:f>
      </x:c>
      <x:c r="I126" s="165" t="str">
        <x:f>IF(AND(I$5&gt;=$C126,I$5&lt;=$D126,$A126&lt;&gt;""),"●","")</x:f>
      </x:c>
      <x:c r="J126" s="165" t="str">
        <x:f>IF(AND(J$5&gt;=$C126,J$5&lt;=$D126,$A126&lt;&gt;""),"●","")</x:f>
      </x:c>
      <x:c r="K126" s="165" t="str">
        <x:f>IF(AND(K$5&gt;=$C126,K$5&lt;=$D126,$A126&lt;&gt;""),"●","")</x:f>
      </x:c>
      <x:c r="L126" s="165" t="str">
        <x:f>IF(AND(L$5&gt;=$C126,L$5&lt;=$D126,$A126&lt;&gt;""),"●","")</x:f>
      </x:c>
      <x:c r="M126" s="165" t="str">
        <x:f>IF(AND(M$5&gt;=$C126,M$5&lt;=$D126,$A126&lt;&gt;""),"●","")</x:f>
      </x:c>
      <x:c r="N126" s="165" t="str">
        <x:f>IF(AND(N$5&gt;=$C126,N$5&lt;=$D126,$A126&lt;&gt;""),"●","")</x:f>
      </x:c>
      <x:c r="O126" s="165" t="str">
        <x:f>IF(AND(O$5&gt;=$C126,O$5&lt;=$D126,$A126&lt;&gt;""),"●","")</x:f>
      </x:c>
      <x:c r="P126" s="165" t="str">
        <x:f>IF(AND(P$5&gt;=$C126,P$5&lt;=$D126,$A126&lt;&gt;""),"●","")</x:f>
      </x:c>
      <x:c r="Q126" s="165" t="str">
        <x:f>IF(AND(Q$5&gt;=$C126,Q$5&lt;=$D126,$A126&lt;&gt;""),"●","")</x:f>
      </x:c>
      <x:c r="R126" s="165" t="str">
        <x:f>IF(AND(R$5&gt;=$C126,R$5&lt;=$D126,$A126&lt;&gt;""),"●","")</x:f>
      </x:c>
      <x:c r="S126" s="165" t="str">
        <x:f>IF(AND(S$5&gt;=$C126,S$5&lt;=$D126,$A126&lt;&gt;""),"●","")</x:f>
      </x:c>
      <x:c r="T126" s="165" t="str">
        <x:f>IF(AND(T$5&gt;=$C126,T$5&lt;=$D126,$A126&lt;&gt;""),"●","")</x:f>
      </x:c>
      <x:c r="U126" s="165" t="str">
        <x:f>IF(AND(U$5&gt;=$C126,U$5&lt;=$D126,$A126&lt;&gt;""),"●","")</x:f>
      </x:c>
      <x:c r="V126" s="165" t="str">
        <x:f>IF(AND(V$5&gt;=$C126,V$5&lt;=$D126,$A126&lt;&gt;""),"●","")</x:f>
      </x:c>
      <x:c r="W126" s="165" t="str">
        <x:f>IF(AND(W$5&gt;=$C126,W$5&lt;=$D126,$A126&lt;&gt;""),"●","")</x:f>
      </x:c>
      <x:c r="X126" s="165" t="str">
        <x:f>IF(AND(X$5&gt;=$C126,X$5&lt;=$D126,$A126&lt;&gt;""),"●","")</x:f>
      </x:c>
      <x:c r="Y126" s="165" t="str">
        <x:f>IF(AND(Y$5&gt;=$C126,Y$5&lt;=$D126,$A126&lt;&gt;""),"●","")</x:f>
      </x:c>
      <x:c r="Z126" s="165" t="str">
        <x:f>IF(AND(Z$5&gt;=$C126,Z$5&lt;=$D126,$A126&lt;&gt;""),"●","")</x:f>
      </x:c>
      <x:c r="AA126" s="165" t="str">
        <x:f>IF(AND(AA$5&gt;=$C126,AA$5&lt;=$D126,$A126&lt;&gt;""),"●","")</x:f>
      </x:c>
      <x:c r="AB126" s="165" t="str">
        <x:f>IF(AND(AB$5&gt;=$C126,AB$5&lt;=$D126,$A126&lt;&gt;""),"●","")</x:f>
      </x:c>
      <x:c r="AC126" s="165" t="str">
        <x:f>IF(AND(AC$5&gt;=$C126,AC$5&lt;=$D126,$A126&lt;&gt;""),"●","")</x:f>
      </x:c>
      <x:c r="AD126" s="165" t="str">
        <x:f>IF(AND(AD$5&gt;=$C126,AD$5&lt;=$D126,$A126&lt;&gt;""),"●","")</x:f>
      </x:c>
      <x:c r="AE126" s="165" t="str">
        <x:f>IF(AND(AE$5&gt;=$C126,AE$5&lt;=$D126,$A126&lt;&gt;""),"●","")</x:f>
      </x:c>
      <x:c r="AF126" s="165" t="str">
        <x:f>IF(AND(AF$5&gt;=$C126,AF$5&lt;=$D126,$A126&lt;&gt;""),"●","")</x:f>
      </x:c>
      <x:c r="AG126" s="165" t="str">
        <x:f>IF(AND(AG$5&gt;=$C126,AG$5&lt;=$D126,$A126&lt;&gt;""),"●","")</x:f>
      </x:c>
      <x:c r="AH126" s="165" t="str">
        <x:f>IF(AND(AH$5&gt;=$C126,AH$5&lt;=$D126,$A126&lt;&gt;""),"●","")</x:f>
      </x:c>
      <x:c r="AI126" s="165" t="str">
        <x:f>IF(AND(AI$5&gt;=$C126,AI$5&lt;=$D126,$A126&lt;&gt;""),"●","")</x:f>
      </x:c>
      <x:c r="AJ126" s="165" t="str">
        <x:f>IF(AND(AJ$5&gt;=$C126,AJ$5&lt;=$D126,$A126&lt;&gt;""),"●","")</x:f>
      </x:c>
      <x:c r="AK126" s="165" t="str">
        <x:f>IF(AND(AK$5&gt;=$C126,AK$5&lt;=$D126,$A126&lt;&gt;""),"●","")</x:f>
      </x:c>
      <x:c r="AL126" s="165" t="str">
        <x:f>IF(AND(AL$5&gt;=$C126,AL$5&lt;=$D126,$A126&lt;&gt;""),"●","")</x:f>
      </x:c>
      <x:c r="AM126" s="165" t="str">
        <x:f>IF(AND(AM$5&gt;=$C126,AM$5&lt;=$D126,$A126&lt;&gt;""),"●","")</x:f>
      </x:c>
      <x:c r="AN126" s="165" t="str">
        <x:f>IF(AND(AN$5&gt;=$C126,AN$5&lt;=$D126,$A126&lt;&gt;""),"●","")</x:f>
      </x:c>
      <x:c r="AO126" s="165" t="str">
        <x:f>IF(AND(AO$5&gt;=$C126,AO$5&lt;=$D126,$A126&lt;&gt;""),"●","")</x:f>
      </x:c>
      <x:c r="AP126" s="165" t="str">
        <x:f>IF(AND(AP$5&gt;=$C126,AP$5&lt;=$D126,$A126&lt;&gt;""),"●","")</x:f>
      </x:c>
      <x:c r="AQ126" s="165" t="str">
        <x:f>IF(AND(AQ$5&gt;=$C126,AQ$5&lt;=$D126,$A126&lt;&gt;""),"●","")</x:f>
      </x:c>
      <x:c r="AR126" s="165" t="str">
        <x:f>IF(AND(AR$5&gt;=$C126,AR$5&lt;=$D126,$A126&lt;&gt;""),"●","")</x:f>
      </x:c>
      <x:c r="AS126" s="165" t="str">
        <x:f>IF(AND(AS$5&gt;=$C126,AS$5&lt;=$D126,$A126&lt;&gt;""),"●","")</x:f>
      </x:c>
      <x:c r="AT126" s="165" t="str">
        <x:f>IF(AND(AT$5&gt;=$C126,AT$5&lt;=$D126,$A126&lt;&gt;""),"●","")</x:f>
      </x:c>
      <x:c r="AU126" s="165" t="str">
        <x:f>IF(AND(AU$5&gt;=$C126,AU$5&lt;=$D126,$A126&lt;&gt;""),"●","")</x:f>
      </x:c>
      <x:c r="AV126" s="165" t="str">
        <x:f>IF(AND(AV$5&gt;=$C126,AV$5&lt;=$D126,$A126&lt;&gt;""),"●","")</x:f>
      </x:c>
      <x:c r="AW126" s="165" t="str">
        <x:f>IF(AND(AW$5&gt;=$C126,AW$5&lt;=$D126,$A126&lt;&gt;""),"●","")</x:f>
      </x:c>
      <x:c r="AX126" s="165" t="str">
        <x:f>IF(AND(AX$5&gt;=$C126,AX$5&lt;=$D126,$A126&lt;&gt;""),"●","")</x:f>
      </x:c>
      <x:c r="AY126" s="165" t="str">
        <x:f>IF(AND(AY$5&gt;=$C126,AY$5&lt;=$D126,$A126&lt;&gt;""),"●","")</x:f>
      </x:c>
      <x:c r="AZ126" s="165" t="str">
        <x:f>IF(AND(AZ$5&gt;=$C126,AZ$5&lt;=$D126,$A126&lt;&gt;""),"●","")</x:f>
      </x:c>
      <x:c r="BA126" s="165" t="str">
        <x:f>IF(AND(BA$5&gt;=$C126,BA$5&lt;=$D126,$A126&lt;&gt;""),"●","")</x:f>
      </x:c>
      <x:c r="BB126" s="165" t="str">
        <x:f>IF(AND(BB$5&gt;=$C126,BB$5&lt;=$D126,$A126&lt;&gt;""),"●","")</x:f>
      </x:c>
      <x:c r="BC126" s="165" t="str">
        <x:f>IF(AND(BC$5&gt;=$C126,BC$5&lt;=$D126,$A126&lt;&gt;""),"●","")</x:f>
      </x:c>
      <x:c r="BD126" s="165" t="str">
        <x:f>IF(AND(BD$5&gt;=$C126,BD$5&lt;=$D126,$A126&lt;&gt;""),"●","")</x:f>
      </x:c>
      <x:c r="BE126" s="165" t="str">
        <x:f>IF(AND(BE$5&gt;=$C126,BE$5&lt;=$D126,$A126&lt;&gt;""),"●","")</x:f>
      </x:c>
      <x:c r="BF126" s="165" t="str">
        <x:f>IF(AND(BF$5&gt;=$C126,BF$5&lt;=$D126,$A126&lt;&gt;""),"●","")</x:f>
      </x:c>
      <x:c r="BG126" s="165" t="str">
        <x:f>IF(AND(BG$5&gt;=$C126,BG$5&lt;=$D126,$A126&lt;&gt;""),"●","")</x:f>
      </x:c>
      <x:c r="BH126" s="165" t="str">
        <x:f>IF(AND(BH$5&gt;=$C126,BH$5&lt;=$D126,$A126&lt;&gt;""),"●","")</x:f>
      </x:c>
      <x:c r="BI126" s="165" t="str">
        <x:f>IF(AND(BI$5&gt;=$C126,BI$5&lt;=$D126,$A126&lt;&gt;""),"●","")</x:f>
      </x:c>
      <x:c r="BJ126" s="165" t="str">
        <x:f>IF(AND(BJ$5&gt;=$C126,BJ$5&lt;=$D126,$A126&lt;&gt;""),"●","")</x:f>
      </x:c>
      <x:c r="BK126" s="165" t="str">
        <x:f>IF(AND(BK$5&gt;=$C126,BK$5&lt;=$D126,$A126&lt;&gt;""),"●","")</x:f>
      </x:c>
      <x:c r="BL126" s="165" t="str">
        <x:f>IF(AND(BL$5&gt;=$C126,BL$5&lt;=$D126,$A126&lt;&gt;""),"●","")</x:f>
      </x:c>
      <x:c r="BM126" s="165" t="str">
        <x:f>IF(AND(BM$5&gt;=$C126,BM$5&lt;=$D126,$A126&lt;&gt;""),"●","")</x:f>
      </x:c>
      <x:c r="BN126" s="165" t="str">
        <x:f>IF(AND(BN$5&gt;=$C126,BN$5&lt;=$D126,$A126&lt;&gt;""),"●","")</x:f>
      </x:c>
      <x:c r="BO126" s="165" t="str">
        <x:f>IF(AND(BO$5&gt;=$C126,BO$5&lt;=$D126,$A126&lt;&gt;""),"●","")</x:f>
      </x:c>
      <x:c r="BP126" s="165" t="str">
        <x:f>IF(AND(BP$5&gt;=$C126,BP$5&lt;=$D126,$A126&lt;&gt;""),"●","")</x:f>
      </x:c>
      <x:c r="BQ126" s="165" t="str">
        <x:f>IF(AND(BQ$5&gt;=$C126,BQ$5&lt;=$D126,$A126&lt;&gt;""),"●","")</x:f>
      </x:c>
      <x:c r="BR126" s="165" t="str">
        <x:f>IF(AND(BR$5&gt;=$C126,BR$5&lt;=$D126,$A126&lt;&gt;""),"●","")</x:f>
      </x:c>
      <x:c r="BS126" s="165" t="str">
        <x:f>IF(AND(BS$5&gt;=$C126,BS$5&lt;=$D126,$A126&lt;&gt;""),"●","")</x:f>
      </x:c>
      <x:c r="BT126" s="165" t="str">
        <x:f>IF(AND(BT$5&gt;=$C126,BT$5&lt;=$D126,$A126&lt;&gt;""),"●","")</x:f>
      </x:c>
      <x:c r="BU126" s="165" t="str">
        <x:f>IF(AND(BU$5&gt;=$C126,BU$5&lt;=$D126,$A126&lt;&gt;""),"●","")</x:f>
      </x:c>
      <x:c r="BV126" s="165" t="str">
        <x:f>IF(AND(BV$5&gt;=$C126,BV$5&lt;=$D126,$A126&lt;&gt;""),"●","")</x:f>
      </x:c>
      <x:c r="BW126" s="165" t="str">
        <x:f>IF(AND(BW$5&gt;=$C126,BW$5&lt;=$D126,$A126&lt;&gt;""),"●","")</x:f>
      </x:c>
    </x:row>
    <x:row r="127">
      <x:c r="A127" s="159" t="str">
        <x:f>IF('รายการสัญญา'!A127="","",'รายการสัญญา'!A127)</x:f>
      </x:c>
      <x:c r="B127" s="159" t="str">
        <x:f>IF('รายการสัญญา'!A127="","",'รายการสัญญา'!C127)</x:f>
      </x:c>
      <x:c r="C127" s="162" t="str">
        <x:f>IF('รายการสัญญา'!A127="","",'รายการสัญญา'!E127)</x:f>
      </x:c>
      <x:c r="D127" s="162" t="str">
        <x:f>IF('รายการสัญญา'!A127="","",'รายการสัญญา'!G127)</x:f>
      </x:c>
      <x:c r="E127" s="159" t="str">
        <x:f>IF('รายการสัญญา'!A127="","",'รายการสัญญา'!K127)</x:f>
      </x:c>
      <x:c r="F127" s="165" t="str">
        <x:f>IF(AND(F$5&gt;=$C127,F$5&lt;=$D127,$A127&lt;&gt;""),"●","")</x:f>
      </x:c>
      <x:c r="G127" s="165" t="str">
        <x:f>IF(AND(G$5&gt;=$C127,G$5&lt;=$D127,$A127&lt;&gt;""),"●","")</x:f>
      </x:c>
      <x:c r="H127" s="165" t="str">
        <x:f>IF(AND(H$5&gt;=$C127,H$5&lt;=$D127,$A127&lt;&gt;""),"●","")</x:f>
      </x:c>
      <x:c r="I127" s="165" t="str">
        <x:f>IF(AND(I$5&gt;=$C127,I$5&lt;=$D127,$A127&lt;&gt;""),"●","")</x:f>
      </x:c>
      <x:c r="J127" s="165" t="str">
        <x:f>IF(AND(J$5&gt;=$C127,J$5&lt;=$D127,$A127&lt;&gt;""),"●","")</x:f>
      </x:c>
      <x:c r="K127" s="165" t="str">
        <x:f>IF(AND(K$5&gt;=$C127,K$5&lt;=$D127,$A127&lt;&gt;""),"●","")</x:f>
      </x:c>
      <x:c r="L127" s="165" t="str">
        <x:f>IF(AND(L$5&gt;=$C127,L$5&lt;=$D127,$A127&lt;&gt;""),"●","")</x:f>
      </x:c>
      <x:c r="M127" s="165" t="str">
        <x:f>IF(AND(M$5&gt;=$C127,M$5&lt;=$D127,$A127&lt;&gt;""),"●","")</x:f>
      </x:c>
      <x:c r="N127" s="165" t="str">
        <x:f>IF(AND(N$5&gt;=$C127,N$5&lt;=$D127,$A127&lt;&gt;""),"●","")</x:f>
      </x:c>
      <x:c r="O127" s="165" t="str">
        <x:f>IF(AND(O$5&gt;=$C127,O$5&lt;=$D127,$A127&lt;&gt;""),"●","")</x:f>
      </x:c>
      <x:c r="P127" s="165" t="str">
        <x:f>IF(AND(P$5&gt;=$C127,P$5&lt;=$D127,$A127&lt;&gt;""),"●","")</x:f>
      </x:c>
      <x:c r="Q127" s="165" t="str">
        <x:f>IF(AND(Q$5&gt;=$C127,Q$5&lt;=$D127,$A127&lt;&gt;""),"●","")</x:f>
      </x:c>
      <x:c r="R127" s="165" t="str">
        <x:f>IF(AND(R$5&gt;=$C127,R$5&lt;=$D127,$A127&lt;&gt;""),"●","")</x:f>
      </x:c>
      <x:c r="S127" s="165" t="str">
        <x:f>IF(AND(S$5&gt;=$C127,S$5&lt;=$D127,$A127&lt;&gt;""),"●","")</x:f>
      </x:c>
      <x:c r="T127" s="165" t="str">
        <x:f>IF(AND(T$5&gt;=$C127,T$5&lt;=$D127,$A127&lt;&gt;""),"●","")</x:f>
      </x:c>
      <x:c r="U127" s="165" t="str">
        <x:f>IF(AND(U$5&gt;=$C127,U$5&lt;=$D127,$A127&lt;&gt;""),"●","")</x:f>
      </x:c>
      <x:c r="V127" s="165" t="str">
        <x:f>IF(AND(V$5&gt;=$C127,V$5&lt;=$D127,$A127&lt;&gt;""),"●","")</x:f>
      </x:c>
      <x:c r="W127" s="165" t="str">
        <x:f>IF(AND(W$5&gt;=$C127,W$5&lt;=$D127,$A127&lt;&gt;""),"●","")</x:f>
      </x:c>
      <x:c r="X127" s="165" t="str">
        <x:f>IF(AND(X$5&gt;=$C127,X$5&lt;=$D127,$A127&lt;&gt;""),"●","")</x:f>
      </x:c>
      <x:c r="Y127" s="165" t="str">
        <x:f>IF(AND(Y$5&gt;=$C127,Y$5&lt;=$D127,$A127&lt;&gt;""),"●","")</x:f>
      </x:c>
      <x:c r="Z127" s="165" t="str">
        <x:f>IF(AND(Z$5&gt;=$C127,Z$5&lt;=$D127,$A127&lt;&gt;""),"●","")</x:f>
      </x:c>
      <x:c r="AA127" s="165" t="str">
        <x:f>IF(AND(AA$5&gt;=$C127,AA$5&lt;=$D127,$A127&lt;&gt;""),"●","")</x:f>
      </x:c>
      <x:c r="AB127" s="165" t="str">
        <x:f>IF(AND(AB$5&gt;=$C127,AB$5&lt;=$D127,$A127&lt;&gt;""),"●","")</x:f>
      </x:c>
      <x:c r="AC127" s="165" t="str">
        <x:f>IF(AND(AC$5&gt;=$C127,AC$5&lt;=$D127,$A127&lt;&gt;""),"●","")</x:f>
      </x:c>
      <x:c r="AD127" s="165" t="str">
        <x:f>IF(AND(AD$5&gt;=$C127,AD$5&lt;=$D127,$A127&lt;&gt;""),"●","")</x:f>
      </x:c>
      <x:c r="AE127" s="165" t="str">
        <x:f>IF(AND(AE$5&gt;=$C127,AE$5&lt;=$D127,$A127&lt;&gt;""),"●","")</x:f>
      </x:c>
      <x:c r="AF127" s="165" t="str">
        <x:f>IF(AND(AF$5&gt;=$C127,AF$5&lt;=$D127,$A127&lt;&gt;""),"●","")</x:f>
      </x:c>
      <x:c r="AG127" s="165" t="str">
        <x:f>IF(AND(AG$5&gt;=$C127,AG$5&lt;=$D127,$A127&lt;&gt;""),"●","")</x:f>
      </x:c>
      <x:c r="AH127" s="165" t="str">
        <x:f>IF(AND(AH$5&gt;=$C127,AH$5&lt;=$D127,$A127&lt;&gt;""),"●","")</x:f>
      </x:c>
      <x:c r="AI127" s="165" t="str">
        <x:f>IF(AND(AI$5&gt;=$C127,AI$5&lt;=$D127,$A127&lt;&gt;""),"●","")</x:f>
      </x:c>
      <x:c r="AJ127" s="165" t="str">
        <x:f>IF(AND(AJ$5&gt;=$C127,AJ$5&lt;=$D127,$A127&lt;&gt;""),"●","")</x:f>
      </x:c>
      <x:c r="AK127" s="165" t="str">
        <x:f>IF(AND(AK$5&gt;=$C127,AK$5&lt;=$D127,$A127&lt;&gt;""),"●","")</x:f>
      </x:c>
      <x:c r="AL127" s="165" t="str">
        <x:f>IF(AND(AL$5&gt;=$C127,AL$5&lt;=$D127,$A127&lt;&gt;""),"●","")</x:f>
      </x:c>
      <x:c r="AM127" s="165" t="str">
        <x:f>IF(AND(AM$5&gt;=$C127,AM$5&lt;=$D127,$A127&lt;&gt;""),"●","")</x:f>
      </x:c>
      <x:c r="AN127" s="165" t="str">
        <x:f>IF(AND(AN$5&gt;=$C127,AN$5&lt;=$D127,$A127&lt;&gt;""),"●","")</x:f>
      </x:c>
      <x:c r="AO127" s="165" t="str">
        <x:f>IF(AND(AO$5&gt;=$C127,AO$5&lt;=$D127,$A127&lt;&gt;""),"●","")</x:f>
      </x:c>
      <x:c r="AP127" s="165" t="str">
        <x:f>IF(AND(AP$5&gt;=$C127,AP$5&lt;=$D127,$A127&lt;&gt;""),"●","")</x:f>
      </x:c>
      <x:c r="AQ127" s="165" t="str">
        <x:f>IF(AND(AQ$5&gt;=$C127,AQ$5&lt;=$D127,$A127&lt;&gt;""),"●","")</x:f>
      </x:c>
      <x:c r="AR127" s="165" t="str">
        <x:f>IF(AND(AR$5&gt;=$C127,AR$5&lt;=$D127,$A127&lt;&gt;""),"●","")</x:f>
      </x:c>
      <x:c r="AS127" s="165" t="str">
        <x:f>IF(AND(AS$5&gt;=$C127,AS$5&lt;=$D127,$A127&lt;&gt;""),"●","")</x:f>
      </x:c>
      <x:c r="AT127" s="165" t="str">
        <x:f>IF(AND(AT$5&gt;=$C127,AT$5&lt;=$D127,$A127&lt;&gt;""),"●","")</x:f>
      </x:c>
      <x:c r="AU127" s="165" t="str">
        <x:f>IF(AND(AU$5&gt;=$C127,AU$5&lt;=$D127,$A127&lt;&gt;""),"●","")</x:f>
      </x:c>
      <x:c r="AV127" s="165" t="str">
        <x:f>IF(AND(AV$5&gt;=$C127,AV$5&lt;=$D127,$A127&lt;&gt;""),"●","")</x:f>
      </x:c>
      <x:c r="AW127" s="165" t="str">
        <x:f>IF(AND(AW$5&gt;=$C127,AW$5&lt;=$D127,$A127&lt;&gt;""),"●","")</x:f>
      </x:c>
      <x:c r="AX127" s="165" t="str">
        <x:f>IF(AND(AX$5&gt;=$C127,AX$5&lt;=$D127,$A127&lt;&gt;""),"●","")</x:f>
      </x:c>
      <x:c r="AY127" s="165" t="str">
        <x:f>IF(AND(AY$5&gt;=$C127,AY$5&lt;=$D127,$A127&lt;&gt;""),"●","")</x:f>
      </x:c>
      <x:c r="AZ127" s="165" t="str">
        <x:f>IF(AND(AZ$5&gt;=$C127,AZ$5&lt;=$D127,$A127&lt;&gt;""),"●","")</x:f>
      </x:c>
      <x:c r="BA127" s="165" t="str">
        <x:f>IF(AND(BA$5&gt;=$C127,BA$5&lt;=$D127,$A127&lt;&gt;""),"●","")</x:f>
      </x:c>
      <x:c r="BB127" s="165" t="str">
        <x:f>IF(AND(BB$5&gt;=$C127,BB$5&lt;=$D127,$A127&lt;&gt;""),"●","")</x:f>
      </x:c>
      <x:c r="BC127" s="165" t="str">
        <x:f>IF(AND(BC$5&gt;=$C127,BC$5&lt;=$D127,$A127&lt;&gt;""),"●","")</x:f>
      </x:c>
      <x:c r="BD127" s="165" t="str">
        <x:f>IF(AND(BD$5&gt;=$C127,BD$5&lt;=$D127,$A127&lt;&gt;""),"●","")</x:f>
      </x:c>
      <x:c r="BE127" s="165" t="str">
        <x:f>IF(AND(BE$5&gt;=$C127,BE$5&lt;=$D127,$A127&lt;&gt;""),"●","")</x:f>
      </x:c>
      <x:c r="BF127" s="165" t="str">
        <x:f>IF(AND(BF$5&gt;=$C127,BF$5&lt;=$D127,$A127&lt;&gt;""),"●","")</x:f>
      </x:c>
      <x:c r="BG127" s="165" t="str">
        <x:f>IF(AND(BG$5&gt;=$C127,BG$5&lt;=$D127,$A127&lt;&gt;""),"●","")</x:f>
      </x:c>
      <x:c r="BH127" s="165" t="str">
        <x:f>IF(AND(BH$5&gt;=$C127,BH$5&lt;=$D127,$A127&lt;&gt;""),"●","")</x:f>
      </x:c>
      <x:c r="BI127" s="165" t="str">
        <x:f>IF(AND(BI$5&gt;=$C127,BI$5&lt;=$D127,$A127&lt;&gt;""),"●","")</x:f>
      </x:c>
      <x:c r="BJ127" s="165" t="str">
        <x:f>IF(AND(BJ$5&gt;=$C127,BJ$5&lt;=$D127,$A127&lt;&gt;""),"●","")</x:f>
      </x:c>
      <x:c r="BK127" s="165" t="str">
        <x:f>IF(AND(BK$5&gt;=$C127,BK$5&lt;=$D127,$A127&lt;&gt;""),"●","")</x:f>
      </x:c>
      <x:c r="BL127" s="165" t="str">
        <x:f>IF(AND(BL$5&gt;=$C127,BL$5&lt;=$D127,$A127&lt;&gt;""),"●","")</x:f>
      </x:c>
      <x:c r="BM127" s="165" t="str">
        <x:f>IF(AND(BM$5&gt;=$C127,BM$5&lt;=$D127,$A127&lt;&gt;""),"●","")</x:f>
      </x:c>
      <x:c r="BN127" s="165" t="str">
        <x:f>IF(AND(BN$5&gt;=$C127,BN$5&lt;=$D127,$A127&lt;&gt;""),"●","")</x:f>
      </x:c>
      <x:c r="BO127" s="165" t="str">
        <x:f>IF(AND(BO$5&gt;=$C127,BO$5&lt;=$D127,$A127&lt;&gt;""),"●","")</x:f>
      </x:c>
      <x:c r="BP127" s="165" t="str">
        <x:f>IF(AND(BP$5&gt;=$C127,BP$5&lt;=$D127,$A127&lt;&gt;""),"●","")</x:f>
      </x:c>
      <x:c r="BQ127" s="165" t="str">
        <x:f>IF(AND(BQ$5&gt;=$C127,BQ$5&lt;=$D127,$A127&lt;&gt;""),"●","")</x:f>
      </x:c>
      <x:c r="BR127" s="165" t="str">
        <x:f>IF(AND(BR$5&gt;=$C127,BR$5&lt;=$D127,$A127&lt;&gt;""),"●","")</x:f>
      </x:c>
      <x:c r="BS127" s="165" t="str">
        <x:f>IF(AND(BS$5&gt;=$C127,BS$5&lt;=$D127,$A127&lt;&gt;""),"●","")</x:f>
      </x:c>
      <x:c r="BT127" s="165" t="str">
        <x:f>IF(AND(BT$5&gt;=$C127,BT$5&lt;=$D127,$A127&lt;&gt;""),"●","")</x:f>
      </x:c>
      <x:c r="BU127" s="165" t="str">
        <x:f>IF(AND(BU$5&gt;=$C127,BU$5&lt;=$D127,$A127&lt;&gt;""),"●","")</x:f>
      </x:c>
      <x:c r="BV127" s="165" t="str">
        <x:f>IF(AND(BV$5&gt;=$C127,BV$5&lt;=$D127,$A127&lt;&gt;""),"●","")</x:f>
      </x:c>
      <x:c r="BW127" s="165" t="str">
        <x:f>IF(AND(BW$5&gt;=$C127,BW$5&lt;=$D127,$A127&lt;&gt;""),"●","")</x:f>
      </x:c>
    </x:row>
    <x:row r="128">
      <x:c r="A128" s="159" t="str">
        <x:f>IF('รายการสัญญา'!A128="","",'รายการสัญญา'!A128)</x:f>
      </x:c>
      <x:c r="B128" s="159" t="str">
        <x:f>IF('รายการสัญญา'!A128="","",'รายการสัญญา'!C128)</x:f>
      </x:c>
      <x:c r="C128" s="162" t="str">
        <x:f>IF('รายการสัญญา'!A128="","",'รายการสัญญา'!E128)</x:f>
      </x:c>
      <x:c r="D128" s="162" t="str">
        <x:f>IF('รายการสัญญา'!A128="","",'รายการสัญญา'!G128)</x:f>
      </x:c>
      <x:c r="E128" s="159" t="str">
        <x:f>IF('รายการสัญญา'!A128="","",'รายการสัญญา'!K128)</x:f>
      </x:c>
      <x:c r="F128" s="165" t="str">
        <x:f>IF(AND(F$5&gt;=$C128,F$5&lt;=$D128,$A128&lt;&gt;""),"●","")</x:f>
      </x:c>
      <x:c r="G128" s="165" t="str">
        <x:f>IF(AND(G$5&gt;=$C128,G$5&lt;=$D128,$A128&lt;&gt;""),"●","")</x:f>
      </x:c>
      <x:c r="H128" s="165" t="str">
        <x:f>IF(AND(H$5&gt;=$C128,H$5&lt;=$D128,$A128&lt;&gt;""),"●","")</x:f>
      </x:c>
      <x:c r="I128" s="165" t="str">
        <x:f>IF(AND(I$5&gt;=$C128,I$5&lt;=$D128,$A128&lt;&gt;""),"●","")</x:f>
      </x:c>
      <x:c r="J128" s="165" t="str">
        <x:f>IF(AND(J$5&gt;=$C128,J$5&lt;=$D128,$A128&lt;&gt;""),"●","")</x:f>
      </x:c>
      <x:c r="K128" s="165" t="str">
        <x:f>IF(AND(K$5&gt;=$C128,K$5&lt;=$D128,$A128&lt;&gt;""),"●","")</x:f>
      </x:c>
      <x:c r="L128" s="165" t="str">
        <x:f>IF(AND(L$5&gt;=$C128,L$5&lt;=$D128,$A128&lt;&gt;""),"●","")</x:f>
      </x:c>
      <x:c r="M128" s="165" t="str">
        <x:f>IF(AND(M$5&gt;=$C128,M$5&lt;=$D128,$A128&lt;&gt;""),"●","")</x:f>
      </x:c>
      <x:c r="N128" s="165" t="str">
        <x:f>IF(AND(N$5&gt;=$C128,N$5&lt;=$D128,$A128&lt;&gt;""),"●","")</x:f>
      </x:c>
      <x:c r="O128" s="165" t="str">
        <x:f>IF(AND(O$5&gt;=$C128,O$5&lt;=$D128,$A128&lt;&gt;""),"●","")</x:f>
      </x:c>
      <x:c r="P128" s="165" t="str">
        <x:f>IF(AND(P$5&gt;=$C128,P$5&lt;=$D128,$A128&lt;&gt;""),"●","")</x:f>
      </x:c>
      <x:c r="Q128" s="165" t="str">
        <x:f>IF(AND(Q$5&gt;=$C128,Q$5&lt;=$D128,$A128&lt;&gt;""),"●","")</x:f>
      </x:c>
      <x:c r="R128" s="165" t="str">
        <x:f>IF(AND(R$5&gt;=$C128,R$5&lt;=$D128,$A128&lt;&gt;""),"●","")</x:f>
      </x:c>
      <x:c r="S128" s="165" t="str">
        <x:f>IF(AND(S$5&gt;=$C128,S$5&lt;=$D128,$A128&lt;&gt;""),"●","")</x:f>
      </x:c>
      <x:c r="T128" s="165" t="str">
        <x:f>IF(AND(T$5&gt;=$C128,T$5&lt;=$D128,$A128&lt;&gt;""),"●","")</x:f>
      </x:c>
      <x:c r="U128" s="165" t="str">
        <x:f>IF(AND(U$5&gt;=$C128,U$5&lt;=$D128,$A128&lt;&gt;""),"●","")</x:f>
      </x:c>
      <x:c r="V128" s="165" t="str">
        <x:f>IF(AND(V$5&gt;=$C128,V$5&lt;=$D128,$A128&lt;&gt;""),"●","")</x:f>
      </x:c>
      <x:c r="W128" s="165" t="str">
        <x:f>IF(AND(W$5&gt;=$C128,W$5&lt;=$D128,$A128&lt;&gt;""),"●","")</x:f>
      </x:c>
      <x:c r="X128" s="165" t="str">
        <x:f>IF(AND(X$5&gt;=$C128,X$5&lt;=$D128,$A128&lt;&gt;""),"●","")</x:f>
      </x:c>
      <x:c r="Y128" s="165" t="str">
        <x:f>IF(AND(Y$5&gt;=$C128,Y$5&lt;=$D128,$A128&lt;&gt;""),"●","")</x:f>
      </x:c>
      <x:c r="Z128" s="165" t="str">
        <x:f>IF(AND(Z$5&gt;=$C128,Z$5&lt;=$D128,$A128&lt;&gt;""),"●","")</x:f>
      </x:c>
      <x:c r="AA128" s="165" t="str">
        <x:f>IF(AND(AA$5&gt;=$C128,AA$5&lt;=$D128,$A128&lt;&gt;""),"●","")</x:f>
      </x:c>
      <x:c r="AB128" s="165" t="str">
        <x:f>IF(AND(AB$5&gt;=$C128,AB$5&lt;=$D128,$A128&lt;&gt;""),"●","")</x:f>
      </x:c>
      <x:c r="AC128" s="165" t="str">
        <x:f>IF(AND(AC$5&gt;=$C128,AC$5&lt;=$D128,$A128&lt;&gt;""),"●","")</x:f>
      </x:c>
      <x:c r="AD128" s="165" t="str">
        <x:f>IF(AND(AD$5&gt;=$C128,AD$5&lt;=$D128,$A128&lt;&gt;""),"●","")</x:f>
      </x:c>
      <x:c r="AE128" s="165" t="str">
        <x:f>IF(AND(AE$5&gt;=$C128,AE$5&lt;=$D128,$A128&lt;&gt;""),"●","")</x:f>
      </x:c>
      <x:c r="AF128" s="165" t="str">
        <x:f>IF(AND(AF$5&gt;=$C128,AF$5&lt;=$D128,$A128&lt;&gt;""),"●","")</x:f>
      </x:c>
      <x:c r="AG128" s="165" t="str">
        <x:f>IF(AND(AG$5&gt;=$C128,AG$5&lt;=$D128,$A128&lt;&gt;""),"●","")</x:f>
      </x:c>
      <x:c r="AH128" s="165" t="str">
        <x:f>IF(AND(AH$5&gt;=$C128,AH$5&lt;=$D128,$A128&lt;&gt;""),"●","")</x:f>
      </x:c>
      <x:c r="AI128" s="165" t="str">
        <x:f>IF(AND(AI$5&gt;=$C128,AI$5&lt;=$D128,$A128&lt;&gt;""),"●","")</x:f>
      </x:c>
      <x:c r="AJ128" s="165" t="str">
        <x:f>IF(AND(AJ$5&gt;=$C128,AJ$5&lt;=$D128,$A128&lt;&gt;""),"●","")</x:f>
      </x:c>
      <x:c r="AK128" s="165" t="str">
        <x:f>IF(AND(AK$5&gt;=$C128,AK$5&lt;=$D128,$A128&lt;&gt;""),"●","")</x:f>
      </x:c>
      <x:c r="AL128" s="165" t="str">
        <x:f>IF(AND(AL$5&gt;=$C128,AL$5&lt;=$D128,$A128&lt;&gt;""),"●","")</x:f>
      </x:c>
      <x:c r="AM128" s="165" t="str">
        <x:f>IF(AND(AM$5&gt;=$C128,AM$5&lt;=$D128,$A128&lt;&gt;""),"●","")</x:f>
      </x:c>
      <x:c r="AN128" s="165" t="str">
        <x:f>IF(AND(AN$5&gt;=$C128,AN$5&lt;=$D128,$A128&lt;&gt;""),"●","")</x:f>
      </x:c>
      <x:c r="AO128" s="165" t="str">
        <x:f>IF(AND(AO$5&gt;=$C128,AO$5&lt;=$D128,$A128&lt;&gt;""),"●","")</x:f>
      </x:c>
      <x:c r="AP128" s="165" t="str">
        <x:f>IF(AND(AP$5&gt;=$C128,AP$5&lt;=$D128,$A128&lt;&gt;""),"●","")</x:f>
      </x:c>
      <x:c r="AQ128" s="165" t="str">
        <x:f>IF(AND(AQ$5&gt;=$C128,AQ$5&lt;=$D128,$A128&lt;&gt;""),"●","")</x:f>
      </x:c>
      <x:c r="AR128" s="165" t="str">
        <x:f>IF(AND(AR$5&gt;=$C128,AR$5&lt;=$D128,$A128&lt;&gt;""),"●","")</x:f>
      </x:c>
      <x:c r="AS128" s="165" t="str">
        <x:f>IF(AND(AS$5&gt;=$C128,AS$5&lt;=$D128,$A128&lt;&gt;""),"●","")</x:f>
      </x:c>
      <x:c r="AT128" s="165" t="str">
        <x:f>IF(AND(AT$5&gt;=$C128,AT$5&lt;=$D128,$A128&lt;&gt;""),"●","")</x:f>
      </x:c>
      <x:c r="AU128" s="165" t="str">
        <x:f>IF(AND(AU$5&gt;=$C128,AU$5&lt;=$D128,$A128&lt;&gt;""),"●","")</x:f>
      </x:c>
      <x:c r="AV128" s="165" t="str">
        <x:f>IF(AND(AV$5&gt;=$C128,AV$5&lt;=$D128,$A128&lt;&gt;""),"●","")</x:f>
      </x:c>
      <x:c r="AW128" s="165" t="str">
        <x:f>IF(AND(AW$5&gt;=$C128,AW$5&lt;=$D128,$A128&lt;&gt;""),"●","")</x:f>
      </x:c>
      <x:c r="AX128" s="165" t="str">
        <x:f>IF(AND(AX$5&gt;=$C128,AX$5&lt;=$D128,$A128&lt;&gt;""),"●","")</x:f>
      </x:c>
      <x:c r="AY128" s="165" t="str">
        <x:f>IF(AND(AY$5&gt;=$C128,AY$5&lt;=$D128,$A128&lt;&gt;""),"●","")</x:f>
      </x:c>
      <x:c r="AZ128" s="165" t="str">
        <x:f>IF(AND(AZ$5&gt;=$C128,AZ$5&lt;=$D128,$A128&lt;&gt;""),"●","")</x:f>
      </x:c>
      <x:c r="BA128" s="165" t="str">
        <x:f>IF(AND(BA$5&gt;=$C128,BA$5&lt;=$D128,$A128&lt;&gt;""),"●","")</x:f>
      </x:c>
      <x:c r="BB128" s="165" t="str">
        <x:f>IF(AND(BB$5&gt;=$C128,BB$5&lt;=$D128,$A128&lt;&gt;""),"●","")</x:f>
      </x:c>
      <x:c r="BC128" s="165" t="str">
        <x:f>IF(AND(BC$5&gt;=$C128,BC$5&lt;=$D128,$A128&lt;&gt;""),"●","")</x:f>
      </x:c>
      <x:c r="BD128" s="165" t="str">
        <x:f>IF(AND(BD$5&gt;=$C128,BD$5&lt;=$D128,$A128&lt;&gt;""),"●","")</x:f>
      </x:c>
      <x:c r="BE128" s="165" t="str">
        <x:f>IF(AND(BE$5&gt;=$C128,BE$5&lt;=$D128,$A128&lt;&gt;""),"●","")</x:f>
      </x:c>
      <x:c r="BF128" s="165" t="str">
        <x:f>IF(AND(BF$5&gt;=$C128,BF$5&lt;=$D128,$A128&lt;&gt;""),"●","")</x:f>
      </x:c>
      <x:c r="BG128" s="165" t="str">
        <x:f>IF(AND(BG$5&gt;=$C128,BG$5&lt;=$D128,$A128&lt;&gt;""),"●","")</x:f>
      </x:c>
      <x:c r="BH128" s="165" t="str">
        <x:f>IF(AND(BH$5&gt;=$C128,BH$5&lt;=$D128,$A128&lt;&gt;""),"●","")</x:f>
      </x:c>
      <x:c r="BI128" s="165" t="str">
        <x:f>IF(AND(BI$5&gt;=$C128,BI$5&lt;=$D128,$A128&lt;&gt;""),"●","")</x:f>
      </x:c>
      <x:c r="BJ128" s="165" t="str">
        <x:f>IF(AND(BJ$5&gt;=$C128,BJ$5&lt;=$D128,$A128&lt;&gt;""),"●","")</x:f>
      </x:c>
      <x:c r="BK128" s="165" t="str">
        <x:f>IF(AND(BK$5&gt;=$C128,BK$5&lt;=$D128,$A128&lt;&gt;""),"●","")</x:f>
      </x:c>
      <x:c r="BL128" s="165" t="str">
        <x:f>IF(AND(BL$5&gt;=$C128,BL$5&lt;=$D128,$A128&lt;&gt;""),"●","")</x:f>
      </x:c>
      <x:c r="BM128" s="165" t="str">
        <x:f>IF(AND(BM$5&gt;=$C128,BM$5&lt;=$D128,$A128&lt;&gt;""),"●","")</x:f>
      </x:c>
      <x:c r="BN128" s="165" t="str">
        <x:f>IF(AND(BN$5&gt;=$C128,BN$5&lt;=$D128,$A128&lt;&gt;""),"●","")</x:f>
      </x:c>
      <x:c r="BO128" s="165" t="str">
        <x:f>IF(AND(BO$5&gt;=$C128,BO$5&lt;=$D128,$A128&lt;&gt;""),"●","")</x:f>
      </x:c>
      <x:c r="BP128" s="165" t="str">
        <x:f>IF(AND(BP$5&gt;=$C128,BP$5&lt;=$D128,$A128&lt;&gt;""),"●","")</x:f>
      </x:c>
      <x:c r="BQ128" s="165" t="str">
        <x:f>IF(AND(BQ$5&gt;=$C128,BQ$5&lt;=$D128,$A128&lt;&gt;""),"●","")</x:f>
      </x:c>
      <x:c r="BR128" s="165" t="str">
        <x:f>IF(AND(BR$5&gt;=$C128,BR$5&lt;=$D128,$A128&lt;&gt;""),"●","")</x:f>
      </x:c>
      <x:c r="BS128" s="165" t="str">
        <x:f>IF(AND(BS$5&gt;=$C128,BS$5&lt;=$D128,$A128&lt;&gt;""),"●","")</x:f>
      </x:c>
      <x:c r="BT128" s="165" t="str">
        <x:f>IF(AND(BT$5&gt;=$C128,BT$5&lt;=$D128,$A128&lt;&gt;""),"●","")</x:f>
      </x:c>
      <x:c r="BU128" s="165" t="str">
        <x:f>IF(AND(BU$5&gt;=$C128,BU$5&lt;=$D128,$A128&lt;&gt;""),"●","")</x:f>
      </x:c>
      <x:c r="BV128" s="165" t="str">
        <x:f>IF(AND(BV$5&gt;=$C128,BV$5&lt;=$D128,$A128&lt;&gt;""),"●","")</x:f>
      </x:c>
      <x:c r="BW128" s="165" t="str">
        <x:f>IF(AND(BW$5&gt;=$C128,BW$5&lt;=$D128,$A128&lt;&gt;""),"●","")</x:f>
      </x:c>
    </x:row>
    <x:row r="129">
      <x:c r="A129" s="159" t="str">
        <x:f>IF('รายการสัญญา'!A129="","",'รายการสัญญา'!A129)</x:f>
      </x:c>
      <x:c r="B129" s="159" t="str">
        <x:f>IF('รายการสัญญา'!A129="","",'รายการสัญญา'!C129)</x:f>
      </x:c>
      <x:c r="C129" s="162" t="str">
        <x:f>IF('รายการสัญญา'!A129="","",'รายการสัญญา'!E129)</x:f>
      </x:c>
      <x:c r="D129" s="162" t="str">
        <x:f>IF('รายการสัญญา'!A129="","",'รายการสัญญา'!G129)</x:f>
      </x:c>
      <x:c r="E129" s="159" t="str">
        <x:f>IF('รายการสัญญา'!A129="","",'รายการสัญญา'!K129)</x:f>
      </x:c>
      <x:c r="F129" s="165" t="str">
        <x:f>IF(AND(F$5&gt;=$C129,F$5&lt;=$D129,$A129&lt;&gt;""),"●","")</x:f>
      </x:c>
      <x:c r="G129" s="165" t="str">
        <x:f>IF(AND(G$5&gt;=$C129,G$5&lt;=$D129,$A129&lt;&gt;""),"●","")</x:f>
      </x:c>
      <x:c r="H129" s="165" t="str">
        <x:f>IF(AND(H$5&gt;=$C129,H$5&lt;=$D129,$A129&lt;&gt;""),"●","")</x:f>
      </x:c>
      <x:c r="I129" s="165" t="str">
        <x:f>IF(AND(I$5&gt;=$C129,I$5&lt;=$D129,$A129&lt;&gt;""),"●","")</x:f>
      </x:c>
      <x:c r="J129" s="165" t="str">
        <x:f>IF(AND(J$5&gt;=$C129,J$5&lt;=$D129,$A129&lt;&gt;""),"●","")</x:f>
      </x:c>
      <x:c r="K129" s="165" t="str">
        <x:f>IF(AND(K$5&gt;=$C129,K$5&lt;=$D129,$A129&lt;&gt;""),"●","")</x:f>
      </x:c>
      <x:c r="L129" s="165" t="str">
        <x:f>IF(AND(L$5&gt;=$C129,L$5&lt;=$D129,$A129&lt;&gt;""),"●","")</x:f>
      </x:c>
      <x:c r="M129" s="165" t="str">
        <x:f>IF(AND(M$5&gt;=$C129,M$5&lt;=$D129,$A129&lt;&gt;""),"●","")</x:f>
      </x:c>
      <x:c r="N129" s="165" t="str">
        <x:f>IF(AND(N$5&gt;=$C129,N$5&lt;=$D129,$A129&lt;&gt;""),"●","")</x:f>
      </x:c>
      <x:c r="O129" s="165" t="str">
        <x:f>IF(AND(O$5&gt;=$C129,O$5&lt;=$D129,$A129&lt;&gt;""),"●","")</x:f>
      </x:c>
      <x:c r="P129" s="165" t="str">
        <x:f>IF(AND(P$5&gt;=$C129,P$5&lt;=$D129,$A129&lt;&gt;""),"●","")</x:f>
      </x:c>
      <x:c r="Q129" s="165" t="str">
        <x:f>IF(AND(Q$5&gt;=$C129,Q$5&lt;=$D129,$A129&lt;&gt;""),"●","")</x:f>
      </x:c>
      <x:c r="R129" s="165" t="str">
        <x:f>IF(AND(R$5&gt;=$C129,R$5&lt;=$D129,$A129&lt;&gt;""),"●","")</x:f>
      </x:c>
      <x:c r="S129" s="165" t="str">
        <x:f>IF(AND(S$5&gt;=$C129,S$5&lt;=$D129,$A129&lt;&gt;""),"●","")</x:f>
      </x:c>
      <x:c r="T129" s="165" t="str">
        <x:f>IF(AND(T$5&gt;=$C129,T$5&lt;=$D129,$A129&lt;&gt;""),"●","")</x:f>
      </x:c>
      <x:c r="U129" s="165" t="str">
        <x:f>IF(AND(U$5&gt;=$C129,U$5&lt;=$D129,$A129&lt;&gt;""),"●","")</x:f>
      </x:c>
      <x:c r="V129" s="165" t="str">
        <x:f>IF(AND(V$5&gt;=$C129,V$5&lt;=$D129,$A129&lt;&gt;""),"●","")</x:f>
      </x:c>
      <x:c r="W129" s="165" t="str">
        <x:f>IF(AND(W$5&gt;=$C129,W$5&lt;=$D129,$A129&lt;&gt;""),"●","")</x:f>
      </x:c>
      <x:c r="X129" s="165" t="str">
        <x:f>IF(AND(X$5&gt;=$C129,X$5&lt;=$D129,$A129&lt;&gt;""),"●","")</x:f>
      </x:c>
      <x:c r="Y129" s="165" t="str">
        <x:f>IF(AND(Y$5&gt;=$C129,Y$5&lt;=$D129,$A129&lt;&gt;""),"●","")</x:f>
      </x:c>
      <x:c r="Z129" s="165" t="str">
        <x:f>IF(AND(Z$5&gt;=$C129,Z$5&lt;=$D129,$A129&lt;&gt;""),"●","")</x:f>
      </x:c>
      <x:c r="AA129" s="165" t="str">
        <x:f>IF(AND(AA$5&gt;=$C129,AA$5&lt;=$D129,$A129&lt;&gt;""),"●","")</x:f>
      </x:c>
      <x:c r="AB129" s="165" t="str">
        <x:f>IF(AND(AB$5&gt;=$C129,AB$5&lt;=$D129,$A129&lt;&gt;""),"●","")</x:f>
      </x:c>
      <x:c r="AC129" s="165" t="str">
        <x:f>IF(AND(AC$5&gt;=$C129,AC$5&lt;=$D129,$A129&lt;&gt;""),"●","")</x:f>
      </x:c>
      <x:c r="AD129" s="165" t="str">
        <x:f>IF(AND(AD$5&gt;=$C129,AD$5&lt;=$D129,$A129&lt;&gt;""),"●","")</x:f>
      </x:c>
      <x:c r="AE129" s="165" t="str">
        <x:f>IF(AND(AE$5&gt;=$C129,AE$5&lt;=$D129,$A129&lt;&gt;""),"●","")</x:f>
      </x:c>
      <x:c r="AF129" s="165" t="str">
        <x:f>IF(AND(AF$5&gt;=$C129,AF$5&lt;=$D129,$A129&lt;&gt;""),"●","")</x:f>
      </x:c>
      <x:c r="AG129" s="165" t="str">
        <x:f>IF(AND(AG$5&gt;=$C129,AG$5&lt;=$D129,$A129&lt;&gt;""),"●","")</x:f>
      </x:c>
      <x:c r="AH129" s="165" t="str">
        <x:f>IF(AND(AH$5&gt;=$C129,AH$5&lt;=$D129,$A129&lt;&gt;""),"●","")</x:f>
      </x:c>
      <x:c r="AI129" s="165" t="str">
        <x:f>IF(AND(AI$5&gt;=$C129,AI$5&lt;=$D129,$A129&lt;&gt;""),"●","")</x:f>
      </x:c>
      <x:c r="AJ129" s="165" t="str">
        <x:f>IF(AND(AJ$5&gt;=$C129,AJ$5&lt;=$D129,$A129&lt;&gt;""),"●","")</x:f>
      </x:c>
      <x:c r="AK129" s="165" t="str">
        <x:f>IF(AND(AK$5&gt;=$C129,AK$5&lt;=$D129,$A129&lt;&gt;""),"●","")</x:f>
      </x:c>
      <x:c r="AL129" s="165" t="str">
        <x:f>IF(AND(AL$5&gt;=$C129,AL$5&lt;=$D129,$A129&lt;&gt;""),"●","")</x:f>
      </x:c>
      <x:c r="AM129" s="165" t="str">
        <x:f>IF(AND(AM$5&gt;=$C129,AM$5&lt;=$D129,$A129&lt;&gt;""),"●","")</x:f>
      </x:c>
      <x:c r="AN129" s="165" t="str">
        <x:f>IF(AND(AN$5&gt;=$C129,AN$5&lt;=$D129,$A129&lt;&gt;""),"●","")</x:f>
      </x:c>
      <x:c r="AO129" s="165" t="str">
        <x:f>IF(AND(AO$5&gt;=$C129,AO$5&lt;=$D129,$A129&lt;&gt;""),"●","")</x:f>
      </x:c>
      <x:c r="AP129" s="165" t="str">
        <x:f>IF(AND(AP$5&gt;=$C129,AP$5&lt;=$D129,$A129&lt;&gt;""),"●","")</x:f>
      </x:c>
      <x:c r="AQ129" s="165" t="str">
        <x:f>IF(AND(AQ$5&gt;=$C129,AQ$5&lt;=$D129,$A129&lt;&gt;""),"●","")</x:f>
      </x:c>
      <x:c r="AR129" s="165" t="str">
        <x:f>IF(AND(AR$5&gt;=$C129,AR$5&lt;=$D129,$A129&lt;&gt;""),"●","")</x:f>
      </x:c>
      <x:c r="AS129" s="165" t="str">
        <x:f>IF(AND(AS$5&gt;=$C129,AS$5&lt;=$D129,$A129&lt;&gt;""),"●","")</x:f>
      </x:c>
      <x:c r="AT129" s="165" t="str">
        <x:f>IF(AND(AT$5&gt;=$C129,AT$5&lt;=$D129,$A129&lt;&gt;""),"●","")</x:f>
      </x:c>
      <x:c r="AU129" s="165" t="str">
        <x:f>IF(AND(AU$5&gt;=$C129,AU$5&lt;=$D129,$A129&lt;&gt;""),"●","")</x:f>
      </x:c>
      <x:c r="AV129" s="165" t="str">
        <x:f>IF(AND(AV$5&gt;=$C129,AV$5&lt;=$D129,$A129&lt;&gt;""),"●","")</x:f>
      </x:c>
      <x:c r="AW129" s="165" t="str">
        <x:f>IF(AND(AW$5&gt;=$C129,AW$5&lt;=$D129,$A129&lt;&gt;""),"●","")</x:f>
      </x:c>
      <x:c r="AX129" s="165" t="str">
        <x:f>IF(AND(AX$5&gt;=$C129,AX$5&lt;=$D129,$A129&lt;&gt;""),"●","")</x:f>
      </x:c>
      <x:c r="AY129" s="165" t="str">
        <x:f>IF(AND(AY$5&gt;=$C129,AY$5&lt;=$D129,$A129&lt;&gt;""),"●","")</x:f>
      </x:c>
      <x:c r="AZ129" s="165" t="str">
        <x:f>IF(AND(AZ$5&gt;=$C129,AZ$5&lt;=$D129,$A129&lt;&gt;""),"●","")</x:f>
      </x:c>
      <x:c r="BA129" s="165" t="str">
        <x:f>IF(AND(BA$5&gt;=$C129,BA$5&lt;=$D129,$A129&lt;&gt;""),"●","")</x:f>
      </x:c>
      <x:c r="BB129" s="165" t="str">
        <x:f>IF(AND(BB$5&gt;=$C129,BB$5&lt;=$D129,$A129&lt;&gt;""),"●","")</x:f>
      </x:c>
      <x:c r="BC129" s="165" t="str">
        <x:f>IF(AND(BC$5&gt;=$C129,BC$5&lt;=$D129,$A129&lt;&gt;""),"●","")</x:f>
      </x:c>
      <x:c r="BD129" s="165" t="str">
        <x:f>IF(AND(BD$5&gt;=$C129,BD$5&lt;=$D129,$A129&lt;&gt;""),"●","")</x:f>
      </x:c>
      <x:c r="BE129" s="165" t="str">
        <x:f>IF(AND(BE$5&gt;=$C129,BE$5&lt;=$D129,$A129&lt;&gt;""),"●","")</x:f>
      </x:c>
      <x:c r="BF129" s="165" t="str">
        <x:f>IF(AND(BF$5&gt;=$C129,BF$5&lt;=$D129,$A129&lt;&gt;""),"●","")</x:f>
      </x:c>
      <x:c r="BG129" s="165" t="str">
        <x:f>IF(AND(BG$5&gt;=$C129,BG$5&lt;=$D129,$A129&lt;&gt;""),"●","")</x:f>
      </x:c>
      <x:c r="BH129" s="165" t="str">
        <x:f>IF(AND(BH$5&gt;=$C129,BH$5&lt;=$D129,$A129&lt;&gt;""),"●","")</x:f>
      </x:c>
      <x:c r="BI129" s="165" t="str">
        <x:f>IF(AND(BI$5&gt;=$C129,BI$5&lt;=$D129,$A129&lt;&gt;""),"●","")</x:f>
      </x:c>
      <x:c r="BJ129" s="165" t="str">
        <x:f>IF(AND(BJ$5&gt;=$C129,BJ$5&lt;=$D129,$A129&lt;&gt;""),"●","")</x:f>
      </x:c>
      <x:c r="BK129" s="165" t="str">
        <x:f>IF(AND(BK$5&gt;=$C129,BK$5&lt;=$D129,$A129&lt;&gt;""),"●","")</x:f>
      </x:c>
      <x:c r="BL129" s="165" t="str">
        <x:f>IF(AND(BL$5&gt;=$C129,BL$5&lt;=$D129,$A129&lt;&gt;""),"●","")</x:f>
      </x:c>
      <x:c r="BM129" s="165" t="str">
        <x:f>IF(AND(BM$5&gt;=$C129,BM$5&lt;=$D129,$A129&lt;&gt;""),"●","")</x:f>
      </x:c>
      <x:c r="BN129" s="165" t="str">
        <x:f>IF(AND(BN$5&gt;=$C129,BN$5&lt;=$D129,$A129&lt;&gt;""),"●","")</x:f>
      </x:c>
      <x:c r="BO129" s="165" t="str">
        <x:f>IF(AND(BO$5&gt;=$C129,BO$5&lt;=$D129,$A129&lt;&gt;""),"●","")</x:f>
      </x:c>
      <x:c r="BP129" s="165" t="str">
        <x:f>IF(AND(BP$5&gt;=$C129,BP$5&lt;=$D129,$A129&lt;&gt;""),"●","")</x:f>
      </x:c>
      <x:c r="BQ129" s="165" t="str">
        <x:f>IF(AND(BQ$5&gt;=$C129,BQ$5&lt;=$D129,$A129&lt;&gt;""),"●","")</x:f>
      </x:c>
      <x:c r="BR129" s="165" t="str">
        <x:f>IF(AND(BR$5&gt;=$C129,BR$5&lt;=$D129,$A129&lt;&gt;""),"●","")</x:f>
      </x:c>
      <x:c r="BS129" s="165" t="str">
        <x:f>IF(AND(BS$5&gt;=$C129,BS$5&lt;=$D129,$A129&lt;&gt;""),"●","")</x:f>
      </x:c>
      <x:c r="BT129" s="165" t="str">
        <x:f>IF(AND(BT$5&gt;=$C129,BT$5&lt;=$D129,$A129&lt;&gt;""),"●","")</x:f>
      </x:c>
      <x:c r="BU129" s="165" t="str">
        <x:f>IF(AND(BU$5&gt;=$C129,BU$5&lt;=$D129,$A129&lt;&gt;""),"●","")</x:f>
      </x:c>
      <x:c r="BV129" s="165" t="str">
        <x:f>IF(AND(BV$5&gt;=$C129,BV$5&lt;=$D129,$A129&lt;&gt;""),"●","")</x:f>
      </x:c>
      <x:c r="BW129" s="165" t="str">
        <x:f>IF(AND(BW$5&gt;=$C129,BW$5&lt;=$D129,$A129&lt;&gt;""),"●","")</x:f>
      </x:c>
    </x:row>
    <x:row r="130">
      <x:c r="A130" s="159" t="str">
        <x:f>IF('รายการสัญญา'!A130="","",'รายการสัญญา'!A130)</x:f>
      </x:c>
      <x:c r="B130" s="159" t="str">
        <x:f>IF('รายการสัญญา'!A130="","",'รายการสัญญา'!C130)</x:f>
      </x:c>
      <x:c r="C130" s="162" t="str">
        <x:f>IF('รายการสัญญา'!A130="","",'รายการสัญญา'!E130)</x:f>
      </x:c>
      <x:c r="D130" s="162" t="str">
        <x:f>IF('รายการสัญญา'!A130="","",'รายการสัญญา'!G130)</x:f>
      </x:c>
      <x:c r="E130" s="159" t="str">
        <x:f>IF('รายการสัญญา'!A130="","",'รายการสัญญา'!K130)</x:f>
      </x:c>
      <x:c r="F130" s="165" t="str">
        <x:f>IF(AND(F$5&gt;=$C130,F$5&lt;=$D130,$A130&lt;&gt;""),"●","")</x:f>
      </x:c>
      <x:c r="G130" s="165" t="str">
        <x:f>IF(AND(G$5&gt;=$C130,G$5&lt;=$D130,$A130&lt;&gt;""),"●","")</x:f>
      </x:c>
      <x:c r="H130" s="165" t="str">
        <x:f>IF(AND(H$5&gt;=$C130,H$5&lt;=$D130,$A130&lt;&gt;""),"●","")</x:f>
      </x:c>
      <x:c r="I130" s="165" t="str">
        <x:f>IF(AND(I$5&gt;=$C130,I$5&lt;=$D130,$A130&lt;&gt;""),"●","")</x:f>
      </x:c>
      <x:c r="J130" s="165" t="str">
        <x:f>IF(AND(J$5&gt;=$C130,J$5&lt;=$D130,$A130&lt;&gt;""),"●","")</x:f>
      </x:c>
      <x:c r="K130" s="165" t="str">
        <x:f>IF(AND(K$5&gt;=$C130,K$5&lt;=$D130,$A130&lt;&gt;""),"●","")</x:f>
      </x:c>
      <x:c r="L130" s="165" t="str">
        <x:f>IF(AND(L$5&gt;=$C130,L$5&lt;=$D130,$A130&lt;&gt;""),"●","")</x:f>
      </x:c>
      <x:c r="M130" s="165" t="str">
        <x:f>IF(AND(M$5&gt;=$C130,M$5&lt;=$D130,$A130&lt;&gt;""),"●","")</x:f>
      </x:c>
      <x:c r="N130" s="165" t="str">
        <x:f>IF(AND(N$5&gt;=$C130,N$5&lt;=$D130,$A130&lt;&gt;""),"●","")</x:f>
      </x:c>
      <x:c r="O130" s="165" t="str">
        <x:f>IF(AND(O$5&gt;=$C130,O$5&lt;=$D130,$A130&lt;&gt;""),"●","")</x:f>
      </x:c>
      <x:c r="P130" s="165" t="str">
        <x:f>IF(AND(P$5&gt;=$C130,P$5&lt;=$D130,$A130&lt;&gt;""),"●","")</x:f>
      </x:c>
      <x:c r="Q130" s="165" t="str">
        <x:f>IF(AND(Q$5&gt;=$C130,Q$5&lt;=$D130,$A130&lt;&gt;""),"●","")</x:f>
      </x:c>
      <x:c r="R130" s="165" t="str">
        <x:f>IF(AND(R$5&gt;=$C130,R$5&lt;=$D130,$A130&lt;&gt;""),"●","")</x:f>
      </x:c>
      <x:c r="S130" s="165" t="str">
        <x:f>IF(AND(S$5&gt;=$C130,S$5&lt;=$D130,$A130&lt;&gt;""),"●","")</x:f>
      </x:c>
      <x:c r="T130" s="165" t="str">
        <x:f>IF(AND(T$5&gt;=$C130,T$5&lt;=$D130,$A130&lt;&gt;""),"●","")</x:f>
      </x:c>
      <x:c r="U130" s="165" t="str">
        <x:f>IF(AND(U$5&gt;=$C130,U$5&lt;=$D130,$A130&lt;&gt;""),"●","")</x:f>
      </x:c>
      <x:c r="V130" s="165" t="str">
        <x:f>IF(AND(V$5&gt;=$C130,V$5&lt;=$D130,$A130&lt;&gt;""),"●","")</x:f>
      </x:c>
      <x:c r="W130" s="165" t="str">
        <x:f>IF(AND(W$5&gt;=$C130,W$5&lt;=$D130,$A130&lt;&gt;""),"●","")</x:f>
      </x:c>
      <x:c r="X130" s="165" t="str">
        <x:f>IF(AND(X$5&gt;=$C130,X$5&lt;=$D130,$A130&lt;&gt;""),"●","")</x:f>
      </x:c>
      <x:c r="Y130" s="165" t="str">
        <x:f>IF(AND(Y$5&gt;=$C130,Y$5&lt;=$D130,$A130&lt;&gt;""),"●","")</x:f>
      </x:c>
      <x:c r="Z130" s="165" t="str">
        <x:f>IF(AND(Z$5&gt;=$C130,Z$5&lt;=$D130,$A130&lt;&gt;""),"●","")</x:f>
      </x:c>
      <x:c r="AA130" s="165" t="str">
        <x:f>IF(AND(AA$5&gt;=$C130,AA$5&lt;=$D130,$A130&lt;&gt;""),"●","")</x:f>
      </x:c>
      <x:c r="AB130" s="165" t="str">
        <x:f>IF(AND(AB$5&gt;=$C130,AB$5&lt;=$D130,$A130&lt;&gt;""),"●","")</x:f>
      </x:c>
      <x:c r="AC130" s="165" t="str">
        <x:f>IF(AND(AC$5&gt;=$C130,AC$5&lt;=$D130,$A130&lt;&gt;""),"●","")</x:f>
      </x:c>
      <x:c r="AD130" s="165" t="str">
        <x:f>IF(AND(AD$5&gt;=$C130,AD$5&lt;=$D130,$A130&lt;&gt;""),"●","")</x:f>
      </x:c>
      <x:c r="AE130" s="165" t="str">
        <x:f>IF(AND(AE$5&gt;=$C130,AE$5&lt;=$D130,$A130&lt;&gt;""),"●","")</x:f>
      </x:c>
      <x:c r="AF130" s="165" t="str">
        <x:f>IF(AND(AF$5&gt;=$C130,AF$5&lt;=$D130,$A130&lt;&gt;""),"●","")</x:f>
      </x:c>
      <x:c r="AG130" s="165" t="str">
        <x:f>IF(AND(AG$5&gt;=$C130,AG$5&lt;=$D130,$A130&lt;&gt;""),"●","")</x:f>
      </x:c>
      <x:c r="AH130" s="165" t="str">
        <x:f>IF(AND(AH$5&gt;=$C130,AH$5&lt;=$D130,$A130&lt;&gt;""),"●","")</x:f>
      </x:c>
      <x:c r="AI130" s="165" t="str">
        <x:f>IF(AND(AI$5&gt;=$C130,AI$5&lt;=$D130,$A130&lt;&gt;""),"●","")</x:f>
      </x:c>
      <x:c r="AJ130" s="165" t="str">
        <x:f>IF(AND(AJ$5&gt;=$C130,AJ$5&lt;=$D130,$A130&lt;&gt;""),"●","")</x:f>
      </x:c>
      <x:c r="AK130" s="165" t="str">
        <x:f>IF(AND(AK$5&gt;=$C130,AK$5&lt;=$D130,$A130&lt;&gt;""),"●","")</x:f>
      </x:c>
      <x:c r="AL130" s="165" t="str">
        <x:f>IF(AND(AL$5&gt;=$C130,AL$5&lt;=$D130,$A130&lt;&gt;""),"●","")</x:f>
      </x:c>
      <x:c r="AM130" s="165" t="str">
        <x:f>IF(AND(AM$5&gt;=$C130,AM$5&lt;=$D130,$A130&lt;&gt;""),"●","")</x:f>
      </x:c>
      <x:c r="AN130" s="165" t="str">
        <x:f>IF(AND(AN$5&gt;=$C130,AN$5&lt;=$D130,$A130&lt;&gt;""),"●","")</x:f>
      </x:c>
      <x:c r="AO130" s="165" t="str">
        <x:f>IF(AND(AO$5&gt;=$C130,AO$5&lt;=$D130,$A130&lt;&gt;""),"●","")</x:f>
      </x:c>
      <x:c r="AP130" s="165" t="str">
        <x:f>IF(AND(AP$5&gt;=$C130,AP$5&lt;=$D130,$A130&lt;&gt;""),"●","")</x:f>
      </x:c>
      <x:c r="AQ130" s="165" t="str">
        <x:f>IF(AND(AQ$5&gt;=$C130,AQ$5&lt;=$D130,$A130&lt;&gt;""),"●","")</x:f>
      </x:c>
      <x:c r="AR130" s="165" t="str">
        <x:f>IF(AND(AR$5&gt;=$C130,AR$5&lt;=$D130,$A130&lt;&gt;""),"●","")</x:f>
      </x:c>
      <x:c r="AS130" s="165" t="str">
        <x:f>IF(AND(AS$5&gt;=$C130,AS$5&lt;=$D130,$A130&lt;&gt;""),"●","")</x:f>
      </x:c>
      <x:c r="AT130" s="165" t="str">
        <x:f>IF(AND(AT$5&gt;=$C130,AT$5&lt;=$D130,$A130&lt;&gt;""),"●","")</x:f>
      </x:c>
      <x:c r="AU130" s="165" t="str">
        <x:f>IF(AND(AU$5&gt;=$C130,AU$5&lt;=$D130,$A130&lt;&gt;""),"●","")</x:f>
      </x:c>
      <x:c r="AV130" s="165" t="str">
        <x:f>IF(AND(AV$5&gt;=$C130,AV$5&lt;=$D130,$A130&lt;&gt;""),"●","")</x:f>
      </x:c>
      <x:c r="AW130" s="165" t="str">
        <x:f>IF(AND(AW$5&gt;=$C130,AW$5&lt;=$D130,$A130&lt;&gt;""),"●","")</x:f>
      </x:c>
      <x:c r="AX130" s="165" t="str">
        <x:f>IF(AND(AX$5&gt;=$C130,AX$5&lt;=$D130,$A130&lt;&gt;""),"●","")</x:f>
      </x:c>
      <x:c r="AY130" s="165" t="str">
        <x:f>IF(AND(AY$5&gt;=$C130,AY$5&lt;=$D130,$A130&lt;&gt;""),"●","")</x:f>
      </x:c>
      <x:c r="AZ130" s="165" t="str">
        <x:f>IF(AND(AZ$5&gt;=$C130,AZ$5&lt;=$D130,$A130&lt;&gt;""),"●","")</x:f>
      </x:c>
      <x:c r="BA130" s="165" t="str">
        <x:f>IF(AND(BA$5&gt;=$C130,BA$5&lt;=$D130,$A130&lt;&gt;""),"●","")</x:f>
      </x:c>
      <x:c r="BB130" s="165" t="str">
        <x:f>IF(AND(BB$5&gt;=$C130,BB$5&lt;=$D130,$A130&lt;&gt;""),"●","")</x:f>
      </x:c>
      <x:c r="BC130" s="165" t="str">
        <x:f>IF(AND(BC$5&gt;=$C130,BC$5&lt;=$D130,$A130&lt;&gt;""),"●","")</x:f>
      </x:c>
      <x:c r="BD130" s="165" t="str">
        <x:f>IF(AND(BD$5&gt;=$C130,BD$5&lt;=$D130,$A130&lt;&gt;""),"●","")</x:f>
      </x:c>
      <x:c r="BE130" s="165" t="str">
        <x:f>IF(AND(BE$5&gt;=$C130,BE$5&lt;=$D130,$A130&lt;&gt;""),"●","")</x:f>
      </x:c>
      <x:c r="BF130" s="165" t="str">
        <x:f>IF(AND(BF$5&gt;=$C130,BF$5&lt;=$D130,$A130&lt;&gt;""),"●","")</x:f>
      </x:c>
      <x:c r="BG130" s="165" t="str">
        <x:f>IF(AND(BG$5&gt;=$C130,BG$5&lt;=$D130,$A130&lt;&gt;""),"●","")</x:f>
      </x:c>
      <x:c r="BH130" s="165" t="str">
        <x:f>IF(AND(BH$5&gt;=$C130,BH$5&lt;=$D130,$A130&lt;&gt;""),"●","")</x:f>
      </x:c>
      <x:c r="BI130" s="165" t="str">
        <x:f>IF(AND(BI$5&gt;=$C130,BI$5&lt;=$D130,$A130&lt;&gt;""),"●","")</x:f>
      </x:c>
      <x:c r="BJ130" s="165" t="str">
        <x:f>IF(AND(BJ$5&gt;=$C130,BJ$5&lt;=$D130,$A130&lt;&gt;""),"●","")</x:f>
      </x:c>
      <x:c r="BK130" s="165" t="str">
        <x:f>IF(AND(BK$5&gt;=$C130,BK$5&lt;=$D130,$A130&lt;&gt;""),"●","")</x:f>
      </x:c>
      <x:c r="BL130" s="165" t="str">
        <x:f>IF(AND(BL$5&gt;=$C130,BL$5&lt;=$D130,$A130&lt;&gt;""),"●","")</x:f>
      </x:c>
      <x:c r="BM130" s="165" t="str">
        <x:f>IF(AND(BM$5&gt;=$C130,BM$5&lt;=$D130,$A130&lt;&gt;""),"●","")</x:f>
      </x:c>
      <x:c r="BN130" s="165" t="str">
        <x:f>IF(AND(BN$5&gt;=$C130,BN$5&lt;=$D130,$A130&lt;&gt;""),"●","")</x:f>
      </x:c>
      <x:c r="BO130" s="165" t="str">
        <x:f>IF(AND(BO$5&gt;=$C130,BO$5&lt;=$D130,$A130&lt;&gt;""),"●","")</x:f>
      </x:c>
      <x:c r="BP130" s="165" t="str">
        <x:f>IF(AND(BP$5&gt;=$C130,BP$5&lt;=$D130,$A130&lt;&gt;""),"●","")</x:f>
      </x:c>
      <x:c r="BQ130" s="165" t="str">
        <x:f>IF(AND(BQ$5&gt;=$C130,BQ$5&lt;=$D130,$A130&lt;&gt;""),"●","")</x:f>
      </x:c>
      <x:c r="BR130" s="165" t="str">
        <x:f>IF(AND(BR$5&gt;=$C130,BR$5&lt;=$D130,$A130&lt;&gt;""),"●","")</x:f>
      </x:c>
      <x:c r="BS130" s="165" t="str">
        <x:f>IF(AND(BS$5&gt;=$C130,BS$5&lt;=$D130,$A130&lt;&gt;""),"●","")</x:f>
      </x:c>
      <x:c r="BT130" s="165" t="str">
        <x:f>IF(AND(BT$5&gt;=$C130,BT$5&lt;=$D130,$A130&lt;&gt;""),"●","")</x:f>
      </x:c>
      <x:c r="BU130" s="165" t="str">
        <x:f>IF(AND(BU$5&gt;=$C130,BU$5&lt;=$D130,$A130&lt;&gt;""),"●","")</x:f>
      </x:c>
      <x:c r="BV130" s="165" t="str">
        <x:f>IF(AND(BV$5&gt;=$C130,BV$5&lt;=$D130,$A130&lt;&gt;""),"●","")</x:f>
      </x:c>
      <x:c r="BW130" s="165" t="str">
        <x:f>IF(AND(BW$5&gt;=$C130,BW$5&lt;=$D130,$A130&lt;&gt;""),"●","")</x:f>
      </x:c>
    </x:row>
    <x:row r="131">
      <x:c r="A131" s="159" t="str">
        <x:f>IF('รายการสัญญา'!A131="","",'รายการสัญญา'!A131)</x:f>
      </x:c>
      <x:c r="B131" s="159" t="str">
        <x:f>IF('รายการสัญญา'!A131="","",'รายการสัญญา'!C131)</x:f>
      </x:c>
      <x:c r="C131" s="162" t="str">
        <x:f>IF('รายการสัญญา'!A131="","",'รายการสัญญา'!E131)</x:f>
      </x:c>
      <x:c r="D131" s="162" t="str">
        <x:f>IF('รายการสัญญา'!A131="","",'รายการสัญญา'!G131)</x:f>
      </x:c>
      <x:c r="E131" s="159" t="str">
        <x:f>IF('รายการสัญญา'!A131="","",'รายการสัญญา'!K131)</x:f>
      </x:c>
      <x:c r="F131" s="165" t="str">
        <x:f>IF(AND(F$5&gt;=$C131,F$5&lt;=$D131,$A131&lt;&gt;""),"●","")</x:f>
      </x:c>
      <x:c r="G131" s="165" t="str">
        <x:f>IF(AND(G$5&gt;=$C131,G$5&lt;=$D131,$A131&lt;&gt;""),"●","")</x:f>
      </x:c>
      <x:c r="H131" s="165" t="str">
        <x:f>IF(AND(H$5&gt;=$C131,H$5&lt;=$D131,$A131&lt;&gt;""),"●","")</x:f>
      </x:c>
      <x:c r="I131" s="165" t="str">
        <x:f>IF(AND(I$5&gt;=$C131,I$5&lt;=$D131,$A131&lt;&gt;""),"●","")</x:f>
      </x:c>
      <x:c r="J131" s="165" t="str">
        <x:f>IF(AND(J$5&gt;=$C131,J$5&lt;=$D131,$A131&lt;&gt;""),"●","")</x:f>
      </x:c>
      <x:c r="K131" s="165" t="str">
        <x:f>IF(AND(K$5&gt;=$C131,K$5&lt;=$D131,$A131&lt;&gt;""),"●","")</x:f>
      </x:c>
      <x:c r="L131" s="165" t="str">
        <x:f>IF(AND(L$5&gt;=$C131,L$5&lt;=$D131,$A131&lt;&gt;""),"●","")</x:f>
      </x:c>
      <x:c r="M131" s="165" t="str">
        <x:f>IF(AND(M$5&gt;=$C131,M$5&lt;=$D131,$A131&lt;&gt;""),"●","")</x:f>
      </x:c>
      <x:c r="N131" s="165" t="str">
        <x:f>IF(AND(N$5&gt;=$C131,N$5&lt;=$D131,$A131&lt;&gt;""),"●","")</x:f>
      </x:c>
      <x:c r="O131" s="165" t="str">
        <x:f>IF(AND(O$5&gt;=$C131,O$5&lt;=$D131,$A131&lt;&gt;""),"●","")</x:f>
      </x:c>
      <x:c r="P131" s="165" t="str">
        <x:f>IF(AND(P$5&gt;=$C131,P$5&lt;=$D131,$A131&lt;&gt;""),"●","")</x:f>
      </x:c>
      <x:c r="Q131" s="165" t="str">
        <x:f>IF(AND(Q$5&gt;=$C131,Q$5&lt;=$D131,$A131&lt;&gt;""),"●","")</x:f>
      </x:c>
      <x:c r="R131" s="165" t="str">
        <x:f>IF(AND(R$5&gt;=$C131,R$5&lt;=$D131,$A131&lt;&gt;""),"●","")</x:f>
      </x:c>
      <x:c r="S131" s="165" t="str">
        <x:f>IF(AND(S$5&gt;=$C131,S$5&lt;=$D131,$A131&lt;&gt;""),"●","")</x:f>
      </x:c>
      <x:c r="T131" s="165" t="str">
        <x:f>IF(AND(T$5&gt;=$C131,T$5&lt;=$D131,$A131&lt;&gt;""),"●","")</x:f>
      </x:c>
      <x:c r="U131" s="165" t="str">
        <x:f>IF(AND(U$5&gt;=$C131,U$5&lt;=$D131,$A131&lt;&gt;""),"●","")</x:f>
      </x:c>
      <x:c r="V131" s="165" t="str">
        <x:f>IF(AND(V$5&gt;=$C131,V$5&lt;=$D131,$A131&lt;&gt;""),"●","")</x:f>
      </x:c>
      <x:c r="W131" s="165" t="str">
        <x:f>IF(AND(W$5&gt;=$C131,W$5&lt;=$D131,$A131&lt;&gt;""),"●","")</x:f>
      </x:c>
      <x:c r="X131" s="165" t="str">
        <x:f>IF(AND(X$5&gt;=$C131,X$5&lt;=$D131,$A131&lt;&gt;""),"●","")</x:f>
      </x:c>
      <x:c r="Y131" s="165" t="str">
        <x:f>IF(AND(Y$5&gt;=$C131,Y$5&lt;=$D131,$A131&lt;&gt;""),"●","")</x:f>
      </x:c>
      <x:c r="Z131" s="165" t="str">
        <x:f>IF(AND(Z$5&gt;=$C131,Z$5&lt;=$D131,$A131&lt;&gt;""),"●","")</x:f>
      </x:c>
      <x:c r="AA131" s="165" t="str">
        <x:f>IF(AND(AA$5&gt;=$C131,AA$5&lt;=$D131,$A131&lt;&gt;""),"●","")</x:f>
      </x:c>
      <x:c r="AB131" s="165" t="str">
        <x:f>IF(AND(AB$5&gt;=$C131,AB$5&lt;=$D131,$A131&lt;&gt;""),"●","")</x:f>
      </x:c>
      <x:c r="AC131" s="165" t="str">
        <x:f>IF(AND(AC$5&gt;=$C131,AC$5&lt;=$D131,$A131&lt;&gt;""),"●","")</x:f>
      </x:c>
      <x:c r="AD131" s="165" t="str">
        <x:f>IF(AND(AD$5&gt;=$C131,AD$5&lt;=$D131,$A131&lt;&gt;""),"●","")</x:f>
      </x:c>
      <x:c r="AE131" s="165" t="str">
        <x:f>IF(AND(AE$5&gt;=$C131,AE$5&lt;=$D131,$A131&lt;&gt;""),"●","")</x:f>
      </x:c>
      <x:c r="AF131" s="165" t="str">
        <x:f>IF(AND(AF$5&gt;=$C131,AF$5&lt;=$D131,$A131&lt;&gt;""),"●","")</x:f>
      </x:c>
      <x:c r="AG131" s="165" t="str">
        <x:f>IF(AND(AG$5&gt;=$C131,AG$5&lt;=$D131,$A131&lt;&gt;""),"●","")</x:f>
      </x:c>
      <x:c r="AH131" s="165" t="str">
        <x:f>IF(AND(AH$5&gt;=$C131,AH$5&lt;=$D131,$A131&lt;&gt;""),"●","")</x:f>
      </x:c>
      <x:c r="AI131" s="165" t="str">
        <x:f>IF(AND(AI$5&gt;=$C131,AI$5&lt;=$D131,$A131&lt;&gt;""),"●","")</x:f>
      </x:c>
      <x:c r="AJ131" s="165" t="str">
        <x:f>IF(AND(AJ$5&gt;=$C131,AJ$5&lt;=$D131,$A131&lt;&gt;""),"●","")</x:f>
      </x:c>
      <x:c r="AK131" s="165" t="str">
        <x:f>IF(AND(AK$5&gt;=$C131,AK$5&lt;=$D131,$A131&lt;&gt;""),"●","")</x:f>
      </x:c>
      <x:c r="AL131" s="165" t="str">
        <x:f>IF(AND(AL$5&gt;=$C131,AL$5&lt;=$D131,$A131&lt;&gt;""),"●","")</x:f>
      </x:c>
      <x:c r="AM131" s="165" t="str">
        <x:f>IF(AND(AM$5&gt;=$C131,AM$5&lt;=$D131,$A131&lt;&gt;""),"●","")</x:f>
      </x:c>
      <x:c r="AN131" s="165" t="str">
        <x:f>IF(AND(AN$5&gt;=$C131,AN$5&lt;=$D131,$A131&lt;&gt;""),"●","")</x:f>
      </x:c>
      <x:c r="AO131" s="165" t="str">
        <x:f>IF(AND(AO$5&gt;=$C131,AO$5&lt;=$D131,$A131&lt;&gt;""),"●","")</x:f>
      </x:c>
      <x:c r="AP131" s="165" t="str">
        <x:f>IF(AND(AP$5&gt;=$C131,AP$5&lt;=$D131,$A131&lt;&gt;""),"●","")</x:f>
      </x:c>
      <x:c r="AQ131" s="165" t="str">
        <x:f>IF(AND(AQ$5&gt;=$C131,AQ$5&lt;=$D131,$A131&lt;&gt;""),"●","")</x:f>
      </x:c>
      <x:c r="AR131" s="165" t="str">
        <x:f>IF(AND(AR$5&gt;=$C131,AR$5&lt;=$D131,$A131&lt;&gt;""),"●","")</x:f>
      </x:c>
      <x:c r="AS131" s="165" t="str">
        <x:f>IF(AND(AS$5&gt;=$C131,AS$5&lt;=$D131,$A131&lt;&gt;""),"●","")</x:f>
      </x:c>
      <x:c r="AT131" s="165" t="str">
        <x:f>IF(AND(AT$5&gt;=$C131,AT$5&lt;=$D131,$A131&lt;&gt;""),"●","")</x:f>
      </x:c>
      <x:c r="AU131" s="165" t="str">
        <x:f>IF(AND(AU$5&gt;=$C131,AU$5&lt;=$D131,$A131&lt;&gt;""),"●","")</x:f>
      </x:c>
      <x:c r="AV131" s="165" t="str">
        <x:f>IF(AND(AV$5&gt;=$C131,AV$5&lt;=$D131,$A131&lt;&gt;""),"●","")</x:f>
      </x:c>
      <x:c r="AW131" s="165" t="str">
        <x:f>IF(AND(AW$5&gt;=$C131,AW$5&lt;=$D131,$A131&lt;&gt;""),"●","")</x:f>
      </x:c>
      <x:c r="AX131" s="165" t="str">
        <x:f>IF(AND(AX$5&gt;=$C131,AX$5&lt;=$D131,$A131&lt;&gt;""),"●","")</x:f>
      </x:c>
      <x:c r="AY131" s="165" t="str">
        <x:f>IF(AND(AY$5&gt;=$C131,AY$5&lt;=$D131,$A131&lt;&gt;""),"●","")</x:f>
      </x:c>
      <x:c r="AZ131" s="165" t="str">
        <x:f>IF(AND(AZ$5&gt;=$C131,AZ$5&lt;=$D131,$A131&lt;&gt;""),"●","")</x:f>
      </x:c>
      <x:c r="BA131" s="165" t="str">
        <x:f>IF(AND(BA$5&gt;=$C131,BA$5&lt;=$D131,$A131&lt;&gt;""),"●","")</x:f>
      </x:c>
      <x:c r="BB131" s="165" t="str">
        <x:f>IF(AND(BB$5&gt;=$C131,BB$5&lt;=$D131,$A131&lt;&gt;""),"●","")</x:f>
      </x:c>
      <x:c r="BC131" s="165" t="str">
        <x:f>IF(AND(BC$5&gt;=$C131,BC$5&lt;=$D131,$A131&lt;&gt;""),"●","")</x:f>
      </x:c>
      <x:c r="BD131" s="165" t="str">
        <x:f>IF(AND(BD$5&gt;=$C131,BD$5&lt;=$D131,$A131&lt;&gt;""),"●","")</x:f>
      </x:c>
      <x:c r="BE131" s="165" t="str">
        <x:f>IF(AND(BE$5&gt;=$C131,BE$5&lt;=$D131,$A131&lt;&gt;""),"●","")</x:f>
      </x:c>
      <x:c r="BF131" s="165" t="str">
        <x:f>IF(AND(BF$5&gt;=$C131,BF$5&lt;=$D131,$A131&lt;&gt;""),"●","")</x:f>
      </x:c>
      <x:c r="BG131" s="165" t="str">
        <x:f>IF(AND(BG$5&gt;=$C131,BG$5&lt;=$D131,$A131&lt;&gt;""),"●","")</x:f>
      </x:c>
      <x:c r="BH131" s="165" t="str">
        <x:f>IF(AND(BH$5&gt;=$C131,BH$5&lt;=$D131,$A131&lt;&gt;""),"●","")</x:f>
      </x:c>
      <x:c r="BI131" s="165" t="str">
        <x:f>IF(AND(BI$5&gt;=$C131,BI$5&lt;=$D131,$A131&lt;&gt;""),"●","")</x:f>
      </x:c>
      <x:c r="BJ131" s="165" t="str">
        <x:f>IF(AND(BJ$5&gt;=$C131,BJ$5&lt;=$D131,$A131&lt;&gt;""),"●","")</x:f>
      </x:c>
      <x:c r="BK131" s="165" t="str">
        <x:f>IF(AND(BK$5&gt;=$C131,BK$5&lt;=$D131,$A131&lt;&gt;""),"●","")</x:f>
      </x:c>
      <x:c r="BL131" s="165" t="str">
        <x:f>IF(AND(BL$5&gt;=$C131,BL$5&lt;=$D131,$A131&lt;&gt;""),"●","")</x:f>
      </x:c>
      <x:c r="BM131" s="165" t="str">
        <x:f>IF(AND(BM$5&gt;=$C131,BM$5&lt;=$D131,$A131&lt;&gt;""),"●","")</x:f>
      </x:c>
      <x:c r="BN131" s="165" t="str">
        <x:f>IF(AND(BN$5&gt;=$C131,BN$5&lt;=$D131,$A131&lt;&gt;""),"●","")</x:f>
      </x:c>
      <x:c r="BO131" s="165" t="str">
        <x:f>IF(AND(BO$5&gt;=$C131,BO$5&lt;=$D131,$A131&lt;&gt;""),"●","")</x:f>
      </x:c>
      <x:c r="BP131" s="165" t="str">
        <x:f>IF(AND(BP$5&gt;=$C131,BP$5&lt;=$D131,$A131&lt;&gt;""),"●","")</x:f>
      </x:c>
      <x:c r="BQ131" s="165" t="str">
        <x:f>IF(AND(BQ$5&gt;=$C131,BQ$5&lt;=$D131,$A131&lt;&gt;""),"●","")</x:f>
      </x:c>
      <x:c r="BR131" s="165" t="str">
        <x:f>IF(AND(BR$5&gt;=$C131,BR$5&lt;=$D131,$A131&lt;&gt;""),"●","")</x:f>
      </x:c>
      <x:c r="BS131" s="165" t="str">
        <x:f>IF(AND(BS$5&gt;=$C131,BS$5&lt;=$D131,$A131&lt;&gt;""),"●","")</x:f>
      </x:c>
      <x:c r="BT131" s="165" t="str">
        <x:f>IF(AND(BT$5&gt;=$C131,BT$5&lt;=$D131,$A131&lt;&gt;""),"●","")</x:f>
      </x:c>
      <x:c r="BU131" s="165" t="str">
        <x:f>IF(AND(BU$5&gt;=$C131,BU$5&lt;=$D131,$A131&lt;&gt;""),"●","")</x:f>
      </x:c>
      <x:c r="BV131" s="165" t="str">
        <x:f>IF(AND(BV$5&gt;=$C131,BV$5&lt;=$D131,$A131&lt;&gt;""),"●","")</x:f>
      </x:c>
      <x:c r="BW131" s="165" t="str">
        <x:f>IF(AND(BW$5&gt;=$C131,BW$5&lt;=$D131,$A131&lt;&gt;""),"●","")</x:f>
      </x:c>
    </x:row>
    <x:row r="132">
      <x:c r="A132" s="159" t="str">
        <x:f>IF('รายการสัญญา'!A132="","",'รายการสัญญา'!A132)</x:f>
      </x:c>
      <x:c r="B132" s="159" t="str">
        <x:f>IF('รายการสัญญา'!A132="","",'รายการสัญญา'!C132)</x:f>
      </x:c>
      <x:c r="C132" s="162" t="str">
        <x:f>IF('รายการสัญญา'!A132="","",'รายการสัญญา'!E132)</x:f>
      </x:c>
      <x:c r="D132" s="162" t="str">
        <x:f>IF('รายการสัญญา'!A132="","",'รายการสัญญา'!G132)</x:f>
      </x:c>
      <x:c r="E132" s="159" t="str">
        <x:f>IF('รายการสัญญา'!A132="","",'รายการสัญญา'!K132)</x:f>
      </x:c>
      <x:c r="F132" s="165" t="str">
        <x:f>IF(AND(F$5&gt;=$C132,F$5&lt;=$D132,$A132&lt;&gt;""),"●","")</x:f>
      </x:c>
      <x:c r="G132" s="165" t="str">
        <x:f>IF(AND(G$5&gt;=$C132,G$5&lt;=$D132,$A132&lt;&gt;""),"●","")</x:f>
      </x:c>
      <x:c r="H132" s="165" t="str">
        <x:f>IF(AND(H$5&gt;=$C132,H$5&lt;=$D132,$A132&lt;&gt;""),"●","")</x:f>
      </x:c>
      <x:c r="I132" s="165" t="str">
        <x:f>IF(AND(I$5&gt;=$C132,I$5&lt;=$D132,$A132&lt;&gt;""),"●","")</x:f>
      </x:c>
      <x:c r="J132" s="165" t="str">
        <x:f>IF(AND(J$5&gt;=$C132,J$5&lt;=$D132,$A132&lt;&gt;""),"●","")</x:f>
      </x:c>
      <x:c r="K132" s="165" t="str">
        <x:f>IF(AND(K$5&gt;=$C132,K$5&lt;=$D132,$A132&lt;&gt;""),"●","")</x:f>
      </x:c>
      <x:c r="L132" s="165" t="str">
        <x:f>IF(AND(L$5&gt;=$C132,L$5&lt;=$D132,$A132&lt;&gt;""),"●","")</x:f>
      </x:c>
      <x:c r="M132" s="165" t="str">
        <x:f>IF(AND(M$5&gt;=$C132,M$5&lt;=$D132,$A132&lt;&gt;""),"●","")</x:f>
      </x:c>
      <x:c r="N132" s="165" t="str">
        <x:f>IF(AND(N$5&gt;=$C132,N$5&lt;=$D132,$A132&lt;&gt;""),"●","")</x:f>
      </x:c>
      <x:c r="O132" s="165" t="str">
        <x:f>IF(AND(O$5&gt;=$C132,O$5&lt;=$D132,$A132&lt;&gt;""),"●","")</x:f>
      </x:c>
      <x:c r="P132" s="165" t="str">
        <x:f>IF(AND(P$5&gt;=$C132,P$5&lt;=$D132,$A132&lt;&gt;""),"●","")</x:f>
      </x:c>
      <x:c r="Q132" s="165" t="str">
        <x:f>IF(AND(Q$5&gt;=$C132,Q$5&lt;=$D132,$A132&lt;&gt;""),"●","")</x:f>
      </x:c>
      <x:c r="R132" s="165" t="str">
        <x:f>IF(AND(R$5&gt;=$C132,R$5&lt;=$D132,$A132&lt;&gt;""),"●","")</x:f>
      </x:c>
      <x:c r="S132" s="165" t="str">
        <x:f>IF(AND(S$5&gt;=$C132,S$5&lt;=$D132,$A132&lt;&gt;""),"●","")</x:f>
      </x:c>
      <x:c r="T132" s="165" t="str">
        <x:f>IF(AND(T$5&gt;=$C132,T$5&lt;=$D132,$A132&lt;&gt;""),"●","")</x:f>
      </x:c>
      <x:c r="U132" s="165" t="str">
        <x:f>IF(AND(U$5&gt;=$C132,U$5&lt;=$D132,$A132&lt;&gt;""),"●","")</x:f>
      </x:c>
      <x:c r="V132" s="165" t="str">
        <x:f>IF(AND(V$5&gt;=$C132,V$5&lt;=$D132,$A132&lt;&gt;""),"●","")</x:f>
      </x:c>
      <x:c r="W132" s="165" t="str">
        <x:f>IF(AND(W$5&gt;=$C132,W$5&lt;=$D132,$A132&lt;&gt;""),"●","")</x:f>
      </x:c>
      <x:c r="X132" s="165" t="str">
        <x:f>IF(AND(X$5&gt;=$C132,X$5&lt;=$D132,$A132&lt;&gt;""),"●","")</x:f>
      </x:c>
      <x:c r="Y132" s="165" t="str">
        <x:f>IF(AND(Y$5&gt;=$C132,Y$5&lt;=$D132,$A132&lt;&gt;""),"●","")</x:f>
      </x:c>
      <x:c r="Z132" s="165" t="str">
        <x:f>IF(AND(Z$5&gt;=$C132,Z$5&lt;=$D132,$A132&lt;&gt;""),"●","")</x:f>
      </x:c>
      <x:c r="AA132" s="165" t="str">
        <x:f>IF(AND(AA$5&gt;=$C132,AA$5&lt;=$D132,$A132&lt;&gt;""),"●","")</x:f>
      </x:c>
      <x:c r="AB132" s="165" t="str">
        <x:f>IF(AND(AB$5&gt;=$C132,AB$5&lt;=$D132,$A132&lt;&gt;""),"●","")</x:f>
      </x:c>
      <x:c r="AC132" s="165" t="str">
        <x:f>IF(AND(AC$5&gt;=$C132,AC$5&lt;=$D132,$A132&lt;&gt;""),"●","")</x:f>
      </x:c>
      <x:c r="AD132" s="165" t="str">
        <x:f>IF(AND(AD$5&gt;=$C132,AD$5&lt;=$D132,$A132&lt;&gt;""),"●","")</x:f>
      </x:c>
      <x:c r="AE132" s="165" t="str">
        <x:f>IF(AND(AE$5&gt;=$C132,AE$5&lt;=$D132,$A132&lt;&gt;""),"●","")</x:f>
      </x:c>
      <x:c r="AF132" s="165" t="str">
        <x:f>IF(AND(AF$5&gt;=$C132,AF$5&lt;=$D132,$A132&lt;&gt;""),"●","")</x:f>
      </x:c>
      <x:c r="AG132" s="165" t="str">
        <x:f>IF(AND(AG$5&gt;=$C132,AG$5&lt;=$D132,$A132&lt;&gt;""),"●","")</x:f>
      </x:c>
      <x:c r="AH132" s="165" t="str">
        <x:f>IF(AND(AH$5&gt;=$C132,AH$5&lt;=$D132,$A132&lt;&gt;""),"●","")</x:f>
      </x:c>
      <x:c r="AI132" s="165" t="str">
        <x:f>IF(AND(AI$5&gt;=$C132,AI$5&lt;=$D132,$A132&lt;&gt;""),"●","")</x:f>
      </x:c>
      <x:c r="AJ132" s="165" t="str">
        <x:f>IF(AND(AJ$5&gt;=$C132,AJ$5&lt;=$D132,$A132&lt;&gt;""),"●","")</x:f>
      </x:c>
      <x:c r="AK132" s="165" t="str">
        <x:f>IF(AND(AK$5&gt;=$C132,AK$5&lt;=$D132,$A132&lt;&gt;""),"●","")</x:f>
      </x:c>
      <x:c r="AL132" s="165" t="str">
        <x:f>IF(AND(AL$5&gt;=$C132,AL$5&lt;=$D132,$A132&lt;&gt;""),"●","")</x:f>
      </x:c>
      <x:c r="AM132" s="165" t="str">
        <x:f>IF(AND(AM$5&gt;=$C132,AM$5&lt;=$D132,$A132&lt;&gt;""),"●","")</x:f>
      </x:c>
      <x:c r="AN132" s="165" t="str">
        <x:f>IF(AND(AN$5&gt;=$C132,AN$5&lt;=$D132,$A132&lt;&gt;""),"●","")</x:f>
      </x:c>
      <x:c r="AO132" s="165" t="str">
        <x:f>IF(AND(AO$5&gt;=$C132,AO$5&lt;=$D132,$A132&lt;&gt;""),"●","")</x:f>
      </x:c>
      <x:c r="AP132" s="165" t="str">
        <x:f>IF(AND(AP$5&gt;=$C132,AP$5&lt;=$D132,$A132&lt;&gt;""),"●","")</x:f>
      </x:c>
      <x:c r="AQ132" s="165" t="str">
        <x:f>IF(AND(AQ$5&gt;=$C132,AQ$5&lt;=$D132,$A132&lt;&gt;""),"●","")</x:f>
      </x:c>
      <x:c r="AR132" s="165" t="str">
        <x:f>IF(AND(AR$5&gt;=$C132,AR$5&lt;=$D132,$A132&lt;&gt;""),"●","")</x:f>
      </x:c>
      <x:c r="AS132" s="165" t="str">
        <x:f>IF(AND(AS$5&gt;=$C132,AS$5&lt;=$D132,$A132&lt;&gt;""),"●","")</x:f>
      </x:c>
      <x:c r="AT132" s="165" t="str">
        <x:f>IF(AND(AT$5&gt;=$C132,AT$5&lt;=$D132,$A132&lt;&gt;""),"●","")</x:f>
      </x:c>
      <x:c r="AU132" s="165" t="str">
        <x:f>IF(AND(AU$5&gt;=$C132,AU$5&lt;=$D132,$A132&lt;&gt;""),"●","")</x:f>
      </x:c>
      <x:c r="AV132" s="165" t="str">
        <x:f>IF(AND(AV$5&gt;=$C132,AV$5&lt;=$D132,$A132&lt;&gt;""),"●","")</x:f>
      </x:c>
      <x:c r="AW132" s="165" t="str">
        <x:f>IF(AND(AW$5&gt;=$C132,AW$5&lt;=$D132,$A132&lt;&gt;""),"●","")</x:f>
      </x:c>
      <x:c r="AX132" s="165" t="str">
        <x:f>IF(AND(AX$5&gt;=$C132,AX$5&lt;=$D132,$A132&lt;&gt;""),"●","")</x:f>
      </x:c>
      <x:c r="AY132" s="165" t="str">
        <x:f>IF(AND(AY$5&gt;=$C132,AY$5&lt;=$D132,$A132&lt;&gt;""),"●","")</x:f>
      </x:c>
      <x:c r="AZ132" s="165" t="str">
        <x:f>IF(AND(AZ$5&gt;=$C132,AZ$5&lt;=$D132,$A132&lt;&gt;""),"●","")</x:f>
      </x:c>
      <x:c r="BA132" s="165" t="str">
        <x:f>IF(AND(BA$5&gt;=$C132,BA$5&lt;=$D132,$A132&lt;&gt;""),"●","")</x:f>
      </x:c>
      <x:c r="BB132" s="165" t="str">
        <x:f>IF(AND(BB$5&gt;=$C132,BB$5&lt;=$D132,$A132&lt;&gt;""),"●","")</x:f>
      </x:c>
      <x:c r="BC132" s="165" t="str">
        <x:f>IF(AND(BC$5&gt;=$C132,BC$5&lt;=$D132,$A132&lt;&gt;""),"●","")</x:f>
      </x:c>
      <x:c r="BD132" s="165" t="str">
        <x:f>IF(AND(BD$5&gt;=$C132,BD$5&lt;=$D132,$A132&lt;&gt;""),"●","")</x:f>
      </x:c>
      <x:c r="BE132" s="165" t="str">
        <x:f>IF(AND(BE$5&gt;=$C132,BE$5&lt;=$D132,$A132&lt;&gt;""),"●","")</x:f>
      </x:c>
      <x:c r="BF132" s="165" t="str">
        <x:f>IF(AND(BF$5&gt;=$C132,BF$5&lt;=$D132,$A132&lt;&gt;""),"●","")</x:f>
      </x:c>
      <x:c r="BG132" s="165" t="str">
        <x:f>IF(AND(BG$5&gt;=$C132,BG$5&lt;=$D132,$A132&lt;&gt;""),"●","")</x:f>
      </x:c>
      <x:c r="BH132" s="165" t="str">
        <x:f>IF(AND(BH$5&gt;=$C132,BH$5&lt;=$D132,$A132&lt;&gt;""),"●","")</x:f>
      </x:c>
      <x:c r="BI132" s="165" t="str">
        <x:f>IF(AND(BI$5&gt;=$C132,BI$5&lt;=$D132,$A132&lt;&gt;""),"●","")</x:f>
      </x:c>
      <x:c r="BJ132" s="165" t="str">
        <x:f>IF(AND(BJ$5&gt;=$C132,BJ$5&lt;=$D132,$A132&lt;&gt;""),"●","")</x:f>
      </x:c>
      <x:c r="BK132" s="165" t="str">
        <x:f>IF(AND(BK$5&gt;=$C132,BK$5&lt;=$D132,$A132&lt;&gt;""),"●","")</x:f>
      </x:c>
      <x:c r="BL132" s="165" t="str">
        <x:f>IF(AND(BL$5&gt;=$C132,BL$5&lt;=$D132,$A132&lt;&gt;""),"●","")</x:f>
      </x:c>
      <x:c r="BM132" s="165" t="str">
        <x:f>IF(AND(BM$5&gt;=$C132,BM$5&lt;=$D132,$A132&lt;&gt;""),"●","")</x:f>
      </x:c>
      <x:c r="BN132" s="165" t="str">
        <x:f>IF(AND(BN$5&gt;=$C132,BN$5&lt;=$D132,$A132&lt;&gt;""),"●","")</x:f>
      </x:c>
      <x:c r="BO132" s="165" t="str">
        <x:f>IF(AND(BO$5&gt;=$C132,BO$5&lt;=$D132,$A132&lt;&gt;""),"●","")</x:f>
      </x:c>
      <x:c r="BP132" s="165" t="str">
        <x:f>IF(AND(BP$5&gt;=$C132,BP$5&lt;=$D132,$A132&lt;&gt;""),"●","")</x:f>
      </x:c>
      <x:c r="BQ132" s="165" t="str">
        <x:f>IF(AND(BQ$5&gt;=$C132,BQ$5&lt;=$D132,$A132&lt;&gt;""),"●","")</x:f>
      </x:c>
      <x:c r="BR132" s="165" t="str">
        <x:f>IF(AND(BR$5&gt;=$C132,BR$5&lt;=$D132,$A132&lt;&gt;""),"●","")</x:f>
      </x:c>
      <x:c r="BS132" s="165" t="str">
        <x:f>IF(AND(BS$5&gt;=$C132,BS$5&lt;=$D132,$A132&lt;&gt;""),"●","")</x:f>
      </x:c>
      <x:c r="BT132" s="165" t="str">
        <x:f>IF(AND(BT$5&gt;=$C132,BT$5&lt;=$D132,$A132&lt;&gt;""),"●","")</x:f>
      </x:c>
      <x:c r="BU132" s="165" t="str">
        <x:f>IF(AND(BU$5&gt;=$C132,BU$5&lt;=$D132,$A132&lt;&gt;""),"●","")</x:f>
      </x:c>
      <x:c r="BV132" s="165" t="str">
        <x:f>IF(AND(BV$5&gt;=$C132,BV$5&lt;=$D132,$A132&lt;&gt;""),"●","")</x:f>
      </x:c>
      <x:c r="BW132" s="165" t="str">
        <x:f>IF(AND(BW$5&gt;=$C132,BW$5&lt;=$D132,$A132&lt;&gt;""),"●","")</x:f>
      </x:c>
    </x:row>
    <x:row r="133">
      <x:c r="A133" s="159" t="str">
        <x:f>IF('รายการสัญญา'!A133="","",'รายการสัญญา'!A133)</x:f>
      </x:c>
      <x:c r="B133" s="159" t="str">
        <x:f>IF('รายการสัญญา'!A133="","",'รายการสัญญา'!C133)</x:f>
      </x:c>
      <x:c r="C133" s="162" t="str">
        <x:f>IF('รายการสัญญา'!A133="","",'รายการสัญญา'!E133)</x:f>
      </x:c>
      <x:c r="D133" s="162" t="str">
        <x:f>IF('รายการสัญญา'!A133="","",'รายการสัญญา'!G133)</x:f>
      </x:c>
      <x:c r="E133" s="159" t="str">
        <x:f>IF('รายการสัญญา'!A133="","",'รายการสัญญา'!K133)</x:f>
      </x:c>
      <x:c r="F133" s="165" t="str">
        <x:f>IF(AND(F$5&gt;=$C133,F$5&lt;=$D133,$A133&lt;&gt;""),"●","")</x:f>
      </x:c>
      <x:c r="G133" s="165" t="str">
        <x:f>IF(AND(G$5&gt;=$C133,G$5&lt;=$D133,$A133&lt;&gt;""),"●","")</x:f>
      </x:c>
      <x:c r="H133" s="165" t="str">
        <x:f>IF(AND(H$5&gt;=$C133,H$5&lt;=$D133,$A133&lt;&gt;""),"●","")</x:f>
      </x:c>
      <x:c r="I133" s="165" t="str">
        <x:f>IF(AND(I$5&gt;=$C133,I$5&lt;=$D133,$A133&lt;&gt;""),"●","")</x:f>
      </x:c>
      <x:c r="J133" s="165" t="str">
        <x:f>IF(AND(J$5&gt;=$C133,J$5&lt;=$D133,$A133&lt;&gt;""),"●","")</x:f>
      </x:c>
      <x:c r="K133" s="165" t="str">
        <x:f>IF(AND(K$5&gt;=$C133,K$5&lt;=$D133,$A133&lt;&gt;""),"●","")</x:f>
      </x:c>
      <x:c r="L133" s="165" t="str">
        <x:f>IF(AND(L$5&gt;=$C133,L$5&lt;=$D133,$A133&lt;&gt;""),"●","")</x:f>
      </x:c>
      <x:c r="M133" s="165" t="str">
        <x:f>IF(AND(M$5&gt;=$C133,M$5&lt;=$D133,$A133&lt;&gt;""),"●","")</x:f>
      </x:c>
      <x:c r="N133" s="165" t="str">
        <x:f>IF(AND(N$5&gt;=$C133,N$5&lt;=$D133,$A133&lt;&gt;""),"●","")</x:f>
      </x:c>
      <x:c r="O133" s="165" t="str">
        <x:f>IF(AND(O$5&gt;=$C133,O$5&lt;=$D133,$A133&lt;&gt;""),"●","")</x:f>
      </x:c>
      <x:c r="P133" s="165" t="str">
        <x:f>IF(AND(P$5&gt;=$C133,P$5&lt;=$D133,$A133&lt;&gt;""),"●","")</x:f>
      </x:c>
      <x:c r="Q133" s="165" t="str">
        <x:f>IF(AND(Q$5&gt;=$C133,Q$5&lt;=$D133,$A133&lt;&gt;""),"●","")</x:f>
      </x:c>
      <x:c r="R133" s="165" t="str">
        <x:f>IF(AND(R$5&gt;=$C133,R$5&lt;=$D133,$A133&lt;&gt;""),"●","")</x:f>
      </x:c>
      <x:c r="S133" s="165" t="str">
        <x:f>IF(AND(S$5&gt;=$C133,S$5&lt;=$D133,$A133&lt;&gt;""),"●","")</x:f>
      </x:c>
      <x:c r="T133" s="165" t="str">
        <x:f>IF(AND(T$5&gt;=$C133,T$5&lt;=$D133,$A133&lt;&gt;""),"●","")</x:f>
      </x:c>
      <x:c r="U133" s="165" t="str">
        <x:f>IF(AND(U$5&gt;=$C133,U$5&lt;=$D133,$A133&lt;&gt;""),"●","")</x:f>
      </x:c>
      <x:c r="V133" s="165" t="str">
        <x:f>IF(AND(V$5&gt;=$C133,V$5&lt;=$D133,$A133&lt;&gt;""),"●","")</x:f>
      </x:c>
      <x:c r="W133" s="165" t="str">
        <x:f>IF(AND(W$5&gt;=$C133,W$5&lt;=$D133,$A133&lt;&gt;""),"●","")</x:f>
      </x:c>
      <x:c r="X133" s="165" t="str">
        <x:f>IF(AND(X$5&gt;=$C133,X$5&lt;=$D133,$A133&lt;&gt;""),"●","")</x:f>
      </x:c>
      <x:c r="Y133" s="165" t="str">
        <x:f>IF(AND(Y$5&gt;=$C133,Y$5&lt;=$D133,$A133&lt;&gt;""),"●","")</x:f>
      </x:c>
      <x:c r="Z133" s="165" t="str">
        <x:f>IF(AND(Z$5&gt;=$C133,Z$5&lt;=$D133,$A133&lt;&gt;""),"●","")</x:f>
      </x:c>
      <x:c r="AA133" s="165" t="str">
        <x:f>IF(AND(AA$5&gt;=$C133,AA$5&lt;=$D133,$A133&lt;&gt;""),"●","")</x:f>
      </x:c>
      <x:c r="AB133" s="165" t="str">
        <x:f>IF(AND(AB$5&gt;=$C133,AB$5&lt;=$D133,$A133&lt;&gt;""),"●","")</x:f>
      </x:c>
      <x:c r="AC133" s="165" t="str">
        <x:f>IF(AND(AC$5&gt;=$C133,AC$5&lt;=$D133,$A133&lt;&gt;""),"●","")</x:f>
      </x:c>
      <x:c r="AD133" s="165" t="str">
        <x:f>IF(AND(AD$5&gt;=$C133,AD$5&lt;=$D133,$A133&lt;&gt;""),"●","")</x:f>
      </x:c>
      <x:c r="AE133" s="165" t="str">
        <x:f>IF(AND(AE$5&gt;=$C133,AE$5&lt;=$D133,$A133&lt;&gt;""),"●","")</x:f>
      </x:c>
      <x:c r="AF133" s="165" t="str">
        <x:f>IF(AND(AF$5&gt;=$C133,AF$5&lt;=$D133,$A133&lt;&gt;""),"●","")</x:f>
      </x:c>
      <x:c r="AG133" s="165" t="str">
        <x:f>IF(AND(AG$5&gt;=$C133,AG$5&lt;=$D133,$A133&lt;&gt;""),"●","")</x:f>
      </x:c>
      <x:c r="AH133" s="165" t="str">
        <x:f>IF(AND(AH$5&gt;=$C133,AH$5&lt;=$D133,$A133&lt;&gt;""),"●","")</x:f>
      </x:c>
      <x:c r="AI133" s="165" t="str">
        <x:f>IF(AND(AI$5&gt;=$C133,AI$5&lt;=$D133,$A133&lt;&gt;""),"●","")</x:f>
      </x:c>
      <x:c r="AJ133" s="165" t="str">
        <x:f>IF(AND(AJ$5&gt;=$C133,AJ$5&lt;=$D133,$A133&lt;&gt;""),"●","")</x:f>
      </x:c>
      <x:c r="AK133" s="165" t="str">
        <x:f>IF(AND(AK$5&gt;=$C133,AK$5&lt;=$D133,$A133&lt;&gt;""),"●","")</x:f>
      </x:c>
      <x:c r="AL133" s="165" t="str">
        <x:f>IF(AND(AL$5&gt;=$C133,AL$5&lt;=$D133,$A133&lt;&gt;""),"●","")</x:f>
      </x:c>
      <x:c r="AM133" s="165" t="str">
        <x:f>IF(AND(AM$5&gt;=$C133,AM$5&lt;=$D133,$A133&lt;&gt;""),"●","")</x:f>
      </x:c>
      <x:c r="AN133" s="165" t="str">
        <x:f>IF(AND(AN$5&gt;=$C133,AN$5&lt;=$D133,$A133&lt;&gt;""),"●","")</x:f>
      </x:c>
      <x:c r="AO133" s="165" t="str">
        <x:f>IF(AND(AO$5&gt;=$C133,AO$5&lt;=$D133,$A133&lt;&gt;""),"●","")</x:f>
      </x:c>
      <x:c r="AP133" s="165" t="str">
        <x:f>IF(AND(AP$5&gt;=$C133,AP$5&lt;=$D133,$A133&lt;&gt;""),"●","")</x:f>
      </x:c>
      <x:c r="AQ133" s="165" t="str">
        <x:f>IF(AND(AQ$5&gt;=$C133,AQ$5&lt;=$D133,$A133&lt;&gt;""),"●","")</x:f>
      </x:c>
      <x:c r="AR133" s="165" t="str">
        <x:f>IF(AND(AR$5&gt;=$C133,AR$5&lt;=$D133,$A133&lt;&gt;""),"●","")</x:f>
      </x:c>
      <x:c r="AS133" s="165" t="str">
        <x:f>IF(AND(AS$5&gt;=$C133,AS$5&lt;=$D133,$A133&lt;&gt;""),"●","")</x:f>
      </x:c>
      <x:c r="AT133" s="165" t="str">
        <x:f>IF(AND(AT$5&gt;=$C133,AT$5&lt;=$D133,$A133&lt;&gt;""),"●","")</x:f>
      </x:c>
      <x:c r="AU133" s="165" t="str">
        <x:f>IF(AND(AU$5&gt;=$C133,AU$5&lt;=$D133,$A133&lt;&gt;""),"●","")</x:f>
      </x:c>
      <x:c r="AV133" s="165" t="str">
        <x:f>IF(AND(AV$5&gt;=$C133,AV$5&lt;=$D133,$A133&lt;&gt;""),"●","")</x:f>
      </x:c>
      <x:c r="AW133" s="165" t="str">
        <x:f>IF(AND(AW$5&gt;=$C133,AW$5&lt;=$D133,$A133&lt;&gt;""),"●","")</x:f>
      </x:c>
      <x:c r="AX133" s="165" t="str">
        <x:f>IF(AND(AX$5&gt;=$C133,AX$5&lt;=$D133,$A133&lt;&gt;""),"●","")</x:f>
      </x:c>
      <x:c r="AY133" s="165" t="str">
        <x:f>IF(AND(AY$5&gt;=$C133,AY$5&lt;=$D133,$A133&lt;&gt;""),"●","")</x:f>
      </x:c>
      <x:c r="AZ133" s="165" t="str">
        <x:f>IF(AND(AZ$5&gt;=$C133,AZ$5&lt;=$D133,$A133&lt;&gt;""),"●","")</x:f>
      </x:c>
      <x:c r="BA133" s="165" t="str">
        <x:f>IF(AND(BA$5&gt;=$C133,BA$5&lt;=$D133,$A133&lt;&gt;""),"●","")</x:f>
      </x:c>
      <x:c r="BB133" s="165" t="str">
        <x:f>IF(AND(BB$5&gt;=$C133,BB$5&lt;=$D133,$A133&lt;&gt;""),"●","")</x:f>
      </x:c>
      <x:c r="BC133" s="165" t="str">
        <x:f>IF(AND(BC$5&gt;=$C133,BC$5&lt;=$D133,$A133&lt;&gt;""),"●","")</x:f>
      </x:c>
      <x:c r="BD133" s="165" t="str">
        <x:f>IF(AND(BD$5&gt;=$C133,BD$5&lt;=$D133,$A133&lt;&gt;""),"●","")</x:f>
      </x:c>
      <x:c r="BE133" s="165" t="str">
        <x:f>IF(AND(BE$5&gt;=$C133,BE$5&lt;=$D133,$A133&lt;&gt;""),"●","")</x:f>
      </x:c>
      <x:c r="BF133" s="165" t="str">
        <x:f>IF(AND(BF$5&gt;=$C133,BF$5&lt;=$D133,$A133&lt;&gt;""),"●","")</x:f>
      </x:c>
      <x:c r="BG133" s="165" t="str">
        <x:f>IF(AND(BG$5&gt;=$C133,BG$5&lt;=$D133,$A133&lt;&gt;""),"●","")</x:f>
      </x:c>
      <x:c r="BH133" s="165" t="str">
        <x:f>IF(AND(BH$5&gt;=$C133,BH$5&lt;=$D133,$A133&lt;&gt;""),"●","")</x:f>
      </x:c>
      <x:c r="BI133" s="165" t="str">
        <x:f>IF(AND(BI$5&gt;=$C133,BI$5&lt;=$D133,$A133&lt;&gt;""),"●","")</x:f>
      </x:c>
      <x:c r="BJ133" s="165" t="str">
        <x:f>IF(AND(BJ$5&gt;=$C133,BJ$5&lt;=$D133,$A133&lt;&gt;""),"●","")</x:f>
      </x:c>
      <x:c r="BK133" s="165" t="str">
        <x:f>IF(AND(BK$5&gt;=$C133,BK$5&lt;=$D133,$A133&lt;&gt;""),"●","")</x:f>
      </x:c>
      <x:c r="BL133" s="165" t="str">
        <x:f>IF(AND(BL$5&gt;=$C133,BL$5&lt;=$D133,$A133&lt;&gt;""),"●","")</x:f>
      </x:c>
      <x:c r="BM133" s="165" t="str">
        <x:f>IF(AND(BM$5&gt;=$C133,BM$5&lt;=$D133,$A133&lt;&gt;""),"●","")</x:f>
      </x:c>
      <x:c r="BN133" s="165" t="str">
        <x:f>IF(AND(BN$5&gt;=$C133,BN$5&lt;=$D133,$A133&lt;&gt;""),"●","")</x:f>
      </x:c>
      <x:c r="BO133" s="165" t="str">
        <x:f>IF(AND(BO$5&gt;=$C133,BO$5&lt;=$D133,$A133&lt;&gt;""),"●","")</x:f>
      </x:c>
      <x:c r="BP133" s="165" t="str">
        <x:f>IF(AND(BP$5&gt;=$C133,BP$5&lt;=$D133,$A133&lt;&gt;""),"●","")</x:f>
      </x:c>
      <x:c r="BQ133" s="165" t="str">
        <x:f>IF(AND(BQ$5&gt;=$C133,BQ$5&lt;=$D133,$A133&lt;&gt;""),"●","")</x:f>
      </x:c>
      <x:c r="BR133" s="165" t="str">
        <x:f>IF(AND(BR$5&gt;=$C133,BR$5&lt;=$D133,$A133&lt;&gt;""),"●","")</x:f>
      </x:c>
      <x:c r="BS133" s="165" t="str">
        <x:f>IF(AND(BS$5&gt;=$C133,BS$5&lt;=$D133,$A133&lt;&gt;""),"●","")</x:f>
      </x:c>
      <x:c r="BT133" s="165" t="str">
        <x:f>IF(AND(BT$5&gt;=$C133,BT$5&lt;=$D133,$A133&lt;&gt;""),"●","")</x:f>
      </x:c>
      <x:c r="BU133" s="165" t="str">
        <x:f>IF(AND(BU$5&gt;=$C133,BU$5&lt;=$D133,$A133&lt;&gt;""),"●","")</x:f>
      </x:c>
      <x:c r="BV133" s="165" t="str">
        <x:f>IF(AND(BV$5&gt;=$C133,BV$5&lt;=$D133,$A133&lt;&gt;""),"●","")</x:f>
      </x:c>
      <x:c r="BW133" s="165" t="str">
        <x:f>IF(AND(BW$5&gt;=$C133,BW$5&lt;=$D133,$A133&lt;&gt;""),"●","")</x:f>
      </x:c>
    </x:row>
    <x:row r="134">
      <x:c r="A134" s="159" t="str">
        <x:f>IF('รายการสัญญา'!A134="","",'รายการสัญญา'!A134)</x:f>
      </x:c>
      <x:c r="B134" s="159" t="str">
        <x:f>IF('รายการสัญญา'!A134="","",'รายการสัญญา'!C134)</x:f>
      </x:c>
      <x:c r="C134" s="162" t="str">
        <x:f>IF('รายการสัญญา'!A134="","",'รายการสัญญา'!E134)</x:f>
      </x:c>
      <x:c r="D134" s="162" t="str">
        <x:f>IF('รายการสัญญา'!A134="","",'รายการสัญญา'!G134)</x:f>
      </x:c>
      <x:c r="E134" s="159" t="str">
        <x:f>IF('รายการสัญญา'!A134="","",'รายการสัญญา'!K134)</x:f>
      </x:c>
      <x:c r="F134" s="165" t="str">
        <x:f>IF(AND(F$5&gt;=$C134,F$5&lt;=$D134,$A134&lt;&gt;""),"●","")</x:f>
      </x:c>
      <x:c r="G134" s="165" t="str">
        <x:f>IF(AND(G$5&gt;=$C134,G$5&lt;=$D134,$A134&lt;&gt;""),"●","")</x:f>
      </x:c>
      <x:c r="H134" s="165" t="str">
        <x:f>IF(AND(H$5&gt;=$C134,H$5&lt;=$D134,$A134&lt;&gt;""),"●","")</x:f>
      </x:c>
      <x:c r="I134" s="165" t="str">
        <x:f>IF(AND(I$5&gt;=$C134,I$5&lt;=$D134,$A134&lt;&gt;""),"●","")</x:f>
      </x:c>
      <x:c r="J134" s="165" t="str">
        <x:f>IF(AND(J$5&gt;=$C134,J$5&lt;=$D134,$A134&lt;&gt;""),"●","")</x:f>
      </x:c>
      <x:c r="K134" s="165" t="str">
        <x:f>IF(AND(K$5&gt;=$C134,K$5&lt;=$D134,$A134&lt;&gt;""),"●","")</x:f>
      </x:c>
      <x:c r="L134" s="165" t="str">
        <x:f>IF(AND(L$5&gt;=$C134,L$5&lt;=$D134,$A134&lt;&gt;""),"●","")</x:f>
      </x:c>
      <x:c r="M134" s="165" t="str">
        <x:f>IF(AND(M$5&gt;=$C134,M$5&lt;=$D134,$A134&lt;&gt;""),"●","")</x:f>
      </x:c>
      <x:c r="N134" s="165" t="str">
        <x:f>IF(AND(N$5&gt;=$C134,N$5&lt;=$D134,$A134&lt;&gt;""),"●","")</x:f>
      </x:c>
      <x:c r="O134" s="165" t="str">
        <x:f>IF(AND(O$5&gt;=$C134,O$5&lt;=$D134,$A134&lt;&gt;""),"●","")</x:f>
      </x:c>
      <x:c r="P134" s="165" t="str">
        <x:f>IF(AND(P$5&gt;=$C134,P$5&lt;=$D134,$A134&lt;&gt;""),"●","")</x:f>
      </x:c>
      <x:c r="Q134" s="165" t="str">
        <x:f>IF(AND(Q$5&gt;=$C134,Q$5&lt;=$D134,$A134&lt;&gt;""),"●","")</x:f>
      </x:c>
      <x:c r="R134" s="165" t="str">
        <x:f>IF(AND(R$5&gt;=$C134,R$5&lt;=$D134,$A134&lt;&gt;""),"●","")</x:f>
      </x:c>
      <x:c r="S134" s="165" t="str">
        <x:f>IF(AND(S$5&gt;=$C134,S$5&lt;=$D134,$A134&lt;&gt;""),"●","")</x:f>
      </x:c>
      <x:c r="T134" s="165" t="str">
        <x:f>IF(AND(T$5&gt;=$C134,T$5&lt;=$D134,$A134&lt;&gt;""),"●","")</x:f>
      </x:c>
      <x:c r="U134" s="165" t="str">
        <x:f>IF(AND(U$5&gt;=$C134,U$5&lt;=$D134,$A134&lt;&gt;""),"●","")</x:f>
      </x:c>
      <x:c r="V134" s="165" t="str">
        <x:f>IF(AND(V$5&gt;=$C134,V$5&lt;=$D134,$A134&lt;&gt;""),"●","")</x:f>
      </x:c>
      <x:c r="W134" s="165" t="str">
        <x:f>IF(AND(W$5&gt;=$C134,W$5&lt;=$D134,$A134&lt;&gt;""),"●","")</x:f>
      </x:c>
      <x:c r="X134" s="165" t="str">
        <x:f>IF(AND(X$5&gt;=$C134,X$5&lt;=$D134,$A134&lt;&gt;""),"●","")</x:f>
      </x:c>
      <x:c r="Y134" s="165" t="str">
        <x:f>IF(AND(Y$5&gt;=$C134,Y$5&lt;=$D134,$A134&lt;&gt;""),"●","")</x:f>
      </x:c>
      <x:c r="Z134" s="165" t="str">
        <x:f>IF(AND(Z$5&gt;=$C134,Z$5&lt;=$D134,$A134&lt;&gt;""),"●","")</x:f>
      </x:c>
      <x:c r="AA134" s="165" t="str">
        <x:f>IF(AND(AA$5&gt;=$C134,AA$5&lt;=$D134,$A134&lt;&gt;""),"●","")</x:f>
      </x:c>
      <x:c r="AB134" s="165" t="str">
        <x:f>IF(AND(AB$5&gt;=$C134,AB$5&lt;=$D134,$A134&lt;&gt;""),"●","")</x:f>
      </x:c>
      <x:c r="AC134" s="165" t="str">
        <x:f>IF(AND(AC$5&gt;=$C134,AC$5&lt;=$D134,$A134&lt;&gt;""),"●","")</x:f>
      </x:c>
      <x:c r="AD134" s="165" t="str">
        <x:f>IF(AND(AD$5&gt;=$C134,AD$5&lt;=$D134,$A134&lt;&gt;""),"●","")</x:f>
      </x:c>
      <x:c r="AE134" s="165" t="str">
        <x:f>IF(AND(AE$5&gt;=$C134,AE$5&lt;=$D134,$A134&lt;&gt;""),"●","")</x:f>
      </x:c>
      <x:c r="AF134" s="165" t="str">
        <x:f>IF(AND(AF$5&gt;=$C134,AF$5&lt;=$D134,$A134&lt;&gt;""),"●","")</x:f>
      </x:c>
      <x:c r="AG134" s="165" t="str">
        <x:f>IF(AND(AG$5&gt;=$C134,AG$5&lt;=$D134,$A134&lt;&gt;""),"●","")</x:f>
      </x:c>
      <x:c r="AH134" s="165" t="str">
        <x:f>IF(AND(AH$5&gt;=$C134,AH$5&lt;=$D134,$A134&lt;&gt;""),"●","")</x:f>
      </x:c>
      <x:c r="AI134" s="165" t="str">
        <x:f>IF(AND(AI$5&gt;=$C134,AI$5&lt;=$D134,$A134&lt;&gt;""),"●","")</x:f>
      </x:c>
      <x:c r="AJ134" s="165" t="str">
        <x:f>IF(AND(AJ$5&gt;=$C134,AJ$5&lt;=$D134,$A134&lt;&gt;""),"●","")</x:f>
      </x:c>
      <x:c r="AK134" s="165" t="str">
        <x:f>IF(AND(AK$5&gt;=$C134,AK$5&lt;=$D134,$A134&lt;&gt;""),"●","")</x:f>
      </x:c>
      <x:c r="AL134" s="165" t="str">
        <x:f>IF(AND(AL$5&gt;=$C134,AL$5&lt;=$D134,$A134&lt;&gt;""),"●","")</x:f>
      </x:c>
      <x:c r="AM134" s="165" t="str">
        <x:f>IF(AND(AM$5&gt;=$C134,AM$5&lt;=$D134,$A134&lt;&gt;""),"●","")</x:f>
      </x:c>
      <x:c r="AN134" s="165" t="str">
        <x:f>IF(AND(AN$5&gt;=$C134,AN$5&lt;=$D134,$A134&lt;&gt;""),"●","")</x:f>
      </x:c>
      <x:c r="AO134" s="165" t="str">
        <x:f>IF(AND(AO$5&gt;=$C134,AO$5&lt;=$D134,$A134&lt;&gt;""),"●","")</x:f>
      </x:c>
      <x:c r="AP134" s="165" t="str">
        <x:f>IF(AND(AP$5&gt;=$C134,AP$5&lt;=$D134,$A134&lt;&gt;""),"●","")</x:f>
      </x:c>
      <x:c r="AQ134" s="165" t="str">
        <x:f>IF(AND(AQ$5&gt;=$C134,AQ$5&lt;=$D134,$A134&lt;&gt;""),"●","")</x:f>
      </x:c>
      <x:c r="AR134" s="165" t="str">
        <x:f>IF(AND(AR$5&gt;=$C134,AR$5&lt;=$D134,$A134&lt;&gt;""),"●","")</x:f>
      </x:c>
      <x:c r="AS134" s="165" t="str">
        <x:f>IF(AND(AS$5&gt;=$C134,AS$5&lt;=$D134,$A134&lt;&gt;""),"●","")</x:f>
      </x:c>
      <x:c r="AT134" s="165" t="str">
        <x:f>IF(AND(AT$5&gt;=$C134,AT$5&lt;=$D134,$A134&lt;&gt;""),"●","")</x:f>
      </x:c>
      <x:c r="AU134" s="165" t="str">
        <x:f>IF(AND(AU$5&gt;=$C134,AU$5&lt;=$D134,$A134&lt;&gt;""),"●","")</x:f>
      </x:c>
      <x:c r="AV134" s="165" t="str">
        <x:f>IF(AND(AV$5&gt;=$C134,AV$5&lt;=$D134,$A134&lt;&gt;""),"●","")</x:f>
      </x:c>
      <x:c r="AW134" s="165" t="str">
        <x:f>IF(AND(AW$5&gt;=$C134,AW$5&lt;=$D134,$A134&lt;&gt;""),"●","")</x:f>
      </x:c>
      <x:c r="AX134" s="165" t="str">
        <x:f>IF(AND(AX$5&gt;=$C134,AX$5&lt;=$D134,$A134&lt;&gt;""),"●","")</x:f>
      </x:c>
      <x:c r="AY134" s="165" t="str">
        <x:f>IF(AND(AY$5&gt;=$C134,AY$5&lt;=$D134,$A134&lt;&gt;""),"●","")</x:f>
      </x:c>
      <x:c r="AZ134" s="165" t="str">
        <x:f>IF(AND(AZ$5&gt;=$C134,AZ$5&lt;=$D134,$A134&lt;&gt;""),"●","")</x:f>
      </x:c>
      <x:c r="BA134" s="165" t="str">
        <x:f>IF(AND(BA$5&gt;=$C134,BA$5&lt;=$D134,$A134&lt;&gt;""),"●","")</x:f>
      </x:c>
      <x:c r="BB134" s="165" t="str">
        <x:f>IF(AND(BB$5&gt;=$C134,BB$5&lt;=$D134,$A134&lt;&gt;""),"●","")</x:f>
      </x:c>
      <x:c r="BC134" s="165" t="str">
        <x:f>IF(AND(BC$5&gt;=$C134,BC$5&lt;=$D134,$A134&lt;&gt;""),"●","")</x:f>
      </x:c>
      <x:c r="BD134" s="165" t="str">
        <x:f>IF(AND(BD$5&gt;=$C134,BD$5&lt;=$D134,$A134&lt;&gt;""),"●","")</x:f>
      </x:c>
      <x:c r="BE134" s="165" t="str">
        <x:f>IF(AND(BE$5&gt;=$C134,BE$5&lt;=$D134,$A134&lt;&gt;""),"●","")</x:f>
      </x:c>
      <x:c r="BF134" s="165" t="str">
        <x:f>IF(AND(BF$5&gt;=$C134,BF$5&lt;=$D134,$A134&lt;&gt;""),"●","")</x:f>
      </x:c>
      <x:c r="BG134" s="165" t="str">
        <x:f>IF(AND(BG$5&gt;=$C134,BG$5&lt;=$D134,$A134&lt;&gt;""),"●","")</x:f>
      </x:c>
      <x:c r="BH134" s="165" t="str">
        <x:f>IF(AND(BH$5&gt;=$C134,BH$5&lt;=$D134,$A134&lt;&gt;""),"●","")</x:f>
      </x:c>
      <x:c r="BI134" s="165" t="str">
        <x:f>IF(AND(BI$5&gt;=$C134,BI$5&lt;=$D134,$A134&lt;&gt;""),"●","")</x:f>
      </x:c>
      <x:c r="BJ134" s="165" t="str">
        <x:f>IF(AND(BJ$5&gt;=$C134,BJ$5&lt;=$D134,$A134&lt;&gt;""),"●","")</x:f>
      </x:c>
      <x:c r="BK134" s="165" t="str">
        <x:f>IF(AND(BK$5&gt;=$C134,BK$5&lt;=$D134,$A134&lt;&gt;""),"●","")</x:f>
      </x:c>
      <x:c r="BL134" s="165" t="str">
        <x:f>IF(AND(BL$5&gt;=$C134,BL$5&lt;=$D134,$A134&lt;&gt;""),"●","")</x:f>
      </x:c>
      <x:c r="BM134" s="165" t="str">
        <x:f>IF(AND(BM$5&gt;=$C134,BM$5&lt;=$D134,$A134&lt;&gt;""),"●","")</x:f>
      </x:c>
      <x:c r="BN134" s="165" t="str">
        <x:f>IF(AND(BN$5&gt;=$C134,BN$5&lt;=$D134,$A134&lt;&gt;""),"●","")</x:f>
      </x:c>
      <x:c r="BO134" s="165" t="str">
        <x:f>IF(AND(BO$5&gt;=$C134,BO$5&lt;=$D134,$A134&lt;&gt;""),"●","")</x:f>
      </x:c>
      <x:c r="BP134" s="165" t="str">
        <x:f>IF(AND(BP$5&gt;=$C134,BP$5&lt;=$D134,$A134&lt;&gt;""),"●","")</x:f>
      </x:c>
      <x:c r="BQ134" s="165" t="str">
        <x:f>IF(AND(BQ$5&gt;=$C134,BQ$5&lt;=$D134,$A134&lt;&gt;""),"●","")</x:f>
      </x:c>
      <x:c r="BR134" s="165" t="str">
        <x:f>IF(AND(BR$5&gt;=$C134,BR$5&lt;=$D134,$A134&lt;&gt;""),"●","")</x:f>
      </x:c>
      <x:c r="BS134" s="165" t="str">
        <x:f>IF(AND(BS$5&gt;=$C134,BS$5&lt;=$D134,$A134&lt;&gt;""),"●","")</x:f>
      </x:c>
      <x:c r="BT134" s="165" t="str">
        <x:f>IF(AND(BT$5&gt;=$C134,BT$5&lt;=$D134,$A134&lt;&gt;""),"●","")</x:f>
      </x:c>
      <x:c r="BU134" s="165" t="str">
        <x:f>IF(AND(BU$5&gt;=$C134,BU$5&lt;=$D134,$A134&lt;&gt;""),"●","")</x:f>
      </x:c>
      <x:c r="BV134" s="165" t="str">
        <x:f>IF(AND(BV$5&gt;=$C134,BV$5&lt;=$D134,$A134&lt;&gt;""),"●","")</x:f>
      </x:c>
      <x:c r="BW134" s="165" t="str">
        <x:f>IF(AND(BW$5&gt;=$C134,BW$5&lt;=$D134,$A134&lt;&gt;""),"●","")</x:f>
      </x:c>
    </x:row>
    <x:row r="135">
      <x:c r="A135" s="159" t="str">
        <x:f>IF('รายการสัญญา'!A135="","",'รายการสัญญา'!A135)</x:f>
      </x:c>
      <x:c r="B135" s="159" t="str">
        <x:f>IF('รายการสัญญา'!A135="","",'รายการสัญญา'!C135)</x:f>
      </x:c>
      <x:c r="C135" s="162" t="str">
        <x:f>IF('รายการสัญญา'!A135="","",'รายการสัญญา'!E135)</x:f>
      </x:c>
      <x:c r="D135" s="162" t="str">
        <x:f>IF('รายการสัญญา'!A135="","",'รายการสัญญา'!G135)</x:f>
      </x:c>
      <x:c r="E135" s="159" t="str">
        <x:f>IF('รายการสัญญา'!A135="","",'รายการสัญญา'!K135)</x:f>
      </x:c>
      <x:c r="F135" s="165" t="str">
        <x:f>IF(AND(F$5&gt;=$C135,F$5&lt;=$D135,$A135&lt;&gt;""),"●","")</x:f>
      </x:c>
      <x:c r="G135" s="165" t="str">
        <x:f>IF(AND(G$5&gt;=$C135,G$5&lt;=$D135,$A135&lt;&gt;""),"●","")</x:f>
      </x:c>
      <x:c r="H135" s="165" t="str">
        <x:f>IF(AND(H$5&gt;=$C135,H$5&lt;=$D135,$A135&lt;&gt;""),"●","")</x:f>
      </x:c>
      <x:c r="I135" s="165" t="str">
        <x:f>IF(AND(I$5&gt;=$C135,I$5&lt;=$D135,$A135&lt;&gt;""),"●","")</x:f>
      </x:c>
      <x:c r="J135" s="165" t="str">
        <x:f>IF(AND(J$5&gt;=$C135,J$5&lt;=$D135,$A135&lt;&gt;""),"●","")</x:f>
      </x:c>
      <x:c r="K135" s="165" t="str">
        <x:f>IF(AND(K$5&gt;=$C135,K$5&lt;=$D135,$A135&lt;&gt;""),"●","")</x:f>
      </x:c>
      <x:c r="L135" s="165" t="str">
        <x:f>IF(AND(L$5&gt;=$C135,L$5&lt;=$D135,$A135&lt;&gt;""),"●","")</x:f>
      </x:c>
      <x:c r="M135" s="165" t="str">
        <x:f>IF(AND(M$5&gt;=$C135,M$5&lt;=$D135,$A135&lt;&gt;""),"●","")</x:f>
      </x:c>
      <x:c r="N135" s="165" t="str">
        <x:f>IF(AND(N$5&gt;=$C135,N$5&lt;=$D135,$A135&lt;&gt;""),"●","")</x:f>
      </x:c>
      <x:c r="O135" s="165" t="str">
        <x:f>IF(AND(O$5&gt;=$C135,O$5&lt;=$D135,$A135&lt;&gt;""),"●","")</x:f>
      </x:c>
      <x:c r="P135" s="165" t="str">
        <x:f>IF(AND(P$5&gt;=$C135,P$5&lt;=$D135,$A135&lt;&gt;""),"●","")</x:f>
      </x:c>
      <x:c r="Q135" s="165" t="str">
        <x:f>IF(AND(Q$5&gt;=$C135,Q$5&lt;=$D135,$A135&lt;&gt;""),"●","")</x:f>
      </x:c>
      <x:c r="R135" s="165" t="str">
        <x:f>IF(AND(R$5&gt;=$C135,R$5&lt;=$D135,$A135&lt;&gt;""),"●","")</x:f>
      </x:c>
      <x:c r="S135" s="165" t="str">
        <x:f>IF(AND(S$5&gt;=$C135,S$5&lt;=$D135,$A135&lt;&gt;""),"●","")</x:f>
      </x:c>
      <x:c r="T135" s="165" t="str">
        <x:f>IF(AND(T$5&gt;=$C135,T$5&lt;=$D135,$A135&lt;&gt;""),"●","")</x:f>
      </x:c>
      <x:c r="U135" s="165" t="str">
        <x:f>IF(AND(U$5&gt;=$C135,U$5&lt;=$D135,$A135&lt;&gt;""),"●","")</x:f>
      </x:c>
      <x:c r="V135" s="165" t="str">
        <x:f>IF(AND(V$5&gt;=$C135,V$5&lt;=$D135,$A135&lt;&gt;""),"●","")</x:f>
      </x:c>
      <x:c r="W135" s="165" t="str">
        <x:f>IF(AND(W$5&gt;=$C135,W$5&lt;=$D135,$A135&lt;&gt;""),"●","")</x:f>
      </x:c>
      <x:c r="X135" s="165" t="str">
        <x:f>IF(AND(X$5&gt;=$C135,X$5&lt;=$D135,$A135&lt;&gt;""),"●","")</x:f>
      </x:c>
      <x:c r="Y135" s="165" t="str">
        <x:f>IF(AND(Y$5&gt;=$C135,Y$5&lt;=$D135,$A135&lt;&gt;""),"●","")</x:f>
      </x:c>
      <x:c r="Z135" s="165" t="str">
        <x:f>IF(AND(Z$5&gt;=$C135,Z$5&lt;=$D135,$A135&lt;&gt;""),"●","")</x:f>
      </x:c>
      <x:c r="AA135" s="165" t="str">
        <x:f>IF(AND(AA$5&gt;=$C135,AA$5&lt;=$D135,$A135&lt;&gt;""),"●","")</x:f>
      </x:c>
      <x:c r="AB135" s="165" t="str">
        <x:f>IF(AND(AB$5&gt;=$C135,AB$5&lt;=$D135,$A135&lt;&gt;""),"●","")</x:f>
      </x:c>
      <x:c r="AC135" s="165" t="str">
        <x:f>IF(AND(AC$5&gt;=$C135,AC$5&lt;=$D135,$A135&lt;&gt;""),"●","")</x:f>
      </x:c>
      <x:c r="AD135" s="165" t="str">
        <x:f>IF(AND(AD$5&gt;=$C135,AD$5&lt;=$D135,$A135&lt;&gt;""),"●","")</x:f>
      </x:c>
      <x:c r="AE135" s="165" t="str">
        <x:f>IF(AND(AE$5&gt;=$C135,AE$5&lt;=$D135,$A135&lt;&gt;""),"●","")</x:f>
      </x:c>
      <x:c r="AF135" s="165" t="str">
        <x:f>IF(AND(AF$5&gt;=$C135,AF$5&lt;=$D135,$A135&lt;&gt;""),"●","")</x:f>
      </x:c>
      <x:c r="AG135" s="165" t="str">
        <x:f>IF(AND(AG$5&gt;=$C135,AG$5&lt;=$D135,$A135&lt;&gt;""),"●","")</x:f>
      </x:c>
      <x:c r="AH135" s="165" t="str">
        <x:f>IF(AND(AH$5&gt;=$C135,AH$5&lt;=$D135,$A135&lt;&gt;""),"●","")</x:f>
      </x:c>
      <x:c r="AI135" s="165" t="str">
        <x:f>IF(AND(AI$5&gt;=$C135,AI$5&lt;=$D135,$A135&lt;&gt;""),"●","")</x:f>
      </x:c>
      <x:c r="AJ135" s="165" t="str">
        <x:f>IF(AND(AJ$5&gt;=$C135,AJ$5&lt;=$D135,$A135&lt;&gt;""),"●","")</x:f>
      </x:c>
      <x:c r="AK135" s="165" t="str">
        <x:f>IF(AND(AK$5&gt;=$C135,AK$5&lt;=$D135,$A135&lt;&gt;""),"●","")</x:f>
      </x:c>
      <x:c r="AL135" s="165" t="str">
        <x:f>IF(AND(AL$5&gt;=$C135,AL$5&lt;=$D135,$A135&lt;&gt;""),"●","")</x:f>
      </x:c>
      <x:c r="AM135" s="165" t="str">
        <x:f>IF(AND(AM$5&gt;=$C135,AM$5&lt;=$D135,$A135&lt;&gt;""),"●","")</x:f>
      </x:c>
      <x:c r="AN135" s="165" t="str">
        <x:f>IF(AND(AN$5&gt;=$C135,AN$5&lt;=$D135,$A135&lt;&gt;""),"●","")</x:f>
      </x:c>
      <x:c r="AO135" s="165" t="str">
        <x:f>IF(AND(AO$5&gt;=$C135,AO$5&lt;=$D135,$A135&lt;&gt;""),"●","")</x:f>
      </x:c>
      <x:c r="AP135" s="165" t="str">
        <x:f>IF(AND(AP$5&gt;=$C135,AP$5&lt;=$D135,$A135&lt;&gt;""),"●","")</x:f>
      </x:c>
      <x:c r="AQ135" s="165" t="str">
        <x:f>IF(AND(AQ$5&gt;=$C135,AQ$5&lt;=$D135,$A135&lt;&gt;""),"●","")</x:f>
      </x:c>
      <x:c r="AR135" s="165" t="str">
        <x:f>IF(AND(AR$5&gt;=$C135,AR$5&lt;=$D135,$A135&lt;&gt;""),"●","")</x:f>
      </x:c>
      <x:c r="AS135" s="165" t="str">
        <x:f>IF(AND(AS$5&gt;=$C135,AS$5&lt;=$D135,$A135&lt;&gt;""),"●","")</x:f>
      </x:c>
      <x:c r="AT135" s="165" t="str">
        <x:f>IF(AND(AT$5&gt;=$C135,AT$5&lt;=$D135,$A135&lt;&gt;""),"●","")</x:f>
      </x:c>
      <x:c r="AU135" s="165" t="str">
        <x:f>IF(AND(AU$5&gt;=$C135,AU$5&lt;=$D135,$A135&lt;&gt;""),"●","")</x:f>
      </x:c>
      <x:c r="AV135" s="165" t="str">
        <x:f>IF(AND(AV$5&gt;=$C135,AV$5&lt;=$D135,$A135&lt;&gt;""),"●","")</x:f>
      </x:c>
      <x:c r="AW135" s="165" t="str">
        <x:f>IF(AND(AW$5&gt;=$C135,AW$5&lt;=$D135,$A135&lt;&gt;""),"●","")</x:f>
      </x:c>
      <x:c r="AX135" s="165" t="str">
        <x:f>IF(AND(AX$5&gt;=$C135,AX$5&lt;=$D135,$A135&lt;&gt;""),"●","")</x:f>
      </x:c>
      <x:c r="AY135" s="165" t="str">
        <x:f>IF(AND(AY$5&gt;=$C135,AY$5&lt;=$D135,$A135&lt;&gt;""),"●","")</x:f>
      </x:c>
      <x:c r="AZ135" s="165" t="str">
        <x:f>IF(AND(AZ$5&gt;=$C135,AZ$5&lt;=$D135,$A135&lt;&gt;""),"●","")</x:f>
      </x:c>
      <x:c r="BA135" s="165" t="str">
        <x:f>IF(AND(BA$5&gt;=$C135,BA$5&lt;=$D135,$A135&lt;&gt;""),"●","")</x:f>
      </x:c>
      <x:c r="BB135" s="165" t="str">
        <x:f>IF(AND(BB$5&gt;=$C135,BB$5&lt;=$D135,$A135&lt;&gt;""),"●","")</x:f>
      </x:c>
      <x:c r="BC135" s="165" t="str">
        <x:f>IF(AND(BC$5&gt;=$C135,BC$5&lt;=$D135,$A135&lt;&gt;""),"●","")</x:f>
      </x:c>
      <x:c r="BD135" s="165" t="str">
        <x:f>IF(AND(BD$5&gt;=$C135,BD$5&lt;=$D135,$A135&lt;&gt;""),"●","")</x:f>
      </x:c>
      <x:c r="BE135" s="165" t="str">
        <x:f>IF(AND(BE$5&gt;=$C135,BE$5&lt;=$D135,$A135&lt;&gt;""),"●","")</x:f>
      </x:c>
      <x:c r="BF135" s="165" t="str">
        <x:f>IF(AND(BF$5&gt;=$C135,BF$5&lt;=$D135,$A135&lt;&gt;""),"●","")</x:f>
      </x:c>
      <x:c r="BG135" s="165" t="str">
        <x:f>IF(AND(BG$5&gt;=$C135,BG$5&lt;=$D135,$A135&lt;&gt;""),"●","")</x:f>
      </x:c>
      <x:c r="BH135" s="165" t="str">
        <x:f>IF(AND(BH$5&gt;=$C135,BH$5&lt;=$D135,$A135&lt;&gt;""),"●","")</x:f>
      </x:c>
      <x:c r="BI135" s="165" t="str">
        <x:f>IF(AND(BI$5&gt;=$C135,BI$5&lt;=$D135,$A135&lt;&gt;""),"●","")</x:f>
      </x:c>
      <x:c r="BJ135" s="165" t="str">
        <x:f>IF(AND(BJ$5&gt;=$C135,BJ$5&lt;=$D135,$A135&lt;&gt;""),"●","")</x:f>
      </x:c>
      <x:c r="BK135" s="165" t="str">
        <x:f>IF(AND(BK$5&gt;=$C135,BK$5&lt;=$D135,$A135&lt;&gt;""),"●","")</x:f>
      </x:c>
      <x:c r="BL135" s="165" t="str">
        <x:f>IF(AND(BL$5&gt;=$C135,BL$5&lt;=$D135,$A135&lt;&gt;""),"●","")</x:f>
      </x:c>
      <x:c r="BM135" s="165" t="str">
        <x:f>IF(AND(BM$5&gt;=$C135,BM$5&lt;=$D135,$A135&lt;&gt;""),"●","")</x:f>
      </x:c>
      <x:c r="BN135" s="165" t="str">
        <x:f>IF(AND(BN$5&gt;=$C135,BN$5&lt;=$D135,$A135&lt;&gt;""),"●","")</x:f>
      </x:c>
      <x:c r="BO135" s="165" t="str">
        <x:f>IF(AND(BO$5&gt;=$C135,BO$5&lt;=$D135,$A135&lt;&gt;""),"●","")</x:f>
      </x:c>
      <x:c r="BP135" s="165" t="str">
        <x:f>IF(AND(BP$5&gt;=$C135,BP$5&lt;=$D135,$A135&lt;&gt;""),"●","")</x:f>
      </x:c>
      <x:c r="BQ135" s="165" t="str">
        <x:f>IF(AND(BQ$5&gt;=$C135,BQ$5&lt;=$D135,$A135&lt;&gt;""),"●","")</x:f>
      </x:c>
      <x:c r="BR135" s="165" t="str">
        <x:f>IF(AND(BR$5&gt;=$C135,BR$5&lt;=$D135,$A135&lt;&gt;""),"●","")</x:f>
      </x:c>
      <x:c r="BS135" s="165" t="str">
        <x:f>IF(AND(BS$5&gt;=$C135,BS$5&lt;=$D135,$A135&lt;&gt;""),"●","")</x:f>
      </x:c>
      <x:c r="BT135" s="165" t="str">
        <x:f>IF(AND(BT$5&gt;=$C135,BT$5&lt;=$D135,$A135&lt;&gt;""),"●","")</x:f>
      </x:c>
      <x:c r="BU135" s="165" t="str">
        <x:f>IF(AND(BU$5&gt;=$C135,BU$5&lt;=$D135,$A135&lt;&gt;""),"●","")</x:f>
      </x:c>
      <x:c r="BV135" s="165" t="str">
        <x:f>IF(AND(BV$5&gt;=$C135,BV$5&lt;=$D135,$A135&lt;&gt;""),"●","")</x:f>
      </x:c>
      <x:c r="BW135" s="165" t="str">
        <x:f>IF(AND(BW$5&gt;=$C135,BW$5&lt;=$D135,$A135&lt;&gt;""),"●","")</x:f>
      </x:c>
    </x:row>
    <x:row r="136">
      <x:c r="A136" s="159" t="str">
        <x:f>IF('รายการสัญญา'!A136="","",'รายการสัญญา'!A136)</x:f>
      </x:c>
      <x:c r="B136" s="159" t="str">
        <x:f>IF('รายการสัญญา'!A136="","",'รายการสัญญา'!C136)</x:f>
      </x:c>
      <x:c r="C136" s="162" t="str">
        <x:f>IF('รายการสัญญา'!A136="","",'รายการสัญญา'!E136)</x:f>
      </x:c>
      <x:c r="D136" s="162" t="str">
        <x:f>IF('รายการสัญญา'!A136="","",'รายการสัญญา'!G136)</x:f>
      </x:c>
      <x:c r="E136" s="159" t="str">
        <x:f>IF('รายการสัญญา'!A136="","",'รายการสัญญา'!K136)</x:f>
      </x:c>
      <x:c r="F136" s="165" t="str">
        <x:f>IF(AND(F$5&gt;=$C136,F$5&lt;=$D136,$A136&lt;&gt;""),"●","")</x:f>
      </x:c>
      <x:c r="G136" s="165" t="str">
        <x:f>IF(AND(G$5&gt;=$C136,G$5&lt;=$D136,$A136&lt;&gt;""),"●","")</x:f>
      </x:c>
      <x:c r="H136" s="165" t="str">
        <x:f>IF(AND(H$5&gt;=$C136,H$5&lt;=$D136,$A136&lt;&gt;""),"●","")</x:f>
      </x:c>
      <x:c r="I136" s="165" t="str">
        <x:f>IF(AND(I$5&gt;=$C136,I$5&lt;=$D136,$A136&lt;&gt;""),"●","")</x:f>
      </x:c>
      <x:c r="J136" s="165" t="str">
        <x:f>IF(AND(J$5&gt;=$C136,J$5&lt;=$D136,$A136&lt;&gt;""),"●","")</x:f>
      </x:c>
      <x:c r="K136" s="165" t="str">
        <x:f>IF(AND(K$5&gt;=$C136,K$5&lt;=$D136,$A136&lt;&gt;""),"●","")</x:f>
      </x:c>
      <x:c r="L136" s="165" t="str">
        <x:f>IF(AND(L$5&gt;=$C136,L$5&lt;=$D136,$A136&lt;&gt;""),"●","")</x:f>
      </x:c>
      <x:c r="M136" s="165" t="str">
        <x:f>IF(AND(M$5&gt;=$C136,M$5&lt;=$D136,$A136&lt;&gt;""),"●","")</x:f>
      </x:c>
      <x:c r="N136" s="165" t="str">
        <x:f>IF(AND(N$5&gt;=$C136,N$5&lt;=$D136,$A136&lt;&gt;""),"●","")</x:f>
      </x:c>
      <x:c r="O136" s="165" t="str">
        <x:f>IF(AND(O$5&gt;=$C136,O$5&lt;=$D136,$A136&lt;&gt;""),"●","")</x:f>
      </x:c>
      <x:c r="P136" s="165" t="str">
        <x:f>IF(AND(P$5&gt;=$C136,P$5&lt;=$D136,$A136&lt;&gt;""),"●","")</x:f>
      </x:c>
      <x:c r="Q136" s="165" t="str">
        <x:f>IF(AND(Q$5&gt;=$C136,Q$5&lt;=$D136,$A136&lt;&gt;""),"●","")</x:f>
      </x:c>
      <x:c r="R136" s="165" t="str">
        <x:f>IF(AND(R$5&gt;=$C136,R$5&lt;=$D136,$A136&lt;&gt;""),"●","")</x:f>
      </x:c>
      <x:c r="S136" s="165" t="str">
        <x:f>IF(AND(S$5&gt;=$C136,S$5&lt;=$D136,$A136&lt;&gt;""),"●","")</x:f>
      </x:c>
      <x:c r="T136" s="165" t="str">
        <x:f>IF(AND(T$5&gt;=$C136,T$5&lt;=$D136,$A136&lt;&gt;""),"●","")</x:f>
      </x:c>
      <x:c r="U136" s="165" t="str">
        <x:f>IF(AND(U$5&gt;=$C136,U$5&lt;=$D136,$A136&lt;&gt;""),"●","")</x:f>
      </x:c>
      <x:c r="V136" s="165" t="str">
        <x:f>IF(AND(V$5&gt;=$C136,V$5&lt;=$D136,$A136&lt;&gt;""),"●","")</x:f>
      </x:c>
      <x:c r="W136" s="165" t="str">
        <x:f>IF(AND(W$5&gt;=$C136,W$5&lt;=$D136,$A136&lt;&gt;""),"●","")</x:f>
      </x:c>
      <x:c r="X136" s="165" t="str">
        <x:f>IF(AND(X$5&gt;=$C136,X$5&lt;=$D136,$A136&lt;&gt;""),"●","")</x:f>
      </x:c>
      <x:c r="Y136" s="165" t="str">
        <x:f>IF(AND(Y$5&gt;=$C136,Y$5&lt;=$D136,$A136&lt;&gt;""),"●","")</x:f>
      </x:c>
      <x:c r="Z136" s="165" t="str">
        <x:f>IF(AND(Z$5&gt;=$C136,Z$5&lt;=$D136,$A136&lt;&gt;""),"●","")</x:f>
      </x:c>
      <x:c r="AA136" s="165" t="str">
        <x:f>IF(AND(AA$5&gt;=$C136,AA$5&lt;=$D136,$A136&lt;&gt;""),"●","")</x:f>
      </x:c>
      <x:c r="AB136" s="165" t="str">
        <x:f>IF(AND(AB$5&gt;=$C136,AB$5&lt;=$D136,$A136&lt;&gt;""),"●","")</x:f>
      </x:c>
      <x:c r="AC136" s="165" t="str">
        <x:f>IF(AND(AC$5&gt;=$C136,AC$5&lt;=$D136,$A136&lt;&gt;""),"●","")</x:f>
      </x:c>
      <x:c r="AD136" s="165" t="str">
        <x:f>IF(AND(AD$5&gt;=$C136,AD$5&lt;=$D136,$A136&lt;&gt;""),"●","")</x:f>
      </x:c>
      <x:c r="AE136" s="165" t="str">
        <x:f>IF(AND(AE$5&gt;=$C136,AE$5&lt;=$D136,$A136&lt;&gt;""),"●","")</x:f>
      </x:c>
      <x:c r="AF136" s="165" t="str">
        <x:f>IF(AND(AF$5&gt;=$C136,AF$5&lt;=$D136,$A136&lt;&gt;""),"●","")</x:f>
      </x:c>
      <x:c r="AG136" s="165" t="str">
        <x:f>IF(AND(AG$5&gt;=$C136,AG$5&lt;=$D136,$A136&lt;&gt;""),"●","")</x:f>
      </x:c>
      <x:c r="AH136" s="165" t="str">
        <x:f>IF(AND(AH$5&gt;=$C136,AH$5&lt;=$D136,$A136&lt;&gt;""),"●","")</x:f>
      </x:c>
      <x:c r="AI136" s="165" t="str">
        <x:f>IF(AND(AI$5&gt;=$C136,AI$5&lt;=$D136,$A136&lt;&gt;""),"●","")</x:f>
      </x:c>
      <x:c r="AJ136" s="165" t="str">
        <x:f>IF(AND(AJ$5&gt;=$C136,AJ$5&lt;=$D136,$A136&lt;&gt;""),"●","")</x:f>
      </x:c>
      <x:c r="AK136" s="165" t="str">
        <x:f>IF(AND(AK$5&gt;=$C136,AK$5&lt;=$D136,$A136&lt;&gt;""),"●","")</x:f>
      </x:c>
      <x:c r="AL136" s="165" t="str">
        <x:f>IF(AND(AL$5&gt;=$C136,AL$5&lt;=$D136,$A136&lt;&gt;""),"●","")</x:f>
      </x:c>
      <x:c r="AM136" s="165" t="str">
        <x:f>IF(AND(AM$5&gt;=$C136,AM$5&lt;=$D136,$A136&lt;&gt;""),"●","")</x:f>
      </x:c>
      <x:c r="AN136" s="165" t="str">
        <x:f>IF(AND(AN$5&gt;=$C136,AN$5&lt;=$D136,$A136&lt;&gt;""),"●","")</x:f>
      </x:c>
      <x:c r="AO136" s="165" t="str">
        <x:f>IF(AND(AO$5&gt;=$C136,AO$5&lt;=$D136,$A136&lt;&gt;""),"●","")</x:f>
      </x:c>
      <x:c r="AP136" s="165" t="str">
        <x:f>IF(AND(AP$5&gt;=$C136,AP$5&lt;=$D136,$A136&lt;&gt;""),"●","")</x:f>
      </x:c>
      <x:c r="AQ136" s="165" t="str">
        <x:f>IF(AND(AQ$5&gt;=$C136,AQ$5&lt;=$D136,$A136&lt;&gt;""),"●","")</x:f>
      </x:c>
      <x:c r="AR136" s="165" t="str">
        <x:f>IF(AND(AR$5&gt;=$C136,AR$5&lt;=$D136,$A136&lt;&gt;""),"●","")</x:f>
      </x:c>
      <x:c r="AS136" s="165" t="str">
        <x:f>IF(AND(AS$5&gt;=$C136,AS$5&lt;=$D136,$A136&lt;&gt;""),"●","")</x:f>
      </x:c>
      <x:c r="AT136" s="165" t="str">
        <x:f>IF(AND(AT$5&gt;=$C136,AT$5&lt;=$D136,$A136&lt;&gt;""),"●","")</x:f>
      </x:c>
      <x:c r="AU136" s="165" t="str">
        <x:f>IF(AND(AU$5&gt;=$C136,AU$5&lt;=$D136,$A136&lt;&gt;""),"●","")</x:f>
      </x:c>
      <x:c r="AV136" s="165" t="str">
        <x:f>IF(AND(AV$5&gt;=$C136,AV$5&lt;=$D136,$A136&lt;&gt;""),"●","")</x:f>
      </x:c>
      <x:c r="AW136" s="165" t="str">
        <x:f>IF(AND(AW$5&gt;=$C136,AW$5&lt;=$D136,$A136&lt;&gt;""),"●","")</x:f>
      </x:c>
      <x:c r="AX136" s="165" t="str">
        <x:f>IF(AND(AX$5&gt;=$C136,AX$5&lt;=$D136,$A136&lt;&gt;""),"●","")</x:f>
      </x:c>
      <x:c r="AY136" s="165" t="str">
        <x:f>IF(AND(AY$5&gt;=$C136,AY$5&lt;=$D136,$A136&lt;&gt;""),"●","")</x:f>
      </x:c>
      <x:c r="AZ136" s="165" t="str">
        <x:f>IF(AND(AZ$5&gt;=$C136,AZ$5&lt;=$D136,$A136&lt;&gt;""),"●","")</x:f>
      </x:c>
      <x:c r="BA136" s="165" t="str">
        <x:f>IF(AND(BA$5&gt;=$C136,BA$5&lt;=$D136,$A136&lt;&gt;""),"●","")</x:f>
      </x:c>
      <x:c r="BB136" s="165" t="str">
        <x:f>IF(AND(BB$5&gt;=$C136,BB$5&lt;=$D136,$A136&lt;&gt;""),"●","")</x:f>
      </x:c>
      <x:c r="BC136" s="165" t="str">
        <x:f>IF(AND(BC$5&gt;=$C136,BC$5&lt;=$D136,$A136&lt;&gt;""),"●","")</x:f>
      </x:c>
      <x:c r="BD136" s="165" t="str">
        <x:f>IF(AND(BD$5&gt;=$C136,BD$5&lt;=$D136,$A136&lt;&gt;""),"●","")</x:f>
      </x:c>
      <x:c r="BE136" s="165" t="str">
        <x:f>IF(AND(BE$5&gt;=$C136,BE$5&lt;=$D136,$A136&lt;&gt;""),"●","")</x:f>
      </x:c>
      <x:c r="BF136" s="165" t="str">
        <x:f>IF(AND(BF$5&gt;=$C136,BF$5&lt;=$D136,$A136&lt;&gt;""),"●","")</x:f>
      </x:c>
      <x:c r="BG136" s="165" t="str">
        <x:f>IF(AND(BG$5&gt;=$C136,BG$5&lt;=$D136,$A136&lt;&gt;""),"●","")</x:f>
      </x:c>
      <x:c r="BH136" s="165" t="str">
        <x:f>IF(AND(BH$5&gt;=$C136,BH$5&lt;=$D136,$A136&lt;&gt;""),"●","")</x:f>
      </x:c>
      <x:c r="BI136" s="165" t="str">
        <x:f>IF(AND(BI$5&gt;=$C136,BI$5&lt;=$D136,$A136&lt;&gt;""),"●","")</x:f>
      </x:c>
      <x:c r="BJ136" s="165" t="str">
        <x:f>IF(AND(BJ$5&gt;=$C136,BJ$5&lt;=$D136,$A136&lt;&gt;""),"●","")</x:f>
      </x:c>
      <x:c r="BK136" s="165" t="str">
        <x:f>IF(AND(BK$5&gt;=$C136,BK$5&lt;=$D136,$A136&lt;&gt;""),"●","")</x:f>
      </x:c>
      <x:c r="BL136" s="165" t="str">
        <x:f>IF(AND(BL$5&gt;=$C136,BL$5&lt;=$D136,$A136&lt;&gt;""),"●","")</x:f>
      </x:c>
      <x:c r="BM136" s="165" t="str">
        <x:f>IF(AND(BM$5&gt;=$C136,BM$5&lt;=$D136,$A136&lt;&gt;""),"●","")</x:f>
      </x:c>
      <x:c r="BN136" s="165" t="str">
        <x:f>IF(AND(BN$5&gt;=$C136,BN$5&lt;=$D136,$A136&lt;&gt;""),"●","")</x:f>
      </x:c>
      <x:c r="BO136" s="165" t="str">
        <x:f>IF(AND(BO$5&gt;=$C136,BO$5&lt;=$D136,$A136&lt;&gt;""),"●","")</x:f>
      </x:c>
      <x:c r="BP136" s="165" t="str">
        <x:f>IF(AND(BP$5&gt;=$C136,BP$5&lt;=$D136,$A136&lt;&gt;""),"●","")</x:f>
      </x:c>
      <x:c r="BQ136" s="165" t="str">
        <x:f>IF(AND(BQ$5&gt;=$C136,BQ$5&lt;=$D136,$A136&lt;&gt;""),"●","")</x:f>
      </x:c>
      <x:c r="BR136" s="165" t="str">
        <x:f>IF(AND(BR$5&gt;=$C136,BR$5&lt;=$D136,$A136&lt;&gt;""),"●","")</x:f>
      </x:c>
      <x:c r="BS136" s="165" t="str">
        <x:f>IF(AND(BS$5&gt;=$C136,BS$5&lt;=$D136,$A136&lt;&gt;""),"●","")</x:f>
      </x:c>
      <x:c r="BT136" s="165" t="str">
        <x:f>IF(AND(BT$5&gt;=$C136,BT$5&lt;=$D136,$A136&lt;&gt;""),"●","")</x:f>
      </x:c>
      <x:c r="BU136" s="165" t="str">
        <x:f>IF(AND(BU$5&gt;=$C136,BU$5&lt;=$D136,$A136&lt;&gt;""),"●","")</x:f>
      </x:c>
      <x:c r="BV136" s="165" t="str">
        <x:f>IF(AND(BV$5&gt;=$C136,BV$5&lt;=$D136,$A136&lt;&gt;""),"●","")</x:f>
      </x:c>
      <x:c r="BW136" s="165" t="str">
        <x:f>IF(AND(BW$5&gt;=$C136,BW$5&lt;=$D136,$A136&lt;&gt;""),"●","")</x:f>
      </x:c>
    </x:row>
    <x:row r="137">
      <x:c r="A137" s="159" t="str">
        <x:f>IF('รายการสัญญา'!A137="","",'รายการสัญญา'!A137)</x:f>
      </x:c>
      <x:c r="B137" s="159" t="str">
        <x:f>IF('รายการสัญญา'!A137="","",'รายการสัญญา'!C137)</x:f>
      </x:c>
      <x:c r="C137" s="162" t="str">
        <x:f>IF('รายการสัญญา'!A137="","",'รายการสัญญา'!E137)</x:f>
      </x:c>
      <x:c r="D137" s="162" t="str">
        <x:f>IF('รายการสัญญา'!A137="","",'รายการสัญญา'!G137)</x:f>
      </x:c>
      <x:c r="E137" s="159" t="str">
        <x:f>IF('รายการสัญญา'!A137="","",'รายการสัญญา'!K137)</x:f>
      </x:c>
      <x:c r="F137" s="165" t="str">
        <x:f>IF(AND(F$5&gt;=$C137,F$5&lt;=$D137,$A137&lt;&gt;""),"●","")</x:f>
      </x:c>
      <x:c r="G137" s="165" t="str">
        <x:f>IF(AND(G$5&gt;=$C137,G$5&lt;=$D137,$A137&lt;&gt;""),"●","")</x:f>
      </x:c>
      <x:c r="H137" s="165" t="str">
        <x:f>IF(AND(H$5&gt;=$C137,H$5&lt;=$D137,$A137&lt;&gt;""),"●","")</x:f>
      </x:c>
      <x:c r="I137" s="165" t="str">
        <x:f>IF(AND(I$5&gt;=$C137,I$5&lt;=$D137,$A137&lt;&gt;""),"●","")</x:f>
      </x:c>
      <x:c r="J137" s="165" t="str">
        <x:f>IF(AND(J$5&gt;=$C137,J$5&lt;=$D137,$A137&lt;&gt;""),"●","")</x:f>
      </x:c>
      <x:c r="K137" s="165" t="str">
        <x:f>IF(AND(K$5&gt;=$C137,K$5&lt;=$D137,$A137&lt;&gt;""),"●","")</x:f>
      </x:c>
      <x:c r="L137" s="165" t="str">
        <x:f>IF(AND(L$5&gt;=$C137,L$5&lt;=$D137,$A137&lt;&gt;""),"●","")</x:f>
      </x:c>
      <x:c r="M137" s="165" t="str">
        <x:f>IF(AND(M$5&gt;=$C137,M$5&lt;=$D137,$A137&lt;&gt;""),"●","")</x:f>
      </x:c>
      <x:c r="N137" s="165" t="str">
        <x:f>IF(AND(N$5&gt;=$C137,N$5&lt;=$D137,$A137&lt;&gt;""),"●","")</x:f>
      </x:c>
      <x:c r="O137" s="165" t="str">
        <x:f>IF(AND(O$5&gt;=$C137,O$5&lt;=$D137,$A137&lt;&gt;""),"●","")</x:f>
      </x:c>
      <x:c r="P137" s="165" t="str">
        <x:f>IF(AND(P$5&gt;=$C137,P$5&lt;=$D137,$A137&lt;&gt;""),"●","")</x:f>
      </x:c>
      <x:c r="Q137" s="165" t="str">
        <x:f>IF(AND(Q$5&gt;=$C137,Q$5&lt;=$D137,$A137&lt;&gt;""),"●","")</x:f>
      </x:c>
      <x:c r="R137" s="165" t="str">
        <x:f>IF(AND(R$5&gt;=$C137,R$5&lt;=$D137,$A137&lt;&gt;""),"●","")</x:f>
      </x:c>
      <x:c r="S137" s="165" t="str">
        <x:f>IF(AND(S$5&gt;=$C137,S$5&lt;=$D137,$A137&lt;&gt;""),"●","")</x:f>
      </x:c>
      <x:c r="T137" s="165" t="str">
        <x:f>IF(AND(T$5&gt;=$C137,T$5&lt;=$D137,$A137&lt;&gt;""),"●","")</x:f>
      </x:c>
      <x:c r="U137" s="165" t="str">
        <x:f>IF(AND(U$5&gt;=$C137,U$5&lt;=$D137,$A137&lt;&gt;""),"●","")</x:f>
      </x:c>
      <x:c r="V137" s="165" t="str">
        <x:f>IF(AND(V$5&gt;=$C137,V$5&lt;=$D137,$A137&lt;&gt;""),"●","")</x:f>
      </x:c>
      <x:c r="W137" s="165" t="str">
        <x:f>IF(AND(W$5&gt;=$C137,W$5&lt;=$D137,$A137&lt;&gt;""),"●","")</x:f>
      </x:c>
      <x:c r="X137" s="165" t="str">
        <x:f>IF(AND(X$5&gt;=$C137,X$5&lt;=$D137,$A137&lt;&gt;""),"●","")</x:f>
      </x:c>
      <x:c r="Y137" s="165" t="str">
        <x:f>IF(AND(Y$5&gt;=$C137,Y$5&lt;=$D137,$A137&lt;&gt;""),"●","")</x:f>
      </x:c>
      <x:c r="Z137" s="165" t="str">
        <x:f>IF(AND(Z$5&gt;=$C137,Z$5&lt;=$D137,$A137&lt;&gt;""),"●","")</x:f>
      </x:c>
      <x:c r="AA137" s="165" t="str">
        <x:f>IF(AND(AA$5&gt;=$C137,AA$5&lt;=$D137,$A137&lt;&gt;""),"●","")</x:f>
      </x:c>
      <x:c r="AB137" s="165" t="str">
        <x:f>IF(AND(AB$5&gt;=$C137,AB$5&lt;=$D137,$A137&lt;&gt;""),"●","")</x:f>
      </x:c>
      <x:c r="AC137" s="165" t="str">
        <x:f>IF(AND(AC$5&gt;=$C137,AC$5&lt;=$D137,$A137&lt;&gt;""),"●","")</x:f>
      </x:c>
      <x:c r="AD137" s="165" t="str">
        <x:f>IF(AND(AD$5&gt;=$C137,AD$5&lt;=$D137,$A137&lt;&gt;""),"●","")</x:f>
      </x:c>
      <x:c r="AE137" s="165" t="str">
        <x:f>IF(AND(AE$5&gt;=$C137,AE$5&lt;=$D137,$A137&lt;&gt;""),"●","")</x:f>
      </x:c>
      <x:c r="AF137" s="165" t="str">
        <x:f>IF(AND(AF$5&gt;=$C137,AF$5&lt;=$D137,$A137&lt;&gt;""),"●","")</x:f>
      </x:c>
      <x:c r="AG137" s="165" t="str">
        <x:f>IF(AND(AG$5&gt;=$C137,AG$5&lt;=$D137,$A137&lt;&gt;""),"●","")</x:f>
      </x:c>
      <x:c r="AH137" s="165" t="str">
        <x:f>IF(AND(AH$5&gt;=$C137,AH$5&lt;=$D137,$A137&lt;&gt;""),"●","")</x:f>
      </x:c>
      <x:c r="AI137" s="165" t="str">
        <x:f>IF(AND(AI$5&gt;=$C137,AI$5&lt;=$D137,$A137&lt;&gt;""),"●","")</x:f>
      </x:c>
      <x:c r="AJ137" s="165" t="str">
        <x:f>IF(AND(AJ$5&gt;=$C137,AJ$5&lt;=$D137,$A137&lt;&gt;""),"●","")</x:f>
      </x:c>
      <x:c r="AK137" s="165" t="str">
        <x:f>IF(AND(AK$5&gt;=$C137,AK$5&lt;=$D137,$A137&lt;&gt;""),"●","")</x:f>
      </x:c>
      <x:c r="AL137" s="165" t="str">
        <x:f>IF(AND(AL$5&gt;=$C137,AL$5&lt;=$D137,$A137&lt;&gt;""),"●","")</x:f>
      </x:c>
      <x:c r="AM137" s="165" t="str">
        <x:f>IF(AND(AM$5&gt;=$C137,AM$5&lt;=$D137,$A137&lt;&gt;""),"●","")</x:f>
      </x:c>
      <x:c r="AN137" s="165" t="str">
        <x:f>IF(AND(AN$5&gt;=$C137,AN$5&lt;=$D137,$A137&lt;&gt;""),"●","")</x:f>
      </x:c>
      <x:c r="AO137" s="165" t="str">
        <x:f>IF(AND(AO$5&gt;=$C137,AO$5&lt;=$D137,$A137&lt;&gt;""),"●","")</x:f>
      </x:c>
      <x:c r="AP137" s="165" t="str">
        <x:f>IF(AND(AP$5&gt;=$C137,AP$5&lt;=$D137,$A137&lt;&gt;""),"●","")</x:f>
      </x:c>
      <x:c r="AQ137" s="165" t="str">
        <x:f>IF(AND(AQ$5&gt;=$C137,AQ$5&lt;=$D137,$A137&lt;&gt;""),"●","")</x:f>
      </x:c>
      <x:c r="AR137" s="165" t="str">
        <x:f>IF(AND(AR$5&gt;=$C137,AR$5&lt;=$D137,$A137&lt;&gt;""),"●","")</x:f>
      </x:c>
      <x:c r="AS137" s="165" t="str">
        <x:f>IF(AND(AS$5&gt;=$C137,AS$5&lt;=$D137,$A137&lt;&gt;""),"●","")</x:f>
      </x:c>
      <x:c r="AT137" s="165" t="str">
        <x:f>IF(AND(AT$5&gt;=$C137,AT$5&lt;=$D137,$A137&lt;&gt;""),"●","")</x:f>
      </x:c>
      <x:c r="AU137" s="165" t="str">
        <x:f>IF(AND(AU$5&gt;=$C137,AU$5&lt;=$D137,$A137&lt;&gt;""),"●","")</x:f>
      </x:c>
      <x:c r="AV137" s="165" t="str">
        <x:f>IF(AND(AV$5&gt;=$C137,AV$5&lt;=$D137,$A137&lt;&gt;""),"●","")</x:f>
      </x:c>
      <x:c r="AW137" s="165" t="str">
        <x:f>IF(AND(AW$5&gt;=$C137,AW$5&lt;=$D137,$A137&lt;&gt;""),"●","")</x:f>
      </x:c>
      <x:c r="AX137" s="165" t="str">
        <x:f>IF(AND(AX$5&gt;=$C137,AX$5&lt;=$D137,$A137&lt;&gt;""),"●","")</x:f>
      </x:c>
      <x:c r="AY137" s="165" t="str">
        <x:f>IF(AND(AY$5&gt;=$C137,AY$5&lt;=$D137,$A137&lt;&gt;""),"●","")</x:f>
      </x:c>
      <x:c r="AZ137" s="165" t="str">
        <x:f>IF(AND(AZ$5&gt;=$C137,AZ$5&lt;=$D137,$A137&lt;&gt;""),"●","")</x:f>
      </x:c>
      <x:c r="BA137" s="165" t="str">
        <x:f>IF(AND(BA$5&gt;=$C137,BA$5&lt;=$D137,$A137&lt;&gt;""),"●","")</x:f>
      </x:c>
      <x:c r="BB137" s="165" t="str">
        <x:f>IF(AND(BB$5&gt;=$C137,BB$5&lt;=$D137,$A137&lt;&gt;""),"●","")</x:f>
      </x:c>
      <x:c r="BC137" s="165" t="str">
        <x:f>IF(AND(BC$5&gt;=$C137,BC$5&lt;=$D137,$A137&lt;&gt;""),"●","")</x:f>
      </x:c>
      <x:c r="BD137" s="165" t="str">
        <x:f>IF(AND(BD$5&gt;=$C137,BD$5&lt;=$D137,$A137&lt;&gt;""),"●","")</x:f>
      </x:c>
      <x:c r="BE137" s="165" t="str">
        <x:f>IF(AND(BE$5&gt;=$C137,BE$5&lt;=$D137,$A137&lt;&gt;""),"●","")</x:f>
      </x:c>
      <x:c r="BF137" s="165" t="str">
        <x:f>IF(AND(BF$5&gt;=$C137,BF$5&lt;=$D137,$A137&lt;&gt;""),"●","")</x:f>
      </x:c>
      <x:c r="BG137" s="165" t="str">
        <x:f>IF(AND(BG$5&gt;=$C137,BG$5&lt;=$D137,$A137&lt;&gt;""),"●","")</x:f>
      </x:c>
      <x:c r="BH137" s="165" t="str">
        <x:f>IF(AND(BH$5&gt;=$C137,BH$5&lt;=$D137,$A137&lt;&gt;""),"●","")</x:f>
      </x:c>
      <x:c r="BI137" s="165" t="str">
        <x:f>IF(AND(BI$5&gt;=$C137,BI$5&lt;=$D137,$A137&lt;&gt;""),"●","")</x:f>
      </x:c>
      <x:c r="BJ137" s="165" t="str">
        <x:f>IF(AND(BJ$5&gt;=$C137,BJ$5&lt;=$D137,$A137&lt;&gt;""),"●","")</x:f>
      </x:c>
      <x:c r="BK137" s="165" t="str">
        <x:f>IF(AND(BK$5&gt;=$C137,BK$5&lt;=$D137,$A137&lt;&gt;""),"●","")</x:f>
      </x:c>
      <x:c r="BL137" s="165" t="str">
        <x:f>IF(AND(BL$5&gt;=$C137,BL$5&lt;=$D137,$A137&lt;&gt;""),"●","")</x:f>
      </x:c>
      <x:c r="BM137" s="165" t="str">
        <x:f>IF(AND(BM$5&gt;=$C137,BM$5&lt;=$D137,$A137&lt;&gt;""),"●","")</x:f>
      </x:c>
      <x:c r="BN137" s="165" t="str">
        <x:f>IF(AND(BN$5&gt;=$C137,BN$5&lt;=$D137,$A137&lt;&gt;""),"●","")</x:f>
      </x:c>
      <x:c r="BO137" s="165" t="str">
        <x:f>IF(AND(BO$5&gt;=$C137,BO$5&lt;=$D137,$A137&lt;&gt;""),"●","")</x:f>
      </x:c>
      <x:c r="BP137" s="165" t="str">
        <x:f>IF(AND(BP$5&gt;=$C137,BP$5&lt;=$D137,$A137&lt;&gt;""),"●","")</x:f>
      </x:c>
      <x:c r="BQ137" s="165" t="str">
        <x:f>IF(AND(BQ$5&gt;=$C137,BQ$5&lt;=$D137,$A137&lt;&gt;""),"●","")</x:f>
      </x:c>
      <x:c r="BR137" s="165" t="str">
        <x:f>IF(AND(BR$5&gt;=$C137,BR$5&lt;=$D137,$A137&lt;&gt;""),"●","")</x:f>
      </x:c>
      <x:c r="BS137" s="165" t="str">
        <x:f>IF(AND(BS$5&gt;=$C137,BS$5&lt;=$D137,$A137&lt;&gt;""),"●","")</x:f>
      </x:c>
      <x:c r="BT137" s="165" t="str">
        <x:f>IF(AND(BT$5&gt;=$C137,BT$5&lt;=$D137,$A137&lt;&gt;""),"●","")</x:f>
      </x:c>
      <x:c r="BU137" s="165" t="str">
        <x:f>IF(AND(BU$5&gt;=$C137,BU$5&lt;=$D137,$A137&lt;&gt;""),"●","")</x:f>
      </x:c>
      <x:c r="BV137" s="165" t="str">
        <x:f>IF(AND(BV$5&gt;=$C137,BV$5&lt;=$D137,$A137&lt;&gt;""),"●","")</x:f>
      </x:c>
      <x:c r="BW137" s="165" t="str">
        <x:f>IF(AND(BW$5&gt;=$C137,BW$5&lt;=$D137,$A137&lt;&gt;""),"●","")</x:f>
      </x:c>
    </x:row>
    <x:row r="138">
      <x:c r="A138" s="159" t="str">
        <x:f>IF('รายการสัญญา'!A138="","",'รายการสัญญา'!A138)</x:f>
      </x:c>
      <x:c r="B138" s="159" t="str">
        <x:f>IF('รายการสัญญา'!A138="","",'รายการสัญญา'!C138)</x:f>
      </x:c>
      <x:c r="C138" s="162" t="str">
        <x:f>IF('รายการสัญญา'!A138="","",'รายการสัญญา'!E138)</x:f>
      </x:c>
      <x:c r="D138" s="162" t="str">
        <x:f>IF('รายการสัญญา'!A138="","",'รายการสัญญา'!G138)</x:f>
      </x:c>
      <x:c r="E138" s="159" t="str">
        <x:f>IF('รายการสัญญา'!A138="","",'รายการสัญญา'!K138)</x:f>
      </x:c>
      <x:c r="F138" s="165" t="str">
        <x:f>IF(AND(F$5&gt;=$C138,F$5&lt;=$D138,$A138&lt;&gt;""),"●","")</x:f>
      </x:c>
      <x:c r="G138" s="165" t="str">
        <x:f>IF(AND(G$5&gt;=$C138,G$5&lt;=$D138,$A138&lt;&gt;""),"●","")</x:f>
      </x:c>
      <x:c r="H138" s="165" t="str">
        <x:f>IF(AND(H$5&gt;=$C138,H$5&lt;=$D138,$A138&lt;&gt;""),"●","")</x:f>
      </x:c>
      <x:c r="I138" s="165" t="str">
        <x:f>IF(AND(I$5&gt;=$C138,I$5&lt;=$D138,$A138&lt;&gt;""),"●","")</x:f>
      </x:c>
      <x:c r="J138" s="165" t="str">
        <x:f>IF(AND(J$5&gt;=$C138,J$5&lt;=$D138,$A138&lt;&gt;""),"●","")</x:f>
      </x:c>
      <x:c r="K138" s="165" t="str">
        <x:f>IF(AND(K$5&gt;=$C138,K$5&lt;=$D138,$A138&lt;&gt;""),"●","")</x:f>
      </x:c>
      <x:c r="L138" s="165" t="str">
        <x:f>IF(AND(L$5&gt;=$C138,L$5&lt;=$D138,$A138&lt;&gt;""),"●","")</x:f>
      </x:c>
      <x:c r="M138" s="165" t="str">
        <x:f>IF(AND(M$5&gt;=$C138,M$5&lt;=$D138,$A138&lt;&gt;""),"●","")</x:f>
      </x:c>
      <x:c r="N138" s="165" t="str">
        <x:f>IF(AND(N$5&gt;=$C138,N$5&lt;=$D138,$A138&lt;&gt;""),"●","")</x:f>
      </x:c>
      <x:c r="O138" s="165" t="str">
        <x:f>IF(AND(O$5&gt;=$C138,O$5&lt;=$D138,$A138&lt;&gt;""),"●","")</x:f>
      </x:c>
      <x:c r="P138" s="165" t="str">
        <x:f>IF(AND(P$5&gt;=$C138,P$5&lt;=$D138,$A138&lt;&gt;""),"●","")</x:f>
      </x:c>
      <x:c r="Q138" s="165" t="str">
        <x:f>IF(AND(Q$5&gt;=$C138,Q$5&lt;=$D138,$A138&lt;&gt;""),"●","")</x:f>
      </x:c>
      <x:c r="R138" s="165" t="str">
        <x:f>IF(AND(R$5&gt;=$C138,R$5&lt;=$D138,$A138&lt;&gt;""),"●","")</x:f>
      </x:c>
      <x:c r="S138" s="165" t="str">
        <x:f>IF(AND(S$5&gt;=$C138,S$5&lt;=$D138,$A138&lt;&gt;""),"●","")</x:f>
      </x:c>
      <x:c r="T138" s="165" t="str">
        <x:f>IF(AND(T$5&gt;=$C138,T$5&lt;=$D138,$A138&lt;&gt;""),"●","")</x:f>
      </x:c>
      <x:c r="U138" s="165" t="str">
        <x:f>IF(AND(U$5&gt;=$C138,U$5&lt;=$D138,$A138&lt;&gt;""),"●","")</x:f>
      </x:c>
      <x:c r="V138" s="165" t="str">
        <x:f>IF(AND(V$5&gt;=$C138,V$5&lt;=$D138,$A138&lt;&gt;""),"●","")</x:f>
      </x:c>
      <x:c r="W138" s="165" t="str">
        <x:f>IF(AND(W$5&gt;=$C138,W$5&lt;=$D138,$A138&lt;&gt;""),"●","")</x:f>
      </x:c>
      <x:c r="X138" s="165" t="str">
        <x:f>IF(AND(X$5&gt;=$C138,X$5&lt;=$D138,$A138&lt;&gt;""),"●","")</x:f>
      </x:c>
      <x:c r="Y138" s="165" t="str">
        <x:f>IF(AND(Y$5&gt;=$C138,Y$5&lt;=$D138,$A138&lt;&gt;""),"●","")</x:f>
      </x:c>
      <x:c r="Z138" s="165" t="str">
        <x:f>IF(AND(Z$5&gt;=$C138,Z$5&lt;=$D138,$A138&lt;&gt;""),"●","")</x:f>
      </x:c>
      <x:c r="AA138" s="165" t="str">
        <x:f>IF(AND(AA$5&gt;=$C138,AA$5&lt;=$D138,$A138&lt;&gt;""),"●","")</x:f>
      </x:c>
      <x:c r="AB138" s="165" t="str">
        <x:f>IF(AND(AB$5&gt;=$C138,AB$5&lt;=$D138,$A138&lt;&gt;""),"●","")</x:f>
      </x:c>
      <x:c r="AC138" s="165" t="str">
        <x:f>IF(AND(AC$5&gt;=$C138,AC$5&lt;=$D138,$A138&lt;&gt;""),"●","")</x:f>
      </x:c>
      <x:c r="AD138" s="165" t="str">
        <x:f>IF(AND(AD$5&gt;=$C138,AD$5&lt;=$D138,$A138&lt;&gt;""),"●","")</x:f>
      </x:c>
      <x:c r="AE138" s="165" t="str">
        <x:f>IF(AND(AE$5&gt;=$C138,AE$5&lt;=$D138,$A138&lt;&gt;""),"●","")</x:f>
      </x:c>
      <x:c r="AF138" s="165" t="str">
        <x:f>IF(AND(AF$5&gt;=$C138,AF$5&lt;=$D138,$A138&lt;&gt;""),"●","")</x:f>
      </x:c>
      <x:c r="AG138" s="165" t="str">
        <x:f>IF(AND(AG$5&gt;=$C138,AG$5&lt;=$D138,$A138&lt;&gt;""),"●","")</x:f>
      </x:c>
      <x:c r="AH138" s="165" t="str">
        <x:f>IF(AND(AH$5&gt;=$C138,AH$5&lt;=$D138,$A138&lt;&gt;""),"●","")</x:f>
      </x:c>
      <x:c r="AI138" s="165" t="str">
        <x:f>IF(AND(AI$5&gt;=$C138,AI$5&lt;=$D138,$A138&lt;&gt;""),"●","")</x:f>
      </x:c>
      <x:c r="AJ138" s="165" t="str">
        <x:f>IF(AND(AJ$5&gt;=$C138,AJ$5&lt;=$D138,$A138&lt;&gt;""),"●","")</x:f>
      </x:c>
      <x:c r="AK138" s="165" t="str">
        <x:f>IF(AND(AK$5&gt;=$C138,AK$5&lt;=$D138,$A138&lt;&gt;""),"●","")</x:f>
      </x:c>
      <x:c r="AL138" s="165" t="str">
        <x:f>IF(AND(AL$5&gt;=$C138,AL$5&lt;=$D138,$A138&lt;&gt;""),"●","")</x:f>
      </x:c>
      <x:c r="AM138" s="165" t="str">
        <x:f>IF(AND(AM$5&gt;=$C138,AM$5&lt;=$D138,$A138&lt;&gt;""),"●","")</x:f>
      </x:c>
      <x:c r="AN138" s="165" t="str">
        <x:f>IF(AND(AN$5&gt;=$C138,AN$5&lt;=$D138,$A138&lt;&gt;""),"●","")</x:f>
      </x:c>
      <x:c r="AO138" s="165" t="str">
        <x:f>IF(AND(AO$5&gt;=$C138,AO$5&lt;=$D138,$A138&lt;&gt;""),"●","")</x:f>
      </x:c>
      <x:c r="AP138" s="165" t="str">
        <x:f>IF(AND(AP$5&gt;=$C138,AP$5&lt;=$D138,$A138&lt;&gt;""),"●","")</x:f>
      </x:c>
      <x:c r="AQ138" s="165" t="str">
        <x:f>IF(AND(AQ$5&gt;=$C138,AQ$5&lt;=$D138,$A138&lt;&gt;""),"●","")</x:f>
      </x:c>
      <x:c r="AR138" s="165" t="str">
        <x:f>IF(AND(AR$5&gt;=$C138,AR$5&lt;=$D138,$A138&lt;&gt;""),"●","")</x:f>
      </x:c>
      <x:c r="AS138" s="165" t="str">
        <x:f>IF(AND(AS$5&gt;=$C138,AS$5&lt;=$D138,$A138&lt;&gt;""),"●","")</x:f>
      </x:c>
      <x:c r="AT138" s="165" t="str">
        <x:f>IF(AND(AT$5&gt;=$C138,AT$5&lt;=$D138,$A138&lt;&gt;""),"●","")</x:f>
      </x:c>
      <x:c r="AU138" s="165" t="str">
        <x:f>IF(AND(AU$5&gt;=$C138,AU$5&lt;=$D138,$A138&lt;&gt;""),"●","")</x:f>
      </x:c>
      <x:c r="AV138" s="165" t="str">
        <x:f>IF(AND(AV$5&gt;=$C138,AV$5&lt;=$D138,$A138&lt;&gt;""),"●","")</x:f>
      </x:c>
      <x:c r="AW138" s="165" t="str">
        <x:f>IF(AND(AW$5&gt;=$C138,AW$5&lt;=$D138,$A138&lt;&gt;""),"●","")</x:f>
      </x:c>
      <x:c r="AX138" s="165" t="str">
        <x:f>IF(AND(AX$5&gt;=$C138,AX$5&lt;=$D138,$A138&lt;&gt;""),"●","")</x:f>
      </x:c>
      <x:c r="AY138" s="165" t="str">
        <x:f>IF(AND(AY$5&gt;=$C138,AY$5&lt;=$D138,$A138&lt;&gt;""),"●","")</x:f>
      </x:c>
      <x:c r="AZ138" s="165" t="str">
        <x:f>IF(AND(AZ$5&gt;=$C138,AZ$5&lt;=$D138,$A138&lt;&gt;""),"●","")</x:f>
      </x:c>
      <x:c r="BA138" s="165" t="str">
        <x:f>IF(AND(BA$5&gt;=$C138,BA$5&lt;=$D138,$A138&lt;&gt;""),"●","")</x:f>
      </x:c>
      <x:c r="BB138" s="165" t="str">
        <x:f>IF(AND(BB$5&gt;=$C138,BB$5&lt;=$D138,$A138&lt;&gt;""),"●","")</x:f>
      </x:c>
      <x:c r="BC138" s="165" t="str">
        <x:f>IF(AND(BC$5&gt;=$C138,BC$5&lt;=$D138,$A138&lt;&gt;""),"●","")</x:f>
      </x:c>
      <x:c r="BD138" s="165" t="str">
        <x:f>IF(AND(BD$5&gt;=$C138,BD$5&lt;=$D138,$A138&lt;&gt;""),"●","")</x:f>
      </x:c>
      <x:c r="BE138" s="165" t="str">
        <x:f>IF(AND(BE$5&gt;=$C138,BE$5&lt;=$D138,$A138&lt;&gt;""),"●","")</x:f>
      </x:c>
      <x:c r="BF138" s="165" t="str">
        <x:f>IF(AND(BF$5&gt;=$C138,BF$5&lt;=$D138,$A138&lt;&gt;""),"●","")</x:f>
      </x:c>
      <x:c r="BG138" s="165" t="str">
        <x:f>IF(AND(BG$5&gt;=$C138,BG$5&lt;=$D138,$A138&lt;&gt;""),"●","")</x:f>
      </x:c>
      <x:c r="BH138" s="165" t="str">
        <x:f>IF(AND(BH$5&gt;=$C138,BH$5&lt;=$D138,$A138&lt;&gt;""),"●","")</x:f>
      </x:c>
      <x:c r="BI138" s="165" t="str">
        <x:f>IF(AND(BI$5&gt;=$C138,BI$5&lt;=$D138,$A138&lt;&gt;""),"●","")</x:f>
      </x:c>
      <x:c r="BJ138" s="165" t="str">
        <x:f>IF(AND(BJ$5&gt;=$C138,BJ$5&lt;=$D138,$A138&lt;&gt;""),"●","")</x:f>
      </x:c>
      <x:c r="BK138" s="165" t="str">
        <x:f>IF(AND(BK$5&gt;=$C138,BK$5&lt;=$D138,$A138&lt;&gt;""),"●","")</x:f>
      </x:c>
      <x:c r="BL138" s="165" t="str">
        <x:f>IF(AND(BL$5&gt;=$C138,BL$5&lt;=$D138,$A138&lt;&gt;""),"●","")</x:f>
      </x:c>
      <x:c r="BM138" s="165" t="str">
        <x:f>IF(AND(BM$5&gt;=$C138,BM$5&lt;=$D138,$A138&lt;&gt;""),"●","")</x:f>
      </x:c>
      <x:c r="BN138" s="165" t="str">
        <x:f>IF(AND(BN$5&gt;=$C138,BN$5&lt;=$D138,$A138&lt;&gt;""),"●","")</x:f>
      </x:c>
      <x:c r="BO138" s="165" t="str">
        <x:f>IF(AND(BO$5&gt;=$C138,BO$5&lt;=$D138,$A138&lt;&gt;""),"●","")</x:f>
      </x:c>
      <x:c r="BP138" s="165" t="str">
        <x:f>IF(AND(BP$5&gt;=$C138,BP$5&lt;=$D138,$A138&lt;&gt;""),"●","")</x:f>
      </x:c>
      <x:c r="BQ138" s="165" t="str">
        <x:f>IF(AND(BQ$5&gt;=$C138,BQ$5&lt;=$D138,$A138&lt;&gt;""),"●","")</x:f>
      </x:c>
      <x:c r="BR138" s="165" t="str">
        <x:f>IF(AND(BR$5&gt;=$C138,BR$5&lt;=$D138,$A138&lt;&gt;""),"●","")</x:f>
      </x:c>
      <x:c r="BS138" s="165" t="str">
        <x:f>IF(AND(BS$5&gt;=$C138,BS$5&lt;=$D138,$A138&lt;&gt;""),"●","")</x:f>
      </x:c>
      <x:c r="BT138" s="165" t="str">
        <x:f>IF(AND(BT$5&gt;=$C138,BT$5&lt;=$D138,$A138&lt;&gt;""),"●","")</x:f>
      </x:c>
      <x:c r="BU138" s="165" t="str">
        <x:f>IF(AND(BU$5&gt;=$C138,BU$5&lt;=$D138,$A138&lt;&gt;""),"●","")</x:f>
      </x:c>
      <x:c r="BV138" s="165" t="str">
        <x:f>IF(AND(BV$5&gt;=$C138,BV$5&lt;=$D138,$A138&lt;&gt;""),"●","")</x:f>
      </x:c>
      <x:c r="BW138" s="165" t="str">
        <x:f>IF(AND(BW$5&gt;=$C138,BW$5&lt;=$D138,$A138&lt;&gt;""),"●","")</x:f>
      </x:c>
    </x:row>
    <x:row r="139">
      <x:c r="A139" s="159" t="str">
        <x:f>IF('รายการสัญญา'!A139="","",'รายการสัญญา'!A139)</x:f>
      </x:c>
      <x:c r="B139" s="159" t="str">
        <x:f>IF('รายการสัญญา'!A139="","",'รายการสัญญา'!C139)</x:f>
      </x:c>
      <x:c r="C139" s="162" t="str">
        <x:f>IF('รายการสัญญา'!A139="","",'รายการสัญญา'!E139)</x:f>
      </x:c>
      <x:c r="D139" s="162" t="str">
        <x:f>IF('รายการสัญญา'!A139="","",'รายการสัญญา'!G139)</x:f>
      </x:c>
      <x:c r="E139" s="159" t="str">
        <x:f>IF('รายการสัญญา'!A139="","",'รายการสัญญา'!K139)</x:f>
      </x:c>
      <x:c r="F139" s="165" t="str">
        <x:f>IF(AND(F$5&gt;=$C139,F$5&lt;=$D139,$A139&lt;&gt;""),"●","")</x:f>
      </x:c>
      <x:c r="G139" s="165" t="str">
        <x:f>IF(AND(G$5&gt;=$C139,G$5&lt;=$D139,$A139&lt;&gt;""),"●","")</x:f>
      </x:c>
      <x:c r="H139" s="165" t="str">
        <x:f>IF(AND(H$5&gt;=$C139,H$5&lt;=$D139,$A139&lt;&gt;""),"●","")</x:f>
      </x:c>
      <x:c r="I139" s="165" t="str">
        <x:f>IF(AND(I$5&gt;=$C139,I$5&lt;=$D139,$A139&lt;&gt;""),"●","")</x:f>
      </x:c>
      <x:c r="J139" s="165" t="str">
        <x:f>IF(AND(J$5&gt;=$C139,J$5&lt;=$D139,$A139&lt;&gt;""),"●","")</x:f>
      </x:c>
      <x:c r="K139" s="165" t="str">
        <x:f>IF(AND(K$5&gt;=$C139,K$5&lt;=$D139,$A139&lt;&gt;""),"●","")</x:f>
      </x:c>
      <x:c r="L139" s="165" t="str">
        <x:f>IF(AND(L$5&gt;=$C139,L$5&lt;=$D139,$A139&lt;&gt;""),"●","")</x:f>
      </x:c>
      <x:c r="M139" s="165" t="str">
        <x:f>IF(AND(M$5&gt;=$C139,M$5&lt;=$D139,$A139&lt;&gt;""),"●","")</x:f>
      </x:c>
      <x:c r="N139" s="165" t="str">
        <x:f>IF(AND(N$5&gt;=$C139,N$5&lt;=$D139,$A139&lt;&gt;""),"●","")</x:f>
      </x:c>
      <x:c r="O139" s="165" t="str">
        <x:f>IF(AND(O$5&gt;=$C139,O$5&lt;=$D139,$A139&lt;&gt;""),"●","")</x:f>
      </x:c>
      <x:c r="P139" s="165" t="str">
        <x:f>IF(AND(P$5&gt;=$C139,P$5&lt;=$D139,$A139&lt;&gt;""),"●","")</x:f>
      </x:c>
      <x:c r="Q139" s="165" t="str">
        <x:f>IF(AND(Q$5&gt;=$C139,Q$5&lt;=$D139,$A139&lt;&gt;""),"●","")</x:f>
      </x:c>
      <x:c r="R139" s="165" t="str">
        <x:f>IF(AND(R$5&gt;=$C139,R$5&lt;=$D139,$A139&lt;&gt;""),"●","")</x:f>
      </x:c>
      <x:c r="S139" s="165" t="str">
        <x:f>IF(AND(S$5&gt;=$C139,S$5&lt;=$D139,$A139&lt;&gt;""),"●","")</x:f>
      </x:c>
      <x:c r="T139" s="165" t="str">
        <x:f>IF(AND(T$5&gt;=$C139,T$5&lt;=$D139,$A139&lt;&gt;""),"●","")</x:f>
      </x:c>
      <x:c r="U139" s="165" t="str">
        <x:f>IF(AND(U$5&gt;=$C139,U$5&lt;=$D139,$A139&lt;&gt;""),"●","")</x:f>
      </x:c>
      <x:c r="V139" s="165" t="str">
        <x:f>IF(AND(V$5&gt;=$C139,V$5&lt;=$D139,$A139&lt;&gt;""),"●","")</x:f>
      </x:c>
      <x:c r="W139" s="165" t="str">
        <x:f>IF(AND(W$5&gt;=$C139,W$5&lt;=$D139,$A139&lt;&gt;""),"●","")</x:f>
      </x:c>
      <x:c r="X139" s="165" t="str">
        <x:f>IF(AND(X$5&gt;=$C139,X$5&lt;=$D139,$A139&lt;&gt;""),"●","")</x:f>
      </x:c>
      <x:c r="Y139" s="165" t="str">
        <x:f>IF(AND(Y$5&gt;=$C139,Y$5&lt;=$D139,$A139&lt;&gt;""),"●","")</x:f>
      </x:c>
      <x:c r="Z139" s="165" t="str">
        <x:f>IF(AND(Z$5&gt;=$C139,Z$5&lt;=$D139,$A139&lt;&gt;""),"●","")</x:f>
      </x:c>
      <x:c r="AA139" s="165" t="str">
        <x:f>IF(AND(AA$5&gt;=$C139,AA$5&lt;=$D139,$A139&lt;&gt;""),"●","")</x:f>
      </x:c>
      <x:c r="AB139" s="165" t="str">
        <x:f>IF(AND(AB$5&gt;=$C139,AB$5&lt;=$D139,$A139&lt;&gt;""),"●","")</x:f>
      </x:c>
      <x:c r="AC139" s="165" t="str">
        <x:f>IF(AND(AC$5&gt;=$C139,AC$5&lt;=$D139,$A139&lt;&gt;""),"●","")</x:f>
      </x:c>
      <x:c r="AD139" s="165" t="str">
        <x:f>IF(AND(AD$5&gt;=$C139,AD$5&lt;=$D139,$A139&lt;&gt;""),"●","")</x:f>
      </x:c>
      <x:c r="AE139" s="165" t="str">
        <x:f>IF(AND(AE$5&gt;=$C139,AE$5&lt;=$D139,$A139&lt;&gt;""),"●","")</x:f>
      </x:c>
      <x:c r="AF139" s="165" t="str">
        <x:f>IF(AND(AF$5&gt;=$C139,AF$5&lt;=$D139,$A139&lt;&gt;""),"●","")</x:f>
      </x:c>
      <x:c r="AG139" s="165" t="str">
        <x:f>IF(AND(AG$5&gt;=$C139,AG$5&lt;=$D139,$A139&lt;&gt;""),"●","")</x:f>
      </x:c>
      <x:c r="AH139" s="165" t="str">
        <x:f>IF(AND(AH$5&gt;=$C139,AH$5&lt;=$D139,$A139&lt;&gt;""),"●","")</x:f>
      </x:c>
      <x:c r="AI139" s="165" t="str">
        <x:f>IF(AND(AI$5&gt;=$C139,AI$5&lt;=$D139,$A139&lt;&gt;""),"●","")</x:f>
      </x:c>
      <x:c r="AJ139" s="165" t="str">
        <x:f>IF(AND(AJ$5&gt;=$C139,AJ$5&lt;=$D139,$A139&lt;&gt;""),"●","")</x:f>
      </x:c>
      <x:c r="AK139" s="165" t="str">
        <x:f>IF(AND(AK$5&gt;=$C139,AK$5&lt;=$D139,$A139&lt;&gt;""),"●","")</x:f>
      </x:c>
      <x:c r="AL139" s="165" t="str">
        <x:f>IF(AND(AL$5&gt;=$C139,AL$5&lt;=$D139,$A139&lt;&gt;""),"●","")</x:f>
      </x:c>
      <x:c r="AM139" s="165" t="str">
        <x:f>IF(AND(AM$5&gt;=$C139,AM$5&lt;=$D139,$A139&lt;&gt;""),"●","")</x:f>
      </x:c>
      <x:c r="AN139" s="165" t="str">
        <x:f>IF(AND(AN$5&gt;=$C139,AN$5&lt;=$D139,$A139&lt;&gt;""),"●","")</x:f>
      </x:c>
      <x:c r="AO139" s="165" t="str">
        <x:f>IF(AND(AO$5&gt;=$C139,AO$5&lt;=$D139,$A139&lt;&gt;""),"●","")</x:f>
      </x:c>
      <x:c r="AP139" s="165" t="str">
        <x:f>IF(AND(AP$5&gt;=$C139,AP$5&lt;=$D139,$A139&lt;&gt;""),"●","")</x:f>
      </x:c>
      <x:c r="AQ139" s="165" t="str">
        <x:f>IF(AND(AQ$5&gt;=$C139,AQ$5&lt;=$D139,$A139&lt;&gt;""),"●","")</x:f>
      </x:c>
      <x:c r="AR139" s="165" t="str">
        <x:f>IF(AND(AR$5&gt;=$C139,AR$5&lt;=$D139,$A139&lt;&gt;""),"●","")</x:f>
      </x:c>
      <x:c r="AS139" s="165" t="str">
        <x:f>IF(AND(AS$5&gt;=$C139,AS$5&lt;=$D139,$A139&lt;&gt;""),"●","")</x:f>
      </x:c>
      <x:c r="AT139" s="165" t="str">
        <x:f>IF(AND(AT$5&gt;=$C139,AT$5&lt;=$D139,$A139&lt;&gt;""),"●","")</x:f>
      </x:c>
      <x:c r="AU139" s="165" t="str">
        <x:f>IF(AND(AU$5&gt;=$C139,AU$5&lt;=$D139,$A139&lt;&gt;""),"●","")</x:f>
      </x:c>
      <x:c r="AV139" s="165" t="str">
        <x:f>IF(AND(AV$5&gt;=$C139,AV$5&lt;=$D139,$A139&lt;&gt;""),"●","")</x:f>
      </x:c>
      <x:c r="AW139" s="165" t="str">
        <x:f>IF(AND(AW$5&gt;=$C139,AW$5&lt;=$D139,$A139&lt;&gt;""),"●","")</x:f>
      </x:c>
      <x:c r="AX139" s="165" t="str">
        <x:f>IF(AND(AX$5&gt;=$C139,AX$5&lt;=$D139,$A139&lt;&gt;""),"●","")</x:f>
      </x:c>
      <x:c r="AY139" s="165" t="str">
        <x:f>IF(AND(AY$5&gt;=$C139,AY$5&lt;=$D139,$A139&lt;&gt;""),"●","")</x:f>
      </x:c>
      <x:c r="AZ139" s="165" t="str">
        <x:f>IF(AND(AZ$5&gt;=$C139,AZ$5&lt;=$D139,$A139&lt;&gt;""),"●","")</x:f>
      </x:c>
      <x:c r="BA139" s="165" t="str">
        <x:f>IF(AND(BA$5&gt;=$C139,BA$5&lt;=$D139,$A139&lt;&gt;""),"●","")</x:f>
      </x:c>
      <x:c r="BB139" s="165" t="str">
        <x:f>IF(AND(BB$5&gt;=$C139,BB$5&lt;=$D139,$A139&lt;&gt;""),"●","")</x:f>
      </x:c>
      <x:c r="BC139" s="165" t="str">
        <x:f>IF(AND(BC$5&gt;=$C139,BC$5&lt;=$D139,$A139&lt;&gt;""),"●","")</x:f>
      </x:c>
      <x:c r="BD139" s="165" t="str">
        <x:f>IF(AND(BD$5&gt;=$C139,BD$5&lt;=$D139,$A139&lt;&gt;""),"●","")</x:f>
      </x:c>
      <x:c r="BE139" s="165" t="str">
        <x:f>IF(AND(BE$5&gt;=$C139,BE$5&lt;=$D139,$A139&lt;&gt;""),"●","")</x:f>
      </x:c>
      <x:c r="BF139" s="165" t="str">
        <x:f>IF(AND(BF$5&gt;=$C139,BF$5&lt;=$D139,$A139&lt;&gt;""),"●","")</x:f>
      </x:c>
      <x:c r="BG139" s="165" t="str">
        <x:f>IF(AND(BG$5&gt;=$C139,BG$5&lt;=$D139,$A139&lt;&gt;""),"●","")</x:f>
      </x:c>
      <x:c r="BH139" s="165" t="str">
        <x:f>IF(AND(BH$5&gt;=$C139,BH$5&lt;=$D139,$A139&lt;&gt;""),"●","")</x:f>
      </x:c>
      <x:c r="BI139" s="165" t="str">
        <x:f>IF(AND(BI$5&gt;=$C139,BI$5&lt;=$D139,$A139&lt;&gt;""),"●","")</x:f>
      </x:c>
      <x:c r="BJ139" s="165" t="str">
        <x:f>IF(AND(BJ$5&gt;=$C139,BJ$5&lt;=$D139,$A139&lt;&gt;""),"●","")</x:f>
      </x:c>
      <x:c r="BK139" s="165" t="str">
        <x:f>IF(AND(BK$5&gt;=$C139,BK$5&lt;=$D139,$A139&lt;&gt;""),"●","")</x:f>
      </x:c>
      <x:c r="BL139" s="165" t="str">
        <x:f>IF(AND(BL$5&gt;=$C139,BL$5&lt;=$D139,$A139&lt;&gt;""),"●","")</x:f>
      </x:c>
      <x:c r="BM139" s="165" t="str">
        <x:f>IF(AND(BM$5&gt;=$C139,BM$5&lt;=$D139,$A139&lt;&gt;""),"●","")</x:f>
      </x:c>
      <x:c r="BN139" s="165" t="str">
        <x:f>IF(AND(BN$5&gt;=$C139,BN$5&lt;=$D139,$A139&lt;&gt;""),"●","")</x:f>
      </x:c>
      <x:c r="BO139" s="165" t="str">
        <x:f>IF(AND(BO$5&gt;=$C139,BO$5&lt;=$D139,$A139&lt;&gt;""),"●","")</x:f>
      </x:c>
      <x:c r="BP139" s="165" t="str">
        <x:f>IF(AND(BP$5&gt;=$C139,BP$5&lt;=$D139,$A139&lt;&gt;""),"●","")</x:f>
      </x:c>
      <x:c r="BQ139" s="165" t="str">
        <x:f>IF(AND(BQ$5&gt;=$C139,BQ$5&lt;=$D139,$A139&lt;&gt;""),"●","")</x:f>
      </x:c>
      <x:c r="BR139" s="165" t="str">
        <x:f>IF(AND(BR$5&gt;=$C139,BR$5&lt;=$D139,$A139&lt;&gt;""),"●","")</x:f>
      </x:c>
      <x:c r="BS139" s="165" t="str">
        <x:f>IF(AND(BS$5&gt;=$C139,BS$5&lt;=$D139,$A139&lt;&gt;""),"●","")</x:f>
      </x:c>
      <x:c r="BT139" s="165" t="str">
        <x:f>IF(AND(BT$5&gt;=$C139,BT$5&lt;=$D139,$A139&lt;&gt;""),"●","")</x:f>
      </x:c>
      <x:c r="BU139" s="165" t="str">
        <x:f>IF(AND(BU$5&gt;=$C139,BU$5&lt;=$D139,$A139&lt;&gt;""),"●","")</x:f>
      </x:c>
      <x:c r="BV139" s="165" t="str">
        <x:f>IF(AND(BV$5&gt;=$C139,BV$5&lt;=$D139,$A139&lt;&gt;""),"●","")</x:f>
      </x:c>
      <x:c r="BW139" s="165" t="str">
        <x:f>IF(AND(BW$5&gt;=$C139,BW$5&lt;=$D139,$A139&lt;&gt;""),"●","")</x:f>
      </x:c>
    </x:row>
    <x:row r="140">
      <x:c r="A140" s="159" t="str">
        <x:f>IF('รายการสัญญา'!A140="","",'รายการสัญญา'!A140)</x:f>
      </x:c>
      <x:c r="B140" s="159" t="str">
        <x:f>IF('รายการสัญญา'!A140="","",'รายการสัญญา'!C140)</x:f>
      </x:c>
      <x:c r="C140" s="162" t="str">
        <x:f>IF('รายการสัญญา'!A140="","",'รายการสัญญา'!E140)</x:f>
      </x:c>
      <x:c r="D140" s="162" t="str">
        <x:f>IF('รายการสัญญา'!A140="","",'รายการสัญญา'!G140)</x:f>
      </x:c>
      <x:c r="E140" s="159" t="str">
        <x:f>IF('รายการสัญญา'!A140="","",'รายการสัญญา'!K140)</x:f>
      </x:c>
      <x:c r="F140" s="165" t="str">
        <x:f>IF(AND(F$5&gt;=$C140,F$5&lt;=$D140,$A140&lt;&gt;""),"●","")</x:f>
      </x:c>
      <x:c r="G140" s="165" t="str">
        <x:f>IF(AND(G$5&gt;=$C140,G$5&lt;=$D140,$A140&lt;&gt;""),"●","")</x:f>
      </x:c>
      <x:c r="H140" s="165" t="str">
        <x:f>IF(AND(H$5&gt;=$C140,H$5&lt;=$D140,$A140&lt;&gt;""),"●","")</x:f>
      </x:c>
      <x:c r="I140" s="165" t="str">
        <x:f>IF(AND(I$5&gt;=$C140,I$5&lt;=$D140,$A140&lt;&gt;""),"●","")</x:f>
      </x:c>
      <x:c r="J140" s="165" t="str">
        <x:f>IF(AND(J$5&gt;=$C140,J$5&lt;=$D140,$A140&lt;&gt;""),"●","")</x:f>
      </x:c>
      <x:c r="K140" s="165" t="str">
        <x:f>IF(AND(K$5&gt;=$C140,K$5&lt;=$D140,$A140&lt;&gt;""),"●","")</x:f>
      </x:c>
      <x:c r="L140" s="165" t="str">
        <x:f>IF(AND(L$5&gt;=$C140,L$5&lt;=$D140,$A140&lt;&gt;""),"●","")</x:f>
      </x:c>
      <x:c r="M140" s="165" t="str">
        <x:f>IF(AND(M$5&gt;=$C140,M$5&lt;=$D140,$A140&lt;&gt;""),"●","")</x:f>
      </x:c>
      <x:c r="N140" s="165" t="str">
        <x:f>IF(AND(N$5&gt;=$C140,N$5&lt;=$D140,$A140&lt;&gt;""),"●","")</x:f>
      </x:c>
      <x:c r="O140" s="165" t="str">
        <x:f>IF(AND(O$5&gt;=$C140,O$5&lt;=$D140,$A140&lt;&gt;""),"●","")</x:f>
      </x:c>
      <x:c r="P140" s="165" t="str">
        <x:f>IF(AND(P$5&gt;=$C140,P$5&lt;=$D140,$A140&lt;&gt;""),"●","")</x:f>
      </x:c>
      <x:c r="Q140" s="165" t="str">
        <x:f>IF(AND(Q$5&gt;=$C140,Q$5&lt;=$D140,$A140&lt;&gt;""),"●","")</x:f>
      </x:c>
      <x:c r="R140" s="165" t="str">
        <x:f>IF(AND(R$5&gt;=$C140,R$5&lt;=$D140,$A140&lt;&gt;""),"●","")</x:f>
      </x:c>
      <x:c r="S140" s="165" t="str">
        <x:f>IF(AND(S$5&gt;=$C140,S$5&lt;=$D140,$A140&lt;&gt;""),"●","")</x:f>
      </x:c>
      <x:c r="T140" s="165" t="str">
        <x:f>IF(AND(T$5&gt;=$C140,T$5&lt;=$D140,$A140&lt;&gt;""),"●","")</x:f>
      </x:c>
      <x:c r="U140" s="165" t="str">
        <x:f>IF(AND(U$5&gt;=$C140,U$5&lt;=$D140,$A140&lt;&gt;""),"●","")</x:f>
      </x:c>
      <x:c r="V140" s="165" t="str">
        <x:f>IF(AND(V$5&gt;=$C140,V$5&lt;=$D140,$A140&lt;&gt;""),"●","")</x:f>
      </x:c>
      <x:c r="W140" s="165" t="str">
        <x:f>IF(AND(W$5&gt;=$C140,W$5&lt;=$D140,$A140&lt;&gt;""),"●","")</x:f>
      </x:c>
      <x:c r="X140" s="165" t="str">
        <x:f>IF(AND(X$5&gt;=$C140,X$5&lt;=$D140,$A140&lt;&gt;""),"●","")</x:f>
      </x:c>
      <x:c r="Y140" s="165" t="str">
        <x:f>IF(AND(Y$5&gt;=$C140,Y$5&lt;=$D140,$A140&lt;&gt;""),"●","")</x:f>
      </x:c>
      <x:c r="Z140" s="165" t="str">
        <x:f>IF(AND(Z$5&gt;=$C140,Z$5&lt;=$D140,$A140&lt;&gt;""),"●","")</x:f>
      </x:c>
      <x:c r="AA140" s="165" t="str">
        <x:f>IF(AND(AA$5&gt;=$C140,AA$5&lt;=$D140,$A140&lt;&gt;""),"●","")</x:f>
      </x:c>
      <x:c r="AB140" s="165" t="str">
        <x:f>IF(AND(AB$5&gt;=$C140,AB$5&lt;=$D140,$A140&lt;&gt;""),"●","")</x:f>
      </x:c>
      <x:c r="AC140" s="165" t="str">
        <x:f>IF(AND(AC$5&gt;=$C140,AC$5&lt;=$D140,$A140&lt;&gt;""),"●","")</x:f>
      </x:c>
      <x:c r="AD140" s="165" t="str">
        <x:f>IF(AND(AD$5&gt;=$C140,AD$5&lt;=$D140,$A140&lt;&gt;""),"●","")</x:f>
      </x:c>
      <x:c r="AE140" s="165" t="str">
        <x:f>IF(AND(AE$5&gt;=$C140,AE$5&lt;=$D140,$A140&lt;&gt;""),"●","")</x:f>
      </x:c>
      <x:c r="AF140" s="165" t="str">
        <x:f>IF(AND(AF$5&gt;=$C140,AF$5&lt;=$D140,$A140&lt;&gt;""),"●","")</x:f>
      </x:c>
      <x:c r="AG140" s="165" t="str">
        <x:f>IF(AND(AG$5&gt;=$C140,AG$5&lt;=$D140,$A140&lt;&gt;""),"●","")</x:f>
      </x:c>
      <x:c r="AH140" s="165" t="str">
        <x:f>IF(AND(AH$5&gt;=$C140,AH$5&lt;=$D140,$A140&lt;&gt;""),"●","")</x:f>
      </x:c>
      <x:c r="AI140" s="165" t="str">
        <x:f>IF(AND(AI$5&gt;=$C140,AI$5&lt;=$D140,$A140&lt;&gt;""),"●","")</x:f>
      </x:c>
      <x:c r="AJ140" s="165" t="str">
        <x:f>IF(AND(AJ$5&gt;=$C140,AJ$5&lt;=$D140,$A140&lt;&gt;""),"●","")</x:f>
      </x:c>
      <x:c r="AK140" s="165" t="str">
        <x:f>IF(AND(AK$5&gt;=$C140,AK$5&lt;=$D140,$A140&lt;&gt;""),"●","")</x:f>
      </x:c>
      <x:c r="AL140" s="165" t="str">
        <x:f>IF(AND(AL$5&gt;=$C140,AL$5&lt;=$D140,$A140&lt;&gt;""),"●","")</x:f>
      </x:c>
      <x:c r="AM140" s="165" t="str">
        <x:f>IF(AND(AM$5&gt;=$C140,AM$5&lt;=$D140,$A140&lt;&gt;""),"●","")</x:f>
      </x:c>
      <x:c r="AN140" s="165" t="str">
        <x:f>IF(AND(AN$5&gt;=$C140,AN$5&lt;=$D140,$A140&lt;&gt;""),"●","")</x:f>
      </x:c>
      <x:c r="AO140" s="165" t="str">
        <x:f>IF(AND(AO$5&gt;=$C140,AO$5&lt;=$D140,$A140&lt;&gt;""),"●","")</x:f>
      </x:c>
      <x:c r="AP140" s="165" t="str">
        <x:f>IF(AND(AP$5&gt;=$C140,AP$5&lt;=$D140,$A140&lt;&gt;""),"●","")</x:f>
      </x:c>
      <x:c r="AQ140" s="165" t="str">
        <x:f>IF(AND(AQ$5&gt;=$C140,AQ$5&lt;=$D140,$A140&lt;&gt;""),"●","")</x:f>
      </x:c>
      <x:c r="AR140" s="165" t="str">
        <x:f>IF(AND(AR$5&gt;=$C140,AR$5&lt;=$D140,$A140&lt;&gt;""),"●","")</x:f>
      </x:c>
      <x:c r="AS140" s="165" t="str">
        <x:f>IF(AND(AS$5&gt;=$C140,AS$5&lt;=$D140,$A140&lt;&gt;""),"●","")</x:f>
      </x:c>
      <x:c r="AT140" s="165" t="str">
        <x:f>IF(AND(AT$5&gt;=$C140,AT$5&lt;=$D140,$A140&lt;&gt;""),"●","")</x:f>
      </x:c>
      <x:c r="AU140" s="165" t="str">
        <x:f>IF(AND(AU$5&gt;=$C140,AU$5&lt;=$D140,$A140&lt;&gt;""),"●","")</x:f>
      </x:c>
      <x:c r="AV140" s="165" t="str">
        <x:f>IF(AND(AV$5&gt;=$C140,AV$5&lt;=$D140,$A140&lt;&gt;""),"●","")</x:f>
      </x:c>
      <x:c r="AW140" s="165" t="str">
        <x:f>IF(AND(AW$5&gt;=$C140,AW$5&lt;=$D140,$A140&lt;&gt;""),"●","")</x:f>
      </x:c>
      <x:c r="AX140" s="165" t="str">
        <x:f>IF(AND(AX$5&gt;=$C140,AX$5&lt;=$D140,$A140&lt;&gt;""),"●","")</x:f>
      </x:c>
      <x:c r="AY140" s="165" t="str">
        <x:f>IF(AND(AY$5&gt;=$C140,AY$5&lt;=$D140,$A140&lt;&gt;""),"●","")</x:f>
      </x:c>
      <x:c r="AZ140" s="165" t="str">
        <x:f>IF(AND(AZ$5&gt;=$C140,AZ$5&lt;=$D140,$A140&lt;&gt;""),"●","")</x:f>
      </x:c>
      <x:c r="BA140" s="165" t="str">
        <x:f>IF(AND(BA$5&gt;=$C140,BA$5&lt;=$D140,$A140&lt;&gt;""),"●","")</x:f>
      </x:c>
      <x:c r="BB140" s="165" t="str">
        <x:f>IF(AND(BB$5&gt;=$C140,BB$5&lt;=$D140,$A140&lt;&gt;""),"●","")</x:f>
      </x:c>
      <x:c r="BC140" s="165" t="str">
        <x:f>IF(AND(BC$5&gt;=$C140,BC$5&lt;=$D140,$A140&lt;&gt;""),"●","")</x:f>
      </x:c>
      <x:c r="BD140" s="165" t="str">
        <x:f>IF(AND(BD$5&gt;=$C140,BD$5&lt;=$D140,$A140&lt;&gt;""),"●","")</x:f>
      </x:c>
      <x:c r="BE140" s="165" t="str">
        <x:f>IF(AND(BE$5&gt;=$C140,BE$5&lt;=$D140,$A140&lt;&gt;""),"●","")</x:f>
      </x:c>
      <x:c r="BF140" s="165" t="str">
        <x:f>IF(AND(BF$5&gt;=$C140,BF$5&lt;=$D140,$A140&lt;&gt;""),"●","")</x:f>
      </x:c>
      <x:c r="BG140" s="165" t="str">
        <x:f>IF(AND(BG$5&gt;=$C140,BG$5&lt;=$D140,$A140&lt;&gt;""),"●","")</x:f>
      </x:c>
      <x:c r="BH140" s="165" t="str">
        <x:f>IF(AND(BH$5&gt;=$C140,BH$5&lt;=$D140,$A140&lt;&gt;""),"●","")</x:f>
      </x:c>
      <x:c r="BI140" s="165" t="str">
        <x:f>IF(AND(BI$5&gt;=$C140,BI$5&lt;=$D140,$A140&lt;&gt;""),"●","")</x:f>
      </x:c>
      <x:c r="BJ140" s="165" t="str">
        <x:f>IF(AND(BJ$5&gt;=$C140,BJ$5&lt;=$D140,$A140&lt;&gt;""),"●","")</x:f>
      </x:c>
      <x:c r="BK140" s="165" t="str">
        <x:f>IF(AND(BK$5&gt;=$C140,BK$5&lt;=$D140,$A140&lt;&gt;""),"●","")</x:f>
      </x:c>
      <x:c r="BL140" s="165" t="str">
        <x:f>IF(AND(BL$5&gt;=$C140,BL$5&lt;=$D140,$A140&lt;&gt;""),"●","")</x:f>
      </x:c>
      <x:c r="BM140" s="165" t="str">
        <x:f>IF(AND(BM$5&gt;=$C140,BM$5&lt;=$D140,$A140&lt;&gt;""),"●","")</x:f>
      </x:c>
      <x:c r="BN140" s="165" t="str">
        <x:f>IF(AND(BN$5&gt;=$C140,BN$5&lt;=$D140,$A140&lt;&gt;""),"●","")</x:f>
      </x:c>
      <x:c r="BO140" s="165" t="str">
        <x:f>IF(AND(BO$5&gt;=$C140,BO$5&lt;=$D140,$A140&lt;&gt;""),"●","")</x:f>
      </x:c>
      <x:c r="BP140" s="165" t="str">
        <x:f>IF(AND(BP$5&gt;=$C140,BP$5&lt;=$D140,$A140&lt;&gt;""),"●","")</x:f>
      </x:c>
      <x:c r="BQ140" s="165" t="str">
        <x:f>IF(AND(BQ$5&gt;=$C140,BQ$5&lt;=$D140,$A140&lt;&gt;""),"●","")</x:f>
      </x:c>
      <x:c r="BR140" s="165" t="str">
        <x:f>IF(AND(BR$5&gt;=$C140,BR$5&lt;=$D140,$A140&lt;&gt;""),"●","")</x:f>
      </x:c>
      <x:c r="BS140" s="165" t="str">
        <x:f>IF(AND(BS$5&gt;=$C140,BS$5&lt;=$D140,$A140&lt;&gt;""),"●","")</x:f>
      </x:c>
      <x:c r="BT140" s="165" t="str">
        <x:f>IF(AND(BT$5&gt;=$C140,BT$5&lt;=$D140,$A140&lt;&gt;""),"●","")</x:f>
      </x:c>
      <x:c r="BU140" s="165" t="str">
        <x:f>IF(AND(BU$5&gt;=$C140,BU$5&lt;=$D140,$A140&lt;&gt;""),"●","")</x:f>
      </x:c>
      <x:c r="BV140" s="165" t="str">
        <x:f>IF(AND(BV$5&gt;=$C140,BV$5&lt;=$D140,$A140&lt;&gt;""),"●","")</x:f>
      </x:c>
      <x:c r="BW140" s="165" t="str">
        <x:f>IF(AND(BW$5&gt;=$C140,BW$5&lt;=$D140,$A140&lt;&gt;""),"●","")</x:f>
      </x:c>
    </x:row>
    <x:row r="141">
      <x:c r="A141" s="159" t="str">
        <x:f>IF('รายการสัญญา'!A141="","",'รายการสัญญา'!A141)</x:f>
      </x:c>
      <x:c r="B141" s="159" t="str">
        <x:f>IF('รายการสัญญา'!A141="","",'รายการสัญญา'!C141)</x:f>
      </x:c>
      <x:c r="C141" s="162" t="str">
        <x:f>IF('รายการสัญญา'!A141="","",'รายการสัญญา'!E141)</x:f>
      </x:c>
      <x:c r="D141" s="162" t="str">
        <x:f>IF('รายการสัญญา'!A141="","",'รายการสัญญา'!G141)</x:f>
      </x:c>
      <x:c r="E141" s="159" t="str">
        <x:f>IF('รายการสัญญา'!A141="","",'รายการสัญญา'!K141)</x:f>
      </x:c>
      <x:c r="F141" s="165" t="str">
        <x:f>IF(AND(F$5&gt;=$C141,F$5&lt;=$D141,$A141&lt;&gt;""),"●","")</x:f>
      </x:c>
      <x:c r="G141" s="165" t="str">
        <x:f>IF(AND(G$5&gt;=$C141,G$5&lt;=$D141,$A141&lt;&gt;""),"●","")</x:f>
      </x:c>
      <x:c r="H141" s="165" t="str">
        <x:f>IF(AND(H$5&gt;=$C141,H$5&lt;=$D141,$A141&lt;&gt;""),"●","")</x:f>
      </x:c>
      <x:c r="I141" s="165" t="str">
        <x:f>IF(AND(I$5&gt;=$C141,I$5&lt;=$D141,$A141&lt;&gt;""),"●","")</x:f>
      </x:c>
      <x:c r="J141" s="165" t="str">
        <x:f>IF(AND(J$5&gt;=$C141,J$5&lt;=$D141,$A141&lt;&gt;""),"●","")</x:f>
      </x:c>
      <x:c r="K141" s="165" t="str">
        <x:f>IF(AND(K$5&gt;=$C141,K$5&lt;=$D141,$A141&lt;&gt;""),"●","")</x:f>
      </x:c>
      <x:c r="L141" s="165" t="str">
        <x:f>IF(AND(L$5&gt;=$C141,L$5&lt;=$D141,$A141&lt;&gt;""),"●","")</x:f>
      </x:c>
      <x:c r="M141" s="165" t="str">
        <x:f>IF(AND(M$5&gt;=$C141,M$5&lt;=$D141,$A141&lt;&gt;""),"●","")</x:f>
      </x:c>
      <x:c r="N141" s="165" t="str">
        <x:f>IF(AND(N$5&gt;=$C141,N$5&lt;=$D141,$A141&lt;&gt;""),"●","")</x:f>
      </x:c>
      <x:c r="O141" s="165" t="str">
        <x:f>IF(AND(O$5&gt;=$C141,O$5&lt;=$D141,$A141&lt;&gt;""),"●","")</x:f>
      </x:c>
      <x:c r="P141" s="165" t="str">
        <x:f>IF(AND(P$5&gt;=$C141,P$5&lt;=$D141,$A141&lt;&gt;""),"●","")</x:f>
      </x:c>
      <x:c r="Q141" s="165" t="str">
        <x:f>IF(AND(Q$5&gt;=$C141,Q$5&lt;=$D141,$A141&lt;&gt;""),"●","")</x:f>
      </x:c>
      <x:c r="R141" s="165" t="str">
        <x:f>IF(AND(R$5&gt;=$C141,R$5&lt;=$D141,$A141&lt;&gt;""),"●","")</x:f>
      </x:c>
      <x:c r="S141" s="165" t="str">
        <x:f>IF(AND(S$5&gt;=$C141,S$5&lt;=$D141,$A141&lt;&gt;""),"●","")</x:f>
      </x:c>
      <x:c r="T141" s="165" t="str">
        <x:f>IF(AND(T$5&gt;=$C141,T$5&lt;=$D141,$A141&lt;&gt;""),"●","")</x:f>
      </x:c>
      <x:c r="U141" s="165" t="str">
        <x:f>IF(AND(U$5&gt;=$C141,U$5&lt;=$D141,$A141&lt;&gt;""),"●","")</x:f>
      </x:c>
      <x:c r="V141" s="165" t="str">
        <x:f>IF(AND(V$5&gt;=$C141,V$5&lt;=$D141,$A141&lt;&gt;""),"●","")</x:f>
      </x:c>
      <x:c r="W141" s="165" t="str">
        <x:f>IF(AND(W$5&gt;=$C141,W$5&lt;=$D141,$A141&lt;&gt;""),"●","")</x:f>
      </x:c>
      <x:c r="X141" s="165" t="str">
        <x:f>IF(AND(X$5&gt;=$C141,X$5&lt;=$D141,$A141&lt;&gt;""),"●","")</x:f>
      </x:c>
      <x:c r="Y141" s="165" t="str">
        <x:f>IF(AND(Y$5&gt;=$C141,Y$5&lt;=$D141,$A141&lt;&gt;""),"●","")</x:f>
      </x:c>
      <x:c r="Z141" s="165" t="str">
        <x:f>IF(AND(Z$5&gt;=$C141,Z$5&lt;=$D141,$A141&lt;&gt;""),"●","")</x:f>
      </x:c>
      <x:c r="AA141" s="165" t="str">
        <x:f>IF(AND(AA$5&gt;=$C141,AA$5&lt;=$D141,$A141&lt;&gt;""),"●","")</x:f>
      </x:c>
      <x:c r="AB141" s="165" t="str">
        <x:f>IF(AND(AB$5&gt;=$C141,AB$5&lt;=$D141,$A141&lt;&gt;""),"●","")</x:f>
      </x:c>
      <x:c r="AC141" s="165" t="str">
        <x:f>IF(AND(AC$5&gt;=$C141,AC$5&lt;=$D141,$A141&lt;&gt;""),"●","")</x:f>
      </x:c>
      <x:c r="AD141" s="165" t="str">
        <x:f>IF(AND(AD$5&gt;=$C141,AD$5&lt;=$D141,$A141&lt;&gt;""),"●","")</x:f>
      </x:c>
      <x:c r="AE141" s="165" t="str">
        <x:f>IF(AND(AE$5&gt;=$C141,AE$5&lt;=$D141,$A141&lt;&gt;""),"●","")</x:f>
      </x:c>
      <x:c r="AF141" s="165" t="str">
        <x:f>IF(AND(AF$5&gt;=$C141,AF$5&lt;=$D141,$A141&lt;&gt;""),"●","")</x:f>
      </x:c>
      <x:c r="AG141" s="165" t="str">
        <x:f>IF(AND(AG$5&gt;=$C141,AG$5&lt;=$D141,$A141&lt;&gt;""),"●","")</x:f>
      </x:c>
      <x:c r="AH141" s="165" t="str">
        <x:f>IF(AND(AH$5&gt;=$C141,AH$5&lt;=$D141,$A141&lt;&gt;""),"●","")</x:f>
      </x:c>
      <x:c r="AI141" s="165" t="str">
        <x:f>IF(AND(AI$5&gt;=$C141,AI$5&lt;=$D141,$A141&lt;&gt;""),"●","")</x:f>
      </x:c>
      <x:c r="AJ141" s="165" t="str">
        <x:f>IF(AND(AJ$5&gt;=$C141,AJ$5&lt;=$D141,$A141&lt;&gt;""),"●","")</x:f>
      </x:c>
      <x:c r="AK141" s="165" t="str">
        <x:f>IF(AND(AK$5&gt;=$C141,AK$5&lt;=$D141,$A141&lt;&gt;""),"●","")</x:f>
      </x:c>
      <x:c r="AL141" s="165" t="str">
        <x:f>IF(AND(AL$5&gt;=$C141,AL$5&lt;=$D141,$A141&lt;&gt;""),"●","")</x:f>
      </x:c>
      <x:c r="AM141" s="165" t="str">
        <x:f>IF(AND(AM$5&gt;=$C141,AM$5&lt;=$D141,$A141&lt;&gt;""),"●","")</x:f>
      </x:c>
      <x:c r="AN141" s="165" t="str">
        <x:f>IF(AND(AN$5&gt;=$C141,AN$5&lt;=$D141,$A141&lt;&gt;""),"●","")</x:f>
      </x:c>
      <x:c r="AO141" s="165" t="str">
        <x:f>IF(AND(AO$5&gt;=$C141,AO$5&lt;=$D141,$A141&lt;&gt;""),"●","")</x:f>
      </x:c>
      <x:c r="AP141" s="165" t="str">
        <x:f>IF(AND(AP$5&gt;=$C141,AP$5&lt;=$D141,$A141&lt;&gt;""),"●","")</x:f>
      </x:c>
      <x:c r="AQ141" s="165" t="str">
        <x:f>IF(AND(AQ$5&gt;=$C141,AQ$5&lt;=$D141,$A141&lt;&gt;""),"●","")</x:f>
      </x:c>
      <x:c r="AR141" s="165" t="str">
        <x:f>IF(AND(AR$5&gt;=$C141,AR$5&lt;=$D141,$A141&lt;&gt;""),"●","")</x:f>
      </x:c>
      <x:c r="AS141" s="165" t="str">
        <x:f>IF(AND(AS$5&gt;=$C141,AS$5&lt;=$D141,$A141&lt;&gt;""),"●","")</x:f>
      </x:c>
      <x:c r="AT141" s="165" t="str">
        <x:f>IF(AND(AT$5&gt;=$C141,AT$5&lt;=$D141,$A141&lt;&gt;""),"●","")</x:f>
      </x:c>
      <x:c r="AU141" s="165" t="str">
        <x:f>IF(AND(AU$5&gt;=$C141,AU$5&lt;=$D141,$A141&lt;&gt;""),"●","")</x:f>
      </x:c>
      <x:c r="AV141" s="165" t="str">
        <x:f>IF(AND(AV$5&gt;=$C141,AV$5&lt;=$D141,$A141&lt;&gt;""),"●","")</x:f>
      </x:c>
      <x:c r="AW141" s="165" t="str">
        <x:f>IF(AND(AW$5&gt;=$C141,AW$5&lt;=$D141,$A141&lt;&gt;""),"●","")</x:f>
      </x:c>
      <x:c r="AX141" s="165" t="str">
        <x:f>IF(AND(AX$5&gt;=$C141,AX$5&lt;=$D141,$A141&lt;&gt;""),"●","")</x:f>
      </x:c>
      <x:c r="AY141" s="165" t="str">
        <x:f>IF(AND(AY$5&gt;=$C141,AY$5&lt;=$D141,$A141&lt;&gt;""),"●","")</x:f>
      </x:c>
      <x:c r="AZ141" s="165" t="str">
        <x:f>IF(AND(AZ$5&gt;=$C141,AZ$5&lt;=$D141,$A141&lt;&gt;""),"●","")</x:f>
      </x:c>
      <x:c r="BA141" s="165" t="str">
        <x:f>IF(AND(BA$5&gt;=$C141,BA$5&lt;=$D141,$A141&lt;&gt;""),"●","")</x:f>
      </x:c>
      <x:c r="BB141" s="165" t="str">
        <x:f>IF(AND(BB$5&gt;=$C141,BB$5&lt;=$D141,$A141&lt;&gt;""),"●","")</x:f>
      </x:c>
      <x:c r="BC141" s="165" t="str">
        <x:f>IF(AND(BC$5&gt;=$C141,BC$5&lt;=$D141,$A141&lt;&gt;""),"●","")</x:f>
      </x:c>
      <x:c r="BD141" s="165" t="str">
        <x:f>IF(AND(BD$5&gt;=$C141,BD$5&lt;=$D141,$A141&lt;&gt;""),"●","")</x:f>
      </x:c>
      <x:c r="BE141" s="165" t="str">
        <x:f>IF(AND(BE$5&gt;=$C141,BE$5&lt;=$D141,$A141&lt;&gt;""),"●","")</x:f>
      </x:c>
      <x:c r="BF141" s="165" t="str">
        <x:f>IF(AND(BF$5&gt;=$C141,BF$5&lt;=$D141,$A141&lt;&gt;""),"●","")</x:f>
      </x:c>
      <x:c r="BG141" s="165" t="str">
        <x:f>IF(AND(BG$5&gt;=$C141,BG$5&lt;=$D141,$A141&lt;&gt;""),"●","")</x:f>
      </x:c>
      <x:c r="BH141" s="165" t="str">
        <x:f>IF(AND(BH$5&gt;=$C141,BH$5&lt;=$D141,$A141&lt;&gt;""),"●","")</x:f>
      </x:c>
      <x:c r="BI141" s="165" t="str">
        <x:f>IF(AND(BI$5&gt;=$C141,BI$5&lt;=$D141,$A141&lt;&gt;""),"●","")</x:f>
      </x:c>
      <x:c r="BJ141" s="165" t="str">
        <x:f>IF(AND(BJ$5&gt;=$C141,BJ$5&lt;=$D141,$A141&lt;&gt;""),"●","")</x:f>
      </x:c>
      <x:c r="BK141" s="165" t="str">
        <x:f>IF(AND(BK$5&gt;=$C141,BK$5&lt;=$D141,$A141&lt;&gt;""),"●","")</x:f>
      </x:c>
      <x:c r="BL141" s="165" t="str">
        <x:f>IF(AND(BL$5&gt;=$C141,BL$5&lt;=$D141,$A141&lt;&gt;""),"●","")</x:f>
      </x:c>
      <x:c r="BM141" s="165" t="str">
        <x:f>IF(AND(BM$5&gt;=$C141,BM$5&lt;=$D141,$A141&lt;&gt;""),"●","")</x:f>
      </x:c>
      <x:c r="BN141" s="165" t="str">
        <x:f>IF(AND(BN$5&gt;=$C141,BN$5&lt;=$D141,$A141&lt;&gt;""),"●","")</x:f>
      </x:c>
      <x:c r="BO141" s="165" t="str">
        <x:f>IF(AND(BO$5&gt;=$C141,BO$5&lt;=$D141,$A141&lt;&gt;""),"●","")</x:f>
      </x:c>
      <x:c r="BP141" s="165" t="str">
        <x:f>IF(AND(BP$5&gt;=$C141,BP$5&lt;=$D141,$A141&lt;&gt;""),"●","")</x:f>
      </x:c>
      <x:c r="BQ141" s="165" t="str">
        <x:f>IF(AND(BQ$5&gt;=$C141,BQ$5&lt;=$D141,$A141&lt;&gt;""),"●","")</x:f>
      </x:c>
      <x:c r="BR141" s="165" t="str">
        <x:f>IF(AND(BR$5&gt;=$C141,BR$5&lt;=$D141,$A141&lt;&gt;""),"●","")</x:f>
      </x:c>
      <x:c r="BS141" s="165" t="str">
        <x:f>IF(AND(BS$5&gt;=$C141,BS$5&lt;=$D141,$A141&lt;&gt;""),"●","")</x:f>
      </x:c>
      <x:c r="BT141" s="165" t="str">
        <x:f>IF(AND(BT$5&gt;=$C141,BT$5&lt;=$D141,$A141&lt;&gt;""),"●","")</x:f>
      </x:c>
      <x:c r="BU141" s="165" t="str">
        <x:f>IF(AND(BU$5&gt;=$C141,BU$5&lt;=$D141,$A141&lt;&gt;""),"●","")</x:f>
      </x:c>
      <x:c r="BV141" s="165" t="str">
        <x:f>IF(AND(BV$5&gt;=$C141,BV$5&lt;=$D141,$A141&lt;&gt;""),"●","")</x:f>
      </x:c>
      <x:c r="BW141" s="165" t="str">
        <x:f>IF(AND(BW$5&gt;=$C141,BW$5&lt;=$D141,$A141&lt;&gt;""),"●","")</x:f>
      </x:c>
    </x:row>
    <x:row r="142">
      <x:c r="A142" s="159" t="str">
        <x:f>IF('รายการสัญญา'!A142="","",'รายการสัญญา'!A142)</x:f>
      </x:c>
      <x:c r="B142" s="159" t="str">
        <x:f>IF('รายการสัญญา'!A142="","",'รายการสัญญา'!C142)</x:f>
      </x:c>
      <x:c r="C142" s="162" t="str">
        <x:f>IF('รายการสัญญา'!A142="","",'รายการสัญญา'!E142)</x:f>
      </x:c>
      <x:c r="D142" s="162" t="str">
        <x:f>IF('รายการสัญญา'!A142="","",'รายการสัญญา'!G142)</x:f>
      </x:c>
      <x:c r="E142" s="159" t="str">
        <x:f>IF('รายการสัญญา'!A142="","",'รายการสัญญา'!K142)</x:f>
      </x:c>
      <x:c r="F142" s="165" t="str">
        <x:f>IF(AND(F$5&gt;=$C142,F$5&lt;=$D142,$A142&lt;&gt;""),"●","")</x:f>
      </x:c>
      <x:c r="G142" s="165" t="str">
        <x:f>IF(AND(G$5&gt;=$C142,G$5&lt;=$D142,$A142&lt;&gt;""),"●","")</x:f>
      </x:c>
      <x:c r="H142" s="165" t="str">
        <x:f>IF(AND(H$5&gt;=$C142,H$5&lt;=$D142,$A142&lt;&gt;""),"●","")</x:f>
      </x:c>
      <x:c r="I142" s="165" t="str">
        <x:f>IF(AND(I$5&gt;=$C142,I$5&lt;=$D142,$A142&lt;&gt;""),"●","")</x:f>
      </x:c>
      <x:c r="J142" s="165" t="str">
        <x:f>IF(AND(J$5&gt;=$C142,J$5&lt;=$D142,$A142&lt;&gt;""),"●","")</x:f>
      </x:c>
      <x:c r="K142" s="165" t="str">
        <x:f>IF(AND(K$5&gt;=$C142,K$5&lt;=$D142,$A142&lt;&gt;""),"●","")</x:f>
      </x:c>
      <x:c r="L142" s="165" t="str">
        <x:f>IF(AND(L$5&gt;=$C142,L$5&lt;=$D142,$A142&lt;&gt;""),"●","")</x:f>
      </x:c>
      <x:c r="M142" s="165" t="str">
        <x:f>IF(AND(M$5&gt;=$C142,M$5&lt;=$D142,$A142&lt;&gt;""),"●","")</x:f>
      </x:c>
      <x:c r="N142" s="165" t="str">
        <x:f>IF(AND(N$5&gt;=$C142,N$5&lt;=$D142,$A142&lt;&gt;""),"●","")</x:f>
      </x:c>
      <x:c r="O142" s="165" t="str">
        <x:f>IF(AND(O$5&gt;=$C142,O$5&lt;=$D142,$A142&lt;&gt;""),"●","")</x:f>
      </x:c>
      <x:c r="P142" s="165" t="str">
        <x:f>IF(AND(P$5&gt;=$C142,P$5&lt;=$D142,$A142&lt;&gt;""),"●","")</x:f>
      </x:c>
      <x:c r="Q142" s="165" t="str">
        <x:f>IF(AND(Q$5&gt;=$C142,Q$5&lt;=$D142,$A142&lt;&gt;""),"●","")</x:f>
      </x:c>
      <x:c r="R142" s="165" t="str">
        <x:f>IF(AND(R$5&gt;=$C142,R$5&lt;=$D142,$A142&lt;&gt;""),"●","")</x:f>
      </x:c>
      <x:c r="S142" s="165" t="str">
        <x:f>IF(AND(S$5&gt;=$C142,S$5&lt;=$D142,$A142&lt;&gt;""),"●","")</x:f>
      </x:c>
      <x:c r="T142" s="165" t="str">
        <x:f>IF(AND(T$5&gt;=$C142,T$5&lt;=$D142,$A142&lt;&gt;""),"●","")</x:f>
      </x:c>
      <x:c r="U142" s="165" t="str">
        <x:f>IF(AND(U$5&gt;=$C142,U$5&lt;=$D142,$A142&lt;&gt;""),"●","")</x:f>
      </x:c>
      <x:c r="V142" s="165" t="str">
        <x:f>IF(AND(V$5&gt;=$C142,V$5&lt;=$D142,$A142&lt;&gt;""),"●","")</x:f>
      </x:c>
      <x:c r="W142" s="165" t="str">
        <x:f>IF(AND(W$5&gt;=$C142,W$5&lt;=$D142,$A142&lt;&gt;""),"●","")</x:f>
      </x:c>
      <x:c r="X142" s="165" t="str">
        <x:f>IF(AND(X$5&gt;=$C142,X$5&lt;=$D142,$A142&lt;&gt;""),"●","")</x:f>
      </x:c>
      <x:c r="Y142" s="165" t="str">
        <x:f>IF(AND(Y$5&gt;=$C142,Y$5&lt;=$D142,$A142&lt;&gt;""),"●","")</x:f>
      </x:c>
      <x:c r="Z142" s="165" t="str">
        <x:f>IF(AND(Z$5&gt;=$C142,Z$5&lt;=$D142,$A142&lt;&gt;""),"●","")</x:f>
      </x:c>
      <x:c r="AA142" s="165" t="str">
        <x:f>IF(AND(AA$5&gt;=$C142,AA$5&lt;=$D142,$A142&lt;&gt;""),"●","")</x:f>
      </x:c>
      <x:c r="AB142" s="165" t="str">
        <x:f>IF(AND(AB$5&gt;=$C142,AB$5&lt;=$D142,$A142&lt;&gt;""),"●","")</x:f>
      </x:c>
      <x:c r="AC142" s="165" t="str">
        <x:f>IF(AND(AC$5&gt;=$C142,AC$5&lt;=$D142,$A142&lt;&gt;""),"●","")</x:f>
      </x:c>
      <x:c r="AD142" s="165" t="str">
        <x:f>IF(AND(AD$5&gt;=$C142,AD$5&lt;=$D142,$A142&lt;&gt;""),"●","")</x:f>
      </x:c>
      <x:c r="AE142" s="165" t="str">
        <x:f>IF(AND(AE$5&gt;=$C142,AE$5&lt;=$D142,$A142&lt;&gt;""),"●","")</x:f>
      </x:c>
      <x:c r="AF142" s="165" t="str">
        <x:f>IF(AND(AF$5&gt;=$C142,AF$5&lt;=$D142,$A142&lt;&gt;""),"●","")</x:f>
      </x:c>
      <x:c r="AG142" s="165" t="str">
        <x:f>IF(AND(AG$5&gt;=$C142,AG$5&lt;=$D142,$A142&lt;&gt;""),"●","")</x:f>
      </x:c>
      <x:c r="AH142" s="165" t="str">
        <x:f>IF(AND(AH$5&gt;=$C142,AH$5&lt;=$D142,$A142&lt;&gt;""),"●","")</x:f>
      </x:c>
      <x:c r="AI142" s="165" t="str">
        <x:f>IF(AND(AI$5&gt;=$C142,AI$5&lt;=$D142,$A142&lt;&gt;""),"●","")</x:f>
      </x:c>
      <x:c r="AJ142" s="165" t="str">
        <x:f>IF(AND(AJ$5&gt;=$C142,AJ$5&lt;=$D142,$A142&lt;&gt;""),"●","")</x:f>
      </x:c>
      <x:c r="AK142" s="165" t="str">
        <x:f>IF(AND(AK$5&gt;=$C142,AK$5&lt;=$D142,$A142&lt;&gt;""),"●","")</x:f>
      </x:c>
      <x:c r="AL142" s="165" t="str">
        <x:f>IF(AND(AL$5&gt;=$C142,AL$5&lt;=$D142,$A142&lt;&gt;""),"●","")</x:f>
      </x:c>
      <x:c r="AM142" s="165" t="str">
        <x:f>IF(AND(AM$5&gt;=$C142,AM$5&lt;=$D142,$A142&lt;&gt;""),"●","")</x:f>
      </x:c>
      <x:c r="AN142" s="165" t="str">
        <x:f>IF(AND(AN$5&gt;=$C142,AN$5&lt;=$D142,$A142&lt;&gt;""),"●","")</x:f>
      </x:c>
      <x:c r="AO142" s="165" t="str">
        <x:f>IF(AND(AO$5&gt;=$C142,AO$5&lt;=$D142,$A142&lt;&gt;""),"●","")</x:f>
      </x:c>
      <x:c r="AP142" s="165" t="str">
        <x:f>IF(AND(AP$5&gt;=$C142,AP$5&lt;=$D142,$A142&lt;&gt;""),"●","")</x:f>
      </x:c>
      <x:c r="AQ142" s="165" t="str">
        <x:f>IF(AND(AQ$5&gt;=$C142,AQ$5&lt;=$D142,$A142&lt;&gt;""),"●","")</x:f>
      </x:c>
      <x:c r="AR142" s="165" t="str">
        <x:f>IF(AND(AR$5&gt;=$C142,AR$5&lt;=$D142,$A142&lt;&gt;""),"●","")</x:f>
      </x:c>
      <x:c r="AS142" s="165" t="str">
        <x:f>IF(AND(AS$5&gt;=$C142,AS$5&lt;=$D142,$A142&lt;&gt;""),"●","")</x:f>
      </x:c>
      <x:c r="AT142" s="165" t="str">
        <x:f>IF(AND(AT$5&gt;=$C142,AT$5&lt;=$D142,$A142&lt;&gt;""),"●","")</x:f>
      </x:c>
      <x:c r="AU142" s="165" t="str">
        <x:f>IF(AND(AU$5&gt;=$C142,AU$5&lt;=$D142,$A142&lt;&gt;""),"●","")</x:f>
      </x:c>
      <x:c r="AV142" s="165" t="str">
        <x:f>IF(AND(AV$5&gt;=$C142,AV$5&lt;=$D142,$A142&lt;&gt;""),"●","")</x:f>
      </x:c>
      <x:c r="AW142" s="165" t="str">
        <x:f>IF(AND(AW$5&gt;=$C142,AW$5&lt;=$D142,$A142&lt;&gt;""),"●","")</x:f>
      </x:c>
      <x:c r="AX142" s="165" t="str">
        <x:f>IF(AND(AX$5&gt;=$C142,AX$5&lt;=$D142,$A142&lt;&gt;""),"●","")</x:f>
      </x:c>
      <x:c r="AY142" s="165" t="str">
        <x:f>IF(AND(AY$5&gt;=$C142,AY$5&lt;=$D142,$A142&lt;&gt;""),"●","")</x:f>
      </x:c>
      <x:c r="AZ142" s="165" t="str">
        <x:f>IF(AND(AZ$5&gt;=$C142,AZ$5&lt;=$D142,$A142&lt;&gt;""),"●","")</x:f>
      </x:c>
      <x:c r="BA142" s="165" t="str">
        <x:f>IF(AND(BA$5&gt;=$C142,BA$5&lt;=$D142,$A142&lt;&gt;""),"●","")</x:f>
      </x:c>
      <x:c r="BB142" s="165" t="str">
        <x:f>IF(AND(BB$5&gt;=$C142,BB$5&lt;=$D142,$A142&lt;&gt;""),"●","")</x:f>
      </x:c>
      <x:c r="BC142" s="165" t="str">
        <x:f>IF(AND(BC$5&gt;=$C142,BC$5&lt;=$D142,$A142&lt;&gt;""),"●","")</x:f>
      </x:c>
      <x:c r="BD142" s="165" t="str">
        <x:f>IF(AND(BD$5&gt;=$C142,BD$5&lt;=$D142,$A142&lt;&gt;""),"●","")</x:f>
      </x:c>
      <x:c r="BE142" s="165" t="str">
        <x:f>IF(AND(BE$5&gt;=$C142,BE$5&lt;=$D142,$A142&lt;&gt;""),"●","")</x:f>
      </x:c>
      <x:c r="BF142" s="165" t="str">
        <x:f>IF(AND(BF$5&gt;=$C142,BF$5&lt;=$D142,$A142&lt;&gt;""),"●","")</x:f>
      </x:c>
      <x:c r="BG142" s="165" t="str">
        <x:f>IF(AND(BG$5&gt;=$C142,BG$5&lt;=$D142,$A142&lt;&gt;""),"●","")</x:f>
      </x:c>
      <x:c r="BH142" s="165" t="str">
        <x:f>IF(AND(BH$5&gt;=$C142,BH$5&lt;=$D142,$A142&lt;&gt;""),"●","")</x:f>
      </x:c>
      <x:c r="BI142" s="165" t="str">
        <x:f>IF(AND(BI$5&gt;=$C142,BI$5&lt;=$D142,$A142&lt;&gt;""),"●","")</x:f>
      </x:c>
      <x:c r="BJ142" s="165" t="str">
        <x:f>IF(AND(BJ$5&gt;=$C142,BJ$5&lt;=$D142,$A142&lt;&gt;""),"●","")</x:f>
      </x:c>
      <x:c r="BK142" s="165" t="str">
        <x:f>IF(AND(BK$5&gt;=$C142,BK$5&lt;=$D142,$A142&lt;&gt;""),"●","")</x:f>
      </x:c>
      <x:c r="BL142" s="165" t="str">
        <x:f>IF(AND(BL$5&gt;=$C142,BL$5&lt;=$D142,$A142&lt;&gt;""),"●","")</x:f>
      </x:c>
      <x:c r="BM142" s="165" t="str">
        <x:f>IF(AND(BM$5&gt;=$C142,BM$5&lt;=$D142,$A142&lt;&gt;""),"●","")</x:f>
      </x:c>
      <x:c r="BN142" s="165" t="str">
        <x:f>IF(AND(BN$5&gt;=$C142,BN$5&lt;=$D142,$A142&lt;&gt;""),"●","")</x:f>
      </x:c>
      <x:c r="BO142" s="165" t="str">
        <x:f>IF(AND(BO$5&gt;=$C142,BO$5&lt;=$D142,$A142&lt;&gt;""),"●","")</x:f>
      </x:c>
      <x:c r="BP142" s="165" t="str">
        <x:f>IF(AND(BP$5&gt;=$C142,BP$5&lt;=$D142,$A142&lt;&gt;""),"●","")</x:f>
      </x:c>
      <x:c r="BQ142" s="165" t="str">
        <x:f>IF(AND(BQ$5&gt;=$C142,BQ$5&lt;=$D142,$A142&lt;&gt;""),"●","")</x:f>
      </x:c>
      <x:c r="BR142" s="165" t="str">
        <x:f>IF(AND(BR$5&gt;=$C142,BR$5&lt;=$D142,$A142&lt;&gt;""),"●","")</x:f>
      </x:c>
      <x:c r="BS142" s="165" t="str">
        <x:f>IF(AND(BS$5&gt;=$C142,BS$5&lt;=$D142,$A142&lt;&gt;""),"●","")</x:f>
      </x:c>
      <x:c r="BT142" s="165" t="str">
        <x:f>IF(AND(BT$5&gt;=$C142,BT$5&lt;=$D142,$A142&lt;&gt;""),"●","")</x:f>
      </x:c>
      <x:c r="BU142" s="165" t="str">
        <x:f>IF(AND(BU$5&gt;=$C142,BU$5&lt;=$D142,$A142&lt;&gt;""),"●","")</x:f>
      </x:c>
      <x:c r="BV142" s="165" t="str">
        <x:f>IF(AND(BV$5&gt;=$C142,BV$5&lt;=$D142,$A142&lt;&gt;""),"●","")</x:f>
      </x:c>
      <x:c r="BW142" s="165" t="str">
        <x:f>IF(AND(BW$5&gt;=$C142,BW$5&lt;=$D142,$A142&lt;&gt;""),"●","")</x:f>
      </x:c>
    </x:row>
    <x:row r="143">
      <x:c r="A143" s="159" t="str">
        <x:f>IF('รายการสัญญา'!A143="","",'รายการสัญญา'!A143)</x:f>
      </x:c>
      <x:c r="B143" s="159" t="str">
        <x:f>IF('รายการสัญญา'!A143="","",'รายการสัญญา'!C143)</x:f>
      </x:c>
      <x:c r="C143" s="162" t="str">
        <x:f>IF('รายการสัญญา'!A143="","",'รายการสัญญา'!E143)</x:f>
      </x:c>
      <x:c r="D143" s="162" t="str">
        <x:f>IF('รายการสัญญา'!A143="","",'รายการสัญญา'!G143)</x:f>
      </x:c>
      <x:c r="E143" s="159" t="str">
        <x:f>IF('รายการสัญญา'!A143="","",'รายการสัญญา'!K143)</x:f>
      </x:c>
      <x:c r="F143" s="165" t="str">
        <x:f>IF(AND(F$5&gt;=$C143,F$5&lt;=$D143,$A143&lt;&gt;""),"●","")</x:f>
      </x:c>
      <x:c r="G143" s="165" t="str">
        <x:f>IF(AND(G$5&gt;=$C143,G$5&lt;=$D143,$A143&lt;&gt;""),"●","")</x:f>
      </x:c>
      <x:c r="H143" s="165" t="str">
        <x:f>IF(AND(H$5&gt;=$C143,H$5&lt;=$D143,$A143&lt;&gt;""),"●","")</x:f>
      </x:c>
      <x:c r="I143" s="165" t="str">
        <x:f>IF(AND(I$5&gt;=$C143,I$5&lt;=$D143,$A143&lt;&gt;""),"●","")</x:f>
      </x:c>
      <x:c r="J143" s="165" t="str">
        <x:f>IF(AND(J$5&gt;=$C143,J$5&lt;=$D143,$A143&lt;&gt;""),"●","")</x:f>
      </x:c>
      <x:c r="K143" s="165" t="str">
        <x:f>IF(AND(K$5&gt;=$C143,K$5&lt;=$D143,$A143&lt;&gt;""),"●","")</x:f>
      </x:c>
      <x:c r="L143" s="165" t="str">
        <x:f>IF(AND(L$5&gt;=$C143,L$5&lt;=$D143,$A143&lt;&gt;""),"●","")</x:f>
      </x:c>
      <x:c r="M143" s="165" t="str">
        <x:f>IF(AND(M$5&gt;=$C143,M$5&lt;=$D143,$A143&lt;&gt;""),"●","")</x:f>
      </x:c>
      <x:c r="N143" s="165" t="str">
        <x:f>IF(AND(N$5&gt;=$C143,N$5&lt;=$D143,$A143&lt;&gt;""),"●","")</x:f>
      </x:c>
      <x:c r="O143" s="165" t="str">
        <x:f>IF(AND(O$5&gt;=$C143,O$5&lt;=$D143,$A143&lt;&gt;""),"●","")</x:f>
      </x:c>
      <x:c r="P143" s="165" t="str">
        <x:f>IF(AND(P$5&gt;=$C143,P$5&lt;=$D143,$A143&lt;&gt;""),"●","")</x:f>
      </x:c>
      <x:c r="Q143" s="165" t="str">
        <x:f>IF(AND(Q$5&gt;=$C143,Q$5&lt;=$D143,$A143&lt;&gt;""),"●","")</x:f>
      </x:c>
      <x:c r="R143" s="165" t="str">
        <x:f>IF(AND(R$5&gt;=$C143,R$5&lt;=$D143,$A143&lt;&gt;""),"●","")</x:f>
      </x:c>
      <x:c r="S143" s="165" t="str">
        <x:f>IF(AND(S$5&gt;=$C143,S$5&lt;=$D143,$A143&lt;&gt;""),"●","")</x:f>
      </x:c>
      <x:c r="T143" s="165" t="str">
        <x:f>IF(AND(T$5&gt;=$C143,T$5&lt;=$D143,$A143&lt;&gt;""),"●","")</x:f>
      </x:c>
      <x:c r="U143" s="165" t="str">
        <x:f>IF(AND(U$5&gt;=$C143,U$5&lt;=$D143,$A143&lt;&gt;""),"●","")</x:f>
      </x:c>
      <x:c r="V143" s="165" t="str">
        <x:f>IF(AND(V$5&gt;=$C143,V$5&lt;=$D143,$A143&lt;&gt;""),"●","")</x:f>
      </x:c>
      <x:c r="W143" s="165" t="str">
        <x:f>IF(AND(W$5&gt;=$C143,W$5&lt;=$D143,$A143&lt;&gt;""),"●","")</x:f>
      </x:c>
      <x:c r="X143" s="165" t="str">
        <x:f>IF(AND(X$5&gt;=$C143,X$5&lt;=$D143,$A143&lt;&gt;""),"●","")</x:f>
      </x:c>
      <x:c r="Y143" s="165" t="str">
        <x:f>IF(AND(Y$5&gt;=$C143,Y$5&lt;=$D143,$A143&lt;&gt;""),"●","")</x:f>
      </x:c>
      <x:c r="Z143" s="165" t="str">
        <x:f>IF(AND(Z$5&gt;=$C143,Z$5&lt;=$D143,$A143&lt;&gt;""),"●","")</x:f>
      </x:c>
      <x:c r="AA143" s="165" t="str">
        <x:f>IF(AND(AA$5&gt;=$C143,AA$5&lt;=$D143,$A143&lt;&gt;""),"●","")</x:f>
      </x:c>
      <x:c r="AB143" s="165" t="str">
        <x:f>IF(AND(AB$5&gt;=$C143,AB$5&lt;=$D143,$A143&lt;&gt;""),"●","")</x:f>
      </x:c>
      <x:c r="AC143" s="165" t="str">
        <x:f>IF(AND(AC$5&gt;=$C143,AC$5&lt;=$D143,$A143&lt;&gt;""),"●","")</x:f>
      </x:c>
      <x:c r="AD143" s="165" t="str">
        <x:f>IF(AND(AD$5&gt;=$C143,AD$5&lt;=$D143,$A143&lt;&gt;""),"●","")</x:f>
      </x:c>
      <x:c r="AE143" s="165" t="str">
        <x:f>IF(AND(AE$5&gt;=$C143,AE$5&lt;=$D143,$A143&lt;&gt;""),"●","")</x:f>
      </x:c>
      <x:c r="AF143" s="165" t="str">
        <x:f>IF(AND(AF$5&gt;=$C143,AF$5&lt;=$D143,$A143&lt;&gt;""),"●","")</x:f>
      </x:c>
      <x:c r="AG143" s="165" t="str">
        <x:f>IF(AND(AG$5&gt;=$C143,AG$5&lt;=$D143,$A143&lt;&gt;""),"●","")</x:f>
      </x:c>
      <x:c r="AH143" s="165" t="str">
        <x:f>IF(AND(AH$5&gt;=$C143,AH$5&lt;=$D143,$A143&lt;&gt;""),"●","")</x:f>
      </x:c>
      <x:c r="AI143" s="165" t="str">
        <x:f>IF(AND(AI$5&gt;=$C143,AI$5&lt;=$D143,$A143&lt;&gt;""),"●","")</x:f>
      </x:c>
      <x:c r="AJ143" s="165" t="str">
        <x:f>IF(AND(AJ$5&gt;=$C143,AJ$5&lt;=$D143,$A143&lt;&gt;""),"●","")</x:f>
      </x:c>
      <x:c r="AK143" s="165" t="str">
        <x:f>IF(AND(AK$5&gt;=$C143,AK$5&lt;=$D143,$A143&lt;&gt;""),"●","")</x:f>
      </x:c>
      <x:c r="AL143" s="165" t="str">
        <x:f>IF(AND(AL$5&gt;=$C143,AL$5&lt;=$D143,$A143&lt;&gt;""),"●","")</x:f>
      </x:c>
      <x:c r="AM143" s="165" t="str">
        <x:f>IF(AND(AM$5&gt;=$C143,AM$5&lt;=$D143,$A143&lt;&gt;""),"●","")</x:f>
      </x:c>
      <x:c r="AN143" s="165" t="str">
        <x:f>IF(AND(AN$5&gt;=$C143,AN$5&lt;=$D143,$A143&lt;&gt;""),"●","")</x:f>
      </x:c>
      <x:c r="AO143" s="165" t="str">
        <x:f>IF(AND(AO$5&gt;=$C143,AO$5&lt;=$D143,$A143&lt;&gt;""),"●","")</x:f>
      </x:c>
      <x:c r="AP143" s="165" t="str">
        <x:f>IF(AND(AP$5&gt;=$C143,AP$5&lt;=$D143,$A143&lt;&gt;""),"●","")</x:f>
      </x:c>
      <x:c r="AQ143" s="165" t="str">
        <x:f>IF(AND(AQ$5&gt;=$C143,AQ$5&lt;=$D143,$A143&lt;&gt;""),"●","")</x:f>
      </x:c>
      <x:c r="AR143" s="165" t="str">
        <x:f>IF(AND(AR$5&gt;=$C143,AR$5&lt;=$D143,$A143&lt;&gt;""),"●","")</x:f>
      </x:c>
      <x:c r="AS143" s="165" t="str">
        <x:f>IF(AND(AS$5&gt;=$C143,AS$5&lt;=$D143,$A143&lt;&gt;""),"●","")</x:f>
      </x:c>
      <x:c r="AT143" s="165" t="str">
        <x:f>IF(AND(AT$5&gt;=$C143,AT$5&lt;=$D143,$A143&lt;&gt;""),"●","")</x:f>
      </x:c>
      <x:c r="AU143" s="165" t="str">
        <x:f>IF(AND(AU$5&gt;=$C143,AU$5&lt;=$D143,$A143&lt;&gt;""),"●","")</x:f>
      </x:c>
      <x:c r="AV143" s="165" t="str">
        <x:f>IF(AND(AV$5&gt;=$C143,AV$5&lt;=$D143,$A143&lt;&gt;""),"●","")</x:f>
      </x:c>
      <x:c r="AW143" s="165" t="str">
        <x:f>IF(AND(AW$5&gt;=$C143,AW$5&lt;=$D143,$A143&lt;&gt;""),"●","")</x:f>
      </x:c>
      <x:c r="AX143" s="165" t="str">
        <x:f>IF(AND(AX$5&gt;=$C143,AX$5&lt;=$D143,$A143&lt;&gt;""),"●","")</x:f>
      </x:c>
      <x:c r="AY143" s="165" t="str">
        <x:f>IF(AND(AY$5&gt;=$C143,AY$5&lt;=$D143,$A143&lt;&gt;""),"●","")</x:f>
      </x:c>
      <x:c r="AZ143" s="165" t="str">
        <x:f>IF(AND(AZ$5&gt;=$C143,AZ$5&lt;=$D143,$A143&lt;&gt;""),"●","")</x:f>
      </x:c>
      <x:c r="BA143" s="165" t="str">
        <x:f>IF(AND(BA$5&gt;=$C143,BA$5&lt;=$D143,$A143&lt;&gt;""),"●","")</x:f>
      </x:c>
      <x:c r="BB143" s="165" t="str">
        <x:f>IF(AND(BB$5&gt;=$C143,BB$5&lt;=$D143,$A143&lt;&gt;""),"●","")</x:f>
      </x:c>
      <x:c r="BC143" s="165" t="str">
        <x:f>IF(AND(BC$5&gt;=$C143,BC$5&lt;=$D143,$A143&lt;&gt;""),"●","")</x:f>
      </x:c>
      <x:c r="BD143" s="165" t="str">
        <x:f>IF(AND(BD$5&gt;=$C143,BD$5&lt;=$D143,$A143&lt;&gt;""),"●","")</x:f>
      </x:c>
      <x:c r="BE143" s="165" t="str">
        <x:f>IF(AND(BE$5&gt;=$C143,BE$5&lt;=$D143,$A143&lt;&gt;""),"●","")</x:f>
      </x:c>
      <x:c r="BF143" s="165" t="str">
        <x:f>IF(AND(BF$5&gt;=$C143,BF$5&lt;=$D143,$A143&lt;&gt;""),"●","")</x:f>
      </x:c>
      <x:c r="BG143" s="165" t="str">
        <x:f>IF(AND(BG$5&gt;=$C143,BG$5&lt;=$D143,$A143&lt;&gt;""),"●","")</x:f>
      </x:c>
      <x:c r="BH143" s="165" t="str">
        <x:f>IF(AND(BH$5&gt;=$C143,BH$5&lt;=$D143,$A143&lt;&gt;""),"●","")</x:f>
      </x:c>
      <x:c r="BI143" s="165" t="str">
        <x:f>IF(AND(BI$5&gt;=$C143,BI$5&lt;=$D143,$A143&lt;&gt;""),"●","")</x:f>
      </x:c>
      <x:c r="BJ143" s="165" t="str">
        <x:f>IF(AND(BJ$5&gt;=$C143,BJ$5&lt;=$D143,$A143&lt;&gt;""),"●","")</x:f>
      </x:c>
      <x:c r="BK143" s="165" t="str">
        <x:f>IF(AND(BK$5&gt;=$C143,BK$5&lt;=$D143,$A143&lt;&gt;""),"●","")</x:f>
      </x:c>
      <x:c r="BL143" s="165" t="str">
        <x:f>IF(AND(BL$5&gt;=$C143,BL$5&lt;=$D143,$A143&lt;&gt;""),"●","")</x:f>
      </x:c>
      <x:c r="BM143" s="165" t="str">
        <x:f>IF(AND(BM$5&gt;=$C143,BM$5&lt;=$D143,$A143&lt;&gt;""),"●","")</x:f>
      </x:c>
      <x:c r="BN143" s="165" t="str">
        <x:f>IF(AND(BN$5&gt;=$C143,BN$5&lt;=$D143,$A143&lt;&gt;""),"●","")</x:f>
      </x:c>
      <x:c r="BO143" s="165" t="str">
        <x:f>IF(AND(BO$5&gt;=$C143,BO$5&lt;=$D143,$A143&lt;&gt;""),"●","")</x:f>
      </x:c>
      <x:c r="BP143" s="165" t="str">
        <x:f>IF(AND(BP$5&gt;=$C143,BP$5&lt;=$D143,$A143&lt;&gt;""),"●","")</x:f>
      </x:c>
      <x:c r="BQ143" s="165" t="str">
        <x:f>IF(AND(BQ$5&gt;=$C143,BQ$5&lt;=$D143,$A143&lt;&gt;""),"●","")</x:f>
      </x:c>
      <x:c r="BR143" s="165" t="str">
        <x:f>IF(AND(BR$5&gt;=$C143,BR$5&lt;=$D143,$A143&lt;&gt;""),"●","")</x:f>
      </x:c>
      <x:c r="BS143" s="165" t="str">
        <x:f>IF(AND(BS$5&gt;=$C143,BS$5&lt;=$D143,$A143&lt;&gt;""),"●","")</x:f>
      </x:c>
      <x:c r="BT143" s="165" t="str">
        <x:f>IF(AND(BT$5&gt;=$C143,BT$5&lt;=$D143,$A143&lt;&gt;""),"●","")</x:f>
      </x:c>
      <x:c r="BU143" s="165" t="str">
        <x:f>IF(AND(BU$5&gt;=$C143,BU$5&lt;=$D143,$A143&lt;&gt;""),"●","")</x:f>
      </x:c>
      <x:c r="BV143" s="165" t="str">
        <x:f>IF(AND(BV$5&gt;=$C143,BV$5&lt;=$D143,$A143&lt;&gt;""),"●","")</x:f>
      </x:c>
      <x:c r="BW143" s="165" t="str">
        <x:f>IF(AND(BW$5&gt;=$C143,BW$5&lt;=$D143,$A143&lt;&gt;""),"●","")</x:f>
      </x:c>
    </x:row>
    <x:row r="144">
      <x:c r="A144" s="159" t="str">
        <x:f>IF('รายการสัญญา'!A144="","",'รายการสัญญา'!A144)</x:f>
      </x:c>
      <x:c r="B144" s="159" t="str">
        <x:f>IF('รายการสัญญา'!A144="","",'รายการสัญญา'!C144)</x:f>
      </x:c>
      <x:c r="C144" s="162" t="str">
        <x:f>IF('รายการสัญญา'!A144="","",'รายการสัญญา'!E144)</x:f>
      </x:c>
      <x:c r="D144" s="162" t="str">
        <x:f>IF('รายการสัญญา'!A144="","",'รายการสัญญา'!G144)</x:f>
      </x:c>
      <x:c r="E144" s="159" t="str">
        <x:f>IF('รายการสัญญา'!A144="","",'รายการสัญญา'!K144)</x:f>
      </x:c>
      <x:c r="F144" s="165" t="str">
        <x:f>IF(AND(F$5&gt;=$C144,F$5&lt;=$D144,$A144&lt;&gt;""),"●","")</x:f>
      </x:c>
      <x:c r="G144" s="165" t="str">
        <x:f>IF(AND(G$5&gt;=$C144,G$5&lt;=$D144,$A144&lt;&gt;""),"●","")</x:f>
      </x:c>
      <x:c r="H144" s="165" t="str">
        <x:f>IF(AND(H$5&gt;=$C144,H$5&lt;=$D144,$A144&lt;&gt;""),"●","")</x:f>
      </x:c>
      <x:c r="I144" s="165" t="str">
        <x:f>IF(AND(I$5&gt;=$C144,I$5&lt;=$D144,$A144&lt;&gt;""),"●","")</x:f>
      </x:c>
      <x:c r="J144" s="165" t="str">
        <x:f>IF(AND(J$5&gt;=$C144,J$5&lt;=$D144,$A144&lt;&gt;""),"●","")</x:f>
      </x:c>
      <x:c r="K144" s="165" t="str">
        <x:f>IF(AND(K$5&gt;=$C144,K$5&lt;=$D144,$A144&lt;&gt;""),"●","")</x:f>
      </x:c>
      <x:c r="L144" s="165" t="str">
        <x:f>IF(AND(L$5&gt;=$C144,L$5&lt;=$D144,$A144&lt;&gt;""),"●","")</x:f>
      </x:c>
      <x:c r="M144" s="165" t="str">
        <x:f>IF(AND(M$5&gt;=$C144,M$5&lt;=$D144,$A144&lt;&gt;""),"●","")</x:f>
      </x:c>
      <x:c r="N144" s="165" t="str">
        <x:f>IF(AND(N$5&gt;=$C144,N$5&lt;=$D144,$A144&lt;&gt;""),"●","")</x:f>
      </x:c>
      <x:c r="O144" s="165" t="str">
        <x:f>IF(AND(O$5&gt;=$C144,O$5&lt;=$D144,$A144&lt;&gt;""),"●","")</x:f>
      </x:c>
      <x:c r="P144" s="165" t="str">
        <x:f>IF(AND(P$5&gt;=$C144,P$5&lt;=$D144,$A144&lt;&gt;""),"●","")</x:f>
      </x:c>
      <x:c r="Q144" s="165" t="str">
        <x:f>IF(AND(Q$5&gt;=$C144,Q$5&lt;=$D144,$A144&lt;&gt;""),"●","")</x:f>
      </x:c>
      <x:c r="R144" s="165" t="str">
        <x:f>IF(AND(R$5&gt;=$C144,R$5&lt;=$D144,$A144&lt;&gt;""),"●","")</x:f>
      </x:c>
      <x:c r="S144" s="165" t="str">
        <x:f>IF(AND(S$5&gt;=$C144,S$5&lt;=$D144,$A144&lt;&gt;""),"●","")</x:f>
      </x:c>
      <x:c r="T144" s="165" t="str">
        <x:f>IF(AND(T$5&gt;=$C144,T$5&lt;=$D144,$A144&lt;&gt;""),"●","")</x:f>
      </x:c>
      <x:c r="U144" s="165" t="str">
        <x:f>IF(AND(U$5&gt;=$C144,U$5&lt;=$D144,$A144&lt;&gt;""),"●","")</x:f>
      </x:c>
      <x:c r="V144" s="165" t="str">
        <x:f>IF(AND(V$5&gt;=$C144,V$5&lt;=$D144,$A144&lt;&gt;""),"●","")</x:f>
      </x:c>
      <x:c r="W144" s="165" t="str">
        <x:f>IF(AND(W$5&gt;=$C144,W$5&lt;=$D144,$A144&lt;&gt;""),"●","")</x:f>
      </x:c>
      <x:c r="X144" s="165" t="str">
        <x:f>IF(AND(X$5&gt;=$C144,X$5&lt;=$D144,$A144&lt;&gt;""),"●","")</x:f>
      </x:c>
      <x:c r="Y144" s="165" t="str">
        <x:f>IF(AND(Y$5&gt;=$C144,Y$5&lt;=$D144,$A144&lt;&gt;""),"●","")</x:f>
      </x:c>
      <x:c r="Z144" s="165" t="str">
        <x:f>IF(AND(Z$5&gt;=$C144,Z$5&lt;=$D144,$A144&lt;&gt;""),"●","")</x:f>
      </x:c>
      <x:c r="AA144" s="165" t="str">
        <x:f>IF(AND(AA$5&gt;=$C144,AA$5&lt;=$D144,$A144&lt;&gt;""),"●","")</x:f>
      </x:c>
      <x:c r="AB144" s="165" t="str">
        <x:f>IF(AND(AB$5&gt;=$C144,AB$5&lt;=$D144,$A144&lt;&gt;""),"●","")</x:f>
      </x:c>
      <x:c r="AC144" s="165" t="str">
        <x:f>IF(AND(AC$5&gt;=$C144,AC$5&lt;=$D144,$A144&lt;&gt;""),"●","")</x:f>
      </x:c>
      <x:c r="AD144" s="165" t="str">
        <x:f>IF(AND(AD$5&gt;=$C144,AD$5&lt;=$D144,$A144&lt;&gt;""),"●","")</x:f>
      </x:c>
      <x:c r="AE144" s="165" t="str">
        <x:f>IF(AND(AE$5&gt;=$C144,AE$5&lt;=$D144,$A144&lt;&gt;""),"●","")</x:f>
      </x:c>
      <x:c r="AF144" s="165" t="str">
        <x:f>IF(AND(AF$5&gt;=$C144,AF$5&lt;=$D144,$A144&lt;&gt;""),"●","")</x:f>
      </x:c>
      <x:c r="AG144" s="165" t="str">
        <x:f>IF(AND(AG$5&gt;=$C144,AG$5&lt;=$D144,$A144&lt;&gt;""),"●","")</x:f>
      </x:c>
      <x:c r="AH144" s="165" t="str">
        <x:f>IF(AND(AH$5&gt;=$C144,AH$5&lt;=$D144,$A144&lt;&gt;""),"●","")</x:f>
      </x:c>
      <x:c r="AI144" s="165" t="str">
        <x:f>IF(AND(AI$5&gt;=$C144,AI$5&lt;=$D144,$A144&lt;&gt;""),"●","")</x:f>
      </x:c>
      <x:c r="AJ144" s="165" t="str">
        <x:f>IF(AND(AJ$5&gt;=$C144,AJ$5&lt;=$D144,$A144&lt;&gt;""),"●","")</x:f>
      </x:c>
      <x:c r="AK144" s="165" t="str">
        <x:f>IF(AND(AK$5&gt;=$C144,AK$5&lt;=$D144,$A144&lt;&gt;""),"●","")</x:f>
      </x:c>
      <x:c r="AL144" s="165" t="str">
        <x:f>IF(AND(AL$5&gt;=$C144,AL$5&lt;=$D144,$A144&lt;&gt;""),"●","")</x:f>
      </x:c>
      <x:c r="AM144" s="165" t="str">
        <x:f>IF(AND(AM$5&gt;=$C144,AM$5&lt;=$D144,$A144&lt;&gt;""),"●","")</x:f>
      </x:c>
      <x:c r="AN144" s="165" t="str">
        <x:f>IF(AND(AN$5&gt;=$C144,AN$5&lt;=$D144,$A144&lt;&gt;""),"●","")</x:f>
      </x:c>
      <x:c r="AO144" s="165" t="str">
        <x:f>IF(AND(AO$5&gt;=$C144,AO$5&lt;=$D144,$A144&lt;&gt;""),"●","")</x:f>
      </x:c>
      <x:c r="AP144" s="165" t="str">
        <x:f>IF(AND(AP$5&gt;=$C144,AP$5&lt;=$D144,$A144&lt;&gt;""),"●","")</x:f>
      </x:c>
      <x:c r="AQ144" s="165" t="str">
        <x:f>IF(AND(AQ$5&gt;=$C144,AQ$5&lt;=$D144,$A144&lt;&gt;""),"●","")</x:f>
      </x:c>
      <x:c r="AR144" s="165" t="str">
        <x:f>IF(AND(AR$5&gt;=$C144,AR$5&lt;=$D144,$A144&lt;&gt;""),"●","")</x:f>
      </x:c>
      <x:c r="AS144" s="165" t="str">
        <x:f>IF(AND(AS$5&gt;=$C144,AS$5&lt;=$D144,$A144&lt;&gt;""),"●","")</x:f>
      </x:c>
      <x:c r="AT144" s="165" t="str">
        <x:f>IF(AND(AT$5&gt;=$C144,AT$5&lt;=$D144,$A144&lt;&gt;""),"●","")</x:f>
      </x:c>
      <x:c r="AU144" s="165" t="str">
        <x:f>IF(AND(AU$5&gt;=$C144,AU$5&lt;=$D144,$A144&lt;&gt;""),"●","")</x:f>
      </x:c>
      <x:c r="AV144" s="165" t="str">
        <x:f>IF(AND(AV$5&gt;=$C144,AV$5&lt;=$D144,$A144&lt;&gt;""),"●","")</x:f>
      </x:c>
      <x:c r="AW144" s="165" t="str">
        <x:f>IF(AND(AW$5&gt;=$C144,AW$5&lt;=$D144,$A144&lt;&gt;""),"●","")</x:f>
      </x:c>
      <x:c r="AX144" s="165" t="str">
        <x:f>IF(AND(AX$5&gt;=$C144,AX$5&lt;=$D144,$A144&lt;&gt;""),"●","")</x:f>
      </x:c>
      <x:c r="AY144" s="165" t="str">
        <x:f>IF(AND(AY$5&gt;=$C144,AY$5&lt;=$D144,$A144&lt;&gt;""),"●","")</x:f>
      </x:c>
      <x:c r="AZ144" s="165" t="str">
        <x:f>IF(AND(AZ$5&gt;=$C144,AZ$5&lt;=$D144,$A144&lt;&gt;""),"●","")</x:f>
      </x:c>
      <x:c r="BA144" s="165" t="str">
        <x:f>IF(AND(BA$5&gt;=$C144,BA$5&lt;=$D144,$A144&lt;&gt;""),"●","")</x:f>
      </x:c>
      <x:c r="BB144" s="165" t="str">
        <x:f>IF(AND(BB$5&gt;=$C144,BB$5&lt;=$D144,$A144&lt;&gt;""),"●","")</x:f>
      </x:c>
      <x:c r="BC144" s="165" t="str">
        <x:f>IF(AND(BC$5&gt;=$C144,BC$5&lt;=$D144,$A144&lt;&gt;""),"●","")</x:f>
      </x:c>
      <x:c r="BD144" s="165" t="str">
        <x:f>IF(AND(BD$5&gt;=$C144,BD$5&lt;=$D144,$A144&lt;&gt;""),"●","")</x:f>
      </x:c>
      <x:c r="BE144" s="165" t="str">
        <x:f>IF(AND(BE$5&gt;=$C144,BE$5&lt;=$D144,$A144&lt;&gt;""),"●","")</x:f>
      </x:c>
      <x:c r="BF144" s="165" t="str">
        <x:f>IF(AND(BF$5&gt;=$C144,BF$5&lt;=$D144,$A144&lt;&gt;""),"●","")</x:f>
      </x:c>
      <x:c r="BG144" s="165" t="str">
        <x:f>IF(AND(BG$5&gt;=$C144,BG$5&lt;=$D144,$A144&lt;&gt;""),"●","")</x:f>
      </x:c>
      <x:c r="BH144" s="165" t="str">
        <x:f>IF(AND(BH$5&gt;=$C144,BH$5&lt;=$D144,$A144&lt;&gt;""),"●","")</x:f>
      </x:c>
      <x:c r="BI144" s="165" t="str">
        <x:f>IF(AND(BI$5&gt;=$C144,BI$5&lt;=$D144,$A144&lt;&gt;""),"●","")</x:f>
      </x:c>
      <x:c r="BJ144" s="165" t="str">
        <x:f>IF(AND(BJ$5&gt;=$C144,BJ$5&lt;=$D144,$A144&lt;&gt;""),"●","")</x:f>
      </x:c>
      <x:c r="BK144" s="165" t="str">
        <x:f>IF(AND(BK$5&gt;=$C144,BK$5&lt;=$D144,$A144&lt;&gt;""),"●","")</x:f>
      </x:c>
      <x:c r="BL144" s="165" t="str">
        <x:f>IF(AND(BL$5&gt;=$C144,BL$5&lt;=$D144,$A144&lt;&gt;""),"●","")</x:f>
      </x:c>
      <x:c r="BM144" s="165" t="str">
        <x:f>IF(AND(BM$5&gt;=$C144,BM$5&lt;=$D144,$A144&lt;&gt;""),"●","")</x:f>
      </x:c>
      <x:c r="BN144" s="165" t="str">
        <x:f>IF(AND(BN$5&gt;=$C144,BN$5&lt;=$D144,$A144&lt;&gt;""),"●","")</x:f>
      </x:c>
      <x:c r="BO144" s="165" t="str">
        <x:f>IF(AND(BO$5&gt;=$C144,BO$5&lt;=$D144,$A144&lt;&gt;""),"●","")</x:f>
      </x:c>
      <x:c r="BP144" s="165" t="str">
        <x:f>IF(AND(BP$5&gt;=$C144,BP$5&lt;=$D144,$A144&lt;&gt;""),"●","")</x:f>
      </x:c>
      <x:c r="BQ144" s="165" t="str">
        <x:f>IF(AND(BQ$5&gt;=$C144,BQ$5&lt;=$D144,$A144&lt;&gt;""),"●","")</x:f>
      </x:c>
      <x:c r="BR144" s="165" t="str">
        <x:f>IF(AND(BR$5&gt;=$C144,BR$5&lt;=$D144,$A144&lt;&gt;""),"●","")</x:f>
      </x:c>
      <x:c r="BS144" s="165" t="str">
        <x:f>IF(AND(BS$5&gt;=$C144,BS$5&lt;=$D144,$A144&lt;&gt;""),"●","")</x:f>
      </x:c>
      <x:c r="BT144" s="165" t="str">
        <x:f>IF(AND(BT$5&gt;=$C144,BT$5&lt;=$D144,$A144&lt;&gt;""),"●","")</x:f>
      </x:c>
      <x:c r="BU144" s="165" t="str">
        <x:f>IF(AND(BU$5&gt;=$C144,BU$5&lt;=$D144,$A144&lt;&gt;""),"●","")</x:f>
      </x:c>
      <x:c r="BV144" s="165" t="str">
        <x:f>IF(AND(BV$5&gt;=$C144,BV$5&lt;=$D144,$A144&lt;&gt;""),"●","")</x:f>
      </x:c>
      <x:c r="BW144" s="165" t="str">
        <x:f>IF(AND(BW$5&gt;=$C144,BW$5&lt;=$D144,$A144&lt;&gt;""),"●","")</x:f>
      </x:c>
    </x:row>
    <x:row r="145">
      <x:c r="A145" s="159" t="str">
        <x:f>IF('รายการสัญญา'!A145="","",'รายการสัญญา'!A145)</x:f>
      </x:c>
      <x:c r="B145" s="159" t="str">
        <x:f>IF('รายการสัญญา'!A145="","",'รายการสัญญา'!C145)</x:f>
      </x:c>
      <x:c r="C145" s="162" t="str">
        <x:f>IF('รายการสัญญา'!A145="","",'รายการสัญญา'!E145)</x:f>
      </x:c>
      <x:c r="D145" s="162" t="str">
        <x:f>IF('รายการสัญญา'!A145="","",'รายการสัญญา'!G145)</x:f>
      </x:c>
      <x:c r="E145" s="159" t="str">
        <x:f>IF('รายการสัญญา'!A145="","",'รายการสัญญา'!K145)</x:f>
      </x:c>
      <x:c r="F145" s="165" t="str">
        <x:f>IF(AND(F$5&gt;=$C145,F$5&lt;=$D145,$A145&lt;&gt;""),"●","")</x:f>
      </x:c>
      <x:c r="G145" s="165" t="str">
        <x:f>IF(AND(G$5&gt;=$C145,G$5&lt;=$D145,$A145&lt;&gt;""),"●","")</x:f>
      </x:c>
      <x:c r="H145" s="165" t="str">
        <x:f>IF(AND(H$5&gt;=$C145,H$5&lt;=$D145,$A145&lt;&gt;""),"●","")</x:f>
      </x:c>
      <x:c r="I145" s="165" t="str">
        <x:f>IF(AND(I$5&gt;=$C145,I$5&lt;=$D145,$A145&lt;&gt;""),"●","")</x:f>
      </x:c>
      <x:c r="J145" s="165" t="str">
        <x:f>IF(AND(J$5&gt;=$C145,J$5&lt;=$D145,$A145&lt;&gt;""),"●","")</x:f>
      </x:c>
      <x:c r="K145" s="165" t="str">
        <x:f>IF(AND(K$5&gt;=$C145,K$5&lt;=$D145,$A145&lt;&gt;""),"●","")</x:f>
      </x:c>
      <x:c r="L145" s="165" t="str">
        <x:f>IF(AND(L$5&gt;=$C145,L$5&lt;=$D145,$A145&lt;&gt;""),"●","")</x:f>
      </x:c>
      <x:c r="M145" s="165" t="str">
        <x:f>IF(AND(M$5&gt;=$C145,M$5&lt;=$D145,$A145&lt;&gt;""),"●","")</x:f>
      </x:c>
      <x:c r="N145" s="165" t="str">
        <x:f>IF(AND(N$5&gt;=$C145,N$5&lt;=$D145,$A145&lt;&gt;""),"●","")</x:f>
      </x:c>
      <x:c r="O145" s="165" t="str">
        <x:f>IF(AND(O$5&gt;=$C145,O$5&lt;=$D145,$A145&lt;&gt;""),"●","")</x:f>
      </x:c>
      <x:c r="P145" s="165" t="str">
        <x:f>IF(AND(P$5&gt;=$C145,P$5&lt;=$D145,$A145&lt;&gt;""),"●","")</x:f>
      </x:c>
      <x:c r="Q145" s="165" t="str">
        <x:f>IF(AND(Q$5&gt;=$C145,Q$5&lt;=$D145,$A145&lt;&gt;""),"●","")</x:f>
      </x:c>
      <x:c r="R145" s="165" t="str">
        <x:f>IF(AND(R$5&gt;=$C145,R$5&lt;=$D145,$A145&lt;&gt;""),"●","")</x:f>
      </x:c>
      <x:c r="S145" s="165" t="str">
        <x:f>IF(AND(S$5&gt;=$C145,S$5&lt;=$D145,$A145&lt;&gt;""),"●","")</x:f>
      </x:c>
      <x:c r="T145" s="165" t="str">
        <x:f>IF(AND(T$5&gt;=$C145,T$5&lt;=$D145,$A145&lt;&gt;""),"●","")</x:f>
      </x:c>
      <x:c r="U145" s="165" t="str">
        <x:f>IF(AND(U$5&gt;=$C145,U$5&lt;=$D145,$A145&lt;&gt;""),"●","")</x:f>
      </x:c>
      <x:c r="V145" s="165" t="str">
        <x:f>IF(AND(V$5&gt;=$C145,V$5&lt;=$D145,$A145&lt;&gt;""),"●","")</x:f>
      </x:c>
      <x:c r="W145" s="165" t="str">
        <x:f>IF(AND(W$5&gt;=$C145,W$5&lt;=$D145,$A145&lt;&gt;""),"●","")</x:f>
      </x:c>
      <x:c r="X145" s="165" t="str">
        <x:f>IF(AND(X$5&gt;=$C145,X$5&lt;=$D145,$A145&lt;&gt;""),"●","")</x:f>
      </x:c>
      <x:c r="Y145" s="165" t="str">
        <x:f>IF(AND(Y$5&gt;=$C145,Y$5&lt;=$D145,$A145&lt;&gt;""),"●","")</x:f>
      </x:c>
      <x:c r="Z145" s="165" t="str">
        <x:f>IF(AND(Z$5&gt;=$C145,Z$5&lt;=$D145,$A145&lt;&gt;""),"●","")</x:f>
      </x:c>
      <x:c r="AA145" s="165" t="str">
        <x:f>IF(AND(AA$5&gt;=$C145,AA$5&lt;=$D145,$A145&lt;&gt;""),"●","")</x:f>
      </x:c>
      <x:c r="AB145" s="165" t="str">
        <x:f>IF(AND(AB$5&gt;=$C145,AB$5&lt;=$D145,$A145&lt;&gt;""),"●","")</x:f>
      </x:c>
      <x:c r="AC145" s="165" t="str">
        <x:f>IF(AND(AC$5&gt;=$C145,AC$5&lt;=$D145,$A145&lt;&gt;""),"●","")</x:f>
      </x:c>
      <x:c r="AD145" s="165" t="str">
        <x:f>IF(AND(AD$5&gt;=$C145,AD$5&lt;=$D145,$A145&lt;&gt;""),"●","")</x:f>
      </x:c>
      <x:c r="AE145" s="165" t="str">
        <x:f>IF(AND(AE$5&gt;=$C145,AE$5&lt;=$D145,$A145&lt;&gt;""),"●","")</x:f>
      </x:c>
      <x:c r="AF145" s="165" t="str">
        <x:f>IF(AND(AF$5&gt;=$C145,AF$5&lt;=$D145,$A145&lt;&gt;""),"●","")</x:f>
      </x:c>
      <x:c r="AG145" s="165" t="str">
        <x:f>IF(AND(AG$5&gt;=$C145,AG$5&lt;=$D145,$A145&lt;&gt;""),"●","")</x:f>
      </x:c>
      <x:c r="AH145" s="165" t="str">
        <x:f>IF(AND(AH$5&gt;=$C145,AH$5&lt;=$D145,$A145&lt;&gt;""),"●","")</x:f>
      </x:c>
      <x:c r="AI145" s="165" t="str">
        <x:f>IF(AND(AI$5&gt;=$C145,AI$5&lt;=$D145,$A145&lt;&gt;""),"●","")</x:f>
      </x:c>
      <x:c r="AJ145" s="165" t="str">
        <x:f>IF(AND(AJ$5&gt;=$C145,AJ$5&lt;=$D145,$A145&lt;&gt;""),"●","")</x:f>
      </x:c>
      <x:c r="AK145" s="165" t="str">
        <x:f>IF(AND(AK$5&gt;=$C145,AK$5&lt;=$D145,$A145&lt;&gt;""),"●","")</x:f>
      </x:c>
      <x:c r="AL145" s="165" t="str">
        <x:f>IF(AND(AL$5&gt;=$C145,AL$5&lt;=$D145,$A145&lt;&gt;""),"●","")</x:f>
      </x:c>
      <x:c r="AM145" s="165" t="str">
        <x:f>IF(AND(AM$5&gt;=$C145,AM$5&lt;=$D145,$A145&lt;&gt;""),"●","")</x:f>
      </x:c>
      <x:c r="AN145" s="165" t="str">
        <x:f>IF(AND(AN$5&gt;=$C145,AN$5&lt;=$D145,$A145&lt;&gt;""),"●","")</x:f>
      </x:c>
      <x:c r="AO145" s="165" t="str">
        <x:f>IF(AND(AO$5&gt;=$C145,AO$5&lt;=$D145,$A145&lt;&gt;""),"●","")</x:f>
      </x:c>
      <x:c r="AP145" s="165" t="str">
        <x:f>IF(AND(AP$5&gt;=$C145,AP$5&lt;=$D145,$A145&lt;&gt;""),"●","")</x:f>
      </x:c>
      <x:c r="AQ145" s="165" t="str">
        <x:f>IF(AND(AQ$5&gt;=$C145,AQ$5&lt;=$D145,$A145&lt;&gt;""),"●","")</x:f>
      </x:c>
      <x:c r="AR145" s="165" t="str">
        <x:f>IF(AND(AR$5&gt;=$C145,AR$5&lt;=$D145,$A145&lt;&gt;""),"●","")</x:f>
      </x:c>
      <x:c r="AS145" s="165" t="str">
        <x:f>IF(AND(AS$5&gt;=$C145,AS$5&lt;=$D145,$A145&lt;&gt;""),"●","")</x:f>
      </x:c>
      <x:c r="AT145" s="165" t="str">
        <x:f>IF(AND(AT$5&gt;=$C145,AT$5&lt;=$D145,$A145&lt;&gt;""),"●","")</x:f>
      </x:c>
      <x:c r="AU145" s="165" t="str">
        <x:f>IF(AND(AU$5&gt;=$C145,AU$5&lt;=$D145,$A145&lt;&gt;""),"●","")</x:f>
      </x:c>
      <x:c r="AV145" s="165" t="str">
        <x:f>IF(AND(AV$5&gt;=$C145,AV$5&lt;=$D145,$A145&lt;&gt;""),"●","")</x:f>
      </x:c>
      <x:c r="AW145" s="165" t="str">
        <x:f>IF(AND(AW$5&gt;=$C145,AW$5&lt;=$D145,$A145&lt;&gt;""),"●","")</x:f>
      </x:c>
      <x:c r="AX145" s="165" t="str">
        <x:f>IF(AND(AX$5&gt;=$C145,AX$5&lt;=$D145,$A145&lt;&gt;""),"●","")</x:f>
      </x:c>
      <x:c r="AY145" s="165" t="str">
        <x:f>IF(AND(AY$5&gt;=$C145,AY$5&lt;=$D145,$A145&lt;&gt;""),"●","")</x:f>
      </x:c>
      <x:c r="AZ145" s="165" t="str">
        <x:f>IF(AND(AZ$5&gt;=$C145,AZ$5&lt;=$D145,$A145&lt;&gt;""),"●","")</x:f>
      </x:c>
      <x:c r="BA145" s="165" t="str">
        <x:f>IF(AND(BA$5&gt;=$C145,BA$5&lt;=$D145,$A145&lt;&gt;""),"●","")</x:f>
      </x:c>
      <x:c r="BB145" s="165" t="str">
        <x:f>IF(AND(BB$5&gt;=$C145,BB$5&lt;=$D145,$A145&lt;&gt;""),"●","")</x:f>
      </x:c>
      <x:c r="BC145" s="165" t="str">
        <x:f>IF(AND(BC$5&gt;=$C145,BC$5&lt;=$D145,$A145&lt;&gt;""),"●","")</x:f>
      </x:c>
      <x:c r="BD145" s="165" t="str">
        <x:f>IF(AND(BD$5&gt;=$C145,BD$5&lt;=$D145,$A145&lt;&gt;""),"●","")</x:f>
      </x:c>
      <x:c r="BE145" s="165" t="str">
        <x:f>IF(AND(BE$5&gt;=$C145,BE$5&lt;=$D145,$A145&lt;&gt;""),"●","")</x:f>
      </x:c>
      <x:c r="BF145" s="165" t="str">
        <x:f>IF(AND(BF$5&gt;=$C145,BF$5&lt;=$D145,$A145&lt;&gt;""),"●","")</x:f>
      </x:c>
      <x:c r="BG145" s="165" t="str">
        <x:f>IF(AND(BG$5&gt;=$C145,BG$5&lt;=$D145,$A145&lt;&gt;""),"●","")</x:f>
      </x:c>
      <x:c r="BH145" s="165" t="str">
        <x:f>IF(AND(BH$5&gt;=$C145,BH$5&lt;=$D145,$A145&lt;&gt;""),"●","")</x:f>
      </x:c>
      <x:c r="BI145" s="165" t="str">
        <x:f>IF(AND(BI$5&gt;=$C145,BI$5&lt;=$D145,$A145&lt;&gt;""),"●","")</x:f>
      </x:c>
      <x:c r="BJ145" s="165" t="str">
        <x:f>IF(AND(BJ$5&gt;=$C145,BJ$5&lt;=$D145,$A145&lt;&gt;""),"●","")</x:f>
      </x:c>
      <x:c r="BK145" s="165" t="str">
        <x:f>IF(AND(BK$5&gt;=$C145,BK$5&lt;=$D145,$A145&lt;&gt;""),"●","")</x:f>
      </x:c>
      <x:c r="BL145" s="165" t="str">
        <x:f>IF(AND(BL$5&gt;=$C145,BL$5&lt;=$D145,$A145&lt;&gt;""),"●","")</x:f>
      </x:c>
      <x:c r="BM145" s="165" t="str">
        <x:f>IF(AND(BM$5&gt;=$C145,BM$5&lt;=$D145,$A145&lt;&gt;""),"●","")</x:f>
      </x:c>
      <x:c r="BN145" s="165" t="str">
        <x:f>IF(AND(BN$5&gt;=$C145,BN$5&lt;=$D145,$A145&lt;&gt;""),"●","")</x:f>
      </x:c>
      <x:c r="BO145" s="165" t="str">
        <x:f>IF(AND(BO$5&gt;=$C145,BO$5&lt;=$D145,$A145&lt;&gt;""),"●","")</x:f>
      </x:c>
      <x:c r="BP145" s="165" t="str">
        <x:f>IF(AND(BP$5&gt;=$C145,BP$5&lt;=$D145,$A145&lt;&gt;""),"●","")</x:f>
      </x:c>
      <x:c r="BQ145" s="165" t="str">
        <x:f>IF(AND(BQ$5&gt;=$C145,BQ$5&lt;=$D145,$A145&lt;&gt;""),"●","")</x:f>
      </x:c>
      <x:c r="BR145" s="165" t="str">
        <x:f>IF(AND(BR$5&gt;=$C145,BR$5&lt;=$D145,$A145&lt;&gt;""),"●","")</x:f>
      </x:c>
      <x:c r="BS145" s="165" t="str">
        <x:f>IF(AND(BS$5&gt;=$C145,BS$5&lt;=$D145,$A145&lt;&gt;""),"●","")</x:f>
      </x:c>
      <x:c r="BT145" s="165" t="str">
        <x:f>IF(AND(BT$5&gt;=$C145,BT$5&lt;=$D145,$A145&lt;&gt;""),"●","")</x:f>
      </x:c>
      <x:c r="BU145" s="165" t="str">
        <x:f>IF(AND(BU$5&gt;=$C145,BU$5&lt;=$D145,$A145&lt;&gt;""),"●","")</x:f>
      </x:c>
      <x:c r="BV145" s="165" t="str">
        <x:f>IF(AND(BV$5&gt;=$C145,BV$5&lt;=$D145,$A145&lt;&gt;""),"●","")</x:f>
      </x:c>
      <x:c r="BW145" s="165" t="str">
        <x:f>IF(AND(BW$5&gt;=$C145,BW$5&lt;=$D145,$A145&lt;&gt;""),"●","")</x:f>
      </x:c>
    </x:row>
    <x:row r="146">
      <x:c r="A146" s="159" t="str">
        <x:f>IF('รายการสัญญา'!A146="","",'รายการสัญญา'!A146)</x:f>
      </x:c>
      <x:c r="B146" s="159" t="str">
        <x:f>IF('รายการสัญญา'!A146="","",'รายการสัญญา'!C146)</x:f>
      </x:c>
      <x:c r="C146" s="162" t="str">
        <x:f>IF('รายการสัญญา'!A146="","",'รายการสัญญา'!E146)</x:f>
      </x:c>
      <x:c r="D146" s="162" t="str">
        <x:f>IF('รายการสัญญา'!A146="","",'รายการสัญญา'!G146)</x:f>
      </x:c>
      <x:c r="E146" s="159" t="str">
        <x:f>IF('รายการสัญญา'!A146="","",'รายการสัญญา'!K146)</x:f>
      </x:c>
      <x:c r="F146" s="165" t="str">
        <x:f>IF(AND(F$5&gt;=$C146,F$5&lt;=$D146,$A146&lt;&gt;""),"●","")</x:f>
      </x:c>
      <x:c r="G146" s="165" t="str">
        <x:f>IF(AND(G$5&gt;=$C146,G$5&lt;=$D146,$A146&lt;&gt;""),"●","")</x:f>
      </x:c>
      <x:c r="H146" s="165" t="str">
        <x:f>IF(AND(H$5&gt;=$C146,H$5&lt;=$D146,$A146&lt;&gt;""),"●","")</x:f>
      </x:c>
      <x:c r="I146" s="165" t="str">
        <x:f>IF(AND(I$5&gt;=$C146,I$5&lt;=$D146,$A146&lt;&gt;""),"●","")</x:f>
      </x:c>
      <x:c r="J146" s="165" t="str">
        <x:f>IF(AND(J$5&gt;=$C146,J$5&lt;=$D146,$A146&lt;&gt;""),"●","")</x:f>
      </x:c>
      <x:c r="K146" s="165" t="str">
        <x:f>IF(AND(K$5&gt;=$C146,K$5&lt;=$D146,$A146&lt;&gt;""),"●","")</x:f>
      </x:c>
      <x:c r="L146" s="165" t="str">
        <x:f>IF(AND(L$5&gt;=$C146,L$5&lt;=$D146,$A146&lt;&gt;""),"●","")</x:f>
      </x:c>
      <x:c r="M146" s="165" t="str">
        <x:f>IF(AND(M$5&gt;=$C146,M$5&lt;=$D146,$A146&lt;&gt;""),"●","")</x:f>
      </x:c>
      <x:c r="N146" s="165" t="str">
        <x:f>IF(AND(N$5&gt;=$C146,N$5&lt;=$D146,$A146&lt;&gt;""),"●","")</x:f>
      </x:c>
      <x:c r="O146" s="165" t="str">
        <x:f>IF(AND(O$5&gt;=$C146,O$5&lt;=$D146,$A146&lt;&gt;""),"●","")</x:f>
      </x:c>
      <x:c r="P146" s="165" t="str">
        <x:f>IF(AND(P$5&gt;=$C146,P$5&lt;=$D146,$A146&lt;&gt;""),"●","")</x:f>
      </x:c>
      <x:c r="Q146" s="165" t="str">
        <x:f>IF(AND(Q$5&gt;=$C146,Q$5&lt;=$D146,$A146&lt;&gt;""),"●","")</x:f>
      </x:c>
      <x:c r="R146" s="165" t="str">
        <x:f>IF(AND(R$5&gt;=$C146,R$5&lt;=$D146,$A146&lt;&gt;""),"●","")</x:f>
      </x:c>
      <x:c r="S146" s="165" t="str">
        <x:f>IF(AND(S$5&gt;=$C146,S$5&lt;=$D146,$A146&lt;&gt;""),"●","")</x:f>
      </x:c>
      <x:c r="T146" s="165" t="str">
        <x:f>IF(AND(T$5&gt;=$C146,T$5&lt;=$D146,$A146&lt;&gt;""),"●","")</x:f>
      </x:c>
      <x:c r="U146" s="165" t="str">
        <x:f>IF(AND(U$5&gt;=$C146,U$5&lt;=$D146,$A146&lt;&gt;""),"●","")</x:f>
      </x:c>
      <x:c r="V146" s="165" t="str">
        <x:f>IF(AND(V$5&gt;=$C146,V$5&lt;=$D146,$A146&lt;&gt;""),"●","")</x:f>
      </x:c>
      <x:c r="W146" s="165" t="str">
        <x:f>IF(AND(W$5&gt;=$C146,W$5&lt;=$D146,$A146&lt;&gt;""),"●","")</x:f>
      </x:c>
      <x:c r="X146" s="165" t="str">
        <x:f>IF(AND(X$5&gt;=$C146,X$5&lt;=$D146,$A146&lt;&gt;""),"●","")</x:f>
      </x:c>
      <x:c r="Y146" s="165" t="str">
        <x:f>IF(AND(Y$5&gt;=$C146,Y$5&lt;=$D146,$A146&lt;&gt;""),"●","")</x:f>
      </x:c>
      <x:c r="Z146" s="165" t="str">
        <x:f>IF(AND(Z$5&gt;=$C146,Z$5&lt;=$D146,$A146&lt;&gt;""),"●","")</x:f>
      </x:c>
      <x:c r="AA146" s="165" t="str">
        <x:f>IF(AND(AA$5&gt;=$C146,AA$5&lt;=$D146,$A146&lt;&gt;""),"●","")</x:f>
      </x:c>
      <x:c r="AB146" s="165" t="str">
        <x:f>IF(AND(AB$5&gt;=$C146,AB$5&lt;=$D146,$A146&lt;&gt;""),"●","")</x:f>
      </x:c>
      <x:c r="AC146" s="165" t="str">
        <x:f>IF(AND(AC$5&gt;=$C146,AC$5&lt;=$D146,$A146&lt;&gt;""),"●","")</x:f>
      </x:c>
      <x:c r="AD146" s="165" t="str">
        <x:f>IF(AND(AD$5&gt;=$C146,AD$5&lt;=$D146,$A146&lt;&gt;""),"●","")</x:f>
      </x:c>
      <x:c r="AE146" s="165" t="str">
        <x:f>IF(AND(AE$5&gt;=$C146,AE$5&lt;=$D146,$A146&lt;&gt;""),"●","")</x:f>
      </x:c>
      <x:c r="AF146" s="165" t="str">
        <x:f>IF(AND(AF$5&gt;=$C146,AF$5&lt;=$D146,$A146&lt;&gt;""),"●","")</x:f>
      </x:c>
      <x:c r="AG146" s="165" t="str">
        <x:f>IF(AND(AG$5&gt;=$C146,AG$5&lt;=$D146,$A146&lt;&gt;""),"●","")</x:f>
      </x:c>
      <x:c r="AH146" s="165" t="str">
        <x:f>IF(AND(AH$5&gt;=$C146,AH$5&lt;=$D146,$A146&lt;&gt;""),"●","")</x:f>
      </x:c>
      <x:c r="AI146" s="165" t="str">
        <x:f>IF(AND(AI$5&gt;=$C146,AI$5&lt;=$D146,$A146&lt;&gt;""),"●","")</x:f>
      </x:c>
      <x:c r="AJ146" s="165" t="str">
        <x:f>IF(AND(AJ$5&gt;=$C146,AJ$5&lt;=$D146,$A146&lt;&gt;""),"●","")</x:f>
      </x:c>
      <x:c r="AK146" s="165" t="str">
        <x:f>IF(AND(AK$5&gt;=$C146,AK$5&lt;=$D146,$A146&lt;&gt;""),"●","")</x:f>
      </x:c>
      <x:c r="AL146" s="165" t="str">
        <x:f>IF(AND(AL$5&gt;=$C146,AL$5&lt;=$D146,$A146&lt;&gt;""),"●","")</x:f>
      </x:c>
      <x:c r="AM146" s="165" t="str">
        <x:f>IF(AND(AM$5&gt;=$C146,AM$5&lt;=$D146,$A146&lt;&gt;""),"●","")</x:f>
      </x:c>
      <x:c r="AN146" s="165" t="str">
        <x:f>IF(AND(AN$5&gt;=$C146,AN$5&lt;=$D146,$A146&lt;&gt;""),"●","")</x:f>
      </x:c>
      <x:c r="AO146" s="165" t="str">
        <x:f>IF(AND(AO$5&gt;=$C146,AO$5&lt;=$D146,$A146&lt;&gt;""),"●","")</x:f>
      </x:c>
      <x:c r="AP146" s="165" t="str">
        <x:f>IF(AND(AP$5&gt;=$C146,AP$5&lt;=$D146,$A146&lt;&gt;""),"●","")</x:f>
      </x:c>
      <x:c r="AQ146" s="165" t="str">
        <x:f>IF(AND(AQ$5&gt;=$C146,AQ$5&lt;=$D146,$A146&lt;&gt;""),"●","")</x:f>
      </x:c>
      <x:c r="AR146" s="165" t="str">
        <x:f>IF(AND(AR$5&gt;=$C146,AR$5&lt;=$D146,$A146&lt;&gt;""),"●","")</x:f>
      </x:c>
      <x:c r="AS146" s="165" t="str">
        <x:f>IF(AND(AS$5&gt;=$C146,AS$5&lt;=$D146,$A146&lt;&gt;""),"●","")</x:f>
      </x:c>
      <x:c r="AT146" s="165" t="str">
        <x:f>IF(AND(AT$5&gt;=$C146,AT$5&lt;=$D146,$A146&lt;&gt;""),"●","")</x:f>
      </x:c>
      <x:c r="AU146" s="165" t="str">
        <x:f>IF(AND(AU$5&gt;=$C146,AU$5&lt;=$D146,$A146&lt;&gt;""),"●","")</x:f>
      </x:c>
      <x:c r="AV146" s="165" t="str">
        <x:f>IF(AND(AV$5&gt;=$C146,AV$5&lt;=$D146,$A146&lt;&gt;""),"●","")</x:f>
      </x:c>
      <x:c r="AW146" s="165" t="str">
        <x:f>IF(AND(AW$5&gt;=$C146,AW$5&lt;=$D146,$A146&lt;&gt;""),"●","")</x:f>
      </x:c>
      <x:c r="AX146" s="165" t="str">
        <x:f>IF(AND(AX$5&gt;=$C146,AX$5&lt;=$D146,$A146&lt;&gt;""),"●","")</x:f>
      </x:c>
      <x:c r="AY146" s="165" t="str">
        <x:f>IF(AND(AY$5&gt;=$C146,AY$5&lt;=$D146,$A146&lt;&gt;""),"●","")</x:f>
      </x:c>
      <x:c r="AZ146" s="165" t="str">
        <x:f>IF(AND(AZ$5&gt;=$C146,AZ$5&lt;=$D146,$A146&lt;&gt;""),"●","")</x:f>
      </x:c>
      <x:c r="BA146" s="165" t="str">
        <x:f>IF(AND(BA$5&gt;=$C146,BA$5&lt;=$D146,$A146&lt;&gt;""),"●","")</x:f>
      </x:c>
      <x:c r="BB146" s="165" t="str">
        <x:f>IF(AND(BB$5&gt;=$C146,BB$5&lt;=$D146,$A146&lt;&gt;""),"●","")</x:f>
      </x:c>
      <x:c r="BC146" s="165" t="str">
        <x:f>IF(AND(BC$5&gt;=$C146,BC$5&lt;=$D146,$A146&lt;&gt;""),"●","")</x:f>
      </x:c>
      <x:c r="BD146" s="165" t="str">
        <x:f>IF(AND(BD$5&gt;=$C146,BD$5&lt;=$D146,$A146&lt;&gt;""),"●","")</x:f>
      </x:c>
      <x:c r="BE146" s="165" t="str">
        <x:f>IF(AND(BE$5&gt;=$C146,BE$5&lt;=$D146,$A146&lt;&gt;""),"●","")</x:f>
      </x:c>
      <x:c r="BF146" s="165" t="str">
        <x:f>IF(AND(BF$5&gt;=$C146,BF$5&lt;=$D146,$A146&lt;&gt;""),"●","")</x:f>
      </x:c>
      <x:c r="BG146" s="165" t="str">
        <x:f>IF(AND(BG$5&gt;=$C146,BG$5&lt;=$D146,$A146&lt;&gt;""),"●","")</x:f>
      </x:c>
      <x:c r="BH146" s="165" t="str">
        <x:f>IF(AND(BH$5&gt;=$C146,BH$5&lt;=$D146,$A146&lt;&gt;""),"●","")</x:f>
      </x:c>
      <x:c r="BI146" s="165" t="str">
        <x:f>IF(AND(BI$5&gt;=$C146,BI$5&lt;=$D146,$A146&lt;&gt;""),"●","")</x:f>
      </x:c>
      <x:c r="BJ146" s="165" t="str">
        <x:f>IF(AND(BJ$5&gt;=$C146,BJ$5&lt;=$D146,$A146&lt;&gt;""),"●","")</x:f>
      </x:c>
      <x:c r="BK146" s="165" t="str">
        <x:f>IF(AND(BK$5&gt;=$C146,BK$5&lt;=$D146,$A146&lt;&gt;""),"●","")</x:f>
      </x:c>
      <x:c r="BL146" s="165" t="str">
        <x:f>IF(AND(BL$5&gt;=$C146,BL$5&lt;=$D146,$A146&lt;&gt;""),"●","")</x:f>
      </x:c>
      <x:c r="BM146" s="165" t="str">
        <x:f>IF(AND(BM$5&gt;=$C146,BM$5&lt;=$D146,$A146&lt;&gt;""),"●","")</x:f>
      </x:c>
      <x:c r="BN146" s="165" t="str">
        <x:f>IF(AND(BN$5&gt;=$C146,BN$5&lt;=$D146,$A146&lt;&gt;""),"●","")</x:f>
      </x:c>
      <x:c r="BO146" s="165" t="str">
        <x:f>IF(AND(BO$5&gt;=$C146,BO$5&lt;=$D146,$A146&lt;&gt;""),"●","")</x:f>
      </x:c>
      <x:c r="BP146" s="165" t="str">
        <x:f>IF(AND(BP$5&gt;=$C146,BP$5&lt;=$D146,$A146&lt;&gt;""),"●","")</x:f>
      </x:c>
      <x:c r="BQ146" s="165" t="str">
        <x:f>IF(AND(BQ$5&gt;=$C146,BQ$5&lt;=$D146,$A146&lt;&gt;""),"●","")</x:f>
      </x:c>
      <x:c r="BR146" s="165" t="str">
        <x:f>IF(AND(BR$5&gt;=$C146,BR$5&lt;=$D146,$A146&lt;&gt;""),"●","")</x:f>
      </x:c>
      <x:c r="BS146" s="165" t="str">
        <x:f>IF(AND(BS$5&gt;=$C146,BS$5&lt;=$D146,$A146&lt;&gt;""),"●","")</x:f>
      </x:c>
      <x:c r="BT146" s="165" t="str">
        <x:f>IF(AND(BT$5&gt;=$C146,BT$5&lt;=$D146,$A146&lt;&gt;""),"●","")</x:f>
      </x:c>
      <x:c r="BU146" s="165" t="str">
        <x:f>IF(AND(BU$5&gt;=$C146,BU$5&lt;=$D146,$A146&lt;&gt;""),"●","")</x:f>
      </x:c>
      <x:c r="BV146" s="165" t="str">
        <x:f>IF(AND(BV$5&gt;=$C146,BV$5&lt;=$D146,$A146&lt;&gt;""),"●","")</x:f>
      </x:c>
      <x:c r="BW146" s="165" t="str">
        <x:f>IF(AND(BW$5&gt;=$C146,BW$5&lt;=$D146,$A146&lt;&gt;""),"●","")</x:f>
      </x:c>
    </x:row>
    <x:row r="147">
      <x:c r="A147" s="159" t="str">
        <x:f>IF('รายการสัญญา'!A147="","",'รายการสัญญา'!A147)</x:f>
      </x:c>
      <x:c r="B147" s="159" t="str">
        <x:f>IF('รายการสัญญา'!A147="","",'รายการสัญญา'!C147)</x:f>
      </x:c>
      <x:c r="C147" s="162" t="str">
        <x:f>IF('รายการสัญญา'!A147="","",'รายการสัญญา'!E147)</x:f>
      </x:c>
      <x:c r="D147" s="162" t="str">
        <x:f>IF('รายการสัญญา'!A147="","",'รายการสัญญา'!G147)</x:f>
      </x:c>
      <x:c r="E147" s="159" t="str">
        <x:f>IF('รายการสัญญา'!A147="","",'รายการสัญญา'!K147)</x:f>
      </x:c>
      <x:c r="F147" s="165" t="str">
        <x:f>IF(AND(F$5&gt;=$C147,F$5&lt;=$D147,$A147&lt;&gt;""),"●","")</x:f>
      </x:c>
      <x:c r="G147" s="165" t="str">
        <x:f>IF(AND(G$5&gt;=$C147,G$5&lt;=$D147,$A147&lt;&gt;""),"●","")</x:f>
      </x:c>
      <x:c r="H147" s="165" t="str">
        <x:f>IF(AND(H$5&gt;=$C147,H$5&lt;=$D147,$A147&lt;&gt;""),"●","")</x:f>
      </x:c>
      <x:c r="I147" s="165" t="str">
        <x:f>IF(AND(I$5&gt;=$C147,I$5&lt;=$D147,$A147&lt;&gt;""),"●","")</x:f>
      </x:c>
      <x:c r="J147" s="165" t="str">
        <x:f>IF(AND(J$5&gt;=$C147,J$5&lt;=$D147,$A147&lt;&gt;""),"●","")</x:f>
      </x:c>
      <x:c r="K147" s="165" t="str">
        <x:f>IF(AND(K$5&gt;=$C147,K$5&lt;=$D147,$A147&lt;&gt;""),"●","")</x:f>
      </x:c>
      <x:c r="L147" s="165" t="str">
        <x:f>IF(AND(L$5&gt;=$C147,L$5&lt;=$D147,$A147&lt;&gt;""),"●","")</x:f>
      </x:c>
      <x:c r="M147" s="165" t="str">
        <x:f>IF(AND(M$5&gt;=$C147,M$5&lt;=$D147,$A147&lt;&gt;""),"●","")</x:f>
      </x:c>
      <x:c r="N147" s="165" t="str">
        <x:f>IF(AND(N$5&gt;=$C147,N$5&lt;=$D147,$A147&lt;&gt;""),"●","")</x:f>
      </x:c>
      <x:c r="O147" s="165" t="str">
        <x:f>IF(AND(O$5&gt;=$C147,O$5&lt;=$D147,$A147&lt;&gt;""),"●","")</x:f>
      </x:c>
      <x:c r="P147" s="165" t="str">
        <x:f>IF(AND(P$5&gt;=$C147,P$5&lt;=$D147,$A147&lt;&gt;""),"●","")</x:f>
      </x:c>
      <x:c r="Q147" s="165" t="str">
        <x:f>IF(AND(Q$5&gt;=$C147,Q$5&lt;=$D147,$A147&lt;&gt;""),"●","")</x:f>
      </x:c>
      <x:c r="R147" s="165" t="str">
        <x:f>IF(AND(R$5&gt;=$C147,R$5&lt;=$D147,$A147&lt;&gt;""),"●","")</x:f>
      </x:c>
      <x:c r="S147" s="165" t="str">
        <x:f>IF(AND(S$5&gt;=$C147,S$5&lt;=$D147,$A147&lt;&gt;""),"●","")</x:f>
      </x:c>
      <x:c r="T147" s="165" t="str">
        <x:f>IF(AND(T$5&gt;=$C147,T$5&lt;=$D147,$A147&lt;&gt;""),"●","")</x:f>
      </x:c>
      <x:c r="U147" s="165" t="str">
        <x:f>IF(AND(U$5&gt;=$C147,U$5&lt;=$D147,$A147&lt;&gt;""),"●","")</x:f>
      </x:c>
      <x:c r="V147" s="165" t="str">
        <x:f>IF(AND(V$5&gt;=$C147,V$5&lt;=$D147,$A147&lt;&gt;""),"●","")</x:f>
      </x:c>
      <x:c r="W147" s="165" t="str">
        <x:f>IF(AND(W$5&gt;=$C147,W$5&lt;=$D147,$A147&lt;&gt;""),"●","")</x:f>
      </x:c>
      <x:c r="X147" s="165" t="str">
        <x:f>IF(AND(X$5&gt;=$C147,X$5&lt;=$D147,$A147&lt;&gt;""),"●","")</x:f>
      </x:c>
      <x:c r="Y147" s="165" t="str">
        <x:f>IF(AND(Y$5&gt;=$C147,Y$5&lt;=$D147,$A147&lt;&gt;""),"●","")</x:f>
      </x:c>
      <x:c r="Z147" s="165" t="str">
        <x:f>IF(AND(Z$5&gt;=$C147,Z$5&lt;=$D147,$A147&lt;&gt;""),"●","")</x:f>
      </x:c>
      <x:c r="AA147" s="165" t="str">
        <x:f>IF(AND(AA$5&gt;=$C147,AA$5&lt;=$D147,$A147&lt;&gt;""),"●","")</x:f>
      </x:c>
      <x:c r="AB147" s="165" t="str">
        <x:f>IF(AND(AB$5&gt;=$C147,AB$5&lt;=$D147,$A147&lt;&gt;""),"●","")</x:f>
      </x:c>
      <x:c r="AC147" s="165" t="str">
        <x:f>IF(AND(AC$5&gt;=$C147,AC$5&lt;=$D147,$A147&lt;&gt;""),"●","")</x:f>
      </x:c>
      <x:c r="AD147" s="165" t="str">
        <x:f>IF(AND(AD$5&gt;=$C147,AD$5&lt;=$D147,$A147&lt;&gt;""),"●","")</x:f>
      </x:c>
      <x:c r="AE147" s="165" t="str">
        <x:f>IF(AND(AE$5&gt;=$C147,AE$5&lt;=$D147,$A147&lt;&gt;""),"●","")</x:f>
      </x:c>
      <x:c r="AF147" s="165" t="str">
        <x:f>IF(AND(AF$5&gt;=$C147,AF$5&lt;=$D147,$A147&lt;&gt;""),"●","")</x:f>
      </x:c>
      <x:c r="AG147" s="165" t="str">
        <x:f>IF(AND(AG$5&gt;=$C147,AG$5&lt;=$D147,$A147&lt;&gt;""),"●","")</x:f>
      </x:c>
      <x:c r="AH147" s="165" t="str">
        <x:f>IF(AND(AH$5&gt;=$C147,AH$5&lt;=$D147,$A147&lt;&gt;""),"●","")</x:f>
      </x:c>
      <x:c r="AI147" s="165" t="str">
        <x:f>IF(AND(AI$5&gt;=$C147,AI$5&lt;=$D147,$A147&lt;&gt;""),"●","")</x:f>
      </x:c>
      <x:c r="AJ147" s="165" t="str">
        <x:f>IF(AND(AJ$5&gt;=$C147,AJ$5&lt;=$D147,$A147&lt;&gt;""),"●","")</x:f>
      </x:c>
      <x:c r="AK147" s="165" t="str">
        <x:f>IF(AND(AK$5&gt;=$C147,AK$5&lt;=$D147,$A147&lt;&gt;""),"●","")</x:f>
      </x:c>
      <x:c r="AL147" s="165" t="str">
        <x:f>IF(AND(AL$5&gt;=$C147,AL$5&lt;=$D147,$A147&lt;&gt;""),"●","")</x:f>
      </x:c>
      <x:c r="AM147" s="165" t="str">
        <x:f>IF(AND(AM$5&gt;=$C147,AM$5&lt;=$D147,$A147&lt;&gt;""),"●","")</x:f>
      </x:c>
      <x:c r="AN147" s="165" t="str">
        <x:f>IF(AND(AN$5&gt;=$C147,AN$5&lt;=$D147,$A147&lt;&gt;""),"●","")</x:f>
      </x:c>
      <x:c r="AO147" s="165" t="str">
        <x:f>IF(AND(AO$5&gt;=$C147,AO$5&lt;=$D147,$A147&lt;&gt;""),"●","")</x:f>
      </x:c>
      <x:c r="AP147" s="165" t="str">
        <x:f>IF(AND(AP$5&gt;=$C147,AP$5&lt;=$D147,$A147&lt;&gt;""),"●","")</x:f>
      </x:c>
      <x:c r="AQ147" s="165" t="str">
        <x:f>IF(AND(AQ$5&gt;=$C147,AQ$5&lt;=$D147,$A147&lt;&gt;""),"●","")</x:f>
      </x:c>
      <x:c r="AR147" s="165" t="str">
        <x:f>IF(AND(AR$5&gt;=$C147,AR$5&lt;=$D147,$A147&lt;&gt;""),"●","")</x:f>
      </x:c>
      <x:c r="AS147" s="165" t="str">
        <x:f>IF(AND(AS$5&gt;=$C147,AS$5&lt;=$D147,$A147&lt;&gt;""),"●","")</x:f>
      </x:c>
      <x:c r="AT147" s="165" t="str">
        <x:f>IF(AND(AT$5&gt;=$C147,AT$5&lt;=$D147,$A147&lt;&gt;""),"●","")</x:f>
      </x:c>
      <x:c r="AU147" s="165" t="str">
        <x:f>IF(AND(AU$5&gt;=$C147,AU$5&lt;=$D147,$A147&lt;&gt;""),"●","")</x:f>
      </x:c>
      <x:c r="AV147" s="165" t="str">
        <x:f>IF(AND(AV$5&gt;=$C147,AV$5&lt;=$D147,$A147&lt;&gt;""),"●","")</x:f>
      </x:c>
      <x:c r="AW147" s="165" t="str">
        <x:f>IF(AND(AW$5&gt;=$C147,AW$5&lt;=$D147,$A147&lt;&gt;""),"●","")</x:f>
      </x:c>
      <x:c r="AX147" s="165" t="str">
        <x:f>IF(AND(AX$5&gt;=$C147,AX$5&lt;=$D147,$A147&lt;&gt;""),"●","")</x:f>
      </x:c>
      <x:c r="AY147" s="165" t="str">
        <x:f>IF(AND(AY$5&gt;=$C147,AY$5&lt;=$D147,$A147&lt;&gt;""),"●","")</x:f>
      </x:c>
      <x:c r="AZ147" s="165" t="str">
        <x:f>IF(AND(AZ$5&gt;=$C147,AZ$5&lt;=$D147,$A147&lt;&gt;""),"●","")</x:f>
      </x:c>
      <x:c r="BA147" s="165" t="str">
        <x:f>IF(AND(BA$5&gt;=$C147,BA$5&lt;=$D147,$A147&lt;&gt;""),"●","")</x:f>
      </x:c>
      <x:c r="BB147" s="165" t="str">
        <x:f>IF(AND(BB$5&gt;=$C147,BB$5&lt;=$D147,$A147&lt;&gt;""),"●","")</x:f>
      </x:c>
      <x:c r="BC147" s="165" t="str">
        <x:f>IF(AND(BC$5&gt;=$C147,BC$5&lt;=$D147,$A147&lt;&gt;""),"●","")</x:f>
      </x:c>
      <x:c r="BD147" s="165" t="str">
        <x:f>IF(AND(BD$5&gt;=$C147,BD$5&lt;=$D147,$A147&lt;&gt;""),"●","")</x:f>
      </x:c>
      <x:c r="BE147" s="165" t="str">
        <x:f>IF(AND(BE$5&gt;=$C147,BE$5&lt;=$D147,$A147&lt;&gt;""),"●","")</x:f>
      </x:c>
      <x:c r="BF147" s="165" t="str">
        <x:f>IF(AND(BF$5&gt;=$C147,BF$5&lt;=$D147,$A147&lt;&gt;""),"●","")</x:f>
      </x:c>
      <x:c r="BG147" s="165" t="str">
        <x:f>IF(AND(BG$5&gt;=$C147,BG$5&lt;=$D147,$A147&lt;&gt;""),"●","")</x:f>
      </x:c>
      <x:c r="BH147" s="165" t="str">
        <x:f>IF(AND(BH$5&gt;=$C147,BH$5&lt;=$D147,$A147&lt;&gt;""),"●","")</x:f>
      </x:c>
      <x:c r="BI147" s="165" t="str">
        <x:f>IF(AND(BI$5&gt;=$C147,BI$5&lt;=$D147,$A147&lt;&gt;""),"●","")</x:f>
      </x:c>
      <x:c r="BJ147" s="165" t="str">
        <x:f>IF(AND(BJ$5&gt;=$C147,BJ$5&lt;=$D147,$A147&lt;&gt;""),"●","")</x:f>
      </x:c>
      <x:c r="BK147" s="165" t="str">
        <x:f>IF(AND(BK$5&gt;=$C147,BK$5&lt;=$D147,$A147&lt;&gt;""),"●","")</x:f>
      </x:c>
      <x:c r="BL147" s="165" t="str">
        <x:f>IF(AND(BL$5&gt;=$C147,BL$5&lt;=$D147,$A147&lt;&gt;""),"●","")</x:f>
      </x:c>
      <x:c r="BM147" s="165" t="str">
        <x:f>IF(AND(BM$5&gt;=$C147,BM$5&lt;=$D147,$A147&lt;&gt;""),"●","")</x:f>
      </x:c>
      <x:c r="BN147" s="165" t="str">
        <x:f>IF(AND(BN$5&gt;=$C147,BN$5&lt;=$D147,$A147&lt;&gt;""),"●","")</x:f>
      </x:c>
      <x:c r="BO147" s="165" t="str">
        <x:f>IF(AND(BO$5&gt;=$C147,BO$5&lt;=$D147,$A147&lt;&gt;""),"●","")</x:f>
      </x:c>
      <x:c r="BP147" s="165" t="str">
        <x:f>IF(AND(BP$5&gt;=$C147,BP$5&lt;=$D147,$A147&lt;&gt;""),"●","")</x:f>
      </x:c>
      <x:c r="BQ147" s="165" t="str">
        <x:f>IF(AND(BQ$5&gt;=$C147,BQ$5&lt;=$D147,$A147&lt;&gt;""),"●","")</x:f>
      </x:c>
      <x:c r="BR147" s="165" t="str">
        <x:f>IF(AND(BR$5&gt;=$C147,BR$5&lt;=$D147,$A147&lt;&gt;""),"●","")</x:f>
      </x:c>
      <x:c r="BS147" s="165" t="str">
        <x:f>IF(AND(BS$5&gt;=$C147,BS$5&lt;=$D147,$A147&lt;&gt;""),"●","")</x:f>
      </x:c>
      <x:c r="BT147" s="165" t="str">
        <x:f>IF(AND(BT$5&gt;=$C147,BT$5&lt;=$D147,$A147&lt;&gt;""),"●","")</x:f>
      </x:c>
      <x:c r="BU147" s="165" t="str">
        <x:f>IF(AND(BU$5&gt;=$C147,BU$5&lt;=$D147,$A147&lt;&gt;""),"●","")</x:f>
      </x:c>
      <x:c r="BV147" s="165" t="str">
        <x:f>IF(AND(BV$5&gt;=$C147,BV$5&lt;=$D147,$A147&lt;&gt;""),"●","")</x:f>
      </x:c>
      <x:c r="BW147" s="165" t="str">
        <x:f>IF(AND(BW$5&gt;=$C147,BW$5&lt;=$D147,$A147&lt;&gt;""),"●","")</x:f>
      </x:c>
    </x:row>
    <x:row r="148">
      <x:c r="A148" s="159" t="str">
        <x:f>IF('รายการสัญญา'!A148="","",'รายการสัญญา'!A148)</x:f>
      </x:c>
      <x:c r="B148" s="159" t="str">
        <x:f>IF('รายการสัญญา'!A148="","",'รายการสัญญา'!C148)</x:f>
      </x:c>
      <x:c r="C148" s="162" t="str">
        <x:f>IF('รายการสัญญา'!A148="","",'รายการสัญญา'!E148)</x:f>
      </x:c>
      <x:c r="D148" s="162" t="str">
        <x:f>IF('รายการสัญญา'!A148="","",'รายการสัญญา'!G148)</x:f>
      </x:c>
      <x:c r="E148" s="159" t="str">
        <x:f>IF('รายการสัญญา'!A148="","",'รายการสัญญา'!K148)</x:f>
      </x:c>
      <x:c r="F148" s="165" t="str">
        <x:f>IF(AND(F$5&gt;=$C148,F$5&lt;=$D148,$A148&lt;&gt;""),"●","")</x:f>
      </x:c>
      <x:c r="G148" s="165" t="str">
        <x:f>IF(AND(G$5&gt;=$C148,G$5&lt;=$D148,$A148&lt;&gt;""),"●","")</x:f>
      </x:c>
      <x:c r="H148" s="165" t="str">
        <x:f>IF(AND(H$5&gt;=$C148,H$5&lt;=$D148,$A148&lt;&gt;""),"●","")</x:f>
      </x:c>
      <x:c r="I148" s="165" t="str">
        <x:f>IF(AND(I$5&gt;=$C148,I$5&lt;=$D148,$A148&lt;&gt;""),"●","")</x:f>
      </x:c>
      <x:c r="J148" s="165" t="str">
        <x:f>IF(AND(J$5&gt;=$C148,J$5&lt;=$D148,$A148&lt;&gt;""),"●","")</x:f>
      </x:c>
      <x:c r="K148" s="165" t="str">
        <x:f>IF(AND(K$5&gt;=$C148,K$5&lt;=$D148,$A148&lt;&gt;""),"●","")</x:f>
      </x:c>
      <x:c r="L148" s="165" t="str">
        <x:f>IF(AND(L$5&gt;=$C148,L$5&lt;=$D148,$A148&lt;&gt;""),"●","")</x:f>
      </x:c>
      <x:c r="M148" s="165" t="str">
        <x:f>IF(AND(M$5&gt;=$C148,M$5&lt;=$D148,$A148&lt;&gt;""),"●","")</x:f>
      </x:c>
      <x:c r="N148" s="165" t="str">
        <x:f>IF(AND(N$5&gt;=$C148,N$5&lt;=$D148,$A148&lt;&gt;""),"●","")</x:f>
      </x:c>
      <x:c r="O148" s="165" t="str">
        <x:f>IF(AND(O$5&gt;=$C148,O$5&lt;=$D148,$A148&lt;&gt;""),"●","")</x:f>
      </x:c>
      <x:c r="P148" s="165" t="str">
        <x:f>IF(AND(P$5&gt;=$C148,P$5&lt;=$D148,$A148&lt;&gt;""),"●","")</x:f>
      </x:c>
      <x:c r="Q148" s="165" t="str">
        <x:f>IF(AND(Q$5&gt;=$C148,Q$5&lt;=$D148,$A148&lt;&gt;""),"●","")</x:f>
      </x:c>
      <x:c r="R148" s="165" t="str">
        <x:f>IF(AND(R$5&gt;=$C148,R$5&lt;=$D148,$A148&lt;&gt;""),"●","")</x:f>
      </x:c>
      <x:c r="S148" s="165" t="str">
        <x:f>IF(AND(S$5&gt;=$C148,S$5&lt;=$D148,$A148&lt;&gt;""),"●","")</x:f>
      </x:c>
      <x:c r="T148" s="165" t="str">
        <x:f>IF(AND(T$5&gt;=$C148,T$5&lt;=$D148,$A148&lt;&gt;""),"●","")</x:f>
      </x:c>
      <x:c r="U148" s="165" t="str">
        <x:f>IF(AND(U$5&gt;=$C148,U$5&lt;=$D148,$A148&lt;&gt;""),"●","")</x:f>
      </x:c>
      <x:c r="V148" s="165" t="str">
        <x:f>IF(AND(V$5&gt;=$C148,V$5&lt;=$D148,$A148&lt;&gt;""),"●","")</x:f>
      </x:c>
      <x:c r="W148" s="165" t="str">
        <x:f>IF(AND(W$5&gt;=$C148,W$5&lt;=$D148,$A148&lt;&gt;""),"●","")</x:f>
      </x:c>
      <x:c r="X148" s="165" t="str">
        <x:f>IF(AND(X$5&gt;=$C148,X$5&lt;=$D148,$A148&lt;&gt;""),"●","")</x:f>
      </x:c>
      <x:c r="Y148" s="165" t="str">
        <x:f>IF(AND(Y$5&gt;=$C148,Y$5&lt;=$D148,$A148&lt;&gt;""),"●","")</x:f>
      </x:c>
      <x:c r="Z148" s="165" t="str">
        <x:f>IF(AND(Z$5&gt;=$C148,Z$5&lt;=$D148,$A148&lt;&gt;""),"●","")</x:f>
      </x:c>
      <x:c r="AA148" s="165" t="str">
        <x:f>IF(AND(AA$5&gt;=$C148,AA$5&lt;=$D148,$A148&lt;&gt;""),"●","")</x:f>
      </x:c>
      <x:c r="AB148" s="165" t="str">
        <x:f>IF(AND(AB$5&gt;=$C148,AB$5&lt;=$D148,$A148&lt;&gt;""),"●","")</x:f>
      </x:c>
      <x:c r="AC148" s="165" t="str">
        <x:f>IF(AND(AC$5&gt;=$C148,AC$5&lt;=$D148,$A148&lt;&gt;""),"●","")</x:f>
      </x:c>
      <x:c r="AD148" s="165" t="str">
        <x:f>IF(AND(AD$5&gt;=$C148,AD$5&lt;=$D148,$A148&lt;&gt;""),"●","")</x:f>
      </x:c>
      <x:c r="AE148" s="165" t="str">
        <x:f>IF(AND(AE$5&gt;=$C148,AE$5&lt;=$D148,$A148&lt;&gt;""),"●","")</x:f>
      </x:c>
      <x:c r="AF148" s="165" t="str">
        <x:f>IF(AND(AF$5&gt;=$C148,AF$5&lt;=$D148,$A148&lt;&gt;""),"●","")</x:f>
      </x:c>
      <x:c r="AG148" s="165" t="str">
        <x:f>IF(AND(AG$5&gt;=$C148,AG$5&lt;=$D148,$A148&lt;&gt;""),"●","")</x:f>
      </x:c>
      <x:c r="AH148" s="165" t="str">
        <x:f>IF(AND(AH$5&gt;=$C148,AH$5&lt;=$D148,$A148&lt;&gt;""),"●","")</x:f>
      </x:c>
      <x:c r="AI148" s="165" t="str">
        <x:f>IF(AND(AI$5&gt;=$C148,AI$5&lt;=$D148,$A148&lt;&gt;""),"●","")</x:f>
      </x:c>
      <x:c r="AJ148" s="165" t="str">
        <x:f>IF(AND(AJ$5&gt;=$C148,AJ$5&lt;=$D148,$A148&lt;&gt;""),"●","")</x:f>
      </x:c>
      <x:c r="AK148" s="165" t="str">
        <x:f>IF(AND(AK$5&gt;=$C148,AK$5&lt;=$D148,$A148&lt;&gt;""),"●","")</x:f>
      </x:c>
      <x:c r="AL148" s="165" t="str">
        <x:f>IF(AND(AL$5&gt;=$C148,AL$5&lt;=$D148,$A148&lt;&gt;""),"●","")</x:f>
      </x:c>
      <x:c r="AM148" s="165" t="str">
        <x:f>IF(AND(AM$5&gt;=$C148,AM$5&lt;=$D148,$A148&lt;&gt;""),"●","")</x:f>
      </x:c>
      <x:c r="AN148" s="165" t="str">
        <x:f>IF(AND(AN$5&gt;=$C148,AN$5&lt;=$D148,$A148&lt;&gt;""),"●","")</x:f>
      </x:c>
      <x:c r="AO148" s="165" t="str">
        <x:f>IF(AND(AO$5&gt;=$C148,AO$5&lt;=$D148,$A148&lt;&gt;""),"●","")</x:f>
      </x:c>
      <x:c r="AP148" s="165" t="str">
        <x:f>IF(AND(AP$5&gt;=$C148,AP$5&lt;=$D148,$A148&lt;&gt;""),"●","")</x:f>
      </x:c>
      <x:c r="AQ148" s="165" t="str">
        <x:f>IF(AND(AQ$5&gt;=$C148,AQ$5&lt;=$D148,$A148&lt;&gt;""),"●","")</x:f>
      </x:c>
      <x:c r="AR148" s="165" t="str">
        <x:f>IF(AND(AR$5&gt;=$C148,AR$5&lt;=$D148,$A148&lt;&gt;""),"●","")</x:f>
      </x:c>
      <x:c r="AS148" s="165" t="str">
        <x:f>IF(AND(AS$5&gt;=$C148,AS$5&lt;=$D148,$A148&lt;&gt;""),"●","")</x:f>
      </x:c>
      <x:c r="AT148" s="165" t="str">
        <x:f>IF(AND(AT$5&gt;=$C148,AT$5&lt;=$D148,$A148&lt;&gt;""),"●","")</x:f>
      </x:c>
      <x:c r="AU148" s="165" t="str">
        <x:f>IF(AND(AU$5&gt;=$C148,AU$5&lt;=$D148,$A148&lt;&gt;""),"●","")</x:f>
      </x:c>
      <x:c r="AV148" s="165" t="str">
        <x:f>IF(AND(AV$5&gt;=$C148,AV$5&lt;=$D148,$A148&lt;&gt;""),"●","")</x:f>
      </x:c>
      <x:c r="AW148" s="165" t="str">
        <x:f>IF(AND(AW$5&gt;=$C148,AW$5&lt;=$D148,$A148&lt;&gt;""),"●","")</x:f>
      </x:c>
      <x:c r="AX148" s="165" t="str">
        <x:f>IF(AND(AX$5&gt;=$C148,AX$5&lt;=$D148,$A148&lt;&gt;""),"●","")</x:f>
      </x:c>
      <x:c r="AY148" s="165" t="str">
        <x:f>IF(AND(AY$5&gt;=$C148,AY$5&lt;=$D148,$A148&lt;&gt;""),"●","")</x:f>
      </x:c>
      <x:c r="AZ148" s="165" t="str">
        <x:f>IF(AND(AZ$5&gt;=$C148,AZ$5&lt;=$D148,$A148&lt;&gt;""),"●","")</x:f>
      </x:c>
      <x:c r="BA148" s="165" t="str">
        <x:f>IF(AND(BA$5&gt;=$C148,BA$5&lt;=$D148,$A148&lt;&gt;""),"●","")</x:f>
      </x:c>
      <x:c r="BB148" s="165" t="str">
        <x:f>IF(AND(BB$5&gt;=$C148,BB$5&lt;=$D148,$A148&lt;&gt;""),"●","")</x:f>
      </x:c>
      <x:c r="BC148" s="165" t="str">
        <x:f>IF(AND(BC$5&gt;=$C148,BC$5&lt;=$D148,$A148&lt;&gt;""),"●","")</x:f>
      </x:c>
      <x:c r="BD148" s="165" t="str">
        <x:f>IF(AND(BD$5&gt;=$C148,BD$5&lt;=$D148,$A148&lt;&gt;""),"●","")</x:f>
      </x:c>
      <x:c r="BE148" s="165" t="str">
        <x:f>IF(AND(BE$5&gt;=$C148,BE$5&lt;=$D148,$A148&lt;&gt;""),"●","")</x:f>
      </x:c>
      <x:c r="BF148" s="165" t="str">
        <x:f>IF(AND(BF$5&gt;=$C148,BF$5&lt;=$D148,$A148&lt;&gt;""),"●","")</x:f>
      </x:c>
      <x:c r="BG148" s="165" t="str">
        <x:f>IF(AND(BG$5&gt;=$C148,BG$5&lt;=$D148,$A148&lt;&gt;""),"●","")</x:f>
      </x:c>
      <x:c r="BH148" s="165" t="str">
        <x:f>IF(AND(BH$5&gt;=$C148,BH$5&lt;=$D148,$A148&lt;&gt;""),"●","")</x:f>
      </x:c>
      <x:c r="BI148" s="165" t="str">
        <x:f>IF(AND(BI$5&gt;=$C148,BI$5&lt;=$D148,$A148&lt;&gt;""),"●","")</x:f>
      </x:c>
      <x:c r="BJ148" s="165" t="str">
        <x:f>IF(AND(BJ$5&gt;=$C148,BJ$5&lt;=$D148,$A148&lt;&gt;""),"●","")</x:f>
      </x:c>
      <x:c r="BK148" s="165" t="str">
        <x:f>IF(AND(BK$5&gt;=$C148,BK$5&lt;=$D148,$A148&lt;&gt;""),"●","")</x:f>
      </x:c>
      <x:c r="BL148" s="165" t="str">
        <x:f>IF(AND(BL$5&gt;=$C148,BL$5&lt;=$D148,$A148&lt;&gt;""),"●","")</x:f>
      </x:c>
      <x:c r="BM148" s="165" t="str">
        <x:f>IF(AND(BM$5&gt;=$C148,BM$5&lt;=$D148,$A148&lt;&gt;""),"●","")</x:f>
      </x:c>
      <x:c r="BN148" s="165" t="str">
        <x:f>IF(AND(BN$5&gt;=$C148,BN$5&lt;=$D148,$A148&lt;&gt;""),"●","")</x:f>
      </x:c>
      <x:c r="BO148" s="165" t="str">
        <x:f>IF(AND(BO$5&gt;=$C148,BO$5&lt;=$D148,$A148&lt;&gt;""),"●","")</x:f>
      </x:c>
      <x:c r="BP148" s="165" t="str">
        <x:f>IF(AND(BP$5&gt;=$C148,BP$5&lt;=$D148,$A148&lt;&gt;""),"●","")</x:f>
      </x:c>
      <x:c r="BQ148" s="165" t="str">
        <x:f>IF(AND(BQ$5&gt;=$C148,BQ$5&lt;=$D148,$A148&lt;&gt;""),"●","")</x:f>
      </x:c>
      <x:c r="BR148" s="165" t="str">
        <x:f>IF(AND(BR$5&gt;=$C148,BR$5&lt;=$D148,$A148&lt;&gt;""),"●","")</x:f>
      </x:c>
      <x:c r="BS148" s="165" t="str">
        <x:f>IF(AND(BS$5&gt;=$C148,BS$5&lt;=$D148,$A148&lt;&gt;""),"●","")</x:f>
      </x:c>
      <x:c r="BT148" s="165" t="str">
        <x:f>IF(AND(BT$5&gt;=$C148,BT$5&lt;=$D148,$A148&lt;&gt;""),"●","")</x:f>
      </x:c>
      <x:c r="BU148" s="165" t="str">
        <x:f>IF(AND(BU$5&gt;=$C148,BU$5&lt;=$D148,$A148&lt;&gt;""),"●","")</x:f>
      </x:c>
      <x:c r="BV148" s="165" t="str">
        <x:f>IF(AND(BV$5&gt;=$C148,BV$5&lt;=$D148,$A148&lt;&gt;""),"●","")</x:f>
      </x:c>
      <x:c r="BW148" s="165" t="str">
        <x:f>IF(AND(BW$5&gt;=$C148,BW$5&lt;=$D148,$A148&lt;&gt;""),"●","")</x:f>
      </x:c>
    </x:row>
    <x:row r="149">
      <x:c r="A149" s="159" t="str">
        <x:f>IF('รายการสัญญา'!A149="","",'รายการสัญญา'!A149)</x:f>
      </x:c>
      <x:c r="B149" s="159" t="str">
        <x:f>IF('รายการสัญญา'!A149="","",'รายการสัญญา'!C149)</x:f>
      </x:c>
      <x:c r="C149" s="162" t="str">
        <x:f>IF('รายการสัญญา'!A149="","",'รายการสัญญา'!E149)</x:f>
      </x:c>
      <x:c r="D149" s="162" t="str">
        <x:f>IF('รายการสัญญา'!A149="","",'รายการสัญญา'!G149)</x:f>
      </x:c>
      <x:c r="E149" s="159" t="str">
        <x:f>IF('รายการสัญญา'!A149="","",'รายการสัญญา'!K149)</x:f>
      </x:c>
      <x:c r="F149" s="165" t="str">
        <x:f>IF(AND(F$5&gt;=$C149,F$5&lt;=$D149,$A149&lt;&gt;""),"●","")</x:f>
      </x:c>
      <x:c r="G149" s="165" t="str">
        <x:f>IF(AND(G$5&gt;=$C149,G$5&lt;=$D149,$A149&lt;&gt;""),"●","")</x:f>
      </x:c>
      <x:c r="H149" s="165" t="str">
        <x:f>IF(AND(H$5&gt;=$C149,H$5&lt;=$D149,$A149&lt;&gt;""),"●","")</x:f>
      </x:c>
      <x:c r="I149" s="165" t="str">
        <x:f>IF(AND(I$5&gt;=$C149,I$5&lt;=$D149,$A149&lt;&gt;""),"●","")</x:f>
      </x:c>
      <x:c r="J149" s="165" t="str">
        <x:f>IF(AND(J$5&gt;=$C149,J$5&lt;=$D149,$A149&lt;&gt;""),"●","")</x:f>
      </x:c>
      <x:c r="K149" s="165" t="str">
        <x:f>IF(AND(K$5&gt;=$C149,K$5&lt;=$D149,$A149&lt;&gt;""),"●","")</x:f>
      </x:c>
      <x:c r="L149" s="165" t="str">
        <x:f>IF(AND(L$5&gt;=$C149,L$5&lt;=$D149,$A149&lt;&gt;""),"●","")</x:f>
      </x:c>
      <x:c r="M149" s="165" t="str">
        <x:f>IF(AND(M$5&gt;=$C149,M$5&lt;=$D149,$A149&lt;&gt;""),"●","")</x:f>
      </x:c>
      <x:c r="N149" s="165" t="str">
        <x:f>IF(AND(N$5&gt;=$C149,N$5&lt;=$D149,$A149&lt;&gt;""),"●","")</x:f>
      </x:c>
      <x:c r="O149" s="165" t="str">
        <x:f>IF(AND(O$5&gt;=$C149,O$5&lt;=$D149,$A149&lt;&gt;""),"●","")</x:f>
      </x:c>
      <x:c r="P149" s="165" t="str">
        <x:f>IF(AND(P$5&gt;=$C149,P$5&lt;=$D149,$A149&lt;&gt;""),"●","")</x:f>
      </x:c>
      <x:c r="Q149" s="165" t="str">
        <x:f>IF(AND(Q$5&gt;=$C149,Q$5&lt;=$D149,$A149&lt;&gt;""),"●","")</x:f>
      </x:c>
      <x:c r="R149" s="165" t="str">
        <x:f>IF(AND(R$5&gt;=$C149,R$5&lt;=$D149,$A149&lt;&gt;""),"●","")</x:f>
      </x:c>
      <x:c r="S149" s="165" t="str">
        <x:f>IF(AND(S$5&gt;=$C149,S$5&lt;=$D149,$A149&lt;&gt;""),"●","")</x:f>
      </x:c>
      <x:c r="T149" s="165" t="str">
        <x:f>IF(AND(T$5&gt;=$C149,T$5&lt;=$D149,$A149&lt;&gt;""),"●","")</x:f>
      </x:c>
      <x:c r="U149" s="165" t="str">
        <x:f>IF(AND(U$5&gt;=$C149,U$5&lt;=$D149,$A149&lt;&gt;""),"●","")</x:f>
      </x:c>
      <x:c r="V149" s="165" t="str">
        <x:f>IF(AND(V$5&gt;=$C149,V$5&lt;=$D149,$A149&lt;&gt;""),"●","")</x:f>
      </x:c>
      <x:c r="W149" s="165" t="str">
        <x:f>IF(AND(W$5&gt;=$C149,W$5&lt;=$D149,$A149&lt;&gt;""),"●","")</x:f>
      </x:c>
      <x:c r="X149" s="165" t="str">
        <x:f>IF(AND(X$5&gt;=$C149,X$5&lt;=$D149,$A149&lt;&gt;""),"●","")</x:f>
      </x:c>
      <x:c r="Y149" s="165" t="str">
        <x:f>IF(AND(Y$5&gt;=$C149,Y$5&lt;=$D149,$A149&lt;&gt;""),"●","")</x:f>
      </x:c>
      <x:c r="Z149" s="165" t="str">
        <x:f>IF(AND(Z$5&gt;=$C149,Z$5&lt;=$D149,$A149&lt;&gt;""),"●","")</x:f>
      </x:c>
      <x:c r="AA149" s="165" t="str">
        <x:f>IF(AND(AA$5&gt;=$C149,AA$5&lt;=$D149,$A149&lt;&gt;""),"●","")</x:f>
      </x:c>
      <x:c r="AB149" s="165" t="str">
        <x:f>IF(AND(AB$5&gt;=$C149,AB$5&lt;=$D149,$A149&lt;&gt;""),"●","")</x:f>
      </x:c>
      <x:c r="AC149" s="165" t="str">
        <x:f>IF(AND(AC$5&gt;=$C149,AC$5&lt;=$D149,$A149&lt;&gt;""),"●","")</x:f>
      </x:c>
      <x:c r="AD149" s="165" t="str">
        <x:f>IF(AND(AD$5&gt;=$C149,AD$5&lt;=$D149,$A149&lt;&gt;""),"●","")</x:f>
      </x:c>
      <x:c r="AE149" s="165" t="str">
        <x:f>IF(AND(AE$5&gt;=$C149,AE$5&lt;=$D149,$A149&lt;&gt;""),"●","")</x:f>
      </x:c>
      <x:c r="AF149" s="165" t="str">
        <x:f>IF(AND(AF$5&gt;=$C149,AF$5&lt;=$D149,$A149&lt;&gt;""),"●","")</x:f>
      </x:c>
      <x:c r="AG149" s="165" t="str">
        <x:f>IF(AND(AG$5&gt;=$C149,AG$5&lt;=$D149,$A149&lt;&gt;""),"●","")</x:f>
      </x:c>
      <x:c r="AH149" s="165" t="str">
        <x:f>IF(AND(AH$5&gt;=$C149,AH$5&lt;=$D149,$A149&lt;&gt;""),"●","")</x:f>
      </x:c>
      <x:c r="AI149" s="165" t="str">
        <x:f>IF(AND(AI$5&gt;=$C149,AI$5&lt;=$D149,$A149&lt;&gt;""),"●","")</x:f>
      </x:c>
      <x:c r="AJ149" s="165" t="str">
        <x:f>IF(AND(AJ$5&gt;=$C149,AJ$5&lt;=$D149,$A149&lt;&gt;""),"●","")</x:f>
      </x:c>
      <x:c r="AK149" s="165" t="str">
        <x:f>IF(AND(AK$5&gt;=$C149,AK$5&lt;=$D149,$A149&lt;&gt;""),"●","")</x:f>
      </x:c>
      <x:c r="AL149" s="165" t="str">
        <x:f>IF(AND(AL$5&gt;=$C149,AL$5&lt;=$D149,$A149&lt;&gt;""),"●","")</x:f>
      </x:c>
      <x:c r="AM149" s="165" t="str">
        <x:f>IF(AND(AM$5&gt;=$C149,AM$5&lt;=$D149,$A149&lt;&gt;""),"●","")</x:f>
      </x:c>
      <x:c r="AN149" s="165" t="str">
        <x:f>IF(AND(AN$5&gt;=$C149,AN$5&lt;=$D149,$A149&lt;&gt;""),"●","")</x:f>
      </x:c>
      <x:c r="AO149" s="165" t="str">
        <x:f>IF(AND(AO$5&gt;=$C149,AO$5&lt;=$D149,$A149&lt;&gt;""),"●","")</x:f>
      </x:c>
      <x:c r="AP149" s="165" t="str">
        <x:f>IF(AND(AP$5&gt;=$C149,AP$5&lt;=$D149,$A149&lt;&gt;""),"●","")</x:f>
      </x:c>
      <x:c r="AQ149" s="165" t="str">
        <x:f>IF(AND(AQ$5&gt;=$C149,AQ$5&lt;=$D149,$A149&lt;&gt;""),"●","")</x:f>
      </x:c>
      <x:c r="AR149" s="165" t="str">
        <x:f>IF(AND(AR$5&gt;=$C149,AR$5&lt;=$D149,$A149&lt;&gt;""),"●","")</x:f>
      </x:c>
      <x:c r="AS149" s="165" t="str">
        <x:f>IF(AND(AS$5&gt;=$C149,AS$5&lt;=$D149,$A149&lt;&gt;""),"●","")</x:f>
      </x:c>
      <x:c r="AT149" s="165" t="str">
        <x:f>IF(AND(AT$5&gt;=$C149,AT$5&lt;=$D149,$A149&lt;&gt;""),"●","")</x:f>
      </x:c>
      <x:c r="AU149" s="165" t="str">
        <x:f>IF(AND(AU$5&gt;=$C149,AU$5&lt;=$D149,$A149&lt;&gt;""),"●","")</x:f>
      </x:c>
      <x:c r="AV149" s="165" t="str">
        <x:f>IF(AND(AV$5&gt;=$C149,AV$5&lt;=$D149,$A149&lt;&gt;""),"●","")</x:f>
      </x:c>
      <x:c r="AW149" s="165" t="str">
        <x:f>IF(AND(AW$5&gt;=$C149,AW$5&lt;=$D149,$A149&lt;&gt;""),"●","")</x:f>
      </x:c>
      <x:c r="AX149" s="165" t="str">
        <x:f>IF(AND(AX$5&gt;=$C149,AX$5&lt;=$D149,$A149&lt;&gt;""),"●","")</x:f>
      </x:c>
      <x:c r="AY149" s="165" t="str">
        <x:f>IF(AND(AY$5&gt;=$C149,AY$5&lt;=$D149,$A149&lt;&gt;""),"●","")</x:f>
      </x:c>
      <x:c r="AZ149" s="165" t="str">
        <x:f>IF(AND(AZ$5&gt;=$C149,AZ$5&lt;=$D149,$A149&lt;&gt;""),"●","")</x:f>
      </x:c>
      <x:c r="BA149" s="165" t="str">
        <x:f>IF(AND(BA$5&gt;=$C149,BA$5&lt;=$D149,$A149&lt;&gt;""),"●","")</x:f>
      </x:c>
      <x:c r="BB149" s="165" t="str">
        <x:f>IF(AND(BB$5&gt;=$C149,BB$5&lt;=$D149,$A149&lt;&gt;""),"●","")</x:f>
      </x:c>
      <x:c r="BC149" s="165" t="str">
        <x:f>IF(AND(BC$5&gt;=$C149,BC$5&lt;=$D149,$A149&lt;&gt;""),"●","")</x:f>
      </x:c>
      <x:c r="BD149" s="165" t="str">
        <x:f>IF(AND(BD$5&gt;=$C149,BD$5&lt;=$D149,$A149&lt;&gt;""),"●","")</x:f>
      </x:c>
      <x:c r="BE149" s="165" t="str">
        <x:f>IF(AND(BE$5&gt;=$C149,BE$5&lt;=$D149,$A149&lt;&gt;""),"●","")</x:f>
      </x:c>
      <x:c r="BF149" s="165" t="str">
        <x:f>IF(AND(BF$5&gt;=$C149,BF$5&lt;=$D149,$A149&lt;&gt;""),"●","")</x:f>
      </x:c>
      <x:c r="BG149" s="165" t="str">
        <x:f>IF(AND(BG$5&gt;=$C149,BG$5&lt;=$D149,$A149&lt;&gt;""),"●","")</x:f>
      </x:c>
      <x:c r="BH149" s="165" t="str">
        <x:f>IF(AND(BH$5&gt;=$C149,BH$5&lt;=$D149,$A149&lt;&gt;""),"●","")</x:f>
      </x:c>
      <x:c r="BI149" s="165" t="str">
        <x:f>IF(AND(BI$5&gt;=$C149,BI$5&lt;=$D149,$A149&lt;&gt;""),"●","")</x:f>
      </x:c>
      <x:c r="BJ149" s="165" t="str">
        <x:f>IF(AND(BJ$5&gt;=$C149,BJ$5&lt;=$D149,$A149&lt;&gt;""),"●","")</x:f>
      </x:c>
      <x:c r="BK149" s="165" t="str">
        <x:f>IF(AND(BK$5&gt;=$C149,BK$5&lt;=$D149,$A149&lt;&gt;""),"●","")</x:f>
      </x:c>
      <x:c r="BL149" s="165" t="str">
        <x:f>IF(AND(BL$5&gt;=$C149,BL$5&lt;=$D149,$A149&lt;&gt;""),"●","")</x:f>
      </x:c>
      <x:c r="BM149" s="165" t="str">
        <x:f>IF(AND(BM$5&gt;=$C149,BM$5&lt;=$D149,$A149&lt;&gt;""),"●","")</x:f>
      </x:c>
      <x:c r="BN149" s="165" t="str">
        <x:f>IF(AND(BN$5&gt;=$C149,BN$5&lt;=$D149,$A149&lt;&gt;""),"●","")</x:f>
      </x:c>
      <x:c r="BO149" s="165" t="str">
        <x:f>IF(AND(BO$5&gt;=$C149,BO$5&lt;=$D149,$A149&lt;&gt;""),"●","")</x:f>
      </x:c>
      <x:c r="BP149" s="165" t="str">
        <x:f>IF(AND(BP$5&gt;=$C149,BP$5&lt;=$D149,$A149&lt;&gt;""),"●","")</x:f>
      </x:c>
      <x:c r="BQ149" s="165" t="str">
        <x:f>IF(AND(BQ$5&gt;=$C149,BQ$5&lt;=$D149,$A149&lt;&gt;""),"●","")</x:f>
      </x:c>
      <x:c r="BR149" s="165" t="str">
        <x:f>IF(AND(BR$5&gt;=$C149,BR$5&lt;=$D149,$A149&lt;&gt;""),"●","")</x:f>
      </x:c>
      <x:c r="BS149" s="165" t="str">
        <x:f>IF(AND(BS$5&gt;=$C149,BS$5&lt;=$D149,$A149&lt;&gt;""),"●","")</x:f>
      </x:c>
      <x:c r="BT149" s="165" t="str">
        <x:f>IF(AND(BT$5&gt;=$C149,BT$5&lt;=$D149,$A149&lt;&gt;""),"●","")</x:f>
      </x:c>
      <x:c r="BU149" s="165" t="str">
        <x:f>IF(AND(BU$5&gt;=$C149,BU$5&lt;=$D149,$A149&lt;&gt;""),"●","")</x:f>
      </x:c>
      <x:c r="BV149" s="165" t="str">
        <x:f>IF(AND(BV$5&gt;=$C149,BV$5&lt;=$D149,$A149&lt;&gt;""),"●","")</x:f>
      </x:c>
      <x:c r="BW149" s="165" t="str">
        <x:f>IF(AND(BW$5&gt;=$C149,BW$5&lt;=$D149,$A149&lt;&gt;""),"●","")</x:f>
      </x:c>
    </x:row>
    <x:row r="150">
      <x:c r="A150" s="159" t="str">
        <x:f>IF('รายการสัญญา'!A150="","",'รายการสัญญา'!A150)</x:f>
      </x:c>
      <x:c r="B150" s="159" t="str">
        <x:f>IF('รายการสัญญา'!A150="","",'รายการสัญญา'!C150)</x:f>
      </x:c>
      <x:c r="C150" s="162" t="str">
        <x:f>IF('รายการสัญญา'!A150="","",'รายการสัญญา'!E150)</x:f>
      </x:c>
      <x:c r="D150" s="162" t="str">
        <x:f>IF('รายการสัญญา'!A150="","",'รายการสัญญา'!G150)</x:f>
      </x:c>
      <x:c r="E150" s="159" t="str">
        <x:f>IF('รายการสัญญา'!A150="","",'รายการสัญญา'!K150)</x:f>
      </x:c>
      <x:c r="F150" s="165" t="str">
        <x:f>IF(AND(F$5&gt;=$C150,F$5&lt;=$D150,$A150&lt;&gt;""),"●","")</x:f>
      </x:c>
      <x:c r="G150" s="165" t="str">
        <x:f>IF(AND(G$5&gt;=$C150,G$5&lt;=$D150,$A150&lt;&gt;""),"●","")</x:f>
      </x:c>
      <x:c r="H150" s="165" t="str">
        <x:f>IF(AND(H$5&gt;=$C150,H$5&lt;=$D150,$A150&lt;&gt;""),"●","")</x:f>
      </x:c>
      <x:c r="I150" s="165" t="str">
        <x:f>IF(AND(I$5&gt;=$C150,I$5&lt;=$D150,$A150&lt;&gt;""),"●","")</x:f>
      </x:c>
      <x:c r="J150" s="165" t="str">
        <x:f>IF(AND(J$5&gt;=$C150,J$5&lt;=$D150,$A150&lt;&gt;""),"●","")</x:f>
      </x:c>
      <x:c r="K150" s="165" t="str">
        <x:f>IF(AND(K$5&gt;=$C150,K$5&lt;=$D150,$A150&lt;&gt;""),"●","")</x:f>
      </x:c>
      <x:c r="L150" s="165" t="str">
        <x:f>IF(AND(L$5&gt;=$C150,L$5&lt;=$D150,$A150&lt;&gt;""),"●","")</x:f>
      </x:c>
      <x:c r="M150" s="165" t="str">
        <x:f>IF(AND(M$5&gt;=$C150,M$5&lt;=$D150,$A150&lt;&gt;""),"●","")</x:f>
      </x:c>
      <x:c r="N150" s="165" t="str">
        <x:f>IF(AND(N$5&gt;=$C150,N$5&lt;=$D150,$A150&lt;&gt;""),"●","")</x:f>
      </x:c>
      <x:c r="O150" s="165" t="str">
        <x:f>IF(AND(O$5&gt;=$C150,O$5&lt;=$D150,$A150&lt;&gt;""),"●","")</x:f>
      </x:c>
      <x:c r="P150" s="165" t="str">
        <x:f>IF(AND(P$5&gt;=$C150,P$5&lt;=$D150,$A150&lt;&gt;""),"●","")</x:f>
      </x:c>
      <x:c r="Q150" s="165" t="str">
        <x:f>IF(AND(Q$5&gt;=$C150,Q$5&lt;=$D150,$A150&lt;&gt;""),"●","")</x:f>
      </x:c>
      <x:c r="R150" s="165" t="str">
        <x:f>IF(AND(R$5&gt;=$C150,R$5&lt;=$D150,$A150&lt;&gt;""),"●","")</x:f>
      </x:c>
      <x:c r="S150" s="165" t="str">
        <x:f>IF(AND(S$5&gt;=$C150,S$5&lt;=$D150,$A150&lt;&gt;""),"●","")</x:f>
      </x:c>
      <x:c r="T150" s="165" t="str">
        <x:f>IF(AND(T$5&gt;=$C150,T$5&lt;=$D150,$A150&lt;&gt;""),"●","")</x:f>
      </x:c>
      <x:c r="U150" s="165" t="str">
        <x:f>IF(AND(U$5&gt;=$C150,U$5&lt;=$D150,$A150&lt;&gt;""),"●","")</x:f>
      </x:c>
      <x:c r="V150" s="165" t="str">
        <x:f>IF(AND(V$5&gt;=$C150,V$5&lt;=$D150,$A150&lt;&gt;""),"●","")</x:f>
      </x:c>
      <x:c r="W150" s="165" t="str">
        <x:f>IF(AND(W$5&gt;=$C150,W$5&lt;=$D150,$A150&lt;&gt;""),"●","")</x:f>
      </x:c>
      <x:c r="X150" s="165" t="str">
        <x:f>IF(AND(X$5&gt;=$C150,X$5&lt;=$D150,$A150&lt;&gt;""),"●","")</x:f>
      </x:c>
      <x:c r="Y150" s="165" t="str">
        <x:f>IF(AND(Y$5&gt;=$C150,Y$5&lt;=$D150,$A150&lt;&gt;""),"●","")</x:f>
      </x:c>
      <x:c r="Z150" s="165" t="str">
        <x:f>IF(AND(Z$5&gt;=$C150,Z$5&lt;=$D150,$A150&lt;&gt;""),"●","")</x:f>
      </x:c>
      <x:c r="AA150" s="165" t="str">
        <x:f>IF(AND(AA$5&gt;=$C150,AA$5&lt;=$D150,$A150&lt;&gt;""),"●","")</x:f>
      </x:c>
      <x:c r="AB150" s="165" t="str">
        <x:f>IF(AND(AB$5&gt;=$C150,AB$5&lt;=$D150,$A150&lt;&gt;""),"●","")</x:f>
      </x:c>
      <x:c r="AC150" s="165" t="str">
        <x:f>IF(AND(AC$5&gt;=$C150,AC$5&lt;=$D150,$A150&lt;&gt;""),"●","")</x:f>
      </x:c>
      <x:c r="AD150" s="165" t="str">
        <x:f>IF(AND(AD$5&gt;=$C150,AD$5&lt;=$D150,$A150&lt;&gt;""),"●","")</x:f>
      </x:c>
      <x:c r="AE150" s="165" t="str">
        <x:f>IF(AND(AE$5&gt;=$C150,AE$5&lt;=$D150,$A150&lt;&gt;""),"●","")</x:f>
      </x:c>
      <x:c r="AF150" s="165" t="str">
        <x:f>IF(AND(AF$5&gt;=$C150,AF$5&lt;=$D150,$A150&lt;&gt;""),"●","")</x:f>
      </x:c>
      <x:c r="AG150" s="165" t="str">
        <x:f>IF(AND(AG$5&gt;=$C150,AG$5&lt;=$D150,$A150&lt;&gt;""),"●","")</x:f>
      </x:c>
      <x:c r="AH150" s="165" t="str">
        <x:f>IF(AND(AH$5&gt;=$C150,AH$5&lt;=$D150,$A150&lt;&gt;""),"●","")</x:f>
      </x:c>
      <x:c r="AI150" s="165" t="str">
        <x:f>IF(AND(AI$5&gt;=$C150,AI$5&lt;=$D150,$A150&lt;&gt;""),"●","")</x:f>
      </x:c>
      <x:c r="AJ150" s="165" t="str">
        <x:f>IF(AND(AJ$5&gt;=$C150,AJ$5&lt;=$D150,$A150&lt;&gt;""),"●","")</x:f>
      </x:c>
      <x:c r="AK150" s="165" t="str">
        <x:f>IF(AND(AK$5&gt;=$C150,AK$5&lt;=$D150,$A150&lt;&gt;""),"●","")</x:f>
      </x:c>
      <x:c r="AL150" s="165" t="str">
        <x:f>IF(AND(AL$5&gt;=$C150,AL$5&lt;=$D150,$A150&lt;&gt;""),"●","")</x:f>
      </x:c>
      <x:c r="AM150" s="165" t="str">
        <x:f>IF(AND(AM$5&gt;=$C150,AM$5&lt;=$D150,$A150&lt;&gt;""),"●","")</x:f>
      </x:c>
      <x:c r="AN150" s="165" t="str">
        <x:f>IF(AND(AN$5&gt;=$C150,AN$5&lt;=$D150,$A150&lt;&gt;""),"●","")</x:f>
      </x:c>
      <x:c r="AO150" s="165" t="str">
        <x:f>IF(AND(AO$5&gt;=$C150,AO$5&lt;=$D150,$A150&lt;&gt;""),"●","")</x:f>
      </x:c>
      <x:c r="AP150" s="165" t="str">
        <x:f>IF(AND(AP$5&gt;=$C150,AP$5&lt;=$D150,$A150&lt;&gt;""),"●","")</x:f>
      </x:c>
      <x:c r="AQ150" s="165" t="str">
        <x:f>IF(AND(AQ$5&gt;=$C150,AQ$5&lt;=$D150,$A150&lt;&gt;""),"●","")</x:f>
      </x:c>
      <x:c r="AR150" s="165" t="str">
        <x:f>IF(AND(AR$5&gt;=$C150,AR$5&lt;=$D150,$A150&lt;&gt;""),"●","")</x:f>
      </x:c>
      <x:c r="AS150" s="165" t="str">
        <x:f>IF(AND(AS$5&gt;=$C150,AS$5&lt;=$D150,$A150&lt;&gt;""),"●","")</x:f>
      </x:c>
      <x:c r="AT150" s="165" t="str">
        <x:f>IF(AND(AT$5&gt;=$C150,AT$5&lt;=$D150,$A150&lt;&gt;""),"●","")</x:f>
      </x:c>
      <x:c r="AU150" s="165" t="str">
        <x:f>IF(AND(AU$5&gt;=$C150,AU$5&lt;=$D150,$A150&lt;&gt;""),"●","")</x:f>
      </x:c>
      <x:c r="AV150" s="165" t="str">
        <x:f>IF(AND(AV$5&gt;=$C150,AV$5&lt;=$D150,$A150&lt;&gt;""),"●","")</x:f>
      </x:c>
      <x:c r="AW150" s="165" t="str">
        <x:f>IF(AND(AW$5&gt;=$C150,AW$5&lt;=$D150,$A150&lt;&gt;""),"●","")</x:f>
      </x:c>
      <x:c r="AX150" s="165" t="str">
        <x:f>IF(AND(AX$5&gt;=$C150,AX$5&lt;=$D150,$A150&lt;&gt;""),"●","")</x:f>
      </x:c>
      <x:c r="AY150" s="165" t="str">
        <x:f>IF(AND(AY$5&gt;=$C150,AY$5&lt;=$D150,$A150&lt;&gt;""),"●","")</x:f>
      </x:c>
      <x:c r="AZ150" s="165" t="str">
        <x:f>IF(AND(AZ$5&gt;=$C150,AZ$5&lt;=$D150,$A150&lt;&gt;""),"●","")</x:f>
      </x:c>
      <x:c r="BA150" s="165" t="str">
        <x:f>IF(AND(BA$5&gt;=$C150,BA$5&lt;=$D150,$A150&lt;&gt;""),"●","")</x:f>
      </x:c>
      <x:c r="BB150" s="165" t="str">
        <x:f>IF(AND(BB$5&gt;=$C150,BB$5&lt;=$D150,$A150&lt;&gt;""),"●","")</x:f>
      </x:c>
      <x:c r="BC150" s="165" t="str">
        <x:f>IF(AND(BC$5&gt;=$C150,BC$5&lt;=$D150,$A150&lt;&gt;""),"●","")</x:f>
      </x:c>
      <x:c r="BD150" s="165" t="str">
        <x:f>IF(AND(BD$5&gt;=$C150,BD$5&lt;=$D150,$A150&lt;&gt;""),"●","")</x:f>
      </x:c>
      <x:c r="BE150" s="165" t="str">
        <x:f>IF(AND(BE$5&gt;=$C150,BE$5&lt;=$D150,$A150&lt;&gt;""),"●","")</x:f>
      </x:c>
      <x:c r="BF150" s="165" t="str">
        <x:f>IF(AND(BF$5&gt;=$C150,BF$5&lt;=$D150,$A150&lt;&gt;""),"●","")</x:f>
      </x:c>
      <x:c r="BG150" s="165" t="str">
        <x:f>IF(AND(BG$5&gt;=$C150,BG$5&lt;=$D150,$A150&lt;&gt;""),"●","")</x:f>
      </x:c>
      <x:c r="BH150" s="165" t="str">
        <x:f>IF(AND(BH$5&gt;=$C150,BH$5&lt;=$D150,$A150&lt;&gt;""),"●","")</x:f>
      </x:c>
      <x:c r="BI150" s="165" t="str">
        <x:f>IF(AND(BI$5&gt;=$C150,BI$5&lt;=$D150,$A150&lt;&gt;""),"●","")</x:f>
      </x:c>
      <x:c r="BJ150" s="165" t="str">
        <x:f>IF(AND(BJ$5&gt;=$C150,BJ$5&lt;=$D150,$A150&lt;&gt;""),"●","")</x:f>
      </x:c>
      <x:c r="BK150" s="165" t="str">
        <x:f>IF(AND(BK$5&gt;=$C150,BK$5&lt;=$D150,$A150&lt;&gt;""),"●","")</x:f>
      </x:c>
      <x:c r="BL150" s="165" t="str">
        <x:f>IF(AND(BL$5&gt;=$C150,BL$5&lt;=$D150,$A150&lt;&gt;""),"●","")</x:f>
      </x:c>
      <x:c r="BM150" s="165" t="str">
        <x:f>IF(AND(BM$5&gt;=$C150,BM$5&lt;=$D150,$A150&lt;&gt;""),"●","")</x:f>
      </x:c>
      <x:c r="BN150" s="165" t="str">
        <x:f>IF(AND(BN$5&gt;=$C150,BN$5&lt;=$D150,$A150&lt;&gt;""),"●","")</x:f>
      </x:c>
      <x:c r="BO150" s="165" t="str">
        <x:f>IF(AND(BO$5&gt;=$C150,BO$5&lt;=$D150,$A150&lt;&gt;""),"●","")</x:f>
      </x:c>
      <x:c r="BP150" s="165" t="str">
        <x:f>IF(AND(BP$5&gt;=$C150,BP$5&lt;=$D150,$A150&lt;&gt;""),"●","")</x:f>
      </x:c>
      <x:c r="BQ150" s="165" t="str">
        <x:f>IF(AND(BQ$5&gt;=$C150,BQ$5&lt;=$D150,$A150&lt;&gt;""),"●","")</x:f>
      </x:c>
      <x:c r="BR150" s="165" t="str">
        <x:f>IF(AND(BR$5&gt;=$C150,BR$5&lt;=$D150,$A150&lt;&gt;""),"●","")</x:f>
      </x:c>
      <x:c r="BS150" s="165" t="str">
        <x:f>IF(AND(BS$5&gt;=$C150,BS$5&lt;=$D150,$A150&lt;&gt;""),"●","")</x:f>
      </x:c>
      <x:c r="BT150" s="165" t="str">
        <x:f>IF(AND(BT$5&gt;=$C150,BT$5&lt;=$D150,$A150&lt;&gt;""),"●","")</x:f>
      </x:c>
      <x:c r="BU150" s="165" t="str">
        <x:f>IF(AND(BU$5&gt;=$C150,BU$5&lt;=$D150,$A150&lt;&gt;""),"●","")</x:f>
      </x:c>
      <x:c r="BV150" s="165" t="str">
        <x:f>IF(AND(BV$5&gt;=$C150,BV$5&lt;=$D150,$A150&lt;&gt;""),"●","")</x:f>
      </x:c>
      <x:c r="BW150" s="165" t="str">
        <x:f>IF(AND(BW$5&gt;=$C150,BW$5&lt;=$D150,$A150&lt;&gt;""),"●","")</x:f>
      </x:c>
    </x:row>
    <x:row r="151">
      <x:c r="A151" s="159" t="str">
        <x:f>IF('รายการสัญญา'!A151="","",'รายการสัญญา'!A151)</x:f>
      </x:c>
      <x:c r="B151" s="159" t="str">
        <x:f>IF('รายการสัญญา'!A151="","",'รายการสัญญา'!C151)</x:f>
      </x:c>
      <x:c r="C151" s="162" t="str">
        <x:f>IF('รายการสัญญา'!A151="","",'รายการสัญญา'!E151)</x:f>
      </x:c>
      <x:c r="D151" s="162" t="str">
        <x:f>IF('รายการสัญญา'!A151="","",'รายการสัญญา'!G151)</x:f>
      </x:c>
      <x:c r="E151" s="159" t="str">
        <x:f>IF('รายการสัญญา'!A151="","",'รายการสัญญา'!K151)</x:f>
      </x:c>
      <x:c r="F151" s="165" t="str">
        <x:f>IF(AND(F$5&gt;=$C151,F$5&lt;=$D151,$A151&lt;&gt;""),"●","")</x:f>
      </x:c>
      <x:c r="G151" s="165" t="str">
        <x:f>IF(AND(G$5&gt;=$C151,G$5&lt;=$D151,$A151&lt;&gt;""),"●","")</x:f>
      </x:c>
      <x:c r="H151" s="165" t="str">
        <x:f>IF(AND(H$5&gt;=$C151,H$5&lt;=$D151,$A151&lt;&gt;""),"●","")</x:f>
      </x:c>
      <x:c r="I151" s="165" t="str">
        <x:f>IF(AND(I$5&gt;=$C151,I$5&lt;=$D151,$A151&lt;&gt;""),"●","")</x:f>
      </x:c>
      <x:c r="J151" s="165" t="str">
        <x:f>IF(AND(J$5&gt;=$C151,J$5&lt;=$D151,$A151&lt;&gt;""),"●","")</x:f>
      </x:c>
      <x:c r="K151" s="165" t="str">
        <x:f>IF(AND(K$5&gt;=$C151,K$5&lt;=$D151,$A151&lt;&gt;""),"●","")</x:f>
      </x:c>
      <x:c r="L151" s="165" t="str">
        <x:f>IF(AND(L$5&gt;=$C151,L$5&lt;=$D151,$A151&lt;&gt;""),"●","")</x:f>
      </x:c>
      <x:c r="M151" s="165" t="str">
        <x:f>IF(AND(M$5&gt;=$C151,M$5&lt;=$D151,$A151&lt;&gt;""),"●","")</x:f>
      </x:c>
      <x:c r="N151" s="165" t="str">
        <x:f>IF(AND(N$5&gt;=$C151,N$5&lt;=$D151,$A151&lt;&gt;""),"●","")</x:f>
      </x:c>
      <x:c r="O151" s="165" t="str">
        <x:f>IF(AND(O$5&gt;=$C151,O$5&lt;=$D151,$A151&lt;&gt;""),"●","")</x:f>
      </x:c>
      <x:c r="P151" s="165" t="str">
        <x:f>IF(AND(P$5&gt;=$C151,P$5&lt;=$D151,$A151&lt;&gt;""),"●","")</x:f>
      </x:c>
      <x:c r="Q151" s="165" t="str">
        <x:f>IF(AND(Q$5&gt;=$C151,Q$5&lt;=$D151,$A151&lt;&gt;""),"●","")</x:f>
      </x:c>
      <x:c r="R151" s="165" t="str">
        <x:f>IF(AND(R$5&gt;=$C151,R$5&lt;=$D151,$A151&lt;&gt;""),"●","")</x:f>
      </x:c>
      <x:c r="S151" s="165" t="str">
        <x:f>IF(AND(S$5&gt;=$C151,S$5&lt;=$D151,$A151&lt;&gt;""),"●","")</x:f>
      </x:c>
      <x:c r="T151" s="165" t="str">
        <x:f>IF(AND(T$5&gt;=$C151,T$5&lt;=$D151,$A151&lt;&gt;""),"●","")</x:f>
      </x:c>
      <x:c r="U151" s="165" t="str">
        <x:f>IF(AND(U$5&gt;=$C151,U$5&lt;=$D151,$A151&lt;&gt;""),"●","")</x:f>
      </x:c>
      <x:c r="V151" s="165" t="str">
        <x:f>IF(AND(V$5&gt;=$C151,V$5&lt;=$D151,$A151&lt;&gt;""),"●","")</x:f>
      </x:c>
      <x:c r="W151" s="165" t="str">
        <x:f>IF(AND(W$5&gt;=$C151,W$5&lt;=$D151,$A151&lt;&gt;""),"●","")</x:f>
      </x:c>
      <x:c r="X151" s="165" t="str">
        <x:f>IF(AND(X$5&gt;=$C151,X$5&lt;=$D151,$A151&lt;&gt;""),"●","")</x:f>
      </x:c>
      <x:c r="Y151" s="165" t="str">
        <x:f>IF(AND(Y$5&gt;=$C151,Y$5&lt;=$D151,$A151&lt;&gt;""),"●","")</x:f>
      </x:c>
      <x:c r="Z151" s="165" t="str">
        <x:f>IF(AND(Z$5&gt;=$C151,Z$5&lt;=$D151,$A151&lt;&gt;""),"●","")</x:f>
      </x:c>
      <x:c r="AA151" s="165" t="str">
        <x:f>IF(AND(AA$5&gt;=$C151,AA$5&lt;=$D151,$A151&lt;&gt;""),"●","")</x:f>
      </x:c>
      <x:c r="AB151" s="165" t="str">
        <x:f>IF(AND(AB$5&gt;=$C151,AB$5&lt;=$D151,$A151&lt;&gt;""),"●","")</x:f>
      </x:c>
      <x:c r="AC151" s="165" t="str">
        <x:f>IF(AND(AC$5&gt;=$C151,AC$5&lt;=$D151,$A151&lt;&gt;""),"●","")</x:f>
      </x:c>
      <x:c r="AD151" s="165" t="str">
        <x:f>IF(AND(AD$5&gt;=$C151,AD$5&lt;=$D151,$A151&lt;&gt;""),"●","")</x:f>
      </x:c>
      <x:c r="AE151" s="165" t="str">
        <x:f>IF(AND(AE$5&gt;=$C151,AE$5&lt;=$D151,$A151&lt;&gt;""),"●","")</x:f>
      </x:c>
      <x:c r="AF151" s="165" t="str">
        <x:f>IF(AND(AF$5&gt;=$C151,AF$5&lt;=$D151,$A151&lt;&gt;""),"●","")</x:f>
      </x:c>
      <x:c r="AG151" s="165" t="str">
        <x:f>IF(AND(AG$5&gt;=$C151,AG$5&lt;=$D151,$A151&lt;&gt;""),"●","")</x:f>
      </x:c>
      <x:c r="AH151" s="165" t="str">
        <x:f>IF(AND(AH$5&gt;=$C151,AH$5&lt;=$D151,$A151&lt;&gt;""),"●","")</x:f>
      </x:c>
      <x:c r="AI151" s="165" t="str">
        <x:f>IF(AND(AI$5&gt;=$C151,AI$5&lt;=$D151,$A151&lt;&gt;""),"●","")</x:f>
      </x:c>
      <x:c r="AJ151" s="165" t="str">
        <x:f>IF(AND(AJ$5&gt;=$C151,AJ$5&lt;=$D151,$A151&lt;&gt;""),"●","")</x:f>
      </x:c>
      <x:c r="AK151" s="165" t="str">
        <x:f>IF(AND(AK$5&gt;=$C151,AK$5&lt;=$D151,$A151&lt;&gt;""),"●","")</x:f>
      </x:c>
      <x:c r="AL151" s="165" t="str">
        <x:f>IF(AND(AL$5&gt;=$C151,AL$5&lt;=$D151,$A151&lt;&gt;""),"●","")</x:f>
      </x:c>
      <x:c r="AM151" s="165" t="str">
        <x:f>IF(AND(AM$5&gt;=$C151,AM$5&lt;=$D151,$A151&lt;&gt;""),"●","")</x:f>
      </x:c>
      <x:c r="AN151" s="165" t="str">
        <x:f>IF(AND(AN$5&gt;=$C151,AN$5&lt;=$D151,$A151&lt;&gt;""),"●","")</x:f>
      </x:c>
      <x:c r="AO151" s="165" t="str">
        <x:f>IF(AND(AO$5&gt;=$C151,AO$5&lt;=$D151,$A151&lt;&gt;""),"●","")</x:f>
      </x:c>
      <x:c r="AP151" s="165" t="str">
        <x:f>IF(AND(AP$5&gt;=$C151,AP$5&lt;=$D151,$A151&lt;&gt;""),"●","")</x:f>
      </x:c>
      <x:c r="AQ151" s="165" t="str">
        <x:f>IF(AND(AQ$5&gt;=$C151,AQ$5&lt;=$D151,$A151&lt;&gt;""),"●","")</x:f>
      </x:c>
      <x:c r="AR151" s="165" t="str">
        <x:f>IF(AND(AR$5&gt;=$C151,AR$5&lt;=$D151,$A151&lt;&gt;""),"●","")</x:f>
      </x:c>
      <x:c r="AS151" s="165" t="str">
        <x:f>IF(AND(AS$5&gt;=$C151,AS$5&lt;=$D151,$A151&lt;&gt;""),"●","")</x:f>
      </x:c>
      <x:c r="AT151" s="165" t="str">
        <x:f>IF(AND(AT$5&gt;=$C151,AT$5&lt;=$D151,$A151&lt;&gt;""),"●","")</x:f>
      </x:c>
      <x:c r="AU151" s="165" t="str">
        <x:f>IF(AND(AU$5&gt;=$C151,AU$5&lt;=$D151,$A151&lt;&gt;""),"●","")</x:f>
      </x:c>
      <x:c r="AV151" s="165" t="str">
        <x:f>IF(AND(AV$5&gt;=$C151,AV$5&lt;=$D151,$A151&lt;&gt;""),"●","")</x:f>
      </x:c>
      <x:c r="AW151" s="165" t="str">
        <x:f>IF(AND(AW$5&gt;=$C151,AW$5&lt;=$D151,$A151&lt;&gt;""),"●","")</x:f>
      </x:c>
      <x:c r="AX151" s="165" t="str">
        <x:f>IF(AND(AX$5&gt;=$C151,AX$5&lt;=$D151,$A151&lt;&gt;""),"●","")</x:f>
      </x:c>
      <x:c r="AY151" s="165" t="str">
        <x:f>IF(AND(AY$5&gt;=$C151,AY$5&lt;=$D151,$A151&lt;&gt;""),"●","")</x:f>
      </x:c>
      <x:c r="AZ151" s="165" t="str">
        <x:f>IF(AND(AZ$5&gt;=$C151,AZ$5&lt;=$D151,$A151&lt;&gt;""),"●","")</x:f>
      </x:c>
      <x:c r="BA151" s="165" t="str">
        <x:f>IF(AND(BA$5&gt;=$C151,BA$5&lt;=$D151,$A151&lt;&gt;""),"●","")</x:f>
      </x:c>
      <x:c r="BB151" s="165" t="str">
        <x:f>IF(AND(BB$5&gt;=$C151,BB$5&lt;=$D151,$A151&lt;&gt;""),"●","")</x:f>
      </x:c>
      <x:c r="BC151" s="165" t="str">
        <x:f>IF(AND(BC$5&gt;=$C151,BC$5&lt;=$D151,$A151&lt;&gt;""),"●","")</x:f>
      </x:c>
      <x:c r="BD151" s="165" t="str">
        <x:f>IF(AND(BD$5&gt;=$C151,BD$5&lt;=$D151,$A151&lt;&gt;""),"●","")</x:f>
      </x:c>
      <x:c r="BE151" s="165" t="str">
        <x:f>IF(AND(BE$5&gt;=$C151,BE$5&lt;=$D151,$A151&lt;&gt;""),"●","")</x:f>
      </x:c>
      <x:c r="BF151" s="165" t="str">
        <x:f>IF(AND(BF$5&gt;=$C151,BF$5&lt;=$D151,$A151&lt;&gt;""),"●","")</x:f>
      </x:c>
      <x:c r="BG151" s="165" t="str">
        <x:f>IF(AND(BG$5&gt;=$C151,BG$5&lt;=$D151,$A151&lt;&gt;""),"●","")</x:f>
      </x:c>
      <x:c r="BH151" s="165" t="str">
        <x:f>IF(AND(BH$5&gt;=$C151,BH$5&lt;=$D151,$A151&lt;&gt;""),"●","")</x:f>
      </x:c>
      <x:c r="BI151" s="165" t="str">
        <x:f>IF(AND(BI$5&gt;=$C151,BI$5&lt;=$D151,$A151&lt;&gt;""),"●","")</x:f>
      </x:c>
      <x:c r="BJ151" s="165" t="str">
        <x:f>IF(AND(BJ$5&gt;=$C151,BJ$5&lt;=$D151,$A151&lt;&gt;""),"●","")</x:f>
      </x:c>
      <x:c r="BK151" s="165" t="str">
        <x:f>IF(AND(BK$5&gt;=$C151,BK$5&lt;=$D151,$A151&lt;&gt;""),"●","")</x:f>
      </x:c>
      <x:c r="BL151" s="165" t="str">
        <x:f>IF(AND(BL$5&gt;=$C151,BL$5&lt;=$D151,$A151&lt;&gt;""),"●","")</x:f>
      </x:c>
      <x:c r="BM151" s="165" t="str">
        <x:f>IF(AND(BM$5&gt;=$C151,BM$5&lt;=$D151,$A151&lt;&gt;""),"●","")</x:f>
      </x:c>
      <x:c r="BN151" s="165" t="str">
        <x:f>IF(AND(BN$5&gt;=$C151,BN$5&lt;=$D151,$A151&lt;&gt;""),"●","")</x:f>
      </x:c>
      <x:c r="BO151" s="165" t="str">
        <x:f>IF(AND(BO$5&gt;=$C151,BO$5&lt;=$D151,$A151&lt;&gt;""),"●","")</x:f>
      </x:c>
      <x:c r="BP151" s="165" t="str">
        <x:f>IF(AND(BP$5&gt;=$C151,BP$5&lt;=$D151,$A151&lt;&gt;""),"●","")</x:f>
      </x:c>
      <x:c r="BQ151" s="165" t="str">
        <x:f>IF(AND(BQ$5&gt;=$C151,BQ$5&lt;=$D151,$A151&lt;&gt;""),"●","")</x:f>
      </x:c>
      <x:c r="BR151" s="165" t="str">
        <x:f>IF(AND(BR$5&gt;=$C151,BR$5&lt;=$D151,$A151&lt;&gt;""),"●","")</x:f>
      </x:c>
      <x:c r="BS151" s="165" t="str">
        <x:f>IF(AND(BS$5&gt;=$C151,BS$5&lt;=$D151,$A151&lt;&gt;""),"●","")</x:f>
      </x:c>
      <x:c r="BT151" s="165" t="str">
        <x:f>IF(AND(BT$5&gt;=$C151,BT$5&lt;=$D151,$A151&lt;&gt;""),"●","")</x:f>
      </x:c>
      <x:c r="BU151" s="165" t="str">
        <x:f>IF(AND(BU$5&gt;=$C151,BU$5&lt;=$D151,$A151&lt;&gt;""),"●","")</x:f>
      </x:c>
      <x:c r="BV151" s="165" t="str">
        <x:f>IF(AND(BV$5&gt;=$C151,BV$5&lt;=$D151,$A151&lt;&gt;""),"●","")</x:f>
      </x:c>
      <x:c r="BW151" s="165" t="str">
        <x:f>IF(AND(BW$5&gt;=$C151,BW$5&lt;=$D151,$A151&lt;&gt;""),"●","")</x:f>
      </x:c>
    </x:row>
    <x:row r="152">
      <x:c r="A152" s="159" t="str">
        <x:f>IF('รายการสัญญา'!A152="","",'รายการสัญญา'!A152)</x:f>
      </x:c>
      <x:c r="B152" s="159" t="str">
        <x:f>IF('รายการสัญญา'!A152="","",'รายการสัญญา'!C152)</x:f>
      </x:c>
      <x:c r="C152" s="162" t="str">
        <x:f>IF('รายการสัญญา'!A152="","",'รายการสัญญา'!E152)</x:f>
      </x:c>
      <x:c r="D152" s="162" t="str">
        <x:f>IF('รายการสัญญา'!A152="","",'รายการสัญญา'!G152)</x:f>
      </x:c>
      <x:c r="E152" s="159" t="str">
        <x:f>IF('รายการสัญญา'!A152="","",'รายการสัญญา'!K152)</x:f>
      </x:c>
      <x:c r="F152" s="165" t="str">
        <x:f>IF(AND(F$5&gt;=$C152,F$5&lt;=$D152,$A152&lt;&gt;""),"●","")</x:f>
      </x:c>
      <x:c r="G152" s="165" t="str">
        <x:f>IF(AND(G$5&gt;=$C152,G$5&lt;=$D152,$A152&lt;&gt;""),"●","")</x:f>
      </x:c>
      <x:c r="H152" s="165" t="str">
        <x:f>IF(AND(H$5&gt;=$C152,H$5&lt;=$D152,$A152&lt;&gt;""),"●","")</x:f>
      </x:c>
      <x:c r="I152" s="165" t="str">
        <x:f>IF(AND(I$5&gt;=$C152,I$5&lt;=$D152,$A152&lt;&gt;""),"●","")</x:f>
      </x:c>
      <x:c r="J152" s="165" t="str">
        <x:f>IF(AND(J$5&gt;=$C152,J$5&lt;=$D152,$A152&lt;&gt;""),"●","")</x:f>
      </x:c>
      <x:c r="K152" s="165" t="str">
        <x:f>IF(AND(K$5&gt;=$C152,K$5&lt;=$D152,$A152&lt;&gt;""),"●","")</x:f>
      </x:c>
      <x:c r="L152" s="165" t="str">
        <x:f>IF(AND(L$5&gt;=$C152,L$5&lt;=$D152,$A152&lt;&gt;""),"●","")</x:f>
      </x:c>
      <x:c r="M152" s="165" t="str">
        <x:f>IF(AND(M$5&gt;=$C152,M$5&lt;=$D152,$A152&lt;&gt;""),"●","")</x:f>
      </x:c>
      <x:c r="N152" s="165" t="str">
        <x:f>IF(AND(N$5&gt;=$C152,N$5&lt;=$D152,$A152&lt;&gt;""),"●","")</x:f>
      </x:c>
      <x:c r="O152" s="165" t="str">
        <x:f>IF(AND(O$5&gt;=$C152,O$5&lt;=$D152,$A152&lt;&gt;""),"●","")</x:f>
      </x:c>
      <x:c r="P152" s="165" t="str">
        <x:f>IF(AND(P$5&gt;=$C152,P$5&lt;=$D152,$A152&lt;&gt;""),"●","")</x:f>
      </x:c>
      <x:c r="Q152" s="165" t="str">
        <x:f>IF(AND(Q$5&gt;=$C152,Q$5&lt;=$D152,$A152&lt;&gt;""),"●","")</x:f>
      </x:c>
      <x:c r="R152" s="165" t="str">
        <x:f>IF(AND(R$5&gt;=$C152,R$5&lt;=$D152,$A152&lt;&gt;""),"●","")</x:f>
      </x:c>
      <x:c r="S152" s="165" t="str">
        <x:f>IF(AND(S$5&gt;=$C152,S$5&lt;=$D152,$A152&lt;&gt;""),"●","")</x:f>
      </x:c>
      <x:c r="T152" s="165" t="str">
        <x:f>IF(AND(T$5&gt;=$C152,T$5&lt;=$D152,$A152&lt;&gt;""),"●","")</x:f>
      </x:c>
      <x:c r="U152" s="165" t="str">
        <x:f>IF(AND(U$5&gt;=$C152,U$5&lt;=$D152,$A152&lt;&gt;""),"●","")</x:f>
      </x:c>
      <x:c r="V152" s="165" t="str">
        <x:f>IF(AND(V$5&gt;=$C152,V$5&lt;=$D152,$A152&lt;&gt;""),"●","")</x:f>
      </x:c>
      <x:c r="W152" s="165" t="str">
        <x:f>IF(AND(W$5&gt;=$C152,W$5&lt;=$D152,$A152&lt;&gt;""),"●","")</x:f>
      </x:c>
      <x:c r="X152" s="165" t="str">
        <x:f>IF(AND(X$5&gt;=$C152,X$5&lt;=$D152,$A152&lt;&gt;""),"●","")</x:f>
      </x:c>
      <x:c r="Y152" s="165" t="str">
        <x:f>IF(AND(Y$5&gt;=$C152,Y$5&lt;=$D152,$A152&lt;&gt;""),"●","")</x:f>
      </x:c>
      <x:c r="Z152" s="165" t="str">
        <x:f>IF(AND(Z$5&gt;=$C152,Z$5&lt;=$D152,$A152&lt;&gt;""),"●","")</x:f>
      </x:c>
      <x:c r="AA152" s="165" t="str">
        <x:f>IF(AND(AA$5&gt;=$C152,AA$5&lt;=$D152,$A152&lt;&gt;""),"●","")</x:f>
      </x:c>
      <x:c r="AB152" s="165" t="str">
        <x:f>IF(AND(AB$5&gt;=$C152,AB$5&lt;=$D152,$A152&lt;&gt;""),"●","")</x:f>
      </x:c>
      <x:c r="AC152" s="165" t="str">
        <x:f>IF(AND(AC$5&gt;=$C152,AC$5&lt;=$D152,$A152&lt;&gt;""),"●","")</x:f>
      </x:c>
      <x:c r="AD152" s="165" t="str">
        <x:f>IF(AND(AD$5&gt;=$C152,AD$5&lt;=$D152,$A152&lt;&gt;""),"●","")</x:f>
      </x:c>
      <x:c r="AE152" s="165" t="str">
        <x:f>IF(AND(AE$5&gt;=$C152,AE$5&lt;=$D152,$A152&lt;&gt;""),"●","")</x:f>
      </x:c>
      <x:c r="AF152" s="165" t="str">
        <x:f>IF(AND(AF$5&gt;=$C152,AF$5&lt;=$D152,$A152&lt;&gt;""),"●","")</x:f>
      </x:c>
      <x:c r="AG152" s="165" t="str">
        <x:f>IF(AND(AG$5&gt;=$C152,AG$5&lt;=$D152,$A152&lt;&gt;""),"●","")</x:f>
      </x:c>
      <x:c r="AH152" s="165" t="str">
        <x:f>IF(AND(AH$5&gt;=$C152,AH$5&lt;=$D152,$A152&lt;&gt;""),"●","")</x:f>
      </x:c>
      <x:c r="AI152" s="165" t="str">
        <x:f>IF(AND(AI$5&gt;=$C152,AI$5&lt;=$D152,$A152&lt;&gt;""),"●","")</x:f>
      </x:c>
      <x:c r="AJ152" s="165" t="str">
        <x:f>IF(AND(AJ$5&gt;=$C152,AJ$5&lt;=$D152,$A152&lt;&gt;""),"●","")</x:f>
      </x:c>
      <x:c r="AK152" s="165" t="str">
        <x:f>IF(AND(AK$5&gt;=$C152,AK$5&lt;=$D152,$A152&lt;&gt;""),"●","")</x:f>
      </x:c>
      <x:c r="AL152" s="165" t="str">
        <x:f>IF(AND(AL$5&gt;=$C152,AL$5&lt;=$D152,$A152&lt;&gt;""),"●","")</x:f>
      </x:c>
      <x:c r="AM152" s="165" t="str">
        <x:f>IF(AND(AM$5&gt;=$C152,AM$5&lt;=$D152,$A152&lt;&gt;""),"●","")</x:f>
      </x:c>
      <x:c r="AN152" s="165" t="str">
        <x:f>IF(AND(AN$5&gt;=$C152,AN$5&lt;=$D152,$A152&lt;&gt;""),"●","")</x:f>
      </x:c>
      <x:c r="AO152" s="165" t="str">
        <x:f>IF(AND(AO$5&gt;=$C152,AO$5&lt;=$D152,$A152&lt;&gt;""),"●","")</x:f>
      </x:c>
      <x:c r="AP152" s="165" t="str">
        <x:f>IF(AND(AP$5&gt;=$C152,AP$5&lt;=$D152,$A152&lt;&gt;""),"●","")</x:f>
      </x:c>
      <x:c r="AQ152" s="165" t="str">
        <x:f>IF(AND(AQ$5&gt;=$C152,AQ$5&lt;=$D152,$A152&lt;&gt;""),"●","")</x:f>
      </x:c>
      <x:c r="AR152" s="165" t="str">
        <x:f>IF(AND(AR$5&gt;=$C152,AR$5&lt;=$D152,$A152&lt;&gt;""),"●","")</x:f>
      </x:c>
      <x:c r="AS152" s="165" t="str">
        <x:f>IF(AND(AS$5&gt;=$C152,AS$5&lt;=$D152,$A152&lt;&gt;""),"●","")</x:f>
      </x:c>
      <x:c r="AT152" s="165" t="str">
        <x:f>IF(AND(AT$5&gt;=$C152,AT$5&lt;=$D152,$A152&lt;&gt;""),"●","")</x:f>
      </x:c>
      <x:c r="AU152" s="165" t="str">
        <x:f>IF(AND(AU$5&gt;=$C152,AU$5&lt;=$D152,$A152&lt;&gt;""),"●","")</x:f>
      </x:c>
      <x:c r="AV152" s="165" t="str">
        <x:f>IF(AND(AV$5&gt;=$C152,AV$5&lt;=$D152,$A152&lt;&gt;""),"●","")</x:f>
      </x:c>
      <x:c r="AW152" s="165" t="str">
        <x:f>IF(AND(AW$5&gt;=$C152,AW$5&lt;=$D152,$A152&lt;&gt;""),"●","")</x:f>
      </x:c>
      <x:c r="AX152" s="165" t="str">
        <x:f>IF(AND(AX$5&gt;=$C152,AX$5&lt;=$D152,$A152&lt;&gt;""),"●","")</x:f>
      </x:c>
      <x:c r="AY152" s="165" t="str">
        <x:f>IF(AND(AY$5&gt;=$C152,AY$5&lt;=$D152,$A152&lt;&gt;""),"●","")</x:f>
      </x:c>
      <x:c r="AZ152" s="165" t="str">
        <x:f>IF(AND(AZ$5&gt;=$C152,AZ$5&lt;=$D152,$A152&lt;&gt;""),"●","")</x:f>
      </x:c>
      <x:c r="BA152" s="165" t="str">
        <x:f>IF(AND(BA$5&gt;=$C152,BA$5&lt;=$D152,$A152&lt;&gt;""),"●","")</x:f>
      </x:c>
      <x:c r="BB152" s="165" t="str">
        <x:f>IF(AND(BB$5&gt;=$C152,BB$5&lt;=$D152,$A152&lt;&gt;""),"●","")</x:f>
      </x:c>
      <x:c r="BC152" s="165" t="str">
        <x:f>IF(AND(BC$5&gt;=$C152,BC$5&lt;=$D152,$A152&lt;&gt;""),"●","")</x:f>
      </x:c>
      <x:c r="BD152" s="165" t="str">
        <x:f>IF(AND(BD$5&gt;=$C152,BD$5&lt;=$D152,$A152&lt;&gt;""),"●","")</x:f>
      </x:c>
      <x:c r="BE152" s="165" t="str">
        <x:f>IF(AND(BE$5&gt;=$C152,BE$5&lt;=$D152,$A152&lt;&gt;""),"●","")</x:f>
      </x:c>
      <x:c r="BF152" s="165" t="str">
        <x:f>IF(AND(BF$5&gt;=$C152,BF$5&lt;=$D152,$A152&lt;&gt;""),"●","")</x:f>
      </x:c>
      <x:c r="BG152" s="165" t="str">
        <x:f>IF(AND(BG$5&gt;=$C152,BG$5&lt;=$D152,$A152&lt;&gt;""),"●","")</x:f>
      </x:c>
      <x:c r="BH152" s="165" t="str">
        <x:f>IF(AND(BH$5&gt;=$C152,BH$5&lt;=$D152,$A152&lt;&gt;""),"●","")</x:f>
      </x:c>
      <x:c r="BI152" s="165" t="str">
        <x:f>IF(AND(BI$5&gt;=$C152,BI$5&lt;=$D152,$A152&lt;&gt;""),"●","")</x:f>
      </x:c>
      <x:c r="BJ152" s="165" t="str">
        <x:f>IF(AND(BJ$5&gt;=$C152,BJ$5&lt;=$D152,$A152&lt;&gt;""),"●","")</x:f>
      </x:c>
      <x:c r="BK152" s="165" t="str">
        <x:f>IF(AND(BK$5&gt;=$C152,BK$5&lt;=$D152,$A152&lt;&gt;""),"●","")</x:f>
      </x:c>
      <x:c r="BL152" s="165" t="str">
        <x:f>IF(AND(BL$5&gt;=$C152,BL$5&lt;=$D152,$A152&lt;&gt;""),"●","")</x:f>
      </x:c>
      <x:c r="BM152" s="165" t="str">
        <x:f>IF(AND(BM$5&gt;=$C152,BM$5&lt;=$D152,$A152&lt;&gt;""),"●","")</x:f>
      </x:c>
      <x:c r="BN152" s="165" t="str">
        <x:f>IF(AND(BN$5&gt;=$C152,BN$5&lt;=$D152,$A152&lt;&gt;""),"●","")</x:f>
      </x:c>
      <x:c r="BO152" s="165" t="str">
        <x:f>IF(AND(BO$5&gt;=$C152,BO$5&lt;=$D152,$A152&lt;&gt;""),"●","")</x:f>
      </x:c>
      <x:c r="BP152" s="165" t="str">
        <x:f>IF(AND(BP$5&gt;=$C152,BP$5&lt;=$D152,$A152&lt;&gt;""),"●","")</x:f>
      </x:c>
      <x:c r="BQ152" s="165" t="str">
        <x:f>IF(AND(BQ$5&gt;=$C152,BQ$5&lt;=$D152,$A152&lt;&gt;""),"●","")</x:f>
      </x:c>
      <x:c r="BR152" s="165" t="str">
        <x:f>IF(AND(BR$5&gt;=$C152,BR$5&lt;=$D152,$A152&lt;&gt;""),"●","")</x:f>
      </x:c>
      <x:c r="BS152" s="165" t="str">
        <x:f>IF(AND(BS$5&gt;=$C152,BS$5&lt;=$D152,$A152&lt;&gt;""),"●","")</x:f>
      </x:c>
      <x:c r="BT152" s="165" t="str">
        <x:f>IF(AND(BT$5&gt;=$C152,BT$5&lt;=$D152,$A152&lt;&gt;""),"●","")</x:f>
      </x:c>
      <x:c r="BU152" s="165" t="str">
        <x:f>IF(AND(BU$5&gt;=$C152,BU$5&lt;=$D152,$A152&lt;&gt;""),"●","")</x:f>
      </x:c>
      <x:c r="BV152" s="165" t="str">
        <x:f>IF(AND(BV$5&gt;=$C152,BV$5&lt;=$D152,$A152&lt;&gt;""),"●","")</x:f>
      </x:c>
      <x:c r="BW152" s="165" t="str">
        <x:f>IF(AND(BW$5&gt;=$C152,BW$5&lt;=$D152,$A152&lt;&gt;""),"●","")</x:f>
      </x:c>
    </x:row>
    <x:row r="153">
      <x:c r="A153" s="159" t="str">
        <x:f>IF('รายการสัญญา'!A153="","",'รายการสัญญา'!A153)</x:f>
      </x:c>
      <x:c r="B153" s="159" t="str">
        <x:f>IF('รายการสัญญา'!A153="","",'รายการสัญญา'!C153)</x:f>
      </x:c>
      <x:c r="C153" s="162" t="str">
        <x:f>IF('รายการสัญญา'!A153="","",'รายการสัญญา'!E153)</x:f>
      </x:c>
      <x:c r="D153" s="162" t="str">
        <x:f>IF('รายการสัญญา'!A153="","",'รายการสัญญา'!G153)</x:f>
      </x:c>
      <x:c r="E153" s="159" t="str">
        <x:f>IF('รายการสัญญา'!A153="","",'รายการสัญญา'!K153)</x:f>
      </x:c>
      <x:c r="F153" s="165" t="str">
        <x:f>IF(AND(F$5&gt;=$C153,F$5&lt;=$D153,$A153&lt;&gt;""),"●","")</x:f>
      </x:c>
      <x:c r="G153" s="165" t="str">
        <x:f>IF(AND(G$5&gt;=$C153,G$5&lt;=$D153,$A153&lt;&gt;""),"●","")</x:f>
      </x:c>
      <x:c r="H153" s="165" t="str">
        <x:f>IF(AND(H$5&gt;=$C153,H$5&lt;=$D153,$A153&lt;&gt;""),"●","")</x:f>
      </x:c>
      <x:c r="I153" s="165" t="str">
        <x:f>IF(AND(I$5&gt;=$C153,I$5&lt;=$D153,$A153&lt;&gt;""),"●","")</x:f>
      </x:c>
      <x:c r="J153" s="165" t="str">
        <x:f>IF(AND(J$5&gt;=$C153,J$5&lt;=$D153,$A153&lt;&gt;""),"●","")</x:f>
      </x:c>
      <x:c r="K153" s="165" t="str">
        <x:f>IF(AND(K$5&gt;=$C153,K$5&lt;=$D153,$A153&lt;&gt;""),"●","")</x:f>
      </x:c>
      <x:c r="L153" s="165" t="str">
        <x:f>IF(AND(L$5&gt;=$C153,L$5&lt;=$D153,$A153&lt;&gt;""),"●","")</x:f>
      </x:c>
      <x:c r="M153" s="165" t="str">
        <x:f>IF(AND(M$5&gt;=$C153,M$5&lt;=$D153,$A153&lt;&gt;""),"●","")</x:f>
      </x:c>
      <x:c r="N153" s="165" t="str">
        <x:f>IF(AND(N$5&gt;=$C153,N$5&lt;=$D153,$A153&lt;&gt;""),"●","")</x:f>
      </x:c>
      <x:c r="O153" s="165" t="str">
        <x:f>IF(AND(O$5&gt;=$C153,O$5&lt;=$D153,$A153&lt;&gt;""),"●","")</x:f>
      </x:c>
      <x:c r="P153" s="165" t="str">
        <x:f>IF(AND(P$5&gt;=$C153,P$5&lt;=$D153,$A153&lt;&gt;""),"●","")</x:f>
      </x:c>
      <x:c r="Q153" s="165" t="str">
        <x:f>IF(AND(Q$5&gt;=$C153,Q$5&lt;=$D153,$A153&lt;&gt;""),"●","")</x:f>
      </x:c>
      <x:c r="R153" s="165" t="str">
        <x:f>IF(AND(R$5&gt;=$C153,R$5&lt;=$D153,$A153&lt;&gt;""),"●","")</x:f>
      </x:c>
      <x:c r="S153" s="165" t="str">
        <x:f>IF(AND(S$5&gt;=$C153,S$5&lt;=$D153,$A153&lt;&gt;""),"●","")</x:f>
      </x:c>
      <x:c r="T153" s="165" t="str">
        <x:f>IF(AND(T$5&gt;=$C153,T$5&lt;=$D153,$A153&lt;&gt;""),"●","")</x:f>
      </x:c>
      <x:c r="U153" s="165" t="str">
        <x:f>IF(AND(U$5&gt;=$C153,U$5&lt;=$D153,$A153&lt;&gt;""),"●","")</x:f>
      </x:c>
      <x:c r="V153" s="165" t="str">
        <x:f>IF(AND(V$5&gt;=$C153,V$5&lt;=$D153,$A153&lt;&gt;""),"●","")</x:f>
      </x:c>
      <x:c r="W153" s="165" t="str">
        <x:f>IF(AND(W$5&gt;=$C153,W$5&lt;=$D153,$A153&lt;&gt;""),"●","")</x:f>
      </x:c>
      <x:c r="X153" s="165" t="str">
        <x:f>IF(AND(X$5&gt;=$C153,X$5&lt;=$D153,$A153&lt;&gt;""),"●","")</x:f>
      </x:c>
      <x:c r="Y153" s="165" t="str">
        <x:f>IF(AND(Y$5&gt;=$C153,Y$5&lt;=$D153,$A153&lt;&gt;""),"●","")</x:f>
      </x:c>
      <x:c r="Z153" s="165" t="str">
        <x:f>IF(AND(Z$5&gt;=$C153,Z$5&lt;=$D153,$A153&lt;&gt;""),"●","")</x:f>
      </x:c>
      <x:c r="AA153" s="165" t="str">
        <x:f>IF(AND(AA$5&gt;=$C153,AA$5&lt;=$D153,$A153&lt;&gt;""),"●","")</x:f>
      </x:c>
      <x:c r="AB153" s="165" t="str">
        <x:f>IF(AND(AB$5&gt;=$C153,AB$5&lt;=$D153,$A153&lt;&gt;""),"●","")</x:f>
      </x:c>
      <x:c r="AC153" s="165" t="str">
        <x:f>IF(AND(AC$5&gt;=$C153,AC$5&lt;=$D153,$A153&lt;&gt;""),"●","")</x:f>
      </x:c>
      <x:c r="AD153" s="165" t="str">
        <x:f>IF(AND(AD$5&gt;=$C153,AD$5&lt;=$D153,$A153&lt;&gt;""),"●","")</x:f>
      </x:c>
      <x:c r="AE153" s="165" t="str">
        <x:f>IF(AND(AE$5&gt;=$C153,AE$5&lt;=$D153,$A153&lt;&gt;""),"●","")</x:f>
      </x:c>
      <x:c r="AF153" s="165" t="str">
        <x:f>IF(AND(AF$5&gt;=$C153,AF$5&lt;=$D153,$A153&lt;&gt;""),"●","")</x:f>
      </x:c>
      <x:c r="AG153" s="165" t="str">
        <x:f>IF(AND(AG$5&gt;=$C153,AG$5&lt;=$D153,$A153&lt;&gt;""),"●","")</x:f>
      </x:c>
      <x:c r="AH153" s="165" t="str">
        <x:f>IF(AND(AH$5&gt;=$C153,AH$5&lt;=$D153,$A153&lt;&gt;""),"●","")</x:f>
      </x:c>
      <x:c r="AI153" s="165" t="str">
        <x:f>IF(AND(AI$5&gt;=$C153,AI$5&lt;=$D153,$A153&lt;&gt;""),"●","")</x:f>
      </x:c>
      <x:c r="AJ153" s="165" t="str">
        <x:f>IF(AND(AJ$5&gt;=$C153,AJ$5&lt;=$D153,$A153&lt;&gt;""),"●","")</x:f>
      </x:c>
      <x:c r="AK153" s="165" t="str">
        <x:f>IF(AND(AK$5&gt;=$C153,AK$5&lt;=$D153,$A153&lt;&gt;""),"●","")</x:f>
      </x:c>
      <x:c r="AL153" s="165" t="str">
        <x:f>IF(AND(AL$5&gt;=$C153,AL$5&lt;=$D153,$A153&lt;&gt;""),"●","")</x:f>
      </x:c>
      <x:c r="AM153" s="165" t="str">
        <x:f>IF(AND(AM$5&gt;=$C153,AM$5&lt;=$D153,$A153&lt;&gt;""),"●","")</x:f>
      </x:c>
      <x:c r="AN153" s="165" t="str">
        <x:f>IF(AND(AN$5&gt;=$C153,AN$5&lt;=$D153,$A153&lt;&gt;""),"●","")</x:f>
      </x:c>
      <x:c r="AO153" s="165" t="str">
        <x:f>IF(AND(AO$5&gt;=$C153,AO$5&lt;=$D153,$A153&lt;&gt;""),"●","")</x:f>
      </x:c>
      <x:c r="AP153" s="165" t="str">
        <x:f>IF(AND(AP$5&gt;=$C153,AP$5&lt;=$D153,$A153&lt;&gt;""),"●","")</x:f>
      </x:c>
      <x:c r="AQ153" s="165" t="str">
        <x:f>IF(AND(AQ$5&gt;=$C153,AQ$5&lt;=$D153,$A153&lt;&gt;""),"●","")</x:f>
      </x:c>
      <x:c r="AR153" s="165" t="str">
        <x:f>IF(AND(AR$5&gt;=$C153,AR$5&lt;=$D153,$A153&lt;&gt;""),"●","")</x:f>
      </x:c>
      <x:c r="AS153" s="165" t="str">
        <x:f>IF(AND(AS$5&gt;=$C153,AS$5&lt;=$D153,$A153&lt;&gt;""),"●","")</x:f>
      </x:c>
      <x:c r="AT153" s="165" t="str">
        <x:f>IF(AND(AT$5&gt;=$C153,AT$5&lt;=$D153,$A153&lt;&gt;""),"●","")</x:f>
      </x:c>
      <x:c r="AU153" s="165" t="str">
        <x:f>IF(AND(AU$5&gt;=$C153,AU$5&lt;=$D153,$A153&lt;&gt;""),"●","")</x:f>
      </x:c>
      <x:c r="AV153" s="165" t="str">
        <x:f>IF(AND(AV$5&gt;=$C153,AV$5&lt;=$D153,$A153&lt;&gt;""),"●","")</x:f>
      </x:c>
      <x:c r="AW153" s="165" t="str">
        <x:f>IF(AND(AW$5&gt;=$C153,AW$5&lt;=$D153,$A153&lt;&gt;""),"●","")</x:f>
      </x:c>
      <x:c r="AX153" s="165" t="str">
        <x:f>IF(AND(AX$5&gt;=$C153,AX$5&lt;=$D153,$A153&lt;&gt;""),"●","")</x:f>
      </x:c>
      <x:c r="AY153" s="165" t="str">
        <x:f>IF(AND(AY$5&gt;=$C153,AY$5&lt;=$D153,$A153&lt;&gt;""),"●","")</x:f>
      </x:c>
      <x:c r="AZ153" s="165" t="str">
        <x:f>IF(AND(AZ$5&gt;=$C153,AZ$5&lt;=$D153,$A153&lt;&gt;""),"●","")</x:f>
      </x:c>
      <x:c r="BA153" s="165" t="str">
        <x:f>IF(AND(BA$5&gt;=$C153,BA$5&lt;=$D153,$A153&lt;&gt;""),"●","")</x:f>
      </x:c>
      <x:c r="BB153" s="165" t="str">
        <x:f>IF(AND(BB$5&gt;=$C153,BB$5&lt;=$D153,$A153&lt;&gt;""),"●","")</x:f>
      </x:c>
      <x:c r="BC153" s="165" t="str">
        <x:f>IF(AND(BC$5&gt;=$C153,BC$5&lt;=$D153,$A153&lt;&gt;""),"●","")</x:f>
      </x:c>
      <x:c r="BD153" s="165" t="str">
        <x:f>IF(AND(BD$5&gt;=$C153,BD$5&lt;=$D153,$A153&lt;&gt;""),"●","")</x:f>
      </x:c>
      <x:c r="BE153" s="165" t="str">
        <x:f>IF(AND(BE$5&gt;=$C153,BE$5&lt;=$D153,$A153&lt;&gt;""),"●","")</x:f>
      </x:c>
      <x:c r="BF153" s="165" t="str">
        <x:f>IF(AND(BF$5&gt;=$C153,BF$5&lt;=$D153,$A153&lt;&gt;""),"●","")</x:f>
      </x:c>
      <x:c r="BG153" s="165" t="str">
        <x:f>IF(AND(BG$5&gt;=$C153,BG$5&lt;=$D153,$A153&lt;&gt;""),"●","")</x:f>
      </x:c>
      <x:c r="BH153" s="165" t="str">
        <x:f>IF(AND(BH$5&gt;=$C153,BH$5&lt;=$D153,$A153&lt;&gt;""),"●","")</x:f>
      </x:c>
      <x:c r="BI153" s="165" t="str">
        <x:f>IF(AND(BI$5&gt;=$C153,BI$5&lt;=$D153,$A153&lt;&gt;""),"●","")</x:f>
      </x:c>
      <x:c r="BJ153" s="165" t="str">
        <x:f>IF(AND(BJ$5&gt;=$C153,BJ$5&lt;=$D153,$A153&lt;&gt;""),"●","")</x:f>
      </x:c>
      <x:c r="BK153" s="165" t="str">
        <x:f>IF(AND(BK$5&gt;=$C153,BK$5&lt;=$D153,$A153&lt;&gt;""),"●","")</x:f>
      </x:c>
      <x:c r="BL153" s="165" t="str">
        <x:f>IF(AND(BL$5&gt;=$C153,BL$5&lt;=$D153,$A153&lt;&gt;""),"●","")</x:f>
      </x:c>
      <x:c r="BM153" s="165" t="str">
        <x:f>IF(AND(BM$5&gt;=$C153,BM$5&lt;=$D153,$A153&lt;&gt;""),"●","")</x:f>
      </x:c>
      <x:c r="BN153" s="165" t="str">
        <x:f>IF(AND(BN$5&gt;=$C153,BN$5&lt;=$D153,$A153&lt;&gt;""),"●","")</x:f>
      </x:c>
      <x:c r="BO153" s="165" t="str">
        <x:f>IF(AND(BO$5&gt;=$C153,BO$5&lt;=$D153,$A153&lt;&gt;""),"●","")</x:f>
      </x:c>
      <x:c r="BP153" s="165" t="str">
        <x:f>IF(AND(BP$5&gt;=$C153,BP$5&lt;=$D153,$A153&lt;&gt;""),"●","")</x:f>
      </x:c>
      <x:c r="BQ153" s="165" t="str">
        <x:f>IF(AND(BQ$5&gt;=$C153,BQ$5&lt;=$D153,$A153&lt;&gt;""),"●","")</x:f>
      </x:c>
      <x:c r="BR153" s="165" t="str">
        <x:f>IF(AND(BR$5&gt;=$C153,BR$5&lt;=$D153,$A153&lt;&gt;""),"●","")</x:f>
      </x:c>
      <x:c r="BS153" s="165" t="str">
        <x:f>IF(AND(BS$5&gt;=$C153,BS$5&lt;=$D153,$A153&lt;&gt;""),"●","")</x:f>
      </x:c>
      <x:c r="BT153" s="165" t="str">
        <x:f>IF(AND(BT$5&gt;=$C153,BT$5&lt;=$D153,$A153&lt;&gt;""),"●","")</x:f>
      </x:c>
      <x:c r="BU153" s="165" t="str">
        <x:f>IF(AND(BU$5&gt;=$C153,BU$5&lt;=$D153,$A153&lt;&gt;""),"●","")</x:f>
      </x:c>
      <x:c r="BV153" s="165" t="str">
        <x:f>IF(AND(BV$5&gt;=$C153,BV$5&lt;=$D153,$A153&lt;&gt;""),"●","")</x:f>
      </x:c>
      <x:c r="BW153" s="165" t="str">
        <x:f>IF(AND(BW$5&gt;=$C153,BW$5&lt;=$D153,$A153&lt;&gt;""),"●","")</x:f>
      </x:c>
    </x:row>
    <x:row r="154">
      <x:c r="A154" s="159" t="str">
        <x:f>IF('รายการสัญญา'!A154="","",'รายการสัญญา'!A154)</x:f>
      </x:c>
      <x:c r="B154" s="159" t="str">
        <x:f>IF('รายการสัญญา'!A154="","",'รายการสัญญา'!C154)</x:f>
      </x:c>
      <x:c r="C154" s="162" t="str">
        <x:f>IF('รายการสัญญา'!A154="","",'รายการสัญญา'!E154)</x:f>
      </x:c>
      <x:c r="D154" s="162" t="str">
        <x:f>IF('รายการสัญญา'!A154="","",'รายการสัญญา'!G154)</x:f>
      </x:c>
      <x:c r="E154" s="159" t="str">
        <x:f>IF('รายการสัญญา'!A154="","",'รายการสัญญา'!K154)</x:f>
      </x:c>
      <x:c r="F154" s="165" t="str">
        <x:f>IF(AND(F$5&gt;=$C154,F$5&lt;=$D154,$A154&lt;&gt;""),"●","")</x:f>
      </x:c>
      <x:c r="G154" s="165" t="str">
        <x:f>IF(AND(G$5&gt;=$C154,G$5&lt;=$D154,$A154&lt;&gt;""),"●","")</x:f>
      </x:c>
      <x:c r="H154" s="165" t="str">
        <x:f>IF(AND(H$5&gt;=$C154,H$5&lt;=$D154,$A154&lt;&gt;""),"●","")</x:f>
      </x:c>
      <x:c r="I154" s="165" t="str">
        <x:f>IF(AND(I$5&gt;=$C154,I$5&lt;=$D154,$A154&lt;&gt;""),"●","")</x:f>
      </x:c>
      <x:c r="J154" s="165" t="str">
        <x:f>IF(AND(J$5&gt;=$C154,J$5&lt;=$D154,$A154&lt;&gt;""),"●","")</x:f>
      </x:c>
      <x:c r="K154" s="165" t="str">
        <x:f>IF(AND(K$5&gt;=$C154,K$5&lt;=$D154,$A154&lt;&gt;""),"●","")</x:f>
      </x:c>
      <x:c r="L154" s="165" t="str">
        <x:f>IF(AND(L$5&gt;=$C154,L$5&lt;=$D154,$A154&lt;&gt;""),"●","")</x:f>
      </x:c>
      <x:c r="M154" s="165" t="str">
        <x:f>IF(AND(M$5&gt;=$C154,M$5&lt;=$D154,$A154&lt;&gt;""),"●","")</x:f>
      </x:c>
      <x:c r="N154" s="165" t="str">
        <x:f>IF(AND(N$5&gt;=$C154,N$5&lt;=$D154,$A154&lt;&gt;""),"●","")</x:f>
      </x:c>
      <x:c r="O154" s="165" t="str">
        <x:f>IF(AND(O$5&gt;=$C154,O$5&lt;=$D154,$A154&lt;&gt;""),"●","")</x:f>
      </x:c>
      <x:c r="P154" s="165" t="str">
        <x:f>IF(AND(P$5&gt;=$C154,P$5&lt;=$D154,$A154&lt;&gt;""),"●","")</x:f>
      </x:c>
      <x:c r="Q154" s="165" t="str">
        <x:f>IF(AND(Q$5&gt;=$C154,Q$5&lt;=$D154,$A154&lt;&gt;""),"●","")</x:f>
      </x:c>
      <x:c r="R154" s="165" t="str">
        <x:f>IF(AND(R$5&gt;=$C154,R$5&lt;=$D154,$A154&lt;&gt;""),"●","")</x:f>
      </x:c>
      <x:c r="S154" s="165" t="str">
        <x:f>IF(AND(S$5&gt;=$C154,S$5&lt;=$D154,$A154&lt;&gt;""),"●","")</x:f>
      </x:c>
      <x:c r="T154" s="165" t="str">
        <x:f>IF(AND(T$5&gt;=$C154,T$5&lt;=$D154,$A154&lt;&gt;""),"●","")</x:f>
      </x:c>
      <x:c r="U154" s="165" t="str">
        <x:f>IF(AND(U$5&gt;=$C154,U$5&lt;=$D154,$A154&lt;&gt;""),"●","")</x:f>
      </x:c>
      <x:c r="V154" s="165" t="str">
        <x:f>IF(AND(V$5&gt;=$C154,V$5&lt;=$D154,$A154&lt;&gt;""),"●","")</x:f>
      </x:c>
      <x:c r="W154" s="165" t="str">
        <x:f>IF(AND(W$5&gt;=$C154,W$5&lt;=$D154,$A154&lt;&gt;""),"●","")</x:f>
      </x:c>
      <x:c r="X154" s="165" t="str">
        <x:f>IF(AND(X$5&gt;=$C154,X$5&lt;=$D154,$A154&lt;&gt;""),"●","")</x:f>
      </x:c>
      <x:c r="Y154" s="165" t="str">
        <x:f>IF(AND(Y$5&gt;=$C154,Y$5&lt;=$D154,$A154&lt;&gt;""),"●","")</x:f>
      </x:c>
      <x:c r="Z154" s="165" t="str">
        <x:f>IF(AND(Z$5&gt;=$C154,Z$5&lt;=$D154,$A154&lt;&gt;""),"●","")</x:f>
      </x:c>
      <x:c r="AA154" s="165" t="str">
        <x:f>IF(AND(AA$5&gt;=$C154,AA$5&lt;=$D154,$A154&lt;&gt;""),"●","")</x:f>
      </x:c>
      <x:c r="AB154" s="165" t="str">
        <x:f>IF(AND(AB$5&gt;=$C154,AB$5&lt;=$D154,$A154&lt;&gt;""),"●","")</x:f>
      </x:c>
      <x:c r="AC154" s="165" t="str">
        <x:f>IF(AND(AC$5&gt;=$C154,AC$5&lt;=$D154,$A154&lt;&gt;""),"●","")</x:f>
      </x:c>
      <x:c r="AD154" s="165" t="str">
        <x:f>IF(AND(AD$5&gt;=$C154,AD$5&lt;=$D154,$A154&lt;&gt;""),"●","")</x:f>
      </x:c>
      <x:c r="AE154" s="165" t="str">
        <x:f>IF(AND(AE$5&gt;=$C154,AE$5&lt;=$D154,$A154&lt;&gt;""),"●","")</x:f>
      </x:c>
      <x:c r="AF154" s="165" t="str">
        <x:f>IF(AND(AF$5&gt;=$C154,AF$5&lt;=$D154,$A154&lt;&gt;""),"●","")</x:f>
      </x:c>
      <x:c r="AG154" s="165" t="str">
        <x:f>IF(AND(AG$5&gt;=$C154,AG$5&lt;=$D154,$A154&lt;&gt;""),"●","")</x:f>
      </x:c>
      <x:c r="AH154" s="165" t="str">
        <x:f>IF(AND(AH$5&gt;=$C154,AH$5&lt;=$D154,$A154&lt;&gt;""),"●","")</x:f>
      </x:c>
      <x:c r="AI154" s="165" t="str">
        <x:f>IF(AND(AI$5&gt;=$C154,AI$5&lt;=$D154,$A154&lt;&gt;""),"●","")</x:f>
      </x:c>
      <x:c r="AJ154" s="165" t="str">
        <x:f>IF(AND(AJ$5&gt;=$C154,AJ$5&lt;=$D154,$A154&lt;&gt;""),"●","")</x:f>
      </x:c>
      <x:c r="AK154" s="165" t="str">
        <x:f>IF(AND(AK$5&gt;=$C154,AK$5&lt;=$D154,$A154&lt;&gt;""),"●","")</x:f>
      </x:c>
      <x:c r="AL154" s="165" t="str">
        <x:f>IF(AND(AL$5&gt;=$C154,AL$5&lt;=$D154,$A154&lt;&gt;""),"●","")</x:f>
      </x:c>
      <x:c r="AM154" s="165" t="str">
        <x:f>IF(AND(AM$5&gt;=$C154,AM$5&lt;=$D154,$A154&lt;&gt;""),"●","")</x:f>
      </x:c>
      <x:c r="AN154" s="165" t="str">
        <x:f>IF(AND(AN$5&gt;=$C154,AN$5&lt;=$D154,$A154&lt;&gt;""),"●","")</x:f>
      </x:c>
      <x:c r="AO154" s="165" t="str">
        <x:f>IF(AND(AO$5&gt;=$C154,AO$5&lt;=$D154,$A154&lt;&gt;""),"●","")</x:f>
      </x:c>
      <x:c r="AP154" s="165" t="str">
        <x:f>IF(AND(AP$5&gt;=$C154,AP$5&lt;=$D154,$A154&lt;&gt;""),"●","")</x:f>
      </x:c>
      <x:c r="AQ154" s="165" t="str">
        <x:f>IF(AND(AQ$5&gt;=$C154,AQ$5&lt;=$D154,$A154&lt;&gt;""),"●","")</x:f>
      </x:c>
      <x:c r="AR154" s="165" t="str">
        <x:f>IF(AND(AR$5&gt;=$C154,AR$5&lt;=$D154,$A154&lt;&gt;""),"●","")</x:f>
      </x:c>
      <x:c r="AS154" s="165" t="str">
        <x:f>IF(AND(AS$5&gt;=$C154,AS$5&lt;=$D154,$A154&lt;&gt;""),"●","")</x:f>
      </x:c>
      <x:c r="AT154" s="165" t="str">
        <x:f>IF(AND(AT$5&gt;=$C154,AT$5&lt;=$D154,$A154&lt;&gt;""),"●","")</x:f>
      </x:c>
      <x:c r="AU154" s="165" t="str">
        <x:f>IF(AND(AU$5&gt;=$C154,AU$5&lt;=$D154,$A154&lt;&gt;""),"●","")</x:f>
      </x:c>
      <x:c r="AV154" s="165" t="str">
        <x:f>IF(AND(AV$5&gt;=$C154,AV$5&lt;=$D154,$A154&lt;&gt;""),"●","")</x:f>
      </x:c>
      <x:c r="AW154" s="165" t="str">
        <x:f>IF(AND(AW$5&gt;=$C154,AW$5&lt;=$D154,$A154&lt;&gt;""),"●","")</x:f>
      </x:c>
      <x:c r="AX154" s="165" t="str">
        <x:f>IF(AND(AX$5&gt;=$C154,AX$5&lt;=$D154,$A154&lt;&gt;""),"●","")</x:f>
      </x:c>
      <x:c r="AY154" s="165" t="str">
        <x:f>IF(AND(AY$5&gt;=$C154,AY$5&lt;=$D154,$A154&lt;&gt;""),"●","")</x:f>
      </x:c>
      <x:c r="AZ154" s="165" t="str">
        <x:f>IF(AND(AZ$5&gt;=$C154,AZ$5&lt;=$D154,$A154&lt;&gt;""),"●","")</x:f>
      </x:c>
      <x:c r="BA154" s="165" t="str">
        <x:f>IF(AND(BA$5&gt;=$C154,BA$5&lt;=$D154,$A154&lt;&gt;""),"●","")</x:f>
      </x:c>
      <x:c r="BB154" s="165" t="str">
        <x:f>IF(AND(BB$5&gt;=$C154,BB$5&lt;=$D154,$A154&lt;&gt;""),"●","")</x:f>
      </x:c>
      <x:c r="BC154" s="165" t="str">
        <x:f>IF(AND(BC$5&gt;=$C154,BC$5&lt;=$D154,$A154&lt;&gt;""),"●","")</x:f>
      </x:c>
      <x:c r="BD154" s="165" t="str">
        <x:f>IF(AND(BD$5&gt;=$C154,BD$5&lt;=$D154,$A154&lt;&gt;""),"●","")</x:f>
      </x:c>
      <x:c r="BE154" s="165" t="str">
        <x:f>IF(AND(BE$5&gt;=$C154,BE$5&lt;=$D154,$A154&lt;&gt;""),"●","")</x:f>
      </x:c>
      <x:c r="BF154" s="165" t="str">
        <x:f>IF(AND(BF$5&gt;=$C154,BF$5&lt;=$D154,$A154&lt;&gt;""),"●","")</x:f>
      </x:c>
      <x:c r="BG154" s="165" t="str">
        <x:f>IF(AND(BG$5&gt;=$C154,BG$5&lt;=$D154,$A154&lt;&gt;""),"●","")</x:f>
      </x:c>
      <x:c r="BH154" s="165" t="str">
        <x:f>IF(AND(BH$5&gt;=$C154,BH$5&lt;=$D154,$A154&lt;&gt;""),"●","")</x:f>
      </x:c>
      <x:c r="BI154" s="165" t="str">
        <x:f>IF(AND(BI$5&gt;=$C154,BI$5&lt;=$D154,$A154&lt;&gt;""),"●","")</x:f>
      </x:c>
      <x:c r="BJ154" s="165" t="str">
        <x:f>IF(AND(BJ$5&gt;=$C154,BJ$5&lt;=$D154,$A154&lt;&gt;""),"●","")</x:f>
      </x:c>
      <x:c r="BK154" s="165" t="str">
        <x:f>IF(AND(BK$5&gt;=$C154,BK$5&lt;=$D154,$A154&lt;&gt;""),"●","")</x:f>
      </x:c>
      <x:c r="BL154" s="165" t="str">
        <x:f>IF(AND(BL$5&gt;=$C154,BL$5&lt;=$D154,$A154&lt;&gt;""),"●","")</x:f>
      </x:c>
      <x:c r="BM154" s="165" t="str">
        <x:f>IF(AND(BM$5&gt;=$C154,BM$5&lt;=$D154,$A154&lt;&gt;""),"●","")</x:f>
      </x:c>
      <x:c r="BN154" s="165" t="str">
        <x:f>IF(AND(BN$5&gt;=$C154,BN$5&lt;=$D154,$A154&lt;&gt;""),"●","")</x:f>
      </x:c>
      <x:c r="BO154" s="165" t="str">
        <x:f>IF(AND(BO$5&gt;=$C154,BO$5&lt;=$D154,$A154&lt;&gt;""),"●","")</x:f>
      </x:c>
      <x:c r="BP154" s="165" t="str">
        <x:f>IF(AND(BP$5&gt;=$C154,BP$5&lt;=$D154,$A154&lt;&gt;""),"●","")</x:f>
      </x:c>
      <x:c r="BQ154" s="165" t="str">
        <x:f>IF(AND(BQ$5&gt;=$C154,BQ$5&lt;=$D154,$A154&lt;&gt;""),"●","")</x:f>
      </x:c>
      <x:c r="BR154" s="165" t="str">
        <x:f>IF(AND(BR$5&gt;=$C154,BR$5&lt;=$D154,$A154&lt;&gt;""),"●","")</x:f>
      </x:c>
      <x:c r="BS154" s="165" t="str">
        <x:f>IF(AND(BS$5&gt;=$C154,BS$5&lt;=$D154,$A154&lt;&gt;""),"●","")</x:f>
      </x:c>
      <x:c r="BT154" s="165" t="str">
        <x:f>IF(AND(BT$5&gt;=$C154,BT$5&lt;=$D154,$A154&lt;&gt;""),"●","")</x:f>
      </x:c>
      <x:c r="BU154" s="165" t="str">
        <x:f>IF(AND(BU$5&gt;=$C154,BU$5&lt;=$D154,$A154&lt;&gt;""),"●","")</x:f>
      </x:c>
      <x:c r="BV154" s="165" t="str">
        <x:f>IF(AND(BV$5&gt;=$C154,BV$5&lt;=$D154,$A154&lt;&gt;""),"●","")</x:f>
      </x:c>
      <x:c r="BW154" s="165" t="str">
        <x:f>IF(AND(BW$5&gt;=$C154,BW$5&lt;=$D154,$A154&lt;&gt;""),"●","")</x:f>
      </x:c>
    </x:row>
    <x:row r="155">
      <x:c r="A155" s="159" t="str">
        <x:f>IF('รายการสัญญา'!A155="","",'รายการสัญญา'!A155)</x:f>
      </x:c>
      <x:c r="B155" s="159" t="str">
        <x:f>IF('รายการสัญญา'!A155="","",'รายการสัญญา'!C155)</x:f>
      </x:c>
      <x:c r="C155" s="162" t="str">
        <x:f>IF('รายการสัญญา'!A155="","",'รายการสัญญา'!E155)</x:f>
      </x:c>
      <x:c r="D155" s="162" t="str">
        <x:f>IF('รายการสัญญา'!A155="","",'รายการสัญญา'!G155)</x:f>
      </x:c>
      <x:c r="E155" s="159" t="str">
        <x:f>IF('รายการสัญญา'!A155="","",'รายการสัญญา'!K155)</x:f>
      </x:c>
      <x:c r="F155" s="165" t="str">
        <x:f>IF(AND(F$5&gt;=$C155,F$5&lt;=$D155,$A155&lt;&gt;""),"●","")</x:f>
      </x:c>
      <x:c r="G155" s="165" t="str">
        <x:f>IF(AND(G$5&gt;=$C155,G$5&lt;=$D155,$A155&lt;&gt;""),"●","")</x:f>
      </x:c>
      <x:c r="H155" s="165" t="str">
        <x:f>IF(AND(H$5&gt;=$C155,H$5&lt;=$D155,$A155&lt;&gt;""),"●","")</x:f>
      </x:c>
      <x:c r="I155" s="165" t="str">
        <x:f>IF(AND(I$5&gt;=$C155,I$5&lt;=$D155,$A155&lt;&gt;""),"●","")</x:f>
      </x:c>
      <x:c r="J155" s="165" t="str">
        <x:f>IF(AND(J$5&gt;=$C155,J$5&lt;=$D155,$A155&lt;&gt;""),"●","")</x:f>
      </x:c>
      <x:c r="K155" s="165" t="str">
        <x:f>IF(AND(K$5&gt;=$C155,K$5&lt;=$D155,$A155&lt;&gt;""),"●","")</x:f>
      </x:c>
      <x:c r="L155" s="165" t="str">
        <x:f>IF(AND(L$5&gt;=$C155,L$5&lt;=$D155,$A155&lt;&gt;""),"●","")</x:f>
      </x:c>
      <x:c r="M155" s="165" t="str">
        <x:f>IF(AND(M$5&gt;=$C155,M$5&lt;=$D155,$A155&lt;&gt;""),"●","")</x:f>
      </x:c>
      <x:c r="N155" s="165" t="str">
        <x:f>IF(AND(N$5&gt;=$C155,N$5&lt;=$D155,$A155&lt;&gt;""),"●","")</x:f>
      </x:c>
      <x:c r="O155" s="165" t="str">
        <x:f>IF(AND(O$5&gt;=$C155,O$5&lt;=$D155,$A155&lt;&gt;""),"●","")</x:f>
      </x:c>
      <x:c r="P155" s="165" t="str">
        <x:f>IF(AND(P$5&gt;=$C155,P$5&lt;=$D155,$A155&lt;&gt;""),"●","")</x:f>
      </x:c>
      <x:c r="Q155" s="165" t="str">
        <x:f>IF(AND(Q$5&gt;=$C155,Q$5&lt;=$D155,$A155&lt;&gt;""),"●","")</x:f>
      </x:c>
      <x:c r="R155" s="165" t="str">
        <x:f>IF(AND(R$5&gt;=$C155,R$5&lt;=$D155,$A155&lt;&gt;""),"●","")</x:f>
      </x:c>
      <x:c r="S155" s="165" t="str">
        <x:f>IF(AND(S$5&gt;=$C155,S$5&lt;=$D155,$A155&lt;&gt;""),"●","")</x:f>
      </x:c>
      <x:c r="T155" s="165" t="str">
        <x:f>IF(AND(T$5&gt;=$C155,T$5&lt;=$D155,$A155&lt;&gt;""),"●","")</x:f>
      </x:c>
      <x:c r="U155" s="165" t="str">
        <x:f>IF(AND(U$5&gt;=$C155,U$5&lt;=$D155,$A155&lt;&gt;""),"●","")</x:f>
      </x:c>
      <x:c r="V155" s="165" t="str">
        <x:f>IF(AND(V$5&gt;=$C155,V$5&lt;=$D155,$A155&lt;&gt;""),"●","")</x:f>
      </x:c>
      <x:c r="W155" s="165" t="str">
        <x:f>IF(AND(W$5&gt;=$C155,W$5&lt;=$D155,$A155&lt;&gt;""),"●","")</x:f>
      </x:c>
      <x:c r="X155" s="165" t="str">
        <x:f>IF(AND(X$5&gt;=$C155,X$5&lt;=$D155,$A155&lt;&gt;""),"●","")</x:f>
      </x:c>
      <x:c r="Y155" s="165" t="str">
        <x:f>IF(AND(Y$5&gt;=$C155,Y$5&lt;=$D155,$A155&lt;&gt;""),"●","")</x:f>
      </x:c>
      <x:c r="Z155" s="165" t="str">
        <x:f>IF(AND(Z$5&gt;=$C155,Z$5&lt;=$D155,$A155&lt;&gt;""),"●","")</x:f>
      </x:c>
      <x:c r="AA155" s="165" t="str">
        <x:f>IF(AND(AA$5&gt;=$C155,AA$5&lt;=$D155,$A155&lt;&gt;""),"●","")</x:f>
      </x:c>
      <x:c r="AB155" s="165" t="str">
        <x:f>IF(AND(AB$5&gt;=$C155,AB$5&lt;=$D155,$A155&lt;&gt;""),"●","")</x:f>
      </x:c>
      <x:c r="AC155" s="165" t="str">
        <x:f>IF(AND(AC$5&gt;=$C155,AC$5&lt;=$D155,$A155&lt;&gt;""),"●","")</x:f>
      </x:c>
      <x:c r="AD155" s="165" t="str">
        <x:f>IF(AND(AD$5&gt;=$C155,AD$5&lt;=$D155,$A155&lt;&gt;""),"●","")</x:f>
      </x:c>
      <x:c r="AE155" s="165" t="str">
        <x:f>IF(AND(AE$5&gt;=$C155,AE$5&lt;=$D155,$A155&lt;&gt;""),"●","")</x:f>
      </x:c>
      <x:c r="AF155" s="165" t="str">
        <x:f>IF(AND(AF$5&gt;=$C155,AF$5&lt;=$D155,$A155&lt;&gt;""),"●","")</x:f>
      </x:c>
      <x:c r="AG155" s="165" t="str">
        <x:f>IF(AND(AG$5&gt;=$C155,AG$5&lt;=$D155,$A155&lt;&gt;""),"●","")</x:f>
      </x:c>
      <x:c r="AH155" s="165" t="str">
        <x:f>IF(AND(AH$5&gt;=$C155,AH$5&lt;=$D155,$A155&lt;&gt;""),"●","")</x:f>
      </x:c>
      <x:c r="AI155" s="165" t="str">
        <x:f>IF(AND(AI$5&gt;=$C155,AI$5&lt;=$D155,$A155&lt;&gt;""),"●","")</x:f>
      </x:c>
      <x:c r="AJ155" s="165" t="str">
        <x:f>IF(AND(AJ$5&gt;=$C155,AJ$5&lt;=$D155,$A155&lt;&gt;""),"●","")</x:f>
      </x:c>
      <x:c r="AK155" s="165" t="str">
        <x:f>IF(AND(AK$5&gt;=$C155,AK$5&lt;=$D155,$A155&lt;&gt;""),"●","")</x:f>
      </x:c>
      <x:c r="AL155" s="165" t="str">
        <x:f>IF(AND(AL$5&gt;=$C155,AL$5&lt;=$D155,$A155&lt;&gt;""),"●","")</x:f>
      </x:c>
      <x:c r="AM155" s="165" t="str">
        <x:f>IF(AND(AM$5&gt;=$C155,AM$5&lt;=$D155,$A155&lt;&gt;""),"●","")</x:f>
      </x:c>
      <x:c r="AN155" s="165" t="str">
        <x:f>IF(AND(AN$5&gt;=$C155,AN$5&lt;=$D155,$A155&lt;&gt;""),"●","")</x:f>
      </x:c>
      <x:c r="AO155" s="165" t="str">
        <x:f>IF(AND(AO$5&gt;=$C155,AO$5&lt;=$D155,$A155&lt;&gt;""),"●","")</x:f>
      </x:c>
      <x:c r="AP155" s="165" t="str">
        <x:f>IF(AND(AP$5&gt;=$C155,AP$5&lt;=$D155,$A155&lt;&gt;""),"●","")</x:f>
      </x:c>
      <x:c r="AQ155" s="165" t="str">
        <x:f>IF(AND(AQ$5&gt;=$C155,AQ$5&lt;=$D155,$A155&lt;&gt;""),"●","")</x:f>
      </x:c>
      <x:c r="AR155" s="165" t="str">
        <x:f>IF(AND(AR$5&gt;=$C155,AR$5&lt;=$D155,$A155&lt;&gt;""),"●","")</x:f>
      </x:c>
      <x:c r="AS155" s="165" t="str">
        <x:f>IF(AND(AS$5&gt;=$C155,AS$5&lt;=$D155,$A155&lt;&gt;""),"●","")</x:f>
      </x:c>
      <x:c r="AT155" s="165" t="str">
        <x:f>IF(AND(AT$5&gt;=$C155,AT$5&lt;=$D155,$A155&lt;&gt;""),"●","")</x:f>
      </x:c>
      <x:c r="AU155" s="165" t="str">
        <x:f>IF(AND(AU$5&gt;=$C155,AU$5&lt;=$D155,$A155&lt;&gt;""),"●","")</x:f>
      </x:c>
      <x:c r="AV155" s="165" t="str">
        <x:f>IF(AND(AV$5&gt;=$C155,AV$5&lt;=$D155,$A155&lt;&gt;""),"●","")</x:f>
      </x:c>
      <x:c r="AW155" s="165" t="str">
        <x:f>IF(AND(AW$5&gt;=$C155,AW$5&lt;=$D155,$A155&lt;&gt;""),"●","")</x:f>
      </x:c>
      <x:c r="AX155" s="165" t="str">
        <x:f>IF(AND(AX$5&gt;=$C155,AX$5&lt;=$D155,$A155&lt;&gt;""),"●","")</x:f>
      </x:c>
      <x:c r="AY155" s="165" t="str">
        <x:f>IF(AND(AY$5&gt;=$C155,AY$5&lt;=$D155,$A155&lt;&gt;""),"●","")</x:f>
      </x:c>
      <x:c r="AZ155" s="165" t="str">
        <x:f>IF(AND(AZ$5&gt;=$C155,AZ$5&lt;=$D155,$A155&lt;&gt;""),"●","")</x:f>
      </x:c>
      <x:c r="BA155" s="165" t="str">
        <x:f>IF(AND(BA$5&gt;=$C155,BA$5&lt;=$D155,$A155&lt;&gt;""),"●","")</x:f>
      </x:c>
      <x:c r="BB155" s="165" t="str">
        <x:f>IF(AND(BB$5&gt;=$C155,BB$5&lt;=$D155,$A155&lt;&gt;""),"●","")</x:f>
      </x:c>
      <x:c r="BC155" s="165" t="str">
        <x:f>IF(AND(BC$5&gt;=$C155,BC$5&lt;=$D155,$A155&lt;&gt;""),"●","")</x:f>
      </x:c>
      <x:c r="BD155" s="165" t="str">
        <x:f>IF(AND(BD$5&gt;=$C155,BD$5&lt;=$D155,$A155&lt;&gt;""),"●","")</x:f>
      </x:c>
      <x:c r="BE155" s="165" t="str">
        <x:f>IF(AND(BE$5&gt;=$C155,BE$5&lt;=$D155,$A155&lt;&gt;""),"●","")</x:f>
      </x:c>
      <x:c r="BF155" s="165" t="str">
        <x:f>IF(AND(BF$5&gt;=$C155,BF$5&lt;=$D155,$A155&lt;&gt;""),"●","")</x:f>
      </x:c>
      <x:c r="BG155" s="165" t="str">
        <x:f>IF(AND(BG$5&gt;=$C155,BG$5&lt;=$D155,$A155&lt;&gt;""),"●","")</x:f>
      </x:c>
      <x:c r="BH155" s="165" t="str">
        <x:f>IF(AND(BH$5&gt;=$C155,BH$5&lt;=$D155,$A155&lt;&gt;""),"●","")</x:f>
      </x:c>
      <x:c r="BI155" s="165" t="str">
        <x:f>IF(AND(BI$5&gt;=$C155,BI$5&lt;=$D155,$A155&lt;&gt;""),"●","")</x:f>
      </x:c>
      <x:c r="BJ155" s="165" t="str">
        <x:f>IF(AND(BJ$5&gt;=$C155,BJ$5&lt;=$D155,$A155&lt;&gt;""),"●","")</x:f>
      </x:c>
      <x:c r="BK155" s="165" t="str">
        <x:f>IF(AND(BK$5&gt;=$C155,BK$5&lt;=$D155,$A155&lt;&gt;""),"●","")</x:f>
      </x:c>
      <x:c r="BL155" s="165" t="str">
        <x:f>IF(AND(BL$5&gt;=$C155,BL$5&lt;=$D155,$A155&lt;&gt;""),"●","")</x:f>
      </x:c>
      <x:c r="BM155" s="165" t="str">
        <x:f>IF(AND(BM$5&gt;=$C155,BM$5&lt;=$D155,$A155&lt;&gt;""),"●","")</x:f>
      </x:c>
      <x:c r="BN155" s="165" t="str">
        <x:f>IF(AND(BN$5&gt;=$C155,BN$5&lt;=$D155,$A155&lt;&gt;""),"●","")</x:f>
      </x:c>
      <x:c r="BO155" s="165" t="str">
        <x:f>IF(AND(BO$5&gt;=$C155,BO$5&lt;=$D155,$A155&lt;&gt;""),"●","")</x:f>
      </x:c>
      <x:c r="BP155" s="165" t="str">
        <x:f>IF(AND(BP$5&gt;=$C155,BP$5&lt;=$D155,$A155&lt;&gt;""),"●","")</x:f>
      </x:c>
      <x:c r="BQ155" s="165" t="str">
        <x:f>IF(AND(BQ$5&gt;=$C155,BQ$5&lt;=$D155,$A155&lt;&gt;""),"●","")</x:f>
      </x:c>
      <x:c r="BR155" s="165" t="str">
        <x:f>IF(AND(BR$5&gt;=$C155,BR$5&lt;=$D155,$A155&lt;&gt;""),"●","")</x:f>
      </x:c>
      <x:c r="BS155" s="165" t="str">
        <x:f>IF(AND(BS$5&gt;=$C155,BS$5&lt;=$D155,$A155&lt;&gt;""),"●","")</x:f>
      </x:c>
      <x:c r="BT155" s="165" t="str">
        <x:f>IF(AND(BT$5&gt;=$C155,BT$5&lt;=$D155,$A155&lt;&gt;""),"●","")</x:f>
      </x:c>
      <x:c r="BU155" s="165" t="str">
        <x:f>IF(AND(BU$5&gt;=$C155,BU$5&lt;=$D155,$A155&lt;&gt;""),"●","")</x:f>
      </x:c>
      <x:c r="BV155" s="165" t="str">
        <x:f>IF(AND(BV$5&gt;=$C155,BV$5&lt;=$D155,$A155&lt;&gt;""),"●","")</x:f>
      </x:c>
      <x:c r="BW155" s="165" t="str">
        <x:f>IF(AND(BW$5&gt;=$C155,BW$5&lt;=$D155,$A155&lt;&gt;""),"●","")</x:f>
      </x:c>
    </x:row>
    <x:row r="156">
      <x:c r="A156" s="159" t="str">
        <x:f>IF('รายการสัญญา'!A156="","",'รายการสัญญา'!A156)</x:f>
      </x:c>
      <x:c r="B156" s="159" t="str">
        <x:f>IF('รายการสัญญา'!A156="","",'รายการสัญญา'!C156)</x:f>
      </x:c>
      <x:c r="C156" s="162" t="str">
        <x:f>IF('รายการสัญญา'!A156="","",'รายการสัญญา'!E156)</x:f>
      </x:c>
      <x:c r="D156" s="162" t="str">
        <x:f>IF('รายการสัญญา'!A156="","",'รายการสัญญา'!G156)</x:f>
      </x:c>
      <x:c r="E156" s="159" t="str">
        <x:f>IF('รายการสัญญา'!A156="","",'รายการสัญญา'!K156)</x:f>
      </x:c>
      <x:c r="F156" s="165" t="str">
        <x:f>IF(AND(F$5&gt;=$C156,F$5&lt;=$D156,$A156&lt;&gt;""),"●","")</x:f>
      </x:c>
      <x:c r="G156" s="165" t="str">
        <x:f>IF(AND(G$5&gt;=$C156,G$5&lt;=$D156,$A156&lt;&gt;""),"●","")</x:f>
      </x:c>
      <x:c r="H156" s="165" t="str">
        <x:f>IF(AND(H$5&gt;=$C156,H$5&lt;=$D156,$A156&lt;&gt;""),"●","")</x:f>
      </x:c>
      <x:c r="I156" s="165" t="str">
        <x:f>IF(AND(I$5&gt;=$C156,I$5&lt;=$D156,$A156&lt;&gt;""),"●","")</x:f>
      </x:c>
      <x:c r="J156" s="165" t="str">
        <x:f>IF(AND(J$5&gt;=$C156,J$5&lt;=$D156,$A156&lt;&gt;""),"●","")</x:f>
      </x:c>
      <x:c r="K156" s="165" t="str">
        <x:f>IF(AND(K$5&gt;=$C156,K$5&lt;=$D156,$A156&lt;&gt;""),"●","")</x:f>
      </x:c>
      <x:c r="L156" s="165" t="str">
        <x:f>IF(AND(L$5&gt;=$C156,L$5&lt;=$D156,$A156&lt;&gt;""),"●","")</x:f>
      </x:c>
      <x:c r="M156" s="165" t="str">
        <x:f>IF(AND(M$5&gt;=$C156,M$5&lt;=$D156,$A156&lt;&gt;""),"●","")</x:f>
      </x:c>
      <x:c r="N156" s="165" t="str">
        <x:f>IF(AND(N$5&gt;=$C156,N$5&lt;=$D156,$A156&lt;&gt;""),"●","")</x:f>
      </x:c>
      <x:c r="O156" s="165" t="str">
        <x:f>IF(AND(O$5&gt;=$C156,O$5&lt;=$D156,$A156&lt;&gt;""),"●","")</x:f>
      </x:c>
      <x:c r="P156" s="165" t="str">
        <x:f>IF(AND(P$5&gt;=$C156,P$5&lt;=$D156,$A156&lt;&gt;""),"●","")</x:f>
      </x:c>
      <x:c r="Q156" s="165" t="str">
        <x:f>IF(AND(Q$5&gt;=$C156,Q$5&lt;=$D156,$A156&lt;&gt;""),"●","")</x:f>
      </x:c>
      <x:c r="R156" s="165" t="str">
        <x:f>IF(AND(R$5&gt;=$C156,R$5&lt;=$D156,$A156&lt;&gt;""),"●","")</x:f>
      </x:c>
      <x:c r="S156" s="165" t="str">
        <x:f>IF(AND(S$5&gt;=$C156,S$5&lt;=$D156,$A156&lt;&gt;""),"●","")</x:f>
      </x:c>
      <x:c r="T156" s="165" t="str">
        <x:f>IF(AND(T$5&gt;=$C156,T$5&lt;=$D156,$A156&lt;&gt;""),"●","")</x:f>
      </x:c>
      <x:c r="U156" s="165" t="str">
        <x:f>IF(AND(U$5&gt;=$C156,U$5&lt;=$D156,$A156&lt;&gt;""),"●","")</x:f>
      </x:c>
      <x:c r="V156" s="165" t="str">
        <x:f>IF(AND(V$5&gt;=$C156,V$5&lt;=$D156,$A156&lt;&gt;""),"●","")</x:f>
      </x:c>
      <x:c r="W156" s="165" t="str">
        <x:f>IF(AND(W$5&gt;=$C156,W$5&lt;=$D156,$A156&lt;&gt;""),"●","")</x:f>
      </x:c>
      <x:c r="X156" s="165" t="str">
        <x:f>IF(AND(X$5&gt;=$C156,X$5&lt;=$D156,$A156&lt;&gt;""),"●","")</x:f>
      </x:c>
      <x:c r="Y156" s="165" t="str">
        <x:f>IF(AND(Y$5&gt;=$C156,Y$5&lt;=$D156,$A156&lt;&gt;""),"●","")</x:f>
      </x:c>
      <x:c r="Z156" s="165" t="str">
        <x:f>IF(AND(Z$5&gt;=$C156,Z$5&lt;=$D156,$A156&lt;&gt;""),"●","")</x:f>
      </x:c>
      <x:c r="AA156" s="165" t="str">
        <x:f>IF(AND(AA$5&gt;=$C156,AA$5&lt;=$D156,$A156&lt;&gt;""),"●","")</x:f>
      </x:c>
      <x:c r="AB156" s="165" t="str">
        <x:f>IF(AND(AB$5&gt;=$C156,AB$5&lt;=$D156,$A156&lt;&gt;""),"●","")</x:f>
      </x:c>
      <x:c r="AC156" s="165" t="str">
        <x:f>IF(AND(AC$5&gt;=$C156,AC$5&lt;=$D156,$A156&lt;&gt;""),"●","")</x:f>
      </x:c>
      <x:c r="AD156" s="165" t="str">
        <x:f>IF(AND(AD$5&gt;=$C156,AD$5&lt;=$D156,$A156&lt;&gt;""),"●","")</x:f>
      </x:c>
      <x:c r="AE156" s="165" t="str">
        <x:f>IF(AND(AE$5&gt;=$C156,AE$5&lt;=$D156,$A156&lt;&gt;""),"●","")</x:f>
      </x:c>
      <x:c r="AF156" s="165" t="str">
        <x:f>IF(AND(AF$5&gt;=$C156,AF$5&lt;=$D156,$A156&lt;&gt;""),"●","")</x:f>
      </x:c>
      <x:c r="AG156" s="165" t="str">
        <x:f>IF(AND(AG$5&gt;=$C156,AG$5&lt;=$D156,$A156&lt;&gt;""),"●","")</x:f>
      </x:c>
      <x:c r="AH156" s="165" t="str">
        <x:f>IF(AND(AH$5&gt;=$C156,AH$5&lt;=$D156,$A156&lt;&gt;""),"●","")</x:f>
      </x:c>
      <x:c r="AI156" s="165" t="str">
        <x:f>IF(AND(AI$5&gt;=$C156,AI$5&lt;=$D156,$A156&lt;&gt;""),"●","")</x:f>
      </x:c>
      <x:c r="AJ156" s="165" t="str">
        <x:f>IF(AND(AJ$5&gt;=$C156,AJ$5&lt;=$D156,$A156&lt;&gt;""),"●","")</x:f>
      </x:c>
      <x:c r="AK156" s="165" t="str">
        <x:f>IF(AND(AK$5&gt;=$C156,AK$5&lt;=$D156,$A156&lt;&gt;""),"●","")</x:f>
      </x:c>
      <x:c r="AL156" s="165" t="str">
        <x:f>IF(AND(AL$5&gt;=$C156,AL$5&lt;=$D156,$A156&lt;&gt;""),"●","")</x:f>
      </x:c>
      <x:c r="AM156" s="165" t="str">
        <x:f>IF(AND(AM$5&gt;=$C156,AM$5&lt;=$D156,$A156&lt;&gt;""),"●","")</x:f>
      </x:c>
      <x:c r="AN156" s="165" t="str">
        <x:f>IF(AND(AN$5&gt;=$C156,AN$5&lt;=$D156,$A156&lt;&gt;""),"●","")</x:f>
      </x:c>
      <x:c r="AO156" s="165" t="str">
        <x:f>IF(AND(AO$5&gt;=$C156,AO$5&lt;=$D156,$A156&lt;&gt;""),"●","")</x:f>
      </x:c>
      <x:c r="AP156" s="165" t="str">
        <x:f>IF(AND(AP$5&gt;=$C156,AP$5&lt;=$D156,$A156&lt;&gt;""),"●","")</x:f>
      </x:c>
      <x:c r="AQ156" s="165" t="str">
        <x:f>IF(AND(AQ$5&gt;=$C156,AQ$5&lt;=$D156,$A156&lt;&gt;""),"●","")</x:f>
      </x:c>
      <x:c r="AR156" s="165" t="str">
        <x:f>IF(AND(AR$5&gt;=$C156,AR$5&lt;=$D156,$A156&lt;&gt;""),"●","")</x:f>
      </x:c>
      <x:c r="AS156" s="165" t="str">
        <x:f>IF(AND(AS$5&gt;=$C156,AS$5&lt;=$D156,$A156&lt;&gt;""),"●","")</x:f>
      </x:c>
      <x:c r="AT156" s="165" t="str">
        <x:f>IF(AND(AT$5&gt;=$C156,AT$5&lt;=$D156,$A156&lt;&gt;""),"●","")</x:f>
      </x:c>
      <x:c r="AU156" s="165" t="str">
        <x:f>IF(AND(AU$5&gt;=$C156,AU$5&lt;=$D156,$A156&lt;&gt;""),"●","")</x:f>
      </x:c>
      <x:c r="AV156" s="165" t="str">
        <x:f>IF(AND(AV$5&gt;=$C156,AV$5&lt;=$D156,$A156&lt;&gt;""),"●","")</x:f>
      </x:c>
      <x:c r="AW156" s="165" t="str">
        <x:f>IF(AND(AW$5&gt;=$C156,AW$5&lt;=$D156,$A156&lt;&gt;""),"●","")</x:f>
      </x:c>
      <x:c r="AX156" s="165" t="str">
        <x:f>IF(AND(AX$5&gt;=$C156,AX$5&lt;=$D156,$A156&lt;&gt;""),"●","")</x:f>
      </x:c>
      <x:c r="AY156" s="165" t="str">
        <x:f>IF(AND(AY$5&gt;=$C156,AY$5&lt;=$D156,$A156&lt;&gt;""),"●","")</x:f>
      </x:c>
      <x:c r="AZ156" s="165" t="str">
        <x:f>IF(AND(AZ$5&gt;=$C156,AZ$5&lt;=$D156,$A156&lt;&gt;""),"●","")</x:f>
      </x:c>
      <x:c r="BA156" s="165" t="str">
        <x:f>IF(AND(BA$5&gt;=$C156,BA$5&lt;=$D156,$A156&lt;&gt;""),"●","")</x:f>
      </x:c>
      <x:c r="BB156" s="165" t="str">
        <x:f>IF(AND(BB$5&gt;=$C156,BB$5&lt;=$D156,$A156&lt;&gt;""),"●","")</x:f>
      </x:c>
      <x:c r="BC156" s="165" t="str">
        <x:f>IF(AND(BC$5&gt;=$C156,BC$5&lt;=$D156,$A156&lt;&gt;""),"●","")</x:f>
      </x:c>
      <x:c r="BD156" s="165" t="str">
        <x:f>IF(AND(BD$5&gt;=$C156,BD$5&lt;=$D156,$A156&lt;&gt;""),"●","")</x:f>
      </x:c>
      <x:c r="BE156" s="165" t="str">
        <x:f>IF(AND(BE$5&gt;=$C156,BE$5&lt;=$D156,$A156&lt;&gt;""),"●","")</x:f>
      </x:c>
      <x:c r="BF156" s="165" t="str">
        <x:f>IF(AND(BF$5&gt;=$C156,BF$5&lt;=$D156,$A156&lt;&gt;""),"●","")</x:f>
      </x:c>
      <x:c r="BG156" s="165" t="str">
        <x:f>IF(AND(BG$5&gt;=$C156,BG$5&lt;=$D156,$A156&lt;&gt;""),"●","")</x:f>
      </x:c>
      <x:c r="BH156" s="165" t="str">
        <x:f>IF(AND(BH$5&gt;=$C156,BH$5&lt;=$D156,$A156&lt;&gt;""),"●","")</x:f>
      </x:c>
      <x:c r="BI156" s="165" t="str">
        <x:f>IF(AND(BI$5&gt;=$C156,BI$5&lt;=$D156,$A156&lt;&gt;""),"●","")</x:f>
      </x:c>
      <x:c r="BJ156" s="165" t="str">
        <x:f>IF(AND(BJ$5&gt;=$C156,BJ$5&lt;=$D156,$A156&lt;&gt;""),"●","")</x:f>
      </x:c>
      <x:c r="BK156" s="165" t="str">
        <x:f>IF(AND(BK$5&gt;=$C156,BK$5&lt;=$D156,$A156&lt;&gt;""),"●","")</x:f>
      </x:c>
      <x:c r="BL156" s="165" t="str">
        <x:f>IF(AND(BL$5&gt;=$C156,BL$5&lt;=$D156,$A156&lt;&gt;""),"●","")</x:f>
      </x:c>
      <x:c r="BM156" s="165" t="str">
        <x:f>IF(AND(BM$5&gt;=$C156,BM$5&lt;=$D156,$A156&lt;&gt;""),"●","")</x:f>
      </x:c>
      <x:c r="BN156" s="165" t="str">
        <x:f>IF(AND(BN$5&gt;=$C156,BN$5&lt;=$D156,$A156&lt;&gt;""),"●","")</x:f>
      </x:c>
      <x:c r="BO156" s="165" t="str">
        <x:f>IF(AND(BO$5&gt;=$C156,BO$5&lt;=$D156,$A156&lt;&gt;""),"●","")</x:f>
      </x:c>
      <x:c r="BP156" s="165" t="str">
        <x:f>IF(AND(BP$5&gt;=$C156,BP$5&lt;=$D156,$A156&lt;&gt;""),"●","")</x:f>
      </x:c>
      <x:c r="BQ156" s="165" t="str">
        <x:f>IF(AND(BQ$5&gt;=$C156,BQ$5&lt;=$D156,$A156&lt;&gt;""),"●","")</x:f>
      </x:c>
      <x:c r="BR156" s="165" t="str">
        <x:f>IF(AND(BR$5&gt;=$C156,BR$5&lt;=$D156,$A156&lt;&gt;""),"●","")</x:f>
      </x:c>
      <x:c r="BS156" s="165" t="str">
        <x:f>IF(AND(BS$5&gt;=$C156,BS$5&lt;=$D156,$A156&lt;&gt;""),"●","")</x:f>
      </x:c>
      <x:c r="BT156" s="165" t="str">
        <x:f>IF(AND(BT$5&gt;=$C156,BT$5&lt;=$D156,$A156&lt;&gt;""),"●","")</x:f>
      </x:c>
      <x:c r="BU156" s="165" t="str">
        <x:f>IF(AND(BU$5&gt;=$C156,BU$5&lt;=$D156,$A156&lt;&gt;""),"●","")</x:f>
      </x:c>
      <x:c r="BV156" s="165" t="str">
        <x:f>IF(AND(BV$5&gt;=$C156,BV$5&lt;=$D156,$A156&lt;&gt;""),"●","")</x:f>
      </x:c>
      <x:c r="BW156" s="165" t="str">
        <x:f>IF(AND(BW$5&gt;=$C156,BW$5&lt;=$D156,$A156&lt;&gt;""),"●","")</x:f>
      </x:c>
    </x:row>
    <x:row r="157">
      <x:c r="A157" s="159" t="str">
        <x:f>IF('รายการสัญญา'!A157="","",'รายการสัญญา'!A157)</x:f>
      </x:c>
      <x:c r="B157" s="159" t="str">
        <x:f>IF('รายการสัญญา'!A157="","",'รายการสัญญา'!C157)</x:f>
      </x:c>
      <x:c r="C157" s="162" t="str">
        <x:f>IF('รายการสัญญา'!A157="","",'รายการสัญญา'!E157)</x:f>
      </x:c>
      <x:c r="D157" s="162" t="str">
        <x:f>IF('รายการสัญญา'!A157="","",'รายการสัญญา'!G157)</x:f>
      </x:c>
      <x:c r="E157" s="159" t="str">
        <x:f>IF('รายการสัญญา'!A157="","",'รายการสัญญา'!K157)</x:f>
      </x:c>
      <x:c r="F157" s="165" t="str">
        <x:f>IF(AND(F$5&gt;=$C157,F$5&lt;=$D157,$A157&lt;&gt;""),"●","")</x:f>
      </x:c>
      <x:c r="G157" s="165" t="str">
        <x:f>IF(AND(G$5&gt;=$C157,G$5&lt;=$D157,$A157&lt;&gt;""),"●","")</x:f>
      </x:c>
      <x:c r="H157" s="165" t="str">
        <x:f>IF(AND(H$5&gt;=$C157,H$5&lt;=$D157,$A157&lt;&gt;""),"●","")</x:f>
      </x:c>
      <x:c r="I157" s="165" t="str">
        <x:f>IF(AND(I$5&gt;=$C157,I$5&lt;=$D157,$A157&lt;&gt;""),"●","")</x:f>
      </x:c>
      <x:c r="J157" s="165" t="str">
        <x:f>IF(AND(J$5&gt;=$C157,J$5&lt;=$D157,$A157&lt;&gt;""),"●","")</x:f>
      </x:c>
      <x:c r="K157" s="165" t="str">
        <x:f>IF(AND(K$5&gt;=$C157,K$5&lt;=$D157,$A157&lt;&gt;""),"●","")</x:f>
      </x:c>
      <x:c r="L157" s="165" t="str">
        <x:f>IF(AND(L$5&gt;=$C157,L$5&lt;=$D157,$A157&lt;&gt;""),"●","")</x:f>
      </x:c>
      <x:c r="M157" s="165" t="str">
        <x:f>IF(AND(M$5&gt;=$C157,M$5&lt;=$D157,$A157&lt;&gt;""),"●","")</x:f>
      </x:c>
      <x:c r="N157" s="165" t="str">
        <x:f>IF(AND(N$5&gt;=$C157,N$5&lt;=$D157,$A157&lt;&gt;""),"●","")</x:f>
      </x:c>
      <x:c r="O157" s="165" t="str">
        <x:f>IF(AND(O$5&gt;=$C157,O$5&lt;=$D157,$A157&lt;&gt;""),"●","")</x:f>
      </x:c>
      <x:c r="P157" s="165" t="str">
        <x:f>IF(AND(P$5&gt;=$C157,P$5&lt;=$D157,$A157&lt;&gt;""),"●","")</x:f>
      </x:c>
      <x:c r="Q157" s="165" t="str">
        <x:f>IF(AND(Q$5&gt;=$C157,Q$5&lt;=$D157,$A157&lt;&gt;""),"●","")</x:f>
      </x:c>
      <x:c r="R157" s="165" t="str">
        <x:f>IF(AND(R$5&gt;=$C157,R$5&lt;=$D157,$A157&lt;&gt;""),"●","")</x:f>
      </x:c>
      <x:c r="S157" s="165" t="str">
        <x:f>IF(AND(S$5&gt;=$C157,S$5&lt;=$D157,$A157&lt;&gt;""),"●","")</x:f>
      </x:c>
      <x:c r="T157" s="165" t="str">
        <x:f>IF(AND(T$5&gt;=$C157,T$5&lt;=$D157,$A157&lt;&gt;""),"●","")</x:f>
      </x:c>
      <x:c r="U157" s="165" t="str">
        <x:f>IF(AND(U$5&gt;=$C157,U$5&lt;=$D157,$A157&lt;&gt;""),"●","")</x:f>
      </x:c>
      <x:c r="V157" s="165" t="str">
        <x:f>IF(AND(V$5&gt;=$C157,V$5&lt;=$D157,$A157&lt;&gt;""),"●","")</x:f>
      </x:c>
      <x:c r="W157" s="165" t="str">
        <x:f>IF(AND(W$5&gt;=$C157,W$5&lt;=$D157,$A157&lt;&gt;""),"●","")</x:f>
      </x:c>
      <x:c r="X157" s="165" t="str">
        <x:f>IF(AND(X$5&gt;=$C157,X$5&lt;=$D157,$A157&lt;&gt;""),"●","")</x:f>
      </x:c>
      <x:c r="Y157" s="165" t="str">
        <x:f>IF(AND(Y$5&gt;=$C157,Y$5&lt;=$D157,$A157&lt;&gt;""),"●","")</x:f>
      </x:c>
      <x:c r="Z157" s="165" t="str">
        <x:f>IF(AND(Z$5&gt;=$C157,Z$5&lt;=$D157,$A157&lt;&gt;""),"●","")</x:f>
      </x:c>
      <x:c r="AA157" s="165" t="str">
        <x:f>IF(AND(AA$5&gt;=$C157,AA$5&lt;=$D157,$A157&lt;&gt;""),"●","")</x:f>
      </x:c>
      <x:c r="AB157" s="165" t="str">
        <x:f>IF(AND(AB$5&gt;=$C157,AB$5&lt;=$D157,$A157&lt;&gt;""),"●","")</x:f>
      </x:c>
      <x:c r="AC157" s="165" t="str">
        <x:f>IF(AND(AC$5&gt;=$C157,AC$5&lt;=$D157,$A157&lt;&gt;""),"●","")</x:f>
      </x:c>
      <x:c r="AD157" s="165" t="str">
        <x:f>IF(AND(AD$5&gt;=$C157,AD$5&lt;=$D157,$A157&lt;&gt;""),"●","")</x:f>
      </x:c>
      <x:c r="AE157" s="165" t="str">
        <x:f>IF(AND(AE$5&gt;=$C157,AE$5&lt;=$D157,$A157&lt;&gt;""),"●","")</x:f>
      </x:c>
      <x:c r="AF157" s="165" t="str">
        <x:f>IF(AND(AF$5&gt;=$C157,AF$5&lt;=$D157,$A157&lt;&gt;""),"●","")</x:f>
      </x:c>
      <x:c r="AG157" s="165" t="str">
        <x:f>IF(AND(AG$5&gt;=$C157,AG$5&lt;=$D157,$A157&lt;&gt;""),"●","")</x:f>
      </x:c>
      <x:c r="AH157" s="165" t="str">
        <x:f>IF(AND(AH$5&gt;=$C157,AH$5&lt;=$D157,$A157&lt;&gt;""),"●","")</x:f>
      </x:c>
      <x:c r="AI157" s="165" t="str">
        <x:f>IF(AND(AI$5&gt;=$C157,AI$5&lt;=$D157,$A157&lt;&gt;""),"●","")</x:f>
      </x:c>
      <x:c r="AJ157" s="165" t="str">
        <x:f>IF(AND(AJ$5&gt;=$C157,AJ$5&lt;=$D157,$A157&lt;&gt;""),"●","")</x:f>
      </x:c>
      <x:c r="AK157" s="165" t="str">
        <x:f>IF(AND(AK$5&gt;=$C157,AK$5&lt;=$D157,$A157&lt;&gt;""),"●","")</x:f>
      </x:c>
      <x:c r="AL157" s="165" t="str">
        <x:f>IF(AND(AL$5&gt;=$C157,AL$5&lt;=$D157,$A157&lt;&gt;""),"●","")</x:f>
      </x:c>
      <x:c r="AM157" s="165" t="str">
        <x:f>IF(AND(AM$5&gt;=$C157,AM$5&lt;=$D157,$A157&lt;&gt;""),"●","")</x:f>
      </x:c>
      <x:c r="AN157" s="165" t="str">
        <x:f>IF(AND(AN$5&gt;=$C157,AN$5&lt;=$D157,$A157&lt;&gt;""),"●","")</x:f>
      </x:c>
      <x:c r="AO157" s="165" t="str">
        <x:f>IF(AND(AO$5&gt;=$C157,AO$5&lt;=$D157,$A157&lt;&gt;""),"●","")</x:f>
      </x:c>
      <x:c r="AP157" s="165" t="str">
        <x:f>IF(AND(AP$5&gt;=$C157,AP$5&lt;=$D157,$A157&lt;&gt;""),"●","")</x:f>
      </x:c>
      <x:c r="AQ157" s="165" t="str">
        <x:f>IF(AND(AQ$5&gt;=$C157,AQ$5&lt;=$D157,$A157&lt;&gt;""),"●","")</x:f>
      </x:c>
      <x:c r="AR157" s="165" t="str">
        <x:f>IF(AND(AR$5&gt;=$C157,AR$5&lt;=$D157,$A157&lt;&gt;""),"●","")</x:f>
      </x:c>
      <x:c r="AS157" s="165" t="str">
        <x:f>IF(AND(AS$5&gt;=$C157,AS$5&lt;=$D157,$A157&lt;&gt;""),"●","")</x:f>
      </x:c>
      <x:c r="AT157" s="165" t="str">
        <x:f>IF(AND(AT$5&gt;=$C157,AT$5&lt;=$D157,$A157&lt;&gt;""),"●","")</x:f>
      </x:c>
      <x:c r="AU157" s="165" t="str">
        <x:f>IF(AND(AU$5&gt;=$C157,AU$5&lt;=$D157,$A157&lt;&gt;""),"●","")</x:f>
      </x:c>
      <x:c r="AV157" s="165" t="str">
        <x:f>IF(AND(AV$5&gt;=$C157,AV$5&lt;=$D157,$A157&lt;&gt;""),"●","")</x:f>
      </x:c>
      <x:c r="AW157" s="165" t="str">
        <x:f>IF(AND(AW$5&gt;=$C157,AW$5&lt;=$D157,$A157&lt;&gt;""),"●","")</x:f>
      </x:c>
      <x:c r="AX157" s="165" t="str">
        <x:f>IF(AND(AX$5&gt;=$C157,AX$5&lt;=$D157,$A157&lt;&gt;""),"●","")</x:f>
      </x:c>
      <x:c r="AY157" s="165" t="str">
        <x:f>IF(AND(AY$5&gt;=$C157,AY$5&lt;=$D157,$A157&lt;&gt;""),"●","")</x:f>
      </x:c>
      <x:c r="AZ157" s="165" t="str">
        <x:f>IF(AND(AZ$5&gt;=$C157,AZ$5&lt;=$D157,$A157&lt;&gt;""),"●","")</x:f>
      </x:c>
      <x:c r="BA157" s="165" t="str">
        <x:f>IF(AND(BA$5&gt;=$C157,BA$5&lt;=$D157,$A157&lt;&gt;""),"●","")</x:f>
      </x:c>
      <x:c r="BB157" s="165" t="str">
        <x:f>IF(AND(BB$5&gt;=$C157,BB$5&lt;=$D157,$A157&lt;&gt;""),"●","")</x:f>
      </x:c>
      <x:c r="BC157" s="165" t="str">
        <x:f>IF(AND(BC$5&gt;=$C157,BC$5&lt;=$D157,$A157&lt;&gt;""),"●","")</x:f>
      </x:c>
      <x:c r="BD157" s="165" t="str">
        <x:f>IF(AND(BD$5&gt;=$C157,BD$5&lt;=$D157,$A157&lt;&gt;""),"●","")</x:f>
      </x:c>
      <x:c r="BE157" s="165" t="str">
        <x:f>IF(AND(BE$5&gt;=$C157,BE$5&lt;=$D157,$A157&lt;&gt;""),"●","")</x:f>
      </x:c>
      <x:c r="BF157" s="165" t="str">
        <x:f>IF(AND(BF$5&gt;=$C157,BF$5&lt;=$D157,$A157&lt;&gt;""),"●","")</x:f>
      </x:c>
      <x:c r="BG157" s="165" t="str">
        <x:f>IF(AND(BG$5&gt;=$C157,BG$5&lt;=$D157,$A157&lt;&gt;""),"●","")</x:f>
      </x:c>
      <x:c r="BH157" s="165" t="str">
        <x:f>IF(AND(BH$5&gt;=$C157,BH$5&lt;=$D157,$A157&lt;&gt;""),"●","")</x:f>
      </x:c>
      <x:c r="BI157" s="165" t="str">
        <x:f>IF(AND(BI$5&gt;=$C157,BI$5&lt;=$D157,$A157&lt;&gt;""),"●","")</x:f>
      </x:c>
      <x:c r="BJ157" s="165" t="str">
        <x:f>IF(AND(BJ$5&gt;=$C157,BJ$5&lt;=$D157,$A157&lt;&gt;""),"●","")</x:f>
      </x:c>
      <x:c r="BK157" s="165" t="str">
        <x:f>IF(AND(BK$5&gt;=$C157,BK$5&lt;=$D157,$A157&lt;&gt;""),"●","")</x:f>
      </x:c>
      <x:c r="BL157" s="165" t="str">
        <x:f>IF(AND(BL$5&gt;=$C157,BL$5&lt;=$D157,$A157&lt;&gt;""),"●","")</x:f>
      </x:c>
      <x:c r="BM157" s="165" t="str">
        <x:f>IF(AND(BM$5&gt;=$C157,BM$5&lt;=$D157,$A157&lt;&gt;""),"●","")</x:f>
      </x:c>
      <x:c r="BN157" s="165" t="str">
        <x:f>IF(AND(BN$5&gt;=$C157,BN$5&lt;=$D157,$A157&lt;&gt;""),"●","")</x:f>
      </x:c>
      <x:c r="BO157" s="165" t="str">
        <x:f>IF(AND(BO$5&gt;=$C157,BO$5&lt;=$D157,$A157&lt;&gt;""),"●","")</x:f>
      </x:c>
      <x:c r="BP157" s="165" t="str">
        <x:f>IF(AND(BP$5&gt;=$C157,BP$5&lt;=$D157,$A157&lt;&gt;""),"●","")</x:f>
      </x:c>
      <x:c r="BQ157" s="165" t="str">
        <x:f>IF(AND(BQ$5&gt;=$C157,BQ$5&lt;=$D157,$A157&lt;&gt;""),"●","")</x:f>
      </x:c>
      <x:c r="BR157" s="165" t="str">
        <x:f>IF(AND(BR$5&gt;=$C157,BR$5&lt;=$D157,$A157&lt;&gt;""),"●","")</x:f>
      </x:c>
      <x:c r="BS157" s="165" t="str">
        <x:f>IF(AND(BS$5&gt;=$C157,BS$5&lt;=$D157,$A157&lt;&gt;""),"●","")</x:f>
      </x:c>
      <x:c r="BT157" s="165" t="str">
        <x:f>IF(AND(BT$5&gt;=$C157,BT$5&lt;=$D157,$A157&lt;&gt;""),"●","")</x:f>
      </x:c>
      <x:c r="BU157" s="165" t="str">
        <x:f>IF(AND(BU$5&gt;=$C157,BU$5&lt;=$D157,$A157&lt;&gt;""),"●","")</x:f>
      </x:c>
      <x:c r="BV157" s="165" t="str">
        <x:f>IF(AND(BV$5&gt;=$C157,BV$5&lt;=$D157,$A157&lt;&gt;""),"●","")</x:f>
      </x:c>
      <x:c r="BW157" s="165" t="str">
        <x:f>IF(AND(BW$5&gt;=$C157,BW$5&lt;=$D157,$A157&lt;&gt;""),"●","")</x:f>
      </x:c>
    </x:row>
    <x:row r="158">
      <x:c r="A158" s="159" t="str">
        <x:f>IF('รายการสัญญา'!A158="","",'รายการสัญญา'!A158)</x:f>
      </x:c>
      <x:c r="B158" s="159" t="str">
        <x:f>IF('รายการสัญญา'!A158="","",'รายการสัญญา'!C158)</x:f>
      </x:c>
      <x:c r="C158" s="162" t="str">
        <x:f>IF('รายการสัญญา'!A158="","",'รายการสัญญา'!E158)</x:f>
      </x:c>
      <x:c r="D158" s="162" t="str">
        <x:f>IF('รายการสัญญา'!A158="","",'รายการสัญญา'!G158)</x:f>
      </x:c>
      <x:c r="E158" s="159" t="str">
        <x:f>IF('รายการสัญญา'!A158="","",'รายการสัญญา'!K158)</x:f>
      </x:c>
      <x:c r="F158" s="165" t="str">
        <x:f>IF(AND(F$5&gt;=$C158,F$5&lt;=$D158,$A158&lt;&gt;""),"●","")</x:f>
      </x:c>
      <x:c r="G158" s="165" t="str">
        <x:f>IF(AND(G$5&gt;=$C158,G$5&lt;=$D158,$A158&lt;&gt;""),"●","")</x:f>
      </x:c>
      <x:c r="H158" s="165" t="str">
        <x:f>IF(AND(H$5&gt;=$C158,H$5&lt;=$D158,$A158&lt;&gt;""),"●","")</x:f>
      </x:c>
      <x:c r="I158" s="165" t="str">
        <x:f>IF(AND(I$5&gt;=$C158,I$5&lt;=$D158,$A158&lt;&gt;""),"●","")</x:f>
      </x:c>
      <x:c r="J158" s="165" t="str">
        <x:f>IF(AND(J$5&gt;=$C158,J$5&lt;=$D158,$A158&lt;&gt;""),"●","")</x:f>
      </x:c>
      <x:c r="K158" s="165" t="str">
        <x:f>IF(AND(K$5&gt;=$C158,K$5&lt;=$D158,$A158&lt;&gt;""),"●","")</x:f>
      </x:c>
      <x:c r="L158" s="165" t="str">
        <x:f>IF(AND(L$5&gt;=$C158,L$5&lt;=$D158,$A158&lt;&gt;""),"●","")</x:f>
      </x:c>
      <x:c r="M158" s="165" t="str">
        <x:f>IF(AND(M$5&gt;=$C158,M$5&lt;=$D158,$A158&lt;&gt;""),"●","")</x:f>
      </x:c>
      <x:c r="N158" s="165" t="str">
        <x:f>IF(AND(N$5&gt;=$C158,N$5&lt;=$D158,$A158&lt;&gt;""),"●","")</x:f>
      </x:c>
      <x:c r="O158" s="165" t="str">
        <x:f>IF(AND(O$5&gt;=$C158,O$5&lt;=$D158,$A158&lt;&gt;""),"●","")</x:f>
      </x:c>
      <x:c r="P158" s="165" t="str">
        <x:f>IF(AND(P$5&gt;=$C158,P$5&lt;=$D158,$A158&lt;&gt;""),"●","")</x:f>
      </x:c>
      <x:c r="Q158" s="165" t="str">
        <x:f>IF(AND(Q$5&gt;=$C158,Q$5&lt;=$D158,$A158&lt;&gt;""),"●","")</x:f>
      </x:c>
      <x:c r="R158" s="165" t="str">
        <x:f>IF(AND(R$5&gt;=$C158,R$5&lt;=$D158,$A158&lt;&gt;""),"●","")</x:f>
      </x:c>
      <x:c r="S158" s="165" t="str">
        <x:f>IF(AND(S$5&gt;=$C158,S$5&lt;=$D158,$A158&lt;&gt;""),"●","")</x:f>
      </x:c>
      <x:c r="T158" s="165" t="str">
        <x:f>IF(AND(T$5&gt;=$C158,T$5&lt;=$D158,$A158&lt;&gt;""),"●","")</x:f>
      </x:c>
      <x:c r="U158" s="165" t="str">
        <x:f>IF(AND(U$5&gt;=$C158,U$5&lt;=$D158,$A158&lt;&gt;""),"●","")</x:f>
      </x:c>
      <x:c r="V158" s="165" t="str">
        <x:f>IF(AND(V$5&gt;=$C158,V$5&lt;=$D158,$A158&lt;&gt;""),"●","")</x:f>
      </x:c>
      <x:c r="W158" s="165" t="str">
        <x:f>IF(AND(W$5&gt;=$C158,W$5&lt;=$D158,$A158&lt;&gt;""),"●","")</x:f>
      </x:c>
      <x:c r="X158" s="165" t="str">
        <x:f>IF(AND(X$5&gt;=$C158,X$5&lt;=$D158,$A158&lt;&gt;""),"●","")</x:f>
      </x:c>
      <x:c r="Y158" s="165" t="str">
        <x:f>IF(AND(Y$5&gt;=$C158,Y$5&lt;=$D158,$A158&lt;&gt;""),"●","")</x:f>
      </x:c>
      <x:c r="Z158" s="165" t="str">
        <x:f>IF(AND(Z$5&gt;=$C158,Z$5&lt;=$D158,$A158&lt;&gt;""),"●","")</x:f>
      </x:c>
      <x:c r="AA158" s="165" t="str">
        <x:f>IF(AND(AA$5&gt;=$C158,AA$5&lt;=$D158,$A158&lt;&gt;""),"●","")</x:f>
      </x:c>
      <x:c r="AB158" s="165" t="str">
        <x:f>IF(AND(AB$5&gt;=$C158,AB$5&lt;=$D158,$A158&lt;&gt;""),"●","")</x:f>
      </x:c>
      <x:c r="AC158" s="165" t="str">
        <x:f>IF(AND(AC$5&gt;=$C158,AC$5&lt;=$D158,$A158&lt;&gt;""),"●","")</x:f>
      </x:c>
      <x:c r="AD158" s="165" t="str">
        <x:f>IF(AND(AD$5&gt;=$C158,AD$5&lt;=$D158,$A158&lt;&gt;""),"●","")</x:f>
      </x:c>
      <x:c r="AE158" s="165" t="str">
        <x:f>IF(AND(AE$5&gt;=$C158,AE$5&lt;=$D158,$A158&lt;&gt;""),"●","")</x:f>
      </x:c>
      <x:c r="AF158" s="165" t="str">
        <x:f>IF(AND(AF$5&gt;=$C158,AF$5&lt;=$D158,$A158&lt;&gt;""),"●","")</x:f>
      </x:c>
      <x:c r="AG158" s="165" t="str">
        <x:f>IF(AND(AG$5&gt;=$C158,AG$5&lt;=$D158,$A158&lt;&gt;""),"●","")</x:f>
      </x:c>
      <x:c r="AH158" s="165" t="str">
        <x:f>IF(AND(AH$5&gt;=$C158,AH$5&lt;=$D158,$A158&lt;&gt;""),"●","")</x:f>
      </x:c>
      <x:c r="AI158" s="165" t="str">
        <x:f>IF(AND(AI$5&gt;=$C158,AI$5&lt;=$D158,$A158&lt;&gt;""),"●","")</x:f>
      </x:c>
      <x:c r="AJ158" s="165" t="str">
        <x:f>IF(AND(AJ$5&gt;=$C158,AJ$5&lt;=$D158,$A158&lt;&gt;""),"●","")</x:f>
      </x:c>
      <x:c r="AK158" s="165" t="str">
        <x:f>IF(AND(AK$5&gt;=$C158,AK$5&lt;=$D158,$A158&lt;&gt;""),"●","")</x:f>
      </x:c>
      <x:c r="AL158" s="165" t="str">
        <x:f>IF(AND(AL$5&gt;=$C158,AL$5&lt;=$D158,$A158&lt;&gt;""),"●","")</x:f>
      </x:c>
      <x:c r="AM158" s="165" t="str">
        <x:f>IF(AND(AM$5&gt;=$C158,AM$5&lt;=$D158,$A158&lt;&gt;""),"●","")</x:f>
      </x:c>
      <x:c r="AN158" s="165" t="str">
        <x:f>IF(AND(AN$5&gt;=$C158,AN$5&lt;=$D158,$A158&lt;&gt;""),"●","")</x:f>
      </x:c>
      <x:c r="AO158" s="165" t="str">
        <x:f>IF(AND(AO$5&gt;=$C158,AO$5&lt;=$D158,$A158&lt;&gt;""),"●","")</x:f>
      </x:c>
      <x:c r="AP158" s="165" t="str">
        <x:f>IF(AND(AP$5&gt;=$C158,AP$5&lt;=$D158,$A158&lt;&gt;""),"●","")</x:f>
      </x:c>
      <x:c r="AQ158" s="165" t="str">
        <x:f>IF(AND(AQ$5&gt;=$C158,AQ$5&lt;=$D158,$A158&lt;&gt;""),"●","")</x:f>
      </x:c>
      <x:c r="AR158" s="165" t="str">
        <x:f>IF(AND(AR$5&gt;=$C158,AR$5&lt;=$D158,$A158&lt;&gt;""),"●","")</x:f>
      </x:c>
      <x:c r="AS158" s="165" t="str">
        <x:f>IF(AND(AS$5&gt;=$C158,AS$5&lt;=$D158,$A158&lt;&gt;""),"●","")</x:f>
      </x:c>
      <x:c r="AT158" s="165" t="str">
        <x:f>IF(AND(AT$5&gt;=$C158,AT$5&lt;=$D158,$A158&lt;&gt;""),"●","")</x:f>
      </x:c>
      <x:c r="AU158" s="165" t="str">
        <x:f>IF(AND(AU$5&gt;=$C158,AU$5&lt;=$D158,$A158&lt;&gt;""),"●","")</x:f>
      </x:c>
      <x:c r="AV158" s="165" t="str">
        <x:f>IF(AND(AV$5&gt;=$C158,AV$5&lt;=$D158,$A158&lt;&gt;""),"●","")</x:f>
      </x:c>
      <x:c r="AW158" s="165" t="str">
        <x:f>IF(AND(AW$5&gt;=$C158,AW$5&lt;=$D158,$A158&lt;&gt;""),"●","")</x:f>
      </x:c>
      <x:c r="AX158" s="165" t="str">
        <x:f>IF(AND(AX$5&gt;=$C158,AX$5&lt;=$D158,$A158&lt;&gt;""),"●","")</x:f>
      </x:c>
      <x:c r="AY158" s="165" t="str">
        <x:f>IF(AND(AY$5&gt;=$C158,AY$5&lt;=$D158,$A158&lt;&gt;""),"●","")</x:f>
      </x:c>
      <x:c r="AZ158" s="165" t="str">
        <x:f>IF(AND(AZ$5&gt;=$C158,AZ$5&lt;=$D158,$A158&lt;&gt;""),"●","")</x:f>
      </x:c>
      <x:c r="BA158" s="165" t="str">
        <x:f>IF(AND(BA$5&gt;=$C158,BA$5&lt;=$D158,$A158&lt;&gt;""),"●","")</x:f>
      </x:c>
      <x:c r="BB158" s="165" t="str">
        <x:f>IF(AND(BB$5&gt;=$C158,BB$5&lt;=$D158,$A158&lt;&gt;""),"●","")</x:f>
      </x:c>
      <x:c r="BC158" s="165" t="str">
        <x:f>IF(AND(BC$5&gt;=$C158,BC$5&lt;=$D158,$A158&lt;&gt;""),"●","")</x:f>
      </x:c>
      <x:c r="BD158" s="165" t="str">
        <x:f>IF(AND(BD$5&gt;=$C158,BD$5&lt;=$D158,$A158&lt;&gt;""),"●","")</x:f>
      </x:c>
      <x:c r="BE158" s="165" t="str">
        <x:f>IF(AND(BE$5&gt;=$C158,BE$5&lt;=$D158,$A158&lt;&gt;""),"●","")</x:f>
      </x:c>
      <x:c r="BF158" s="165" t="str">
        <x:f>IF(AND(BF$5&gt;=$C158,BF$5&lt;=$D158,$A158&lt;&gt;""),"●","")</x:f>
      </x:c>
      <x:c r="BG158" s="165" t="str">
        <x:f>IF(AND(BG$5&gt;=$C158,BG$5&lt;=$D158,$A158&lt;&gt;""),"●","")</x:f>
      </x:c>
      <x:c r="BH158" s="165" t="str">
        <x:f>IF(AND(BH$5&gt;=$C158,BH$5&lt;=$D158,$A158&lt;&gt;""),"●","")</x:f>
      </x:c>
      <x:c r="BI158" s="165" t="str">
        <x:f>IF(AND(BI$5&gt;=$C158,BI$5&lt;=$D158,$A158&lt;&gt;""),"●","")</x:f>
      </x:c>
      <x:c r="BJ158" s="165" t="str">
        <x:f>IF(AND(BJ$5&gt;=$C158,BJ$5&lt;=$D158,$A158&lt;&gt;""),"●","")</x:f>
      </x:c>
      <x:c r="BK158" s="165" t="str">
        <x:f>IF(AND(BK$5&gt;=$C158,BK$5&lt;=$D158,$A158&lt;&gt;""),"●","")</x:f>
      </x:c>
      <x:c r="BL158" s="165" t="str">
        <x:f>IF(AND(BL$5&gt;=$C158,BL$5&lt;=$D158,$A158&lt;&gt;""),"●","")</x:f>
      </x:c>
      <x:c r="BM158" s="165" t="str">
        <x:f>IF(AND(BM$5&gt;=$C158,BM$5&lt;=$D158,$A158&lt;&gt;""),"●","")</x:f>
      </x:c>
      <x:c r="BN158" s="165" t="str">
        <x:f>IF(AND(BN$5&gt;=$C158,BN$5&lt;=$D158,$A158&lt;&gt;""),"●","")</x:f>
      </x:c>
      <x:c r="BO158" s="165" t="str">
        <x:f>IF(AND(BO$5&gt;=$C158,BO$5&lt;=$D158,$A158&lt;&gt;""),"●","")</x:f>
      </x:c>
      <x:c r="BP158" s="165" t="str">
        <x:f>IF(AND(BP$5&gt;=$C158,BP$5&lt;=$D158,$A158&lt;&gt;""),"●","")</x:f>
      </x:c>
      <x:c r="BQ158" s="165" t="str">
        <x:f>IF(AND(BQ$5&gt;=$C158,BQ$5&lt;=$D158,$A158&lt;&gt;""),"●","")</x:f>
      </x:c>
      <x:c r="BR158" s="165" t="str">
        <x:f>IF(AND(BR$5&gt;=$C158,BR$5&lt;=$D158,$A158&lt;&gt;""),"●","")</x:f>
      </x:c>
      <x:c r="BS158" s="165" t="str">
        <x:f>IF(AND(BS$5&gt;=$C158,BS$5&lt;=$D158,$A158&lt;&gt;""),"●","")</x:f>
      </x:c>
      <x:c r="BT158" s="165" t="str">
        <x:f>IF(AND(BT$5&gt;=$C158,BT$5&lt;=$D158,$A158&lt;&gt;""),"●","")</x:f>
      </x:c>
      <x:c r="BU158" s="165" t="str">
        <x:f>IF(AND(BU$5&gt;=$C158,BU$5&lt;=$D158,$A158&lt;&gt;""),"●","")</x:f>
      </x:c>
      <x:c r="BV158" s="165" t="str">
        <x:f>IF(AND(BV$5&gt;=$C158,BV$5&lt;=$D158,$A158&lt;&gt;""),"●","")</x:f>
      </x:c>
      <x:c r="BW158" s="165" t="str">
        <x:f>IF(AND(BW$5&gt;=$C158,BW$5&lt;=$D158,$A158&lt;&gt;""),"●","")</x:f>
      </x:c>
    </x:row>
    <x:row r="159">
      <x:c r="A159" s="159" t="str">
        <x:f>IF('รายการสัญญา'!A159="","",'รายการสัญญา'!A159)</x:f>
      </x:c>
      <x:c r="B159" s="159" t="str">
        <x:f>IF('รายการสัญญา'!A159="","",'รายการสัญญา'!C159)</x:f>
      </x:c>
      <x:c r="C159" s="162" t="str">
        <x:f>IF('รายการสัญญา'!A159="","",'รายการสัญญา'!E159)</x:f>
      </x:c>
      <x:c r="D159" s="162" t="str">
        <x:f>IF('รายการสัญญา'!A159="","",'รายการสัญญา'!G159)</x:f>
      </x:c>
      <x:c r="E159" s="159" t="str">
        <x:f>IF('รายการสัญญา'!A159="","",'รายการสัญญา'!K159)</x:f>
      </x:c>
      <x:c r="F159" s="165" t="str">
        <x:f>IF(AND(F$5&gt;=$C159,F$5&lt;=$D159,$A159&lt;&gt;""),"●","")</x:f>
      </x:c>
      <x:c r="G159" s="165" t="str">
        <x:f>IF(AND(G$5&gt;=$C159,G$5&lt;=$D159,$A159&lt;&gt;""),"●","")</x:f>
      </x:c>
      <x:c r="H159" s="165" t="str">
        <x:f>IF(AND(H$5&gt;=$C159,H$5&lt;=$D159,$A159&lt;&gt;""),"●","")</x:f>
      </x:c>
      <x:c r="I159" s="165" t="str">
        <x:f>IF(AND(I$5&gt;=$C159,I$5&lt;=$D159,$A159&lt;&gt;""),"●","")</x:f>
      </x:c>
      <x:c r="J159" s="165" t="str">
        <x:f>IF(AND(J$5&gt;=$C159,J$5&lt;=$D159,$A159&lt;&gt;""),"●","")</x:f>
      </x:c>
      <x:c r="K159" s="165" t="str">
        <x:f>IF(AND(K$5&gt;=$C159,K$5&lt;=$D159,$A159&lt;&gt;""),"●","")</x:f>
      </x:c>
      <x:c r="L159" s="165" t="str">
        <x:f>IF(AND(L$5&gt;=$C159,L$5&lt;=$D159,$A159&lt;&gt;""),"●","")</x:f>
      </x:c>
      <x:c r="M159" s="165" t="str">
        <x:f>IF(AND(M$5&gt;=$C159,M$5&lt;=$D159,$A159&lt;&gt;""),"●","")</x:f>
      </x:c>
      <x:c r="N159" s="165" t="str">
        <x:f>IF(AND(N$5&gt;=$C159,N$5&lt;=$D159,$A159&lt;&gt;""),"●","")</x:f>
      </x:c>
      <x:c r="O159" s="165" t="str">
        <x:f>IF(AND(O$5&gt;=$C159,O$5&lt;=$D159,$A159&lt;&gt;""),"●","")</x:f>
      </x:c>
      <x:c r="P159" s="165" t="str">
        <x:f>IF(AND(P$5&gt;=$C159,P$5&lt;=$D159,$A159&lt;&gt;""),"●","")</x:f>
      </x:c>
      <x:c r="Q159" s="165" t="str">
        <x:f>IF(AND(Q$5&gt;=$C159,Q$5&lt;=$D159,$A159&lt;&gt;""),"●","")</x:f>
      </x:c>
      <x:c r="R159" s="165" t="str">
        <x:f>IF(AND(R$5&gt;=$C159,R$5&lt;=$D159,$A159&lt;&gt;""),"●","")</x:f>
      </x:c>
      <x:c r="S159" s="165" t="str">
        <x:f>IF(AND(S$5&gt;=$C159,S$5&lt;=$D159,$A159&lt;&gt;""),"●","")</x:f>
      </x:c>
      <x:c r="T159" s="165" t="str">
        <x:f>IF(AND(T$5&gt;=$C159,T$5&lt;=$D159,$A159&lt;&gt;""),"●","")</x:f>
      </x:c>
      <x:c r="U159" s="165" t="str">
        <x:f>IF(AND(U$5&gt;=$C159,U$5&lt;=$D159,$A159&lt;&gt;""),"●","")</x:f>
      </x:c>
      <x:c r="V159" s="165" t="str">
        <x:f>IF(AND(V$5&gt;=$C159,V$5&lt;=$D159,$A159&lt;&gt;""),"●","")</x:f>
      </x:c>
      <x:c r="W159" s="165" t="str">
        <x:f>IF(AND(W$5&gt;=$C159,W$5&lt;=$D159,$A159&lt;&gt;""),"●","")</x:f>
      </x:c>
      <x:c r="X159" s="165" t="str">
        <x:f>IF(AND(X$5&gt;=$C159,X$5&lt;=$D159,$A159&lt;&gt;""),"●","")</x:f>
      </x:c>
      <x:c r="Y159" s="165" t="str">
        <x:f>IF(AND(Y$5&gt;=$C159,Y$5&lt;=$D159,$A159&lt;&gt;""),"●","")</x:f>
      </x:c>
      <x:c r="Z159" s="165" t="str">
        <x:f>IF(AND(Z$5&gt;=$C159,Z$5&lt;=$D159,$A159&lt;&gt;""),"●","")</x:f>
      </x:c>
      <x:c r="AA159" s="165" t="str">
        <x:f>IF(AND(AA$5&gt;=$C159,AA$5&lt;=$D159,$A159&lt;&gt;""),"●","")</x:f>
      </x:c>
      <x:c r="AB159" s="165" t="str">
        <x:f>IF(AND(AB$5&gt;=$C159,AB$5&lt;=$D159,$A159&lt;&gt;""),"●","")</x:f>
      </x:c>
      <x:c r="AC159" s="165" t="str">
        <x:f>IF(AND(AC$5&gt;=$C159,AC$5&lt;=$D159,$A159&lt;&gt;""),"●","")</x:f>
      </x:c>
      <x:c r="AD159" s="165" t="str">
        <x:f>IF(AND(AD$5&gt;=$C159,AD$5&lt;=$D159,$A159&lt;&gt;""),"●","")</x:f>
      </x:c>
      <x:c r="AE159" s="165" t="str">
        <x:f>IF(AND(AE$5&gt;=$C159,AE$5&lt;=$D159,$A159&lt;&gt;""),"●","")</x:f>
      </x:c>
      <x:c r="AF159" s="165" t="str">
        <x:f>IF(AND(AF$5&gt;=$C159,AF$5&lt;=$D159,$A159&lt;&gt;""),"●","")</x:f>
      </x:c>
      <x:c r="AG159" s="165" t="str">
        <x:f>IF(AND(AG$5&gt;=$C159,AG$5&lt;=$D159,$A159&lt;&gt;""),"●","")</x:f>
      </x:c>
      <x:c r="AH159" s="165" t="str">
        <x:f>IF(AND(AH$5&gt;=$C159,AH$5&lt;=$D159,$A159&lt;&gt;""),"●","")</x:f>
      </x:c>
      <x:c r="AI159" s="165" t="str">
        <x:f>IF(AND(AI$5&gt;=$C159,AI$5&lt;=$D159,$A159&lt;&gt;""),"●","")</x:f>
      </x:c>
      <x:c r="AJ159" s="165" t="str">
        <x:f>IF(AND(AJ$5&gt;=$C159,AJ$5&lt;=$D159,$A159&lt;&gt;""),"●","")</x:f>
      </x:c>
      <x:c r="AK159" s="165" t="str">
        <x:f>IF(AND(AK$5&gt;=$C159,AK$5&lt;=$D159,$A159&lt;&gt;""),"●","")</x:f>
      </x:c>
      <x:c r="AL159" s="165" t="str">
        <x:f>IF(AND(AL$5&gt;=$C159,AL$5&lt;=$D159,$A159&lt;&gt;""),"●","")</x:f>
      </x:c>
      <x:c r="AM159" s="165" t="str">
        <x:f>IF(AND(AM$5&gt;=$C159,AM$5&lt;=$D159,$A159&lt;&gt;""),"●","")</x:f>
      </x:c>
      <x:c r="AN159" s="165" t="str">
        <x:f>IF(AND(AN$5&gt;=$C159,AN$5&lt;=$D159,$A159&lt;&gt;""),"●","")</x:f>
      </x:c>
      <x:c r="AO159" s="165" t="str">
        <x:f>IF(AND(AO$5&gt;=$C159,AO$5&lt;=$D159,$A159&lt;&gt;""),"●","")</x:f>
      </x:c>
      <x:c r="AP159" s="165" t="str">
        <x:f>IF(AND(AP$5&gt;=$C159,AP$5&lt;=$D159,$A159&lt;&gt;""),"●","")</x:f>
      </x:c>
      <x:c r="AQ159" s="165" t="str">
        <x:f>IF(AND(AQ$5&gt;=$C159,AQ$5&lt;=$D159,$A159&lt;&gt;""),"●","")</x:f>
      </x:c>
      <x:c r="AR159" s="165" t="str">
        <x:f>IF(AND(AR$5&gt;=$C159,AR$5&lt;=$D159,$A159&lt;&gt;""),"●","")</x:f>
      </x:c>
      <x:c r="AS159" s="165" t="str">
        <x:f>IF(AND(AS$5&gt;=$C159,AS$5&lt;=$D159,$A159&lt;&gt;""),"●","")</x:f>
      </x:c>
      <x:c r="AT159" s="165" t="str">
        <x:f>IF(AND(AT$5&gt;=$C159,AT$5&lt;=$D159,$A159&lt;&gt;""),"●","")</x:f>
      </x:c>
      <x:c r="AU159" s="165" t="str">
        <x:f>IF(AND(AU$5&gt;=$C159,AU$5&lt;=$D159,$A159&lt;&gt;""),"●","")</x:f>
      </x:c>
      <x:c r="AV159" s="165" t="str">
        <x:f>IF(AND(AV$5&gt;=$C159,AV$5&lt;=$D159,$A159&lt;&gt;""),"●","")</x:f>
      </x:c>
      <x:c r="AW159" s="165" t="str">
        <x:f>IF(AND(AW$5&gt;=$C159,AW$5&lt;=$D159,$A159&lt;&gt;""),"●","")</x:f>
      </x:c>
      <x:c r="AX159" s="165" t="str">
        <x:f>IF(AND(AX$5&gt;=$C159,AX$5&lt;=$D159,$A159&lt;&gt;""),"●","")</x:f>
      </x:c>
      <x:c r="AY159" s="165" t="str">
        <x:f>IF(AND(AY$5&gt;=$C159,AY$5&lt;=$D159,$A159&lt;&gt;""),"●","")</x:f>
      </x:c>
      <x:c r="AZ159" s="165" t="str">
        <x:f>IF(AND(AZ$5&gt;=$C159,AZ$5&lt;=$D159,$A159&lt;&gt;""),"●","")</x:f>
      </x:c>
      <x:c r="BA159" s="165" t="str">
        <x:f>IF(AND(BA$5&gt;=$C159,BA$5&lt;=$D159,$A159&lt;&gt;""),"●","")</x:f>
      </x:c>
      <x:c r="BB159" s="165" t="str">
        <x:f>IF(AND(BB$5&gt;=$C159,BB$5&lt;=$D159,$A159&lt;&gt;""),"●","")</x:f>
      </x:c>
      <x:c r="BC159" s="165" t="str">
        <x:f>IF(AND(BC$5&gt;=$C159,BC$5&lt;=$D159,$A159&lt;&gt;""),"●","")</x:f>
      </x:c>
      <x:c r="BD159" s="165" t="str">
        <x:f>IF(AND(BD$5&gt;=$C159,BD$5&lt;=$D159,$A159&lt;&gt;""),"●","")</x:f>
      </x:c>
      <x:c r="BE159" s="165" t="str">
        <x:f>IF(AND(BE$5&gt;=$C159,BE$5&lt;=$D159,$A159&lt;&gt;""),"●","")</x:f>
      </x:c>
      <x:c r="BF159" s="165" t="str">
        <x:f>IF(AND(BF$5&gt;=$C159,BF$5&lt;=$D159,$A159&lt;&gt;""),"●","")</x:f>
      </x:c>
      <x:c r="BG159" s="165" t="str">
        <x:f>IF(AND(BG$5&gt;=$C159,BG$5&lt;=$D159,$A159&lt;&gt;""),"●","")</x:f>
      </x:c>
      <x:c r="BH159" s="165" t="str">
        <x:f>IF(AND(BH$5&gt;=$C159,BH$5&lt;=$D159,$A159&lt;&gt;""),"●","")</x:f>
      </x:c>
      <x:c r="BI159" s="165" t="str">
        <x:f>IF(AND(BI$5&gt;=$C159,BI$5&lt;=$D159,$A159&lt;&gt;""),"●","")</x:f>
      </x:c>
      <x:c r="BJ159" s="165" t="str">
        <x:f>IF(AND(BJ$5&gt;=$C159,BJ$5&lt;=$D159,$A159&lt;&gt;""),"●","")</x:f>
      </x:c>
      <x:c r="BK159" s="165" t="str">
        <x:f>IF(AND(BK$5&gt;=$C159,BK$5&lt;=$D159,$A159&lt;&gt;""),"●","")</x:f>
      </x:c>
      <x:c r="BL159" s="165" t="str">
        <x:f>IF(AND(BL$5&gt;=$C159,BL$5&lt;=$D159,$A159&lt;&gt;""),"●","")</x:f>
      </x:c>
      <x:c r="BM159" s="165" t="str">
        <x:f>IF(AND(BM$5&gt;=$C159,BM$5&lt;=$D159,$A159&lt;&gt;""),"●","")</x:f>
      </x:c>
      <x:c r="BN159" s="165" t="str">
        <x:f>IF(AND(BN$5&gt;=$C159,BN$5&lt;=$D159,$A159&lt;&gt;""),"●","")</x:f>
      </x:c>
      <x:c r="BO159" s="165" t="str">
        <x:f>IF(AND(BO$5&gt;=$C159,BO$5&lt;=$D159,$A159&lt;&gt;""),"●","")</x:f>
      </x:c>
      <x:c r="BP159" s="165" t="str">
        <x:f>IF(AND(BP$5&gt;=$C159,BP$5&lt;=$D159,$A159&lt;&gt;""),"●","")</x:f>
      </x:c>
      <x:c r="BQ159" s="165" t="str">
        <x:f>IF(AND(BQ$5&gt;=$C159,BQ$5&lt;=$D159,$A159&lt;&gt;""),"●","")</x:f>
      </x:c>
      <x:c r="BR159" s="165" t="str">
        <x:f>IF(AND(BR$5&gt;=$C159,BR$5&lt;=$D159,$A159&lt;&gt;""),"●","")</x:f>
      </x:c>
      <x:c r="BS159" s="165" t="str">
        <x:f>IF(AND(BS$5&gt;=$C159,BS$5&lt;=$D159,$A159&lt;&gt;""),"●","")</x:f>
      </x:c>
      <x:c r="BT159" s="165" t="str">
        <x:f>IF(AND(BT$5&gt;=$C159,BT$5&lt;=$D159,$A159&lt;&gt;""),"●","")</x:f>
      </x:c>
      <x:c r="BU159" s="165" t="str">
        <x:f>IF(AND(BU$5&gt;=$C159,BU$5&lt;=$D159,$A159&lt;&gt;""),"●","")</x:f>
      </x:c>
      <x:c r="BV159" s="165" t="str">
        <x:f>IF(AND(BV$5&gt;=$C159,BV$5&lt;=$D159,$A159&lt;&gt;""),"●","")</x:f>
      </x:c>
      <x:c r="BW159" s="165" t="str">
        <x:f>IF(AND(BW$5&gt;=$C159,BW$5&lt;=$D159,$A159&lt;&gt;""),"●","")</x:f>
      </x:c>
    </x:row>
    <x:row r="160">
      <x:c r="A160" s="159" t="str">
        <x:f>IF('รายการสัญญา'!A160="","",'รายการสัญญา'!A160)</x:f>
      </x:c>
      <x:c r="B160" s="159" t="str">
        <x:f>IF('รายการสัญญา'!A160="","",'รายการสัญญา'!C160)</x:f>
      </x:c>
      <x:c r="C160" s="162" t="str">
        <x:f>IF('รายการสัญญา'!A160="","",'รายการสัญญา'!E160)</x:f>
      </x:c>
      <x:c r="D160" s="162" t="str">
        <x:f>IF('รายการสัญญา'!A160="","",'รายการสัญญา'!G160)</x:f>
      </x:c>
      <x:c r="E160" s="159" t="str">
        <x:f>IF('รายการสัญญา'!A160="","",'รายการสัญญา'!K160)</x:f>
      </x:c>
      <x:c r="F160" s="165" t="str">
        <x:f>IF(AND(F$5&gt;=$C160,F$5&lt;=$D160,$A160&lt;&gt;""),"●","")</x:f>
      </x:c>
      <x:c r="G160" s="165" t="str">
        <x:f>IF(AND(G$5&gt;=$C160,G$5&lt;=$D160,$A160&lt;&gt;""),"●","")</x:f>
      </x:c>
      <x:c r="H160" s="165" t="str">
        <x:f>IF(AND(H$5&gt;=$C160,H$5&lt;=$D160,$A160&lt;&gt;""),"●","")</x:f>
      </x:c>
      <x:c r="I160" s="165" t="str">
        <x:f>IF(AND(I$5&gt;=$C160,I$5&lt;=$D160,$A160&lt;&gt;""),"●","")</x:f>
      </x:c>
      <x:c r="J160" s="165" t="str">
        <x:f>IF(AND(J$5&gt;=$C160,J$5&lt;=$D160,$A160&lt;&gt;""),"●","")</x:f>
      </x:c>
      <x:c r="K160" s="165" t="str">
        <x:f>IF(AND(K$5&gt;=$C160,K$5&lt;=$D160,$A160&lt;&gt;""),"●","")</x:f>
      </x:c>
      <x:c r="L160" s="165" t="str">
        <x:f>IF(AND(L$5&gt;=$C160,L$5&lt;=$D160,$A160&lt;&gt;""),"●","")</x:f>
      </x:c>
      <x:c r="M160" s="165" t="str">
        <x:f>IF(AND(M$5&gt;=$C160,M$5&lt;=$D160,$A160&lt;&gt;""),"●","")</x:f>
      </x:c>
      <x:c r="N160" s="165" t="str">
        <x:f>IF(AND(N$5&gt;=$C160,N$5&lt;=$D160,$A160&lt;&gt;""),"●","")</x:f>
      </x:c>
      <x:c r="O160" s="165" t="str">
        <x:f>IF(AND(O$5&gt;=$C160,O$5&lt;=$D160,$A160&lt;&gt;""),"●","")</x:f>
      </x:c>
      <x:c r="P160" s="165" t="str">
        <x:f>IF(AND(P$5&gt;=$C160,P$5&lt;=$D160,$A160&lt;&gt;""),"●","")</x:f>
      </x:c>
      <x:c r="Q160" s="165" t="str">
        <x:f>IF(AND(Q$5&gt;=$C160,Q$5&lt;=$D160,$A160&lt;&gt;""),"●","")</x:f>
      </x:c>
      <x:c r="R160" s="165" t="str">
        <x:f>IF(AND(R$5&gt;=$C160,R$5&lt;=$D160,$A160&lt;&gt;""),"●","")</x:f>
      </x:c>
      <x:c r="S160" s="165" t="str">
        <x:f>IF(AND(S$5&gt;=$C160,S$5&lt;=$D160,$A160&lt;&gt;""),"●","")</x:f>
      </x:c>
      <x:c r="T160" s="165" t="str">
        <x:f>IF(AND(T$5&gt;=$C160,T$5&lt;=$D160,$A160&lt;&gt;""),"●","")</x:f>
      </x:c>
      <x:c r="U160" s="165" t="str">
        <x:f>IF(AND(U$5&gt;=$C160,U$5&lt;=$D160,$A160&lt;&gt;""),"●","")</x:f>
      </x:c>
      <x:c r="V160" s="165" t="str">
        <x:f>IF(AND(V$5&gt;=$C160,V$5&lt;=$D160,$A160&lt;&gt;""),"●","")</x:f>
      </x:c>
      <x:c r="W160" s="165" t="str">
        <x:f>IF(AND(W$5&gt;=$C160,W$5&lt;=$D160,$A160&lt;&gt;""),"●","")</x:f>
      </x:c>
      <x:c r="X160" s="165" t="str">
        <x:f>IF(AND(X$5&gt;=$C160,X$5&lt;=$D160,$A160&lt;&gt;""),"●","")</x:f>
      </x:c>
      <x:c r="Y160" s="165" t="str">
        <x:f>IF(AND(Y$5&gt;=$C160,Y$5&lt;=$D160,$A160&lt;&gt;""),"●","")</x:f>
      </x:c>
      <x:c r="Z160" s="165" t="str">
        <x:f>IF(AND(Z$5&gt;=$C160,Z$5&lt;=$D160,$A160&lt;&gt;""),"●","")</x:f>
      </x:c>
      <x:c r="AA160" s="165" t="str">
        <x:f>IF(AND(AA$5&gt;=$C160,AA$5&lt;=$D160,$A160&lt;&gt;""),"●","")</x:f>
      </x:c>
      <x:c r="AB160" s="165" t="str">
        <x:f>IF(AND(AB$5&gt;=$C160,AB$5&lt;=$D160,$A160&lt;&gt;""),"●","")</x:f>
      </x:c>
      <x:c r="AC160" s="165" t="str">
        <x:f>IF(AND(AC$5&gt;=$C160,AC$5&lt;=$D160,$A160&lt;&gt;""),"●","")</x:f>
      </x:c>
      <x:c r="AD160" s="165" t="str">
        <x:f>IF(AND(AD$5&gt;=$C160,AD$5&lt;=$D160,$A160&lt;&gt;""),"●","")</x:f>
      </x:c>
      <x:c r="AE160" s="165" t="str">
        <x:f>IF(AND(AE$5&gt;=$C160,AE$5&lt;=$D160,$A160&lt;&gt;""),"●","")</x:f>
      </x:c>
      <x:c r="AF160" s="165" t="str">
        <x:f>IF(AND(AF$5&gt;=$C160,AF$5&lt;=$D160,$A160&lt;&gt;""),"●","")</x:f>
      </x:c>
      <x:c r="AG160" s="165" t="str">
        <x:f>IF(AND(AG$5&gt;=$C160,AG$5&lt;=$D160,$A160&lt;&gt;""),"●","")</x:f>
      </x:c>
      <x:c r="AH160" s="165" t="str">
        <x:f>IF(AND(AH$5&gt;=$C160,AH$5&lt;=$D160,$A160&lt;&gt;""),"●","")</x:f>
      </x:c>
      <x:c r="AI160" s="165" t="str">
        <x:f>IF(AND(AI$5&gt;=$C160,AI$5&lt;=$D160,$A160&lt;&gt;""),"●","")</x:f>
      </x:c>
      <x:c r="AJ160" s="165" t="str">
        <x:f>IF(AND(AJ$5&gt;=$C160,AJ$5&lt;=$D160,$A160&lt;&gt;""),"●","")</x:f>
      </x:c>
      <x:c r="AK160" s="165" t="str">
        <x:f>IF(AND(AK$5&gt;=$C160,AK$5&lt;=$D160,$A160&lt;&gt;""),"●","")</x:f>
      </x:c>
      <x:c r="AL160" s="165" t="str">
        <x:f>IF(AND(AL$5&gt;=$C160,AL$5&lt;=$D160,$A160&lt;&gt;""),"●","")</x:f>
      </x:c>
      <x:c r="AM160" s="165" t="str">
        <x:f>IF(AND(AM$5&gt;=$C160,AM$5&lt;=$D160,$A160&lt;&gt;""),"●","")</x:f>
      </x:c>
      <x:c r="AN160" s="165" t="str">
        <x:f>IF(AND(AN$5&gt;=$C160,AN$5&lt;=$D160,$A160&lt;&gt;""),"●","")</x:f>
      </x:c>
      <x:c r="AO160" s="165" t="str">
        <x:f>IF(AND(AO$5&gt;=$C160,AO$5&lt;=$D160,$A160&lt;&gt;""),"●","")</x:f>
      </x:c>
      <x:c r="AP160" s="165" t="str">
        <x:f>IF(AND(AP$5&gt;=$C160,AP$5&lt;=$D160,$A160&lt;&gt;""),"●","")</x:f>
      </x:c>
      <x:c r="AQ160" s="165" t="str">
        <x:f>IF(AND(AQ$5&gt;=$C160,AQ$5&lt;=$D160,$A160&lt;&gt;""),"●","")</x:f>
      </x:c>
      <x:c r="AR160" s="165" t="str">
        <x:f>IF(AND(AR$5&gt;=$C160,AR$5&lt;=$D160,$A160&lt;&gt;""),"●","")</x:f>
      </x:c>
      <x:c r="AS160" s="165" t="str">
        <x:f>IF(AND(AS$5&gt;=$C160,AS$5&lt;=$D160,$A160&lt;&gt;""),"●","")</x:f>
      </x:c>
      <x:c r="AT160" s="165" t="str">
        <x:f>IF(AND(AT$5&gt;=$C160,AT$5&lt;=$D160,$A160&lt;&gt;""),"●","")</x:f>
      </x:c>
      <x:c r="AU160" s="165" t="str">
        <x:f>IF(AND(AU$5&gt;=$C160,AU$5&lt;=$D160,$A160&lt;&gt;""),"●","")</x:f>
      </x:c>
      <x:c r="AV160" s="165" t="str">
        <x:f>IF(AND(AV$5&gt;=$C160,AV$5&lt;=$D160,$A160&lt;&gt;""),"●","")</x:f>
      </x:c>
      <x:c r="AW160" s="165" t="str">
        <x:f>IF(AND(AW$5&gt;=$C160,AW$5&lt;=$D160,$A160&lt;&gt;""),"●","")</x:f>
      </x:c>
      <x:c r="AX160" s="165" t="str">
        <x:f>IF(AND(AX$5&gt;=$C160,AX$5&lt;=$D160,$A160&lt;&gt;""),"●","")</x:f>
      </x:c>
      <x:c r="AY160" s="165" t="str">
        <x:f>IF(AND(AY$5&gt;=$C160,AY$5&lt;=$D160,$A160&lt;&gt;""),"●","")</x:f>
      </x:c>
      <x:c r="AZ160" s="165" t="str">
        <x:f>IF(AND(AZ$5&gt;=$C160,AZ$5&lt;=$D160,$A160&lt;&gt;""),"●","")</x:f>
      </x:c>
      <x:c r="BA160" s="165" t="str">
        <x:f>IF(AND(BA$5&gt;=$C160,BA$5&lt;=$D160,$A160&lt;&gt;""),"●","")</x:f>
      </x:c>
      <x:c r="BB160" s="165" t="str">
        <x:f>IF(AND(BB$5&gt;=$C160,BB$5&lt;=$D160,$A160&lt;&gt;""),"●","")</x:f>
      </x:c>
      <x:c r="BC160" s="165" t="str">
        <x:f>IF(AND(BC$5&gt;=$C160,BC$5&lt;=$D160,$A160&lt;&gt;""),"●","")</x:f>
      </x:c>
      <x:c r="BD160" s="165" t="str">
        <x:f>IF(AND(BD$5&gt;=$C160,BD$5&lt;=$D160,$A160&lt;&gt;""),"●","")</x:f>
      </x:c>
      <x:c r="BE160" s="165" t="str">
        <x:f>IF(AND(BE$5&gt;=$C160,BE$5&lt;=$D160,$A160&lt;&gt;""),"●","")</x:f>
      </x:c>
      <x:c r="BF160" s="165" t="str">
        <x:f>IF(AND(BF$5&gt;=$C160,BF$5&lt;=$D160,$A160&lt;&gt;""),"●","")</x:f>
      </x:c>
      <x:c r="BG160" s="165" t="str">
        <x:f>IF(AND(BG$5&gt;=$C160,BG$5&lt;=$D160,$A160&lt;&gt;""),"●","")</x:f>
      </x:c>
      <x:c r="BH160" s="165" t="str">
        <x:f>IF(AND(BH$5&gt;=$C160,BH$5&lt;=$D160,$A160&lt;&gt;""),"●","")</x:f>
      </x:c>
      <x:c r="BI160" s="165" t="str">
        <x:f>IF(AND(BI$5&gt;=$C160,BI$5&lt;=$D160,$A160&lt;&gt;""),"●","")</x:f>
      </x:c>
      <x:c r="BJ160" s="165" t="str">
        <x:f>IF(AND(BJ$5&gt;=$C160,BJ$5&lt;=$D160,$A160&lt;&gt;""),"●","")</x:f>
      </x:c>
      <x:c r="BK160" s="165" t="str">
        <x:f>IF(AND(BK$5&gt;=$C160,BK$5&lt;=$D160,$A160&lt;&gt;""),"●","")</x:f>
      </x:c>
      <x:c r="BL160" s="165" t="str">
        <x:f>IF(AND(BL$5&gt;=$C160,BL$5&lt;=$D160,$A160&lt;&gt;""),"●","")</x:f>
      </x:c>
      <x:c r="BM160" s="165" t="str">
        <x:f>IF(AND(BM$5&gt;=$C160,BM$5&lt;=$D160,$A160&lt;&gt;""),"●","")</x:f>
      </x:c>
      <x:c r="BN160" s="165" t="str">
        <x:f>IF(AND(BN$5&gt;=$C160,BN$5&lt;=$D160,$A160&lt;&gt;""),"●","")</x:f>
      </x:c>
      <x:c r="BO160" s="165" t="str">
        <x:f>IF(AND(BO$5&gt;=$C160,BO$5&lt;=$D160,$A160&lt;&gt;""),"●","")</x:f>
      </x:c>
      <x:c r="BP160" s="165" t="str">
        <x:f>IF(AND(BP$5&gt;=$C160,BP$5&lt;=$D160,$A160&lt;&gt;""),"●","")</x:f>
      </x:c>
      <x:c r="BQ160" s="165" t="str">
        <x:f>IF(AND(BQ$5&gt;=$C160,BQ$5&lt;=$D160,$A160&lt;&gt;""),"●","")</x:f>
      </x:c>
      <x:c r="BR160" s="165" t="str">
        <x:f>IF(AND(BR$5&gt;=$C160,BR$5&lt;=$D160,$A160&lt;&gt;""),"●","")</x:f>
      </x:c>
      <x:c r="BS160" s="165" t="str">
        <x:f>IF(AND(BS$5&gt;=$C160,BS$5&lt;=$D160,$A160&lt;&gt;""),"●","")</x:f>
      </x:c>
      <x:c r="BT160" s="165" t="str">
        <x:f>IF(AND(BT$5&gt;=$C160,BT$5&lt;=$D160,$A160&lt;&gt;""),"●","")</x:f>
      </x:c>
      <x:c r="BU160" s="165" t="str">
        <x:f>IF(AND(BU$5&gt;=$C160,BU$5&lt;=$D160,$A160&lt;&gt;""),"●","")</x:f>
      </x:c>
      <x:c r="BV160" s="165" t="str">
        <x:f>IF(AND(BV$5&gt;=$C160,BV$5&lt;=$D160,$A160&lt;&gt;""),"●","")</x:f>
      </x:c>
      <x:c r="BW160" s="165" t="str">
        <x:f>IF(AND(BW$5&gt;=$C160,BW$5&lt;=$D160,$A160&lt;&gt;""),"●","")</x:f>
      </x:c>
    </x:row>
    <x:row r="161">
      <x:c r="A161" s="159" t="str">
        <x:f>IF('รายการสัญญา'!A161="","",'รายการสัญญา'!A161)</x:f>
      </x:c>
      <x:c r="B161" s="159" t="str">
        <x:f>IF('รายการสัญญา'!A161="","",'รายการสัญญา'!C161)</x:f>
      </x:c>
      <x:c r="C161" s="162" t="str">
        <x:f>IF('รายการสัญญา'!A161="","",'รายการสัญญา'!E161)</x:f>
      </x:c>
      <x:c r="D161" s="162" t="str">
        <x:f>IF('รายการสัญญา'!A161="","",'รายการสัญญา'!G161)</x:f>
      </x:c>
      <x:c r="E161" s="159" t="str">
        <x:f>IF('รายการสัญญา'!A161="","",'รายการสัญญา'!K161)</x:f>
      </x:c>
      <x:c r="F161" s="165" t="str">
        <x:f>IF(AND(F$5&gt;=$C161,F$5&lt;=$D161,$A161&lt;&gt;""),"●","")</x:f>
      </x:c>
      <x:c r="G161" s="165" t="str">
        <x:f>IF(AND(G$5&gt;=$C161,G$5&lt;=$D161,$A161&lt;&gt;""),"●","")</x:f>
      </x:c>
      <x:c r="H161" s="165" t="str">
        <x:f>IF(AND(H$5&gt;=$C161,H$5&lt;=$D161,$A161&lt;&gt;""),"●","")</x:f>
      </x:c>
      <x:c r="I161" s="165" t="str">
        <x:f>IF(AND(I$5&gt;=$C161,I$5&lt;=$D161,$A161&lt;&gt;""),"●","")</x:f>
      </x:c>
      <x:c r="J161" s="165" t="str">
        <x:f>IF(AND(J$5&gt;=$C161,J$5&lt;=$D161,$A161&lt;&gt;""),"●","")</x:f>
      </x:c>
      <x:c r="K161" s="165" t="str">
        <x:f>IF(AND(K$5&gt;=$C161,K$5&lt;=$D161,$A161&lt;&gt;""),"●","")</x:f>
      </x:c>
      <x:c r="L161" s="165" t="str">
        <x:f>IF(AND(L$5&gt;=$C161,L$5&lt;=$D161,$A161&lt;&gt;""),"●","")</x:f>
      </x:c>
      <x:c r="M161" s="165" t="str">
        <x:f>IF(AND(M$5&gt;=$C161,M$5&lt;=$D161,$A161&lt;&gt;""),"●","")</x:f>
      </x:c>
      <x:c r="N161" s="165" t="str">
        <x:f>IF(AND(N$5&gt;=$C161,N$5&lt;=$D161,$A161&lt;&gt;""),"●","")</x:f>
      </x:c>
      <x:c r="O161" s="165" t="str">
        <x:f>IF(AND(O$5&gt;=$C161,O$5&lt;=$D161,$A161&lt;&gt;""),"●","")</x:f>
      </x:c>
      <x:c r="P161" s="165" t="str">
        <x:f>IF(AND(P$5&gt;=$C161,P$5&lt;=$D161,$A161&lt;&gt;""),"●","")</x:f>
      </x:c>
      <x:c r="Q161" s="165" t="str">
        <x:f>IF(AND(Q$5&gt;=$C161,Q$5&lt;=$D161,$A161&lt;&gt;""),"●","")</x:f>
      </x:c>
      <x:c r="R161" s="165" t="str">
        <x:f>IF(AND(R$5&gt;=$C161,R$5&lt;=$D161,$A161&lt;&gt;""),"●","")</x:f>
      </x:c>
      <x:c r="S161" s="165" t="str">
        <x:f>IF(AND(S$5&gt;=$C161,S$5&lt;=$D161,$A161&lt;&gt;""),"●","")</x:f>
      </x:c>
      <x:c r="T161" s="165" t="str">
        <x:f>IF(AND(T$5&gt;=$C161,T$5&lt;=$D161,$A161&lt;&gt;""),"●","")</x:f>
      </x:c>
      <x:c r="U161" s="165" t="str">
        <x:f>IF(AND(U$5&gt;=$C161,U$5&lt;=$D161,$A161&lt;&gt;""),"●","")</x:f>
      </x:c>
      <x:c r="V161" s="165" t="str">
        <x:f>IF(AND(V$5&gt;=$C161,V$5&lt;=$D161,$A161&lt;&gt;""),"●","")</x:f>
      </x:c>
      <x:c r="W161" s="165" t="str">
        <x:f>IF(AND(W$5&gt;=$C161,W$5&lt;=$D161,$A161&lt;&gt;""),"●","")</x:f>
      </x:c>
      <x:c r="X161" s="165" t="str">
        <x:f>IF(AND(X$5&gt;=$C161,X$5&lt;=$D161,$A161&lt;&gt;""),"●","")</x:f>
      </x:c>
      <x:c r="Y161" s="165" t="str">
        <x:f>IF(AND(Y$5&gt;=$C161,Y$5&lt;=$D161,$A161&lt;&gt;""),"●","")</x:f>
      </x:c>
      <x:c r="Z161" s="165" t="str">
        <x:f>IF(AND(Z$5&gt;=$C161,Z$5&lt;=$D161,$A161&lt;&gt;""),"●","")</x:f>
      </x:c>
      <x:c r="AA161" s="165" t="str">
        <x:f>IF(AND(AA$5&gt;=$C161,AA$5&lt;=$D161,$A161&lt;&gt;""),"●","")</x:f>
      </x:c>
      <x:c r="AB161" s="165" t="str">
        <x:f>IF(AND(AB$5&gt;=$C161,AB$5&lt;=$D161,$A161&lt;&gt;""),"●","")</x:f>
      </x:c>
      <x:c r="AC161" s="165" t="str">
        <x:f>IF(AND(AC$5&gt;=$C161,AC$5&lt;=$D161,$A161&lt;&gt;""),"●","")</x:f>
      </x:c>
      <x:c r="AD161" s="165" t="str">
        <x:f>IF(AND(AD$5&gt;=$C161,AD$5&lt;=$D161,$A161&lt;&gt;""),"●","")</x:f>
      </x:c>
      <x:c r="AE161" s="165" t="str">
        <x:f>IF(AND(AE$5&gt;=$C161,AE$5&lt;=$D161,$A161&lt;&gt;""),"●","")</x:f>
      </x:c>
      <x:c r="AF161" s="165" t="str">
        <x:f>IF(AND(AF$5&gt;=$C161,AF$5&lt;=$D161,$A161&lt;&gt;""),"●","")</x:f>
      </x:c>
      <x:c r="AG161" s="165" t="str">
        <x:f>IF(AND(AG$5&gt;=$C161,AG$5&lt;=$D161,$A161&lt;&gt;""),"●","")</x:f>
      </x:c>
      <x:c r="AH161" s="165" t="str">
        <x:f>IF(AND(AH$5&gt;=$C161,AH$5&lt;=$D161,$A161&lt;&gt;""),"●","")</x:f>
      </x:c>
      <x:c r="AI161" s="165" t="str">
        <x:f>IF(AND(AI$5&gt;=$C161,AI$5&lt;=$D161,$A161&lt;&gt;""),"●","")</x:f>
      </x:c>
      <x:c r="AJ161" s="165" t="str">
        <x:f>IF(AND(AJ$5&gt;=$C161,AJ$5&lt;=$D161,$A161&lt;&gt;""),"●","")</x:f>
      </x:c>
      <x:c r="AK161" s="165" t="str">
        <x:f>IF(AND(AK$5&gt;=$C161,AK$5&lt;=$D161,$A161&lt;&gt;""),"●","")</x:f>
      </x:c>
      <x:c r="AL161" s="165" t="str">
        <x:f>IF(AND(AL$5&gt;=$C161,AL$5&lt;=$D161,$A161&lt;&gt;""),"●","")</x:f>
      </x:c>
      <x:c r="AM161" s="165" t="str">
        <x:f>IF(AND(AM$5&gt;=$C161,AM$5&lt;=$D161,$A161&lt;&gt;""),"●","")</x:f>
      </x:c>
      <x:c r="AN161" s="165" t="str">
        <x:f>IF(AND(AN$5&gt;=$C161,AN$5&lt;=$D161,$A161&lt;&gt;""),"●","")</x:f>
      </x:c>
      <x:c r="AO161" s="165" t="str">
        <x:f>IF(AND(AO$5&gt;=$C161,AO$5&lt;=$D161,$A161&lt;&gt;""),"●","")</x:f>
      </x:c>
      <x:c r="AP161" s="165" t="str">
        <x:f>IF(AND(AP$5&gt;=$C161,AP$5&lt;=$D161,$A161&lt;&gt;""),"●","")</x:f>
      </x:c>
      <x:c r="AQ161" s="165" t="str">
        <x:f>IF(AND(AQ$5&gt;=$C161,AQ$5&lt;=$D161,$A161&lt;&gt;""),"●","")</x:f>
      </x:c>
      <x:c r="AR161" s="165" t="str">
        <x:f>IF(AND(AR$5&gt;=$C161,AR$5&lt;=$D161,$A161&lt;&gt;""),"●","")</x:f>
      </x:c>
      <x:c r="AS161" s="165" t="str">
        <x:f>IF(AND(AS$5&gt;=$C161,AS$5&lt;=$D161,$A161&lt;&gt;""),"●","")</x:f>
      </x:c>
      <x:c r="AT161" s="165" t="str">
        <x:f>IF(AND(AT$5&gt;=$C161,AT$5&lt;=$D161,$A161&lt;&gt;""),"●","")</x:f>
      </x:c>
      <x:c r="AU161" s="165" t="str">
        <x:f>IF(AND(AU$5&gt;=$C161,AU$5&lt;=$D161,$A161&lt;&gt;""),"●","")</x:f>
      </x:c>
      <x:c r="AV161" s="165" t="str">
        <x:f>IF(AND(AV$5&gt;=$C161,AV$5&lt;=$D161,$A161&lt;&gt;""),"●","")</x:f>
      </x:c>
      <x:c r="AW161" s="165" t="str">
        <x:f>IF(AND(AW$5&gt;=$C161,AW$5&lt;=$D161,$A161&lt;&gt;""),"●","")</x:f>
      </x:c>
      <x:c r="AX161" s="165" t="str">
        <x:f>IF(AND(AX$5&gt;=$C161,AX$5&lt;=$D161,$A161&lt;&gt;""),"●","")</x:f>
      </x:c>
      <x:c r="AY161" s="165" t="str">
        <x:f>IF(AND(AY$5&gt;=$C161,AY$5&lt;=$D161,$A161&lt;&gt;""),"●","")</x:f>
      </x:c>
      <x:c r="AZ161" s="165" t="str">
        <x:f>IF(AND(AZ$5&gt;=$C161,AZ$5&lt;=$D161,$A161&lt;&gt;""),"●","")</x:f>
      </x:c>
      <x:c r="BA161" s="165" t="str">
        <x:f>IF(AND(BA$5&gt;=$C161,BA$5&lt;=$D161,$A161&lt;&gt;""),"●","")</x:f>
      </x:c>
      <x:c r="BB161" s="165" t="str">
        <x:f>IF(AND(BB$5&gt;=$C161,BB$5&lt;=$D161,$A161&lt;&gt;""),"●","")</x:f>
      </x:c>
      <x:c r="BC161" s="165" t="str">
        <x:f>IF(AND(BC$5&gt;=$C161,BC$5&lt;=$D161,$A161&lt;&gt;""),"●","")</x:f>
      </x:c>
      <x:c r="BD161" s="165" t="str">
        <x:f>IF(AND(BD$5&gt;=$C161,BD$5&lt;=$D161,$A161&lt;&gt;""),"●","")</x:f>
      </x:c>
      <x:c r="BE161" s="165" t="str">
        <x:f>IF(AND(BE$5&gt;=$C161,BE$5&lt;=$D161,$A161&lt;&gt;""),"●","")</x:f>
      </x:c>
      <x:c r="BF161" s="165" t="str">
        <x:f>IF(AND(BF$5&gt;=$C161,BF$5&lt;=$D161,$A161&lt;&gt;""),"●","")</x:f>
      </x:c>
      <x:c r="BG161" s="165" t="str">
        <x:f>IF(AND(BG$5&gt;=$C161,BG$5&lt;=$D161,$A161&lt;&gt;""),"●","")</x:f>
      </x:c>
      <x:c r="BH161" s="165" t="str">
        <x:f>IF(AND(BH$5&gt;=$C161,BH$5&lt;=$D161,$A161&lt;&gt;""),"●","")</x:f>
      </x:c>
      <x:c r="BI161" s="165" t="str">
        <x:f>IF(AND(BI$5&gt;=$C161,BI$5&lt;=$D161,$A161&lt;&gt;""),"●","")</x:f>
      </x:c>
      <x:c r="BJ161" s="165" t="str">
        <x:f>IF(AND(BJ$5&gt;=$C161,BJ$5&lt;=$D161,$A161&lt;&gt;""),"●","")</x:f>
      </x:c>
      <x:c r="BK161" s="165" t="str">
        <x:f>IF(AND(BK$5&gt;=$C161,BK$5&lt;=$D161,$A161&lt;&gt;""),"●","")</x:f>
      </x:c>
      <x:c r="BL161" s="165" t="str">
        <x:f>IF(AND(BL$5&gt;=$C161,BL$5&lt;=$D161,$A161&lt;&gt;""),"●","")</x:f>
      </x:c>
      <x:c r="BM161" s="165" t="str">
        <x:f>IF(AND(BM$5&gt;=$C161,BM$5&lt;=$D161,$A161&lt;&gt;""),"●","")</x:f>
      </x:c>
      <x:c r="BN161" s="165" t="str">
        <x:f>IF(AND(BN$5&gt;=$C161,BN$5&lt;=$D161,$A161&lt;&gt;""),"●","")</x:f>
      </x:c>
      <x:c r="BO161" s="165" t="str">
        <x:f>IF(AND(BO$5&gt;=$C161,BO$5&lt;=$D161,$A161&lt;&gt;""),"●","")</x:f>
      </x:c>
      <x:c r="BP161" s="165" t="str">
        <x:f>IF(AND(BP$5&gt;=$C161,BP$5&lt;=$D161,$A161&lt;&gt;""),"●","")</x:f>
      </x:c>
      <x:c r="BQ161" s="165" t="str">
        <x:f>IF(AND(BQ$5&gt;=$C161,BQ$5&lt;=$D161,$A161&lt;&gt;""),"●","")</x:f>
      </x:c>
      <x:c r="BR161" s="165" t="str">
        <x:f>IF(AND(BR$5&gt;=$C161,BR$5&lt;=$D161,$A161&lt;&gt;""),"●","")</x:f>
      </x:c>
      <x:c r="BS161" s="165" t="str">
        <x:f>IF(AND(BS$5&gt;=$C161,BS$5&lt;=$D161,$A161&lt;&gt;""),"●","")</x:f>
      </x:c>
      <x:c r="BT161" s="165" t="str">
        <x:f>IF(AND(BT$5&gt;=$C161,BT$5&lt;=$D161,$A161&lt;&gt;""),"●","")</x:f>
      </x:c>
      <x:c r="BU161" s="165" t="str">
        <x:f>IF(AND(BU$5&gt;=$C161,BU$5&lt;=$D161,$A161&lt;&gt;""),"●","")</x:f>
      </x:c>
      <x:c r="BV161" s="165" t="str">
        <x:f>IF(AND(BV$5&gt;=$C161,BV$5&lt;=$D161,$A161&lt;&gt;""),"●","")</x:f>
      </x:c>
      <x:c r="BW161" s="165" t="str">
        <x:f>IF(AND(BW$5&gt;=$C161,BW$5&lt;=$D161,$A161&lt;&gt;""),"●","")</x:f>
      </x:c>
    </x:row>
    <x:row r="162">
      <x:c r="A162" s="159" t="str">
        <x:f>IF('รายการสัญญา'!A162="","",'รายการสัญญา'!A162)</x:f>
      </x:c>
      <x:c r="B162" s="159" t="str">
        <x:f>IF('รายการสัญญา'!A162="","",'รายการสัญญา'!C162)</x:f>
      </x:c>
      <x:c r="C162" s="162" t="str">
        <x:f>IF('รายการสัญญา'!A162="","",'รายการสัญญา'!E162)</x:f>
      </x:c>
      <x:c r="D162" s="162" t="str">
        <x:f>IF('รายการสัญญา'!A162="","",'รายการสัญญา'!G162)</x:f>
      </x:c>
      <x:c r="E162" s="159" t="str">
        <x:f>IF('รายการสัญญา'!A162="","",'รายการสัญญา'!K162)</x:f>
      </x:c>
      <x:c r="F162" s="165" t="str">
        <x:f>IF(AND(F$5&gt;=$C162,F$5&lt;=$D162,$A162&lt;&gt;""),"●","")</x:f>
      </x:c>
      <x:c r="G162" s="165" t="str">
        <x:f>IF(AND(G$5&gt;=$C162,G$5&lt;=$D162,$A162&lt;&gt;""),"●","")</x:f>
      </x:c>
      <x:c r="H162" s="165" t="str">
        <x:f>IF(AND(H$5&gt;=$C162,H$5&lt;=$D162,$A162&lt;&gt;""),"●","")</x:f>
      </x:c>
      <x:c r="I162" s="165" t="str">
        <x:f>IF(AND(I$5&gt;=$C162,I$5&lt;=$D162,$A162&lt;&gt;""),"●","")</x:f>
      </x:c>
      <x:c r="J162" s="165" t="str">
        <x:f>IF(AND(J$5&gt;=$C162,J$5&lt;=$D162,$A162&lt;&gt;""),"●","")</x:f>
      </x:c>
      <x:c r="K162" s="165" t="str">
        <x:f>IF(AND(K$5&gt;=$C162,K$5&lt;=$D162,$A162&lt;&gt;""),"●","")</x:f>
      </x:c>
      <x:c r="L162" s="165" t="str">
        <x:f>IF(AND(L$5&gt;=$C162,L$5&lt;=$D162,$A162&lt;&gt;""),"●","")</x:f>
      </x:c>
      <x:c r="M162" s="165" t="str">
        <x:f>IF(AND(M$5&gt;=$C162,M$5&lt;=$D162,$A162&lt;&gt;""),"●","")</x:f>
      </x:c>
      <x:c r="N162" s="165" t="str">
        <x:f>IF(AND(N$5&gt;=$C162,N$5&lt;=$D162,$A162&lt;&gt;""),"●","")</x:f>
      </x:c>
      <x:c r="O162" s="165" t="str">
        <x:f>IF(AND(O$5&gt;=$C162,O$5&lt;=$D162,$A162&lt;&gt;""),"●","")</x:f>
      </x:c>
      <x:c r="P162" s="165" t="str">
        <x:f>IF(AND(P$5&gt;=$C162,P$5&lt;=$D162,$A162&lt;&gt;""),"●","")</x:f>
      </x:c>
      <x:c r="Q162" s="165" t="str">
        <x:f>IF(AND(Q$5&gt;=$C162,Q$5&lt;=$D162,$A162&lt;&gt;""),"●","")</x:f>
      </x:c>
      <x:c r="R162" s="165" t="str">
        <x:f>IF(AND(R$5&gt;=$C162,R$5&lt;=$D162,$A162&lt;&gt;""),"●","")</x:f>
      </x:c>
      <x:c r="S162" s="165" t="str">
        <x:f>IF(AND(S$5&gt;=$C162,S$5&lt;=$D162,$A162&lt;&gt;""),"●","")</x:f>
      </x:c>
      <x:c r="T162" s="165" t="str">
        <x:f>IF(AND(T$5&gt;=$C162,T$5&lt;=$D162,$A162&lt;&gt;""),"●","")</x:f>
      </x:c>
      <x:c r="U162" s="165" t="str">
        <x:f>IF(AND(U$5&gt;=$C162,U$5&lt;=$D162,$A162&lt;&gt;""),"●","")</x:f>
      </x:c>
      <x:c r="V162" s="165" t="str">
        <x:f>IF(AND(V$5&gt;=$C162,V$5&lt;=$D162,$A162&lt;&gt;""),"●","")</x:f>
      </x:c>
      <x:c r="W162" s="165" t="str">
        <x:f>IF(AND(W$5&gt;=$C162,W$5&lt;=$D162,$A162&lt;&gt;""),"●","")</x:f>
      </x:c>
      <x:c r="X162" s="165" t="str">
        <x:f>IF(AND(X$5&gt;=$C162,X$5&lt;=$D162,$A162&lt;&gt;""),"●","")</x:f>
      </x:c>
      <x:c r="Y162" s="165" t="str">
        <x:f>IF(AND(Y$5&gt;=$C162,Y$5&lt;=$D162,$A162&lt;&gt;""),"●","")</x:f>
      </x:c>
      <x:c r="Z162" s="165" t="str">
        <x:f>IF(AND(Z$5&gt;=$C162,Z$5&lt;=$D162,$A162&lt;&gt;""),"●","")</x:f>
      </x:c>
      <x:c r="AA162" s="165" t="str">
        <x:f>IF(AND(AA$5&gt;=$C162,AA$5&lt;=$D162,$A162&lt;&gt;""),"●","")</x:f>
      </x:c>
      <x:c r="AB162" s="165" t="str">
        <x:f>IF(AND(AB$5&gt;=$C162,AB$5&lt;=$D162,$A162&lt;&gt;""),"●","")</x:f>
      </x:c>
      <x:c r="AC162" s="165" t="str">
        <x:f>IF(AND(AC$5&gt;=$C162,AC$5&lt;=$D162,$A162&lt;&gt;""),"●","")</x:f>
      </x:c>
      <x:c r="AD162" s="165" t="str">
        <x:f>IF(AND(AD$5&gt;=$C162,AD$5&lt;=$D162,$A162&lt;&gt;""),"●","")</x:f>
      </x:c>
      <x:c r="AE162" s="165" t="str">
        <x:f>IF(AND(AE$5&gt;=$C162,AE$5&lt;=$D162,$A162&lt;&gt;""),"●","")</x:f>
      </x:c>
      <x:c r="AF162" s="165" t="str">
        <x:f>IF(AND(AF$5&gt;=$C162,AF$5&lt;=$D162,$A162&lt;&gt;""),"●","")</x:f>
      </x:c>
      <x:c r="AG162" s="165" t="str">
        <x:f>IF(AND(AG$5&gt;=$C162,AG$5&lt;=$D162,$A162&lt;&gt;""),"●","")</x:f>
      </x:c>
      <x:c r="AH162" s="165" t="str">
        <x:f>IF(AND(AH$5&gt;=$C162,AH$5&lt;=$D162,$A162&lt;&gt;""),"●","")</x:f>
      </x:c>
      <x:c r="AI162" s="165" t="str">
        <x:f>IF(AND(AI$5&gt;=$C162,AI$5&lt;=$D162,$A162&lt;&gt;""),"●","")</x:f>
      </x:c>
      <x:c r="AJ162" s="165" t="str">
        <x:f>IF(AND(AJ$5&gt;=$C162,AJ$5&lt;=$D162,$A162&lt;&gt;""),"●","")</x:f>
      </x:c>
      <x:c r="AK162" s="165" t="str">
        <x:f>IF(AND(AK$5&gt;=$C162,AK$5&lt;=$D162,$A162&lt;&gt;""),"●","")</x:f>
      </x:c>
      <x:c r="AL162" s="165" t="str">
        <x:f>IF(AND(AL$5&gt;=$C162,AL$5&lt;=$D162,$A162&lt;&gt;""),"●","")</x:f>
      </x:c>
      <x:c r="AM162" s="165" t="str">
        <x:f>IF(AND(AM$5&gt;=$C162,AM$5&lt;=$D162,$A162&lt;&gt;""),"●","")</x:f>
      </x:c>
      <x:c r="AN162" s="165" t="str">
        <x:f>IF(AND(AN$5&gt;=$C162,AN$5&lt;=$D162,$A162&lt;&gt;""),"●","")</x:f>
      </x:c>
      <x:c r="AO162" s="165" t="str">
        <x:f>IF(AND(AO$5&gt;=$C162,AO$5&lt;=$D162,$A162&lt;&gt;""),"●","")</x:f>
      </x:c>
      <x:c r="AP162" s="165" t="str">
        <x:f>IF(AND(AP$5&gt;=$C162,AP$5&lt;=$D162,$A162&lt;&gt;""),"●","")</x:f>
      </x:c>
      <x:c r="AQ162" s="165" t="str">
        <x:f>IF(AND(AQ$5&gt;=$C162,AQ$5&lt;=$D162,$A162&lt;&gt;""),"●","")</x:f>
      </x:c>
      <x:c r="AR162" s="165" t="str">
        <x:f>IF(AND(AR$5&gt;=$C162,AR$5&lt;=$D162,$A162&lt;&gt;""),"●","")</x:f>
      </x:c>
      <x:c r="AS162" s="165" t="str">
        <x:f>IF(AND(AS$5&gt;=$C162,AS$5&lt;=$D162,$A162&lt;&gt;""),"●","")</x:f>
      </x:c>
      <x:c r="AT162" s="165" t="str">
        <x:f>IF(AND(AT$5&gt;=$C162,AT$5&lt;=$D162,$A162&lt;&gt;""),"●","")</x:f>
      </x:c>
      <x:c r="AU162" s="165" t="str">
        <x:f>IF(AND(AU$5&gt;=$C162,AU$5&lt;=$D162,$A162&lt;&gt;""),"●","")</x:f>
      </x:c>
      <x:c r="AV162" s="165" t="str">
        <x:f>IF(AND(AV$5&gt;=$C162,AV$5&lt;=$D162,$A162&lt;&gt;""),"●","")</x:f>
      </x:c>
      <x:c r="AW162" s="165" t="str">
        <x:f>IF(AND(AW$5&gt;=$C162,AW$5&lt;=$D162,$A162&lt;&gt;""),"●","")</x:f>
      </x:c>
      <x:c r="AX162" s="165" t="str">
        <x:f>IF(AND(AX$5&gt;=$C162,AX$5&lt;=$D162,$A162&lt;&gt;""),"●","")</x:f>
      </x:c>
      <x:c r="AY162" s="165" t="str">
        <x:f>IF(AND(AY$5&gt;=$C162,AY$5&lt;=$D162,$A162&lt;&gt;""),"●","")</x:f>
      </x:c>
      <x:c r="AZ162" s="165" t="str">
        <x:f>IF(AND(AZ$5&gt;=$C162,AZ$5&lt;=$D162,$A162&lt;&gt;""),"●","")</x:f>
      </x:c>
      <x:c r="BA162" s="165" t="str">
        <x:f>IF(AND(BA$5&gt;=$C162,BA$5&lt;=$D162,$A162&lt;&gt;""),"●","")</x:f>
      </x:c>
      <x:c r="BB162" s="165" t="str">
        <x:f>IF(AND(BB$5&gt;=$C162,BB$5&lt;=$D162,$A162&lt;&gt;""),"●","")</x:f>
      </x:c>
      <x:c r="BC162" s="165" t="str">
        <x:f>IF(AND(BC$5&gt;=$C162,BC$5&lt;=$D162,$A162&lt;&gt;""),"●","")</x:f>
      </x:c>
      <x:c r="BD162" s="165" t="str">
        <x:f>IF(AND(BD$5&gt;=$C162,BD$5&lt;=$D162,$A162&lt;&gt;""),"●","")</x:f>
      </x:c>
      <x:c r="BE162" s="165" t="str">
        <x:f>IF(AND(BE$5&gt;=$C162,BE$5&lt;=$D162,$A162&lt;&gt;""),"●","")</x:f>
      </x:c>
      <x:c r="BF162" s="165" t="str">
        <x:f>IF(AND(BF$5&gt;=$C162,BF$5&lt;=$D162,$A162&lt;&gt;""),"●","")</x:f>
      </x:c>
      <x:c r="BG162" s="165" t="str">
        <x:f>IF(AND(BG$5&gt;=$C162,BG$5&lt;=$D162,$A162&lt;&gt;""),"●","")</x:f>
      </x:c>
      <x:c r="BH162" s="165" t="str">
        <x:f>IF(AND(BH$5&gt;=$C162,BH$5&lt;=$D162,$A162&lt;&gt;""),"●","")</x:f>
      </x:c>
      <x:c r="BI162" s="165" t="str">
        <x:f>IF(AND(BI$5&gt;=$C162,BI$5&lt;=$D162,$A162&lt;&gt;""),"●","")</x:f>
      </x:c>
      <x:c r="BJ162" s="165" t="str">
        <x:f>IF(AND(BJ$5&gt;=$C162,BJ$5&lt;=$D162,$A162&lt;&gt;""),"●","")</x:f>
      </x:c>
      <x:c r="BK162" s="165" t="str">
        <x:f>IF(AND(BK$5&gt;=$C162,BK$5&lt;=$D162,$A162&lt;&gt;""),"●","")</x:f>
      </x:c>
      <x:c r="BL162" s="165" t="str">
        <x:f>IF(AND(BL$5&gt;=$C162,BL$5&lt;=$D162,$A162&lt;&gt;""),"●","")</x:f>
      </x:c>
      <x:c r="BM162" s="165" t="str">
        <x:f>IF(AND(BM$5&gt;=$C162,BM$5&lt;=$D162,$A162&lt;&gt;""),"●","")</x:f>
      </x:c>
      <x:c r="BN162" s="165" t="str">
        <x:f>IF(AND(BN$5&gt;=$C162,BN$5&lt;=$D162,$A162&lt;&gt;""),"●","")</x:f>
      </x:c>
      <x:c r="BO162" s="165" t="str">
        <x:f>IF(AND(BO$5&gt;=$C162,BO$5&lt;=$D162,$A162&lt;&gt;""),"●","")</x:f>
      </x:c>
      <x:c r="BP162" s="165" t="str">
        <x:f>IF(AND(BP$5&gt;=$C162,BP$5&lt;=$D162,$A162&lt;&gt;""),"●","")</x:f>
      </x:c>
      <x:c r="BQ162" s="165" t="str">
        <x:f>IF(AND(BQ$5&gt;=$C162,BQ$5&lt;=$D162,$A162&lt;&gt;""),"●","")</x:f>
      </x:c>
      <x:c r="BR162" s="165" t="str">
        <x:f>IF(AND(BR$5&gt;=$C162,BR$5&lt;=$D162,$A162&lt;&gt;""),"●","")</x:f>
      </x:c>
      <x:c r="BS162" s="165" t="str">
        <x:f>IF(AND(BS$5&gt;=$C162,BS$5&lt;=$D162,$A162&lt;&gt;""),"●","")</x:f>
      </x:c>
      <x:c r="BT162" s="165" t="str">
        <x:f>IF(AND(BT$5&gt;=$C162,BT$5&lt;=$D162,$A162&lt;&gt;""),"●","")</x:f>
      </x:c>
      <x:c r="BU162" s="165" t="str">
        <x:f>IF(AND(BU$5&gt;=$C162,BU$5&lt;=$D162,$A162&lt;&gt;""),"●","")</x:f>
      </x:c>
      <x:c r="BV162" s="165" t="str">
        <x:f>IF(AND(BV$5&gt;=$C162,BV$5&lt;=$D162,$A162&lt;&gt;""),"●","")</x:f>
      </x:c>
      <x:c r="BW162" s="165" t="str">
        <x:f>IF(AND(BW$5&gt;=$C162,BW$5&lt;=$D162,$A162&lt;&gt;""),"●","")</x:f>
      </x:c>
    </x:row>
    <x:row r="163">
      <x:c r="A163" s="159" t="str">
        <x:f>IF('รายการสัญญา'!A163="","",'รายการสัญญา'!A163)</x:f>
      </x:c>
      <x:c r="B163" s="159" t="str">
        <x:f>IF('รายการสัญญา'!A163="","",'รายการสัญญา'!C163)</x:f>
      </x:c>
      <x:c r="C163" s="162" t="str">
        <x:f>IF('รายการสัญญา'!A163="","",'รายการสัญญา'!E163)</x:f>
      </x:c>
      <x:c r="D163" s="162" t="str">
        <x:f>IF('รายการสัญญา'!A163="","",'รายการสัญญา'!G163)</x:f>
      </x:c>
      <x:c r="E163" s="159" t="str">
        <x:f>IF('รายการสัญญา'!A163="","",'รายการสัญญา'!K163)</x:f>
      </x:c>
      <x:c r="F163" s="165" t="str">
        <x:f>IF(AND(F$5&gt;=$C163,F$5&lt;=$D163,$A163&lt;&gt;""),"●","")</x:f>
      </x:c>
      <x:c r="G163" s="165" t="str">
        <x:f>IF(AND(G$5&gt;=$C163,G$5&lt;=$D163,$A163&lt;&gt;""),"●","")</x:f>
      </x:c>
      <x:c r="H163" s="165" t="str">
        <x:f>IF(AND(H$5&gt;=$C163,H$5&lt;=$D163,$A163&lt;&gt;""),"●","")</x:f>
      </x:c>
      <x:c r="I163" s="165" t="str">
        <x:f>IF(AND(I$5&gt;=$C163,I$5&lt;=$D163,$A163&lt;&gt;""),"●","")</x:f>
      </x:c>
      <x:c r="J163" s="165" t="str">
        <x:f>IF(AND(J$5&gt;=$C163,J$5&lt;=$D163,$A163&lt;&gt;""),"●","")</x:f>
      </x:c>
      <x:c r="K163" s="165" t="str">
        <x:f>IF(AND(K$5&gt;=$C163,K$5&lt;=$D163,$A163&lt;&gt;""),"●","")</x:f>
      </x:c>
      <x:c r="L163" s="165" t="str">
        <x:f>IF(AND(L$5&gt;=$C163,L$5&lt;=$D163,$A163&lt;&gt;""),"●","")</x:f>
      </x:c>
      <x:c r="M163" s="165" t="str">
        <x:f>IF(AND(M$5&gt;=$C163,M$5&lt;=$D163,$A163&lt;&gt;""),"●","")</x:f>
      </x:c>
      <x:c r="N163" s="165" t="str">
        <x:f>IF(AND(N$5&gt;=$C163,N$5&lt;=$D163,$A163&lt;&gt;""),"●","")</x:f>
      </x:c>
      <x:c r="O163" s="165" t="str">
        <x:f>IF(AND(O$5&gt;=$C163,O$5&lt;=$D163,$A163&lt;&gt;""),"●","")</x:f>
      </x:c>
      <x:c r="P163" s="165" t="str">
        <x:f>IF(AND(P$5&gt;=$C163,P$5&lt;=$D163,$A163&lt;&gt;""),"●","")</x:f>
      </x:c>
      <x:c r="Q163" s="165" t="str">
        <x:f>IF(AND(Q$5&gt;=$C163,Q$5&lt;=$D163,$A163&lt;&gt;""),"●","")</x:f>
      </x:c>
      <x:c r="R163" s="165" t="str">
        <x:f>IF(AND(R$5&gt;=$C163,R$5&lt;=$D163,$A163&lt;&gt;""),"●","")</x:f>
      </x:c>
      <x:c r="S163" s="165" t="str">
        <x:f>IF(AND(S$5&gt;=$C163,S$5&lt;=$D163,$A163&lt;&gt;""),"●","")</x:f>
      </x:c>
      <x:c r="T163" s="165" t="str">
        <x:f>IF(AND(T$5&gt;=$C163,T$5&lt;=$D163,$A163&lt;&gt;""),"●","")</x:f>
      </x:c>
      <x:c r="U163" s="165" t="str">
        <x:f>IF(AND(U$5&gt;=$C163,U$5&lt;=$D163,$A163&lt;&gt;""),"●","")</x:f>
      </x:c>
      <x:c r="V163" s="165" t="str">
        <x:f>IF(AND(V$5&gt;=$C163,V$5&lt;=$D163,$A163&lt;&gt;""),"●","")</x:f>
      </x:c>
      <x:c r="W163" s="165" t="str">
        <x:f>IF(AND(W$5&gt;=$C163,W$5&lt;=$D163,$A163&lt;&gt;""),"●","")</x:f>
      </x:c>
      <x:c r="X163" s="165" t="str">
        <x:f>IF(AND(X$5&gt;=$C163,X$5&lt;=$D163,$A163&lt;&gt;""),"●","")</x:f>
      </x:c>
      <x:c r="Y163" s="165" t="str">
        <x:f>IF(AND(Y$5&gt;=$C163,Y$5&lt;=$D163,$A163&lt;&gt;""),"●","")</x:f>
      </x:c>
      <x:c r="Z163" s="165" t="str">
        <x:f>IF(AND(Z$5&gt;=$C163,Z$5&lt;=$D163,$A163&lt;&gt;""),"●","")</x:f>
      </x:c>
      <x:c r="AA163" s="165" t="str">
        <x:f>IF(AND(AA$5&gt;=$C163,AA$5&lt;=$D163,$A163&lt;&gt;""),"●","")</x:f>
      </x:c>
      <x:c r="AB163" s="165" t="str">
        <x:f>IF(AND(AB$5&gt;=$C163,AB$5&lt;=$D163,$A163&lt;&gt;""),"●","")</x:f>
      </x:c>
      <x:c r="AC163" s="165" t="str">
        <x:f>IF(AND(AC$5&gt;=$C163,AC$5&lt;=$D163,$A163&lt;&gt;""),"●","")</x:f>
      </x:c>
      <x:c r="AD163" s="165" t="str">
        <x:f>IF(AND(AD$5&gt;=$C163,AD$5&lt;=$D163,$A163&lt;&gt;""),"●","")</x:f>
      </x:c>
      <x:c r="AE163" s="165" t="str">
        <x:f>IF(AND(AE$5&gt;=$C163,AE$5&lt;=$D163,$A163&lt;&gt;""),"●","")</x:f>
      </x:c>
      <x:c r="AF163" s="165" t="str">
        <x:f>IF(AND(AF$5&gt;=$C163,AF$5&lt;=$D163,$A163&lt;&gt;""),"●","")</x:f>
      </x:c>
      <x:c r="AG163" s="165" t="str">
        <x:f>IF(AND(AG$5&gt;=$C163,AG$5&lt;=$D163,$A163&lt;&gt;""),"●","")</x:f>
      </x:c>
      <x:c r="AH163" s="165" t="str">
        <x:f>IF(AND(AH$5&gt;=$C163,AH$5&lt;=$D163,$A163&lt;&gt;""),"●","")</x:f>
      </x:c>
      <x:c r="AI163" s="165" t="str">
        <x:f>IF(AND(AI$5&gt;=$C163,AI$5&lt;=$D163,$A163&lt;&gt;""),"●","")</x:f>
      </x:c>
      <x:c r="AJ163" s="165" t="str">
        <x:f>IF(AND(AJ$5&gt;=$C163,AJ$5&lt;=$D163,$A163&lt;&gt;""),"●","")</x:f>
      </x:c>
      <x:c r="AK163" s="165" t="str">
        <x:f>IF(AND(AK$5&gt;=$C163,AK$5&lt;=$D163,$A163&lt;&gt;""),"●","")</x:f>
      </x:c>
      <x:c r="AL163" s="165" t="str">
        <x:f>IF(AND(AL$5&gt;=$C163,AL$5&lt;=$D163,$A163&lt;&gt;""),"●","")</x:f>
      </x:c>
      <x:c r="AM163" s="165" t="str">
        <x:f>IF(AND(AM$5&gt;=$C163,AM$5&lt;=$D163,$A163&lt;&gt;""),"●","")</x:f>
      </x:c>
      <x:c r="AN163" s="165" t="str">
        <x:f>IF(AND(AN$5&gt;=$C163,AN$5&lt;=$D163,$A163&lt;&gt;""),"●","")</x:f>
      </x:c>
      <x:c r="AO163" s="165" t="str">
        <x:f>IF(AND(AO$5&gt;=$C163,AO$5&lt;=$D163,$A163&lt;&gt;""),"●","")</x:f>
      </x:c>
      <x:c r="AP163" s="165" t="str">
        <x:f>IF(AND(AP$5&gt;=$C163,AP$5&lt;=$D163,$A163&lt;&gt;""),"●","")</x:f>
      </x:c>
      <x:c r="AQ163" s="165" t="str">
        <x:f>IF(AND(AQ$5&gt;=$C163,AQ$5&lt;=$D163,$A163&lt;&gt;""),"●","")</x:f>
      </x:c>
      <x:c r="AR163" s="165" t="str">
        <x:f>IF(AND(AR$5&gt;=$C163,AR$5&lt;=$D163,$A163&lt;&gt;""),"●","")</x:f>
      </x:c>
      <x:c r="AS163" s="165" t="str">
        <x:f>IF(AND(AS$5&gt;=$C163,AS$5&lt;=$D163,$A163&lt;&gt;""),"●","")</x:f>
      </x:c>
      <x:c r="AT163" s="165" t="str">
        <x:f>IF(AND(AT$5&gt;=$C163,AT$5&lt;=$D163,$A163&lt;&gt;""),"●","")</x:f>
      </x:c>
      <x:c r="AU163" s="165" t="str">
        <x:f>IF(AND(AU$5&gt;=$C163,AU$5&lt;=$D163,$A163&lt;&gt;""),"●","")</x:f>
      </x:c>
      <x:c r="AV163" s="165" t="str">
        <x:f>IF(AND(AV$5&gt;=$C163,AV$5&lt;=$D163,$A163&lt;&gt;""),"●","")</x:f>
      </x:c>
      <x:c r="AW163" s="165" t="str">
        <x:f>IF(AND(AW$5&gt;=$C163,AW$5&lt;=$D163,$A163&lt;&gt;""),"●","")</x:f>
      </x:c>
      <x:c r="AX163" s="165" t="str">
        <x:f>IF(AND(AX$5&gt;=$C163,AX$5&lt;=$D163,$A163&lt;&gt;""),"●","")</x:f>
      </x:c>
      <x:c r="AY163" s="165" t="str">
        <x:f>IF(AND(AY$5&gt;=$C163,AY$5&lt;=$D163,$A163&lt;&gt;""),"●","")</x:f>
      </x:c>
      <x:c r="AZ163" s="165" t="str">
        <x:f>IF(AND(AZ$5&gt;=$C163,AZ$5&lt;=$D163,$A163&lt;&gt;""),"●","")</x:f>
      </x:c>
      <x:c r="BA163" s="165" t="str">
        <x:f>IF(AND(BA$5&gt;=$C163,BA$5&lt;=$D163,$A163&lt;&gt;""),"●","")</x:f>
      </x:c>
      <x:c r="BB163" s="165" t="str">
        <x:f>IF(AND(BB$5&gt;=$C163,BB$5&lt;=$D163,$A163&lt;&gt;""),"●","")</x:f>
      </x:c>
      <x:c r="BC163" s="165" t="str">
        <x:f>IF(AND(BC$5&gt;=$C163,BC$5&lt;=$D163,$A163&lt;&gt;""),"●","")</x:f>
      </x:c>
      <x:c r="BD163" s="165" t="str">
        <x:f>IF(AND(BD$5&gt;=$C163,BD$5&lt;=$D163,$A163&lt;&gt;""),"●","")</x:f>
      </x:c>
      <x:c r="BE163" s="165" t="str">
        <x:f>IF(AND(BE$5&gt;=$C163,BE$5&lt;=$D163,$A163&lt;&gt;""),"●","")</x:f>
      </x:c>
      <x:c r="BF163" s="165" t="str">
        <x:f>IF(AND(BF$5&gt;=$C163,BF$5&lt;=$D163,$A163&lt;&gt;""),"●","")</x:f>
      </x:c>
      <x:c r="BG163" s="165" t="str">
        <x:f>IF(AND(BG$5&gt;=$C163,BG$5&lt;=$D163,$A163&lt;&gt;""),"●","")</x:f>
      </x:c>
      <x:c r="BH163" s="165" t="str">
        <x:f>IF(AND(BH$5&gt;=$C163,BH$5&lt;=$D163,$A163&lt;&gt;""),"●","")</x:f>
      </x:c>
      <x:c r="BI163" s="165" t="str">
        <x:f>IF(AND(BI$5&gt;=$C163,BI$5&lt;=$D163,$A163&lt;&gt;""),"●","")</x:f>
      </x:c>
      <x:c r="BJ163" s="165" t="str">
        <x:f>IF(AND(BJ$5&gt;=$C163,BJ$5&lt;=$D163,$A163&lt;&gt;""),"●","")</x:f>
      </x:c>
      <x:c r="BK163" s="165" t="str">
        <x:f>IF(AND(BK$5&gt;=$C163,BK$5&lt;=$D163,$A163&lt;&gt;""),"●","")</x:f>
      </x:c>
      <x:c r="BL163" s="165" t="str">
        <x:f>IF(AND(BL$5&gt;=$C163,BL$5&lt;=$D163,$A163&lt;&gt;""),"●","")</x:f>
      </x:c>
      <x:c r="BM163" s="165" t="str">
        <x:f>IF(AND(BM$5&gt;=$C163,BM$5&lt;=$D163,$A163&lt;&gt;""),"●","")</x:f>
      </x:c>
      <x:c r="BN163" s="165" t="str">
        <x:f>IF(AND(BN$5&gt;=$C163,BN$5&lt;=$D163,$A163&lt;&gt;""),"●","")</x:f>
      </x:c>
      <x:c r="BO163" s="165" t="str">
        <x:f>IF(AND(BO$5&gt;=$C163,BO$5&lt;=$D163,$A163&lt;&gt;""),"●","")</x:f>
      </x:c>
      <x:c r="BP163" s="165" t="str">
        <x:f>IF(AND(BP$5&gt;=$C163,BP$5&lt;=$D163,$A163&lt;&gt;""),"●","")</x:f>
      </x:c>
      <x:c r="BQ163" s="165" t="str">
        <x:f>IF(AND(BQ$5&gt;=$C163,BQ$5&lt;=$D163,$A163&lt;&gt;""),"●","")</x:f>
      </x:c>
      <x:c r="BR163" s="165" t="str">
        <x:f>IF(AND(BR$5&gt;=$C163,BR$5&lt;=$D163,$A163&lt;&gt;""),"●","")</x:f>
      </x:c>
      <x:c r="BS163" s="165" t="str">
        <x:f>IF(AND(BS$5&gt;=$C163,BS$5&lt;=$D163,$A163&lt;&gt;""),"●","")</x:f>
      </x:c>
      <x:c r="BT163" s="165" t="str">
        <x:f>IF(AND(BT$5&gt;=$C163,BT$5&lt;=$D163,$A163&lt;&gt;""),"●","")</x:f>
      </x:c>
      <x:c r="BU163" s="165" t="str">
        <x:f>IF(AND(BU$5&gt;=$C163,BU$5&lt;=$D163,$A163&lt;&gt;""),"●","")</x:f>
      </x:c>
      <x:c r="BV163" s="165" t="str">
        <x:f>IF(AND(BV$5&gt;=$C163,BV$5&lt;=$D163,$A163&lt;&gt;""),"●","")</x:f>
      </x:c>
      <x:c r="BW163" s="165" t="str">
        <x:f>IF(AND(BW$5&gt;=$C163,BW$5&lt;=$D163,$A163&lt;&gt;""),"●","")</x:f>
      </x:c>
    </x:row>
    <x:row r="164">
      <x:c r="A164" s="159" t="str">
        <x:f>IF('รายการสัญญา'!A164="","",'รายการสัญญา'!A164)</x:f>
      </x:c>
      <x:c r="B164" s="159" t="str">
        <x:f>IF('รายการสัญญา'!A164="","",'รายการสัญญา'!C164)</x:f>
      </x:c>
      <x:c r="C164" s="162" t="str">
        <x:f>IF('รายการสัญญา'!A164="","",'รายการสัญญา'!E164)</x:f>
      </x:c>
      <x:c r="D164" s="162" t="str">
        <x:f>IF('รายการสัญญา'!A164="","",'รายการสัญญา'!G164)</x:f>
      </x:c>
      <x:c r="E164" s="159" t="str">
        <x:f>IF('รายการสัญญา'!A164="","",'รายการสัญญา'!K164)</x:f>
      </x:c>
      <x:c r="F164" s="165" t="str">
        <x:f>IF(AND(F$5&gt;=$C164,F$5&lt;=$D164,$A164&lt;&gt;""),"●","")</x:f>
      </x:c>
      <x:c r="G164" s="165" t="str">
        <x:f>IF(AND(G$5&gt;=$C164,G$5&lt;=$D164,$A164&lt;&gt;""),"●","")</x:f>
      </x:c>
      <x:c r="H164" s="165" t="str">
        <x:f>IF(AND(H$5&gt;=$C164,H$5&lt;=$D164,$A164&lt;&gt;""),"●","")</x:f>
      </x:c>
      <x:c r="I164" s="165" t="str">
        <x:f>IF(AND(I$5&gt;=$C164,I$5&lt;=$D164,$A164&lt;&gt;""),"●","")</x:f>
      </x:c>
      <x:c r="J164" s="165" t="str">
        <x:f>IF(AND(J$5&gt;=$C164,J$5&lt;=$D164,$A164&lt;&gt;""),"●","")</x:f>
      </x:c>
      <x:c r="K164" s="165" t="str">
        <x:f>IF(AND(K$5&gt;=$C164,K$5&lt;=$D164,$A164&lt;&gt;""),"●","")</x:f>
      </x:c>
      <x:c r="L164" s="165" t="str">
        <x:f>IF(AND(L$5&gt;=$C164,L$5&lt;=$D164,$A164&lt;&gt;""),"●","")</x:f>
      </x:c>
      <x:c r="M164" s="165" t="str">
        <x:f>IF(AND(M$5&gt;=$C164,M$5&lt;=$D164,$A164&lt;&gt;""),"●","")</x:f>
      </x:c>
      <x:c r="N164" s="165" t="str">
        <x:f>IF(AND(N$5&gt;=$C164,N$5&lt;=$D164,$A164&lt;&gt;""),"●","")</x:f>
      </x:c>
      <x:c r="O164" s="165" t="str">
        <x:f>IF(AND(O$5&gt;=$C164,O$5&lt;=$D164,$A164&lt;&gt;""),"●","")</x:f>
      </x:c>
      <x:c r="P164" s="165" t="str">
        <x:f>IF(AND(P$5&gt;=$C164,P$5&lt;=$D164,$A164&lt;&gt;""),"●","")</x:f>
      </x:c>
      <x:c r="Q164" s="165" t="str">
        <x:f>IF(AND(Q$5&gt;=$C164,Q$5&lt;=$D164,$A164&lt;&gt;""),"●","")</x:f>
      </x:c>
      <x:c r="R164" s="165" t="str">
        <x:f>IF(AND(R$5&gt;=$C164,R$5&lt;=$D164,$A164&lt;&gt;""),"●","")</x:f>
      </x:c>
      <x:c r="S164" s="165" t="str">
        <x:f>IF(AND(S$5&gt;=$C164,S$5&lt;=$D164,$A164&lt;&gt;""),"●","")</x:f>
      </x:c>
      <x:c r="T164" s="165" t="str">
        <x:f>IF(AND(T$5&gt;=$C164,T$5&lt;=$D164,$A164&lt;&gt;""),"●","")</x:f>
      </x:c>
      <x:c r="U164" s="165" t="str">
        <x:f>IF(AND(U$5&gt;=$C164,U$5&lt;=$D164,$A164&lt;&gt;""),"●","")</x:f>
      </x:c>
      <x:c r="V164" s="165" t="str">
        <x:f>IF(AND(V$5&gt;=$C164,V$5&lt;=$D164,$A164&lt;&gt;""),"●","")</x:f>
      </x:c>
      <x:c r="W164" s="165" t="str">
        <x:f>IF(AND(W$5&gt;=$C164,W$5&lt;=$D164,$A164&lt;&gt;""),"●","")</x:f>
      </x:c>
      <x:c r="X164" s="165" t="str">
        <x:f>IF(AND(X$5&gt;=$C164,X$5&lt;=$D164,$A164&lt;&gt;""),"●","")</x:f>
      </x:c>
      <x:c r="Y164" s="165" t="str">
        <x:f>IF(AND(Y$5&gt;=$C164,Y$5&lt;=$D164,$A164&lt;&gt;""),"●","")</x:f>
      </x:c>
      <x:c r="Z164" s="165" t="str">
        <x:f>IF(AND(Z$5&gt;=$C164,Z$5&lt;=$D164,$A164&lt;&gt;""),"●","")</x:f>
      </x:c>
      <x:c r="AA164" s="165" t="str">
        <x:f>IF(AND(AA$5&gt;=$C164,AA$5&lt;=$D164,$A164&lt;&gt;""),"●","")</x:f>
      </x:c>
      <x:c r="AB164" s="165" t="str">
        <x:f>IF(AND(AB$5&gt;=$C164,AB$5&lt;=$D164,$A164&lt;&gt;""),"●","")</x:f>
      </x:c>
      <x:c r="AC164" s="165" t="str">
        <x:f>IF(AND(AC$5&gt;=$C164,AC$5&lt;=$D164,$A164&lt;&gt;""),"●","")</x:f>
      </x:c>
      <x:c r="AD164" s="165" t="str">
        <x:f>IF(AND(AD$5&gt;=$C164,AD$5&lt;=$D164,$A164&lt;&gt;""),"●","")</x:f>
      </x:c>
      <x:c r="AE164" s="165" t="str">
        <x:f>IF(AND(AE$5&gt;=$C164,AE$5&lt;=$D164,$A164&lt;&gt;""),"●","")</x:f>
      </x:c>
      <x:c r="AF164" s="165" t="str">
        <x:f>IF(AND(AF$5&gt;=$C164,AF$5&lt;=$D164,$A164&lt;&gt;""),"●","")</x:f>
      </x:c>
      <x:c r="AG164" s="165" t="str">
        <x:f>IF(AND(AG$5&gt;=$C164,AG$5&lt;=$D164,$A164&lt;&gt;""),"●","")</x:f>
      </x:c>
      <x:c r="AH164" s="165" t="str">
        <x:f>IF(AND(AH$5&gt;=$C164,AH$5&lt;=$D164,$A164&lt;&gt;""),"●","")</x:f>
      </x:c>
      <x:c r="AI164" s="165" t="str">
        <x:f>IF(AND(AI$5&gt;=$C164,AI$5&lt;=$D164,$A164&lt;&gt;""),"●","")</x:f>
      </x:c>
      <x:c r="AJ164" s="165" t="str">
        <x:f>IF(AND(AJ$5&gt;=$C164,AJ$5&lt;=$D164,$A164&lt;&gt;""),"●","")</x:f>
      </x:c>
      <x:c r="AK164" s="165" t="str">
        <x:f>IF(AND(AK$5&gt;=$C164,AK$5&lt;=$D164,$A164&lt;&gt;""),"●","")</x:f>
      </x:c>
      <x:c r="AL164" s="165" t="str">
        <x:f>IF(AND(AL$5&gt;=$C164,AL$5&lt;=$D164,$A164&lt;&gt;""),"●","")</x:f>
      </x:c>
      <x:c r="AM164" s="165" t="str">
        <x:f>IF(AND(AM$5&gt;=$C164,AM$5&lt;=$D164,$A164&lt;&gt;""),"●","")</x:f>
      </x:c>
      <x:c r="AN164" s="165" t="str">
        <x:f>IF(AND(AN$5&gt;=$C164,AN$5&lt;=$D164,$A164&lt;&gt;""),"●","")</x:f>
      </x:c>
      <x:c r="AO164" s="165" t="str">
        <x:f>IF(AND(AO$5&gt;=$C164,AO$5&lt;=$D164,$A164&lt;&gt;""),"●","")</x:f>
      </x:c>
      <x:c r="AP164" s="165" t="str">
        <x:f>IF(AND(AP$5&gt;=$C164,AP$5&lt;=$D164,$A164&lt;&gt;""),"●","")</x:f>
      </x:c>
      <x:c r="AQ164" s="165" t="str">
        <x:f>IF(AND(AQ$5&gt;=$C164,AQ$5&lt;=$D164,$A164&lt;&gt;""),"●","")</x:f>
      </x:c>
      <x:c r="AR164" s="165" t="str">
        <x:f>IF(AND(AR$5&gt;=$C164,AR$5&lt;=$D164,$A164&lt;&gt;""),"●","")</x:f>
      </x:c>
      <x:c r="AS164" s="165" t="str">
        <x:f>IF(AND(AS$5&gt;=$C164,AS$5&lt;=$D164,$A164&lt;&gt;""),"●","")</x:f>
      </x:c>
      <x:c r="AT164" s="165" t="str">
        <x:f>IF(AND(AT$5&gt;=$C164,AT$5&lt;=$D164,$A164&lt;&gt;""),"●","")</x:f>
      </x:c>
      <x:c r="AU164" s="165" t="str">
        <x:f>IF(AND(AU$5&gt;=$C164,AU$5&lt;=$D164,$A164&lt;&gt;""),"●","")</x:f>
      </x:c>
      <x:c r="AV164" s="165" t="str">
        <x:f>IF(AND(AV$5&gt;=$C164,AV$5&lt;=$D164,$A164&lt;&gt;""),"●","")</x:f>
      </x:c>
      <x:c r="AW164" s="165" t="str">
        <x:f>IF(AND(AW$5&gt;=$C164,AW$5&lt;=$D164,$A164&lt;&gt;""),"●","")</x:f>
      </x:c>
      <x:c r="AX164" s="165" t="str">
        <x:f>IF(AND(AX$5&gt;=$C164,AX$5&lt;=$D164,$A164&lt;&gt;""),"●","")</x:f>
      </x:c>
      <x:c r="AY164" s="165" t="str">
        <x:f>IF(AND(AY$5&gt;=$C164,AY$5&lt;=$D164,$A164&lt;&gt;""),"●","")</x:f>
      </x:c>
      <x:c r="AZ164" s="165" t="str">
        <x:f>IF(AND(AZ$5&gt;=$C164,AZ$5&lt;=$D164,$A164&lt;&gt;""),"●","")</x:f>
      </x:c>
      <x:c r="BA164" s="165" t="str">
        <x:f>IF(AND(BA$5&gt;=$C164,BA$5&lt;=$D164,$A164&lt;&gt;""),"●","")</x:f>
      </x:c>
      <x:c r="BB164" s="165" t="str">
        <x:f>IF(AND(BB$5&gt;=$C164,BB$5&lt;=$D164,$A164&lt;&gt;""),"●","")</x:f>
      </x:c>
      <x:c r="BC164" s="165" t="str">
        <x:f>IF(AND(BC$5&gt;=$C164,BC$5&lt;=$D164,$A164&lt;&gt;""),"●","")</x:f>
      </x:c>
      <x:c r="BD164" s="165" t="str">
        <x:f>IF(AND(BD$5&gt;=$C164,BD$5&lt;=$D164,$A164&lt;&gt;""),"●","")</x:f>
      </x:c>
      <x:c r="BE164" s="165" t="str">
        <x:f>IF(AND(BE$5&gt;=$C164,BE$5&lt;=$D164,$A164&lt;&gt;""),"●","")</x:f>
      </x:c>
      <x:c r="BF164" s="165" t="str">
        <x:f>IF(AND(BF$5&gt;=$C164,BF$5&lt;=$D164,$A164&lt;&gt;""),"●","")</x:f>
      </x:c>
      <x:c r="BG164" s="165" t="str">
        <x:f>IF(AND(BG$5&gt;=$C164,BG$5&lt;=$D164,$A164&lt;&gt;""),"●","")</x:f>
      </x:c>
      <x:c r="BH164" s="165" t="str">
        <x:f>IF(AND(BH$5&gt;=$C164,BH$5&lt;=$D164,$A164&lt;&gt;""),"●","")</x:f>
      </x:c>
      <x:c r="BI164" s="165" t="str">
        <x:f>IF(AND(BI$5&gt;=$C164,BI$5&lt;=$D164,$A164&lt;&gt;""),"●","")</x:f>
      </x:c>
      <x:c r="BJ164" s="165" t="str">
        <x:f>IF(AND(BJ$5&gt;=$C164,BJ$5&lt;=$D164,$A164&lt;&gt;""),"●","")</x:f>
      </x:c>
      <x:c r="BK164" s="165" t="str">
        <x:f>IF(AND(BK$5&gt;=$C164,BK$5&lt;=$D164,$A164&lt;&gt;""),"●","")</x:f>
      </x:c>
      <x:c r="BL164" s="165" t="str">
        <x:f>IF(AND(BL$5&gt;=$C164,BL$5&lt;=$D164,$A164&lt;&gt;""),"●","")</x:f>
      </x:c>
      <x:c r="BM164" s="165" t="str">
        <x:f>IF(AND(BM$5&gt;=$C164,BM$5&lt;=$D164,$A164&lt;&gt;""),"●","")</x:f>
      </x:c>
      <x:c r="BN164" s="165" t="str">
        <x:f>IF(AND(BN$5&gt;=$C164,BN$5&lt;=$D164,$A164&lt;&gt;""),"●","")</x:f>
      </x:c>
      <x:c r="BO164" s="165" t="str">
        <x:f>IF(AND(BO$5&gt;=$C164,BO$5&lt;=$D164,$A164&lt;&gt;""),"●","")</x:f>
      </x:c>
      <x:c r="BP164" s="165" t="str">
        <x:f>IF(AND(BP$5&gt;=$C164,BP$5&lt;=$D164,$A164&lt;&gt;""),"●","")</x:f>
      </x:c>
      <x:c r="BQ164" s="165" t="str">
        <x:f>IF(AND(BQ$5&gt;=$C164,BQ$5&lt;=$D164,$A164&lt;&gt;""),"●","")</x:f>
      </x:c>
      <x:c r="BR164" s="165" t="str">
        <x:f>IF(AND(BR$5&gt;=$C164,BR$5&lt;=$D164,$A164&lt;&gt;""),"●","")</x:f>
      </x:c>
      <x:c r="BS164" s="165" t="str">
        <x:f>IF(AND(BS$5&gt;=$C164,BS$5&lt;=$D164,$A164&lt;&gt;""),"●","")</x:f>
      </x:c>
      <x:c r="BT164" s="165" t="str">
        <x:f>IF(AND(BT$5&gt;=$C164,BT$5&lt;=$D164,$A164&lt;&gt;""),"●","")</x:f>
      </x:c>
      <x:c r="BU164" s="165" t="str">
        <x:f>IF(AND(BU$5&gt;=$C164,BU$5&lt;=$D164,$A164&lt;&gt;""),"●","")</x:f>
      </x:c>
      <x:c r="BV164" s="165" t="str">
        <x:f>IF(AND(BV$5&gt;=$C164,BV$5&lt;=$D164,$A164&lt;&gt;""),"●","")</x:f>
      </x:c>
      <x:c r="BW164" s="165" t="str">
        <x:f>IF(AND(BW$5&gt;=$C164,BW$5&lt;=$D164,$A164&lt;&gt;""),"●","")</x:f>
      </x:c>
    </x:row>
    <x:row r="165">
      <x:c r="A165" s="159" t="str">
        <x:f>IF('รายการสัญญา'!A165="","",'รายการสัญญา'!A165)</x:f>
      </x:c>
      <x:c r="B165" s="159" t="str">
        <x:f>IF('รายการสัญญา'!A165="","",'รายการสัญญา'!C165)</x:f>
      </x:c>
      <x:c r="C165" s="162" t="str">
        <x:f>IF('รายการสัญญา'!A165="","",'รายการสัญญา'!E165)</x:f>
      </x:c>
      <x:c r="D165" s="162" t="str">
        <x:f>IF('รายการสัญญา'!A165="","",'รายการสัญญา'!G165)</x:f>
      </x:c>
      <x:c r="E165" s="159" t="str">
        <x:f>IF('รายการสัญญา'!A165="","",'รายการสัญญา'!K165)</x:f>
      </x:c>
      <x:c r="F165" s="165" t="str">
        <x:f>IF(AND(F$5&gt;=$C165,F$5&lt;=$D165,$A165&lt;&gt;""),"●","")</x:f>
      </x:c>
      <x:c r="G165" s="165" t="str">
        <x:f>IF(AND(G$5&gt;=$C165,G$5&lt;=$D165,$A165&lt;&gt;""),"●","")</x:f>
      </x:c>
      <x:c r="H165" s="165" t="str">
        <x:f>IF(AND(H$5&gt;=$C165,H$5&lt;=$D165,$A165&lt;&gt;""),"●","")</x:f>
      </x:c>
      <x:c r="I165" s="165" t="str">
        <x:f>IF(AND(I$5&gt;=$C165,I$5&lt;=$D165,$A165&lt;&gt;""),"●","")</x:f>
      </x:c>
      <x:c r="J165" s="165" t="str">
        <x:f>IF(AND(J$5&gt;=$C165,J$5&lt;=$D165,$A165&lt;&gt;""),"●","")</x:f>
      </x:c>
      <x:c r="K165" s="165" t="str">
        <x:f>IF(AND(K$5&gt;=$C165,K$5&lt;=$D165,$A165&lt;&gt;""),"●","")</x:f>
      </x:c>
      <x:c r="L165" s="165" t="str">
        <x:f>IF(AND(L$5&gt;=$C165,L$5&lt;=$D165,$A165&lt;&gt;""),"●","")</x:f>
      </x:c>
      <x:c r="M165" s="165" t="str">
        <x:f>IF(AND(M$5&gt;=$C165,M$5&lt;=$D165,$A165&lt;&gt;""),"●","")</x:f>
      </x:c>
      <x:c r="N165" s="165" t="str">
        <x:f>IF(AND(N$5&gt;=$C165,N$5&lt;=$D165,$A165&lt;&gt;""),"●","")</x:f>
      </x:c>
      <x:c r="O165" s="165" t="str">
        <x:f>IF(AND(O$5&gt;=$C165,O$5&lt;=$D165,$A165&lt;&gt;""),"●","")</x:f>
      </x:c>
      <x:c r="P165" s="165" t="str">
        <x:f>IF(AND(P$5&gt;=$C165,P$5&lt;=$D165,$A165&lt;&gt;""),"●","")</x:f>
      </x:c>
      <x:c r="Q165" s="165" t="str">
        <x:f>IF(AND(Q$5&gt;=$C165,Q$5&lt;=$D165,$A165&lt;&gt;""),"●","")</x:f>
      </x:c>
      <x:c r="R165" s="165" t="str">
        <x:f>IF(AND(R$5&gt;=$C165,R$5&lt;=$D165,$A165&lt;&gt;""),"●","")</x:f>
      </x:c>
      <x:c r="S165" s="165" t="str">
        <x:f>IF(AND(S$5&gt;=$C165,S$5&lt;=$D165,$A165&lt;&gt;""),"●","")</x:f>
      </x:c>
      <x:c r="T165" s="165" t="str">
        <x:f>IF(AND(T$5&gt;=$C165,T$5&lt;=$D165,$A165&lt;&gt;""),"●","")</x:f>
      </x:c>
      <x:c r="U165" s="165" t="str">
        <x:f>IF(AND(U$5&gt;=$C165,U$5&lt;=$D165,$A165&lt;&gt;""),"●","")</x:f>
      </x:c>
      <x:c r="V165" s="165" t="str">
        <x:f>IF(AND(V$5&gt;=$C165,V$5&lt;=$D165,$A165&lt;&gt;""),"●","")</x:f>
      </x:c>
      <x:c r="W165" s="165" t="str">
        <x:f>IF(AND(W$5&gt;=$C165,W$5&lt;=$D165,$A165&lt;&gt;""),"●","")</x:f>
      </x:c>
      <x:c r="X165" s="165" t="str">
        <x:f>IF(AND(X$5&gt;=$C165,X$5&lt;=$D165,$A165&lt;&gt;""),"●","")</x:f>
      </x:c>
      <x:c r="Y165" s="165" t="str">
        <x:f>IF(AND(Y$5&gt;=$C165,Y$5&lt;=$D165,$A165&lt;&gt;""),"●","")</x:f>
      </x:c>
      <x:c r="Z165" s="165" t="str">
        <x:f>IF(AND(Z$5&gt;=$C165,Z$5&lt;=$D165,$A165&lt;&gt;""),"●","")</x:f>
      </x:c>
      <x:c r="AA165" s="165" t="str">
        <x:f>IF(AND(AA$5&gt;=$C165,AA$5&lt;=$D165,$A165&lt;&gt;""),"●","")</x:f>
      </x:c>
      <x:c r="AB165" s="165" t="str">
        <x:f>IF(AND(AB$5&gt;=$C165,AB$5&lt;=$D165,$A165&lt;&gt;""),"●","")</x:f>
      </x:c>
      <x:c r="AC165" s="165" t="str">
        <x:f>IF(AND(AC$5&gt;=$C165,AC$5&lt;=$D165,$A165&lt;&gt;""),"●","")</x:f>
      </x:c>
      <x:c r="AD165" s="165" t="str">
        <x:f>IF(AND(AD$5&gt;=$C165,AD$5&lt;=$D165,$A165&lt;&gt;""),"●","")</x:f>
      </x:c>
      <x:c r="AE165" s="165" t="str">
        <x:f>IF(AND(AE$5&gt;=$C165,AE$5&lt;=$D165,$A165&lt;&gt;""),"●","")</x:f>
      </x:c>
      <x:c r="AF165" s="165" t="str">
        <x:f>IF(AND(AF$5&gt;=$C165,AF$5&lt;=$D165,$A165&lt;&gt;""),"●","")</x:f>
      </x:c>
      <x:c r="AG165" s="165" t="str">
        <x:f>IF(AND(AG$5&gt;=$C165,AG$5&lt;=$D165,$A165&lt;&gt;""),"●","")</x:f>
      </x:c>
      <x:c r="AH165" s="165" t="str">
        <x:f>IF(AND(AH$5&gt;=$C165,AH$5&lt;=$D165,$A165&lt;&gt;""),"●","")</x:f>
      </x:c>
      <x:c r="AI165" s="165" t="str">
        <x:f>IF(AND(AI$5&gt;=$C165,AI$5&lt;=$D165,$A165&lt;&gt;""),"●","")</x:f>
      </x:c>
      <x:c r="AJ165" s="165" t="str">
        <x:f>IF(AND(AJ$5&gt;=$C165,AJ$5&lt;=$D165,$A165&lt;&gt;""),"●","")</x:f>
      </x:c>
      <x:c r="AK165" s="165" t="str">
        <x:f>IF(AND(AK$5&gt;=$C165,AK$5&lt;=$D165,$A165&lt;&gt;""),"●","")</x:f>
      </x:c>
      <x:c r="AL165" s="165" t="str">
        <x:f>IF(AND(AL$5&gt;=$C165,AL$5&lt;=$D165,$A165&lt;&gt;""),"●","")</x:f>
      </x:c>
      <x:c r="AM165" s="165" t="str">
        <x:f>IF(AND(AM$5&gt;=$C165,AM$5&lt;=$D165,$A165&lt;&gt;""),"●","")</x:f>
      </x:c>
      <x:c r="AN165" s="165" t="str">
        <x:f>IF(AND(AN$5&gt;=$C165,AN$5&lt;=$D165,$A165&lt;&gt;""),"●","")</x:f>
      </x:c>
      <x:c r="AO165" s="165" t="str">
        <x:f>IF(AND(AO$5&gt;=$C165,AO$5&lt;=$D165,$A165&lt;&gt;""),"●","")</x:f>
      </x:c>
      <x:c r="AP165" s="165" t="str">
        <x:f>IF(AND(AP$5&gt;=$C165,AP$5&lt;=$D165,$A165&lt;&gt;""),"●","")</x:f>
      </x:c>
      <x:c r="AQ165" s="165" t="str">
        <x:f>IF(AND(AQ$5&gt;=$C165,AQ$5&lt;=$D165,$A165&lt;&gt;""),"●","")</x:f>
      </x:c>
      <x:c r="AR165" s="165" t="str">
        <x:f>IF(AND(AR$5&gt;=$C165,AR$5&lt;=$D165,$A165&lt;&gt;""),"●","")</x:f>
      </x:c>
      <x:c r="AS165" s="165" t="str">
        <x:f>IF(AND(AS$5&gt;=$C165,AS$5&lt;=$D165,$A165&lt;&gt;""),"●","")</x:f>
      </x:c>
      <x:c r="AT165" s="165" t="str">
        <x:f>IF(AND(AT$5&gt;=$C165,AT$5&lt;=$D165,$A165&lt;&gt;""),"●","")</x:f>
      </x:c>
      <x:c r="AU165" s="165" t="str">
        <x:f>IF(AND(AU$5&gt;=$C165,AU$5&lt;=$D165,$A165&lt;&gt;""),"●","")</x:f>
      </x:c>
      <x:c r="AV165" s="165" t="str">
        <x:f>IF(AND(AV$5&gt;=$C165,AV$5&lt;=$D165,$A165&lt;&gt;""),"●","")</x:f>
      </x:c>
      <x:c r="AW165" s="165" t="str">
        <x:f>IF(AND(AW$5&gt;=$C165,AW$5&lt;=$D165,$A165&lt;&gt;""),"●","")</x:f>
      </x:c>
      <x:c r="AX165" s="165" t="str">
        <x:f>IF(AND(AX$5&gt;=$C165,AX$5&lt;=$D165,$A165&lt;&gt;""),"●","")</x:f>
      </x:c>
      <x:c r="AY165" s="165" t="str">
        <x:f>IF(AND(AY$5&gt;=$C165,AY$5&lt;=$D165,$A165&lt;&gt;""),"●","")</x:f>
      </x:c>
      <x:c r="AZ165" s="165" t="str">
        <x:f>IF(AND(AZ$5&gt;=$C165,AZ$5&lt;=$D165,$A165&lt;&gt;""),"●","")</x:f>
      </x:c>
      <x:c r="BA165" s="165" t="str">
        <x:f>IF(AND(BA$5&gt;=$C165,BA$5&lt;=$D165,$A165&lt;&gt;""),"●","")</x:f>
      </x:c>
      <x:c r="BB165" s="165" t="str">
        <x:f>IF(AND(BB$5&gt;=$C165,BB$5&lt;=$D165,$A165&lt;&gt;""),"●","")</x:f>
      </x:c>
      <x:c r="BC165" s="165" t="str">
        <x:f>IF(AND(BC$5&gt;=$C165,BC$5&lt;=$D165,$A165&lt;&gt;""),"●","")</x:f>
      </x:c>
      <x:c r="BD165" s="165" t="str">
        <x:f>IF(AND(BD$5&gt;=$C165,BD$5&lt;=$D165,$A165&lt;&gt;""),"●","")</x:f>
      </x:c>
      <x:c r="BE165" s="165" t="str">
        <x:f>IF(AND(BE$5&gt;=$C165,BE$5&lt;=$D165,$A165&lt;&gt;""),"●","")</x:f>
      </x:c>
      <x:c r="BF165" s="165" t="str">
        <x:f>IF(AND(BF$5&gt;=$C165,BF$5&lt;=$D165,$A165&lt;&gt;""),"●","")</x:f>
      </x:c>
      <x:c r="BG165" s="165" t="str">
        <x:f>IF(AND(BG$5&gt;=$C165,BG$5&lt;=$D165,$A165&lt;&gt;""),"●","")</x:f>
      </x:c>
      <x:c r="BH165" s="165" t="str">
        <x:f>IF(AND(BH$5&gt;=$C165,BH$5&lt;=$D165,$A165&lt;&gt;""),"●","")</x:f>
      </x:c>
      <x:c r="BI165" s="165" t="str">
        <x:f>IF(AND(BI$5&gt;=$C165,BI$5&lt;=$D165,$A165&lt;&gt;""),"●","")</x:f>
      </x:c>
      <x:c r="BJ165" s="165" t="str">
        <x:f>IF(AND(BJ$5&gt;=$C165,BJ$5&lt;=$D165,$A165&lt;&gt;""),"●","")</x:f>
      </x:c>
      <x:c r="BK165" s="165" t="str">
        <x:f>IF(AND(BK$5&gt;=$C165,BK$5&lt;=$D165,$A165&lt;&gt;""),"●","")</x:f>
      </x:c>
      <x:c r="BL165" s="165" t="str">
        <x:f>IF(AND(BL$5&gt;=$C165,BL$5&lt;=$D165,$A165&lt;&gt;""),"●","")</x:f>
      </x:c>
      <x:c r="BM165" s="165" t="str">
        <x:f>IF(AND(BM$5&gt;=$C165,BM$5&lt;=$D165,$A165&lt;&gt;""),"●","")</x:f>
      </x:c>
      <x:c r="BN165" s="165" t="str">
        <x:f>IF(AND(BN$5&gt;=$C165,BN$5&lt;=$D165,$A165&lt;&gt;""),"●","")</x:f>
      </x:c>
      <x:c r="BO165" s="165" t="str">
        <x:f>IF(AND(BO$5&gt;=$C165,BO$5&lt;=$D165,$A165&lt;&gt;""),"●","")</x:f>
      </x:c>
      <x:c r="BP165" s="165" t="str">
        <x:f>IF(AND(BP$5&gt;=$C165,BP$5&lt;=$D165,$A165&lt;&gt;""),"●","")</x:f>
      </x:c>
      <x:c r="BQ165" s="165" t="str">
        <x:f>IF(AND(BQ$5&gt;=$C165,BQ$5&lt;=$D165,$A165&lt;&gt;""),"●","")</x:f>
      </x:c>
      <x:c r="BR165" s="165" t="str">
        <x:f>IF(AND(BR$5&gt;=$C165,BR$5&lt;=$D165,$A165&lt;&gt;""),"●","")</x:f>
      </x:c>
      <x:c r="BS165" s="165" t="str">
        <x:f>IF(AND(BS$5&gt;=$C165,BS$5&lt;=$D165,$A165&lt;&gt;""),"●","")</x:f>
      </x:c>
      <x:c r="BT165" s="165" t="str">
        <x:f>IF(AND(BT$5&gt;=$C165,BT$5&lt;=$D165,$A165&lt;&gt;""),"●","")</x:f>
      </x:c>
      <x:c r="BU165" s="165" t="str">
        <x:f>IF(AND(BU$5&gt;=$C165,BU$5&lt;=$D165,$A165&lt;&gt;""),"●","")</x:f>
      </x:c>
      <x:c r="BV165" s="165" t="str">
        <x:f>IF(AND(BV$5&gt;=$C165,BV$5&lt;=$D165,$A165&lt;&gt;""),"●","")</x:f>
      </x:c>
      <x:c r="BW165" s="165" t="str">
        <x:f>IF(AND(BW$5&gt;=$C165,BW$5&lt;=$D165,$A165&lt;&gt;""),"●","")</x:f>
      </x:c>
    </x:row>
    <x:row r="166">
      <x:c r="A166" s="159" t="str">
        <x:f>IF('รายการสัญญา'!A166="","",'รายการสัญญา'!A166)</x:f>
      </x:c>
      <x:c r="B166" s="159" t="str">
        <x:f>IF('รายการสัญญา'!A166="","",'รายการสัญญา'!C166)</x:f>
      </x:c>
      <x:c r="C166" s="162" t="str">
        <x:f>IF('รายการสัญญา'!A166="","",'รายการสัญญา'!E166)</x:f>
      </x:c>
      <x:c r="D166" s="162" t="str">
        <x:f>IF('รายการสัญญา'!A166="","",'รายการสัญญา'!G166)</x:f>
      </x:c>
      <x:c r="E166" s="159" t="str">
        <x:f>IF('รายการสัญญา'!A166="","",'รายการสัญญา'!K166)</x:f>
      </x:c>
      <x:c r="F166" s="165" t="str">
        <x:f>IF(AND(F$5&gt;=$C166,F$5&lt;=$D166,$A166&lt;&gt;""),"●","")</x:f>
      </x:c>
      <x:c r="G166" s="165" t="str">
        <x:f>IF(AND(G$5&gt;=$C166,G$5&lt;=$D166,$A166&lt;&gt;""),"●","")</x:f>
      </x:c>
      <x:c r="H166" s="165" t="str">
        <x:f>IF(AND(H$5&gt;=$C166,H$5&lt;=$D166,$A166&lt;&gt;""),"●","")</x:f>
      </x:c>
      <x:c r="I166" s="165" t="str">
        <x:f>IF(AND(I$5&gt;=$C166,I$5&lt;=$D166,$A166&lt;&gt;""),"●","")</x:f>
      </x:c>
      <x:c r="J166" s="165" t="str">
        <x:f>IF(AND(J$5&gt;=$C166,J$5&lt;=$D166,$A166&lt;&gt;""),"●","")</x:f>
      </x:c>
      <x:c r="K166" s="165" t="str">
        <x:f>IF(AND(K$5&gt;=$C166,K$5&lt;=$D166,$A166&lt;&gt;""),"●","")</x:f>
      </x:c>
      <x:c r="L166" s="165" t="str">
        <x:f>IF(AND(L$5&gt;=$C166,L$5&lt;=$D166,$A166&lt;&gt;""),"●","")</x:f>
      </x:c>
      <x:c r="M166" s="165" t="str">
        <x:f>IF(AND(M$5&gt;=$C166,M$5&lt;=$D166,$A166&lt;&gt;""),"●","")</x:f>
      </x:c>
      <x:c r="N166" s="165" t="str">
        <x:f>IF(AND(N$5&gt;=$C166,N$5&lt;=$D166,$A166&lt;&gt;""),"●","")</x:f>
      </x:c>
      <x:c r="O166" s="165" t="str">
        <x:f>IF(AND(O$5&gt;=$C166,O$5&lt;=$D166,$A166&lt;&gt;""),"●","")</x:f>
      </x:c>
      <x:c r="P166" s="165" t="str">
        <x:f>IF(AND(P$5&gt;=$C166,P$5&lt;=$D166,$A166&lt;&gt;""),"●","")</x:f>
      </x:c>
      <x:c r="Q166" s="165" t="str">
        <x:f>IF(AND(Q$5&gt;=$C166,Q$5&lt;=$D166,$A166&lt;&gt;""),"●","")</x:f>
      </x:c>
      <x:c r="R166" s="165" t="str">
        <x:f>IF(AND(R$5&gt;=$C166,R$5&lt;=$D166,$A166&lt;&gt;""),"●","")</x:f>
      </x:c>
      <x:c r="S166" s="165" t="str">
        <x:f>IF(AND(S$5&gt;=$C166,S$5&lt;=$D166,$A166&lt;&gt;""),"●","")</x:f>
      </x:c>
      <x:c r="T166" s="165" t="str">
        <x:f>IF(AND(T$5&gt;=$C166,T$5&lt;=$D166,$A166&lt;&gt;""),"●","")</x:f>
      </x:c>
      <x:c r="U166" s="165" t="str">
        <x:f>IF(AND(U$5&gt;=$C166,U$5&lt;=$D166,$A166&lt;&gt;""),"●","")</x:f>
      </x:c>
      <x:c r="V166" s="165" t="str">
        <x:f>IF(AND(V$5&gt;=$C166,V$5&lt;=$D166,$A166&lt;&gt;""),"●","")</x:f>
      </x:c>
      <x:c r="W166" s="165" t="str">
        <x:f>IF(AND(W$5&gt;=$C166,W$5&lt;=$D166,$A166&lt;&gt;""),"●","")</x:f>
      </x:c>
      <x:c r="X166" s="165" t="str">
        <x:f>IF(AND(X$5&gt;=$C166,X$5&lt;=$D166,$A166&lt;&gt;""),"●","")</x:f>
      </x:c>
      <x:c r="Y166" s="165" t="str">
        <x:f>IF(AND(Y$5&gt;=$C166,Y$5&lt;=$D166,$A166&lt;&gt;""),"●","")</x:f>
      </x:c>
      <x:c r="Z166" s="165" t="str">
        <x:f>IF(AND(Z$5&gt;=$C166,Z$5&lt;=$D166,$A166&lt;&gt;""),"●","")</x:f>
      </x:c>
      <x:c r="AA166" s="165" t="str">
        <x:f>IF(AND(AA$5&gt;=$C166,AA$5&lt;=$D166,$A166&lt;&gt;""),"●","")</x:f>
      </x:c>
      <x:c r="AB166" s="165" t="str">
        <x:f>IF(AND(AB$5&gt;=$C166,AB$5&lt;=$D166,$A166&lt;&gt;""),"●","")</x:f>
      </x:c>
      <x:c r="AC166" s="165" t="str">
        <x:f>IF(AND(AC$5&gt;=$C166,AC$5&lt;=$D166,$A166&lt;&gt;""),"●","")</x:f>
      </x:c>
      <x:c r="AD166" s="165" t="str">
        <x:f>IF(AND(AD$5&gt;=$C166,AD$5&lt;=$D166,$A166&lt;&gt;""),"●","")</x:f>
      </x:c>
      <x:c r="AE166" s="165" t="str">
        <x:f>IF(AND(AE$5&gt;=$C166,AE$5&lt;=$D166,$A166&lt;&gt;""),"●","")</x:f>
      </x:c>
      <x:c r="AF166" s="165" t="str">
        <x:f>IF(AND(AF$5&gt;=$C166,AF$5&lt;=$D166,$A166&lt;&gt;""),"●","")</x:f>
      </x:c>
      <x:c r="AG166" s="165" t="str">
        <x:f>IF(AND(AG$5&gt;=$C166,AG$5&lt;=$D166,$A166&lt;&gt;""),"●","")</x:f>
      </x:c>
      <x:c r="AH166" s="165" t="str">
        <x:f>IF(AND(AH$5&gt;=$C166,AH$5&lt;=$D166,$A166&lt;&gt;""),"●","")</x:f>
      </x:c>
      <x:c r="AI166" s="165" t="str">
        <x:f>IF(AND(AI$5&gt;=$C166,AI$5&lt;=$D166,$A166&lt;&gt;""),"●","")</x:f>
      </x:c>
      <x:c r="AJ166" s="165" t="str">
        <x:f>IF(AND(AJ$5&gt;=$C166,AJ$5&lt;=$D166,$A166&lt;&gt;""),"●","")</x:f>
      </x:c>
      <x:c r="AK166" s="165" t="str">
        <x:f>IF(AND(AK$5&gt;=$C166,AK$5&lt;=$D166,$A166&lt;&gt;""),"●","")</x:f>
      </x:c>
      <x:c r="AL166" s="165" t="str">
        <x:f>IF(AND(AL$5&gt;=$C166,AL$5&lt;=$D166,$A166&lt;&gt;""),"●","")</x:f>
      </x:c>
      <x:c r="AM166" s="165" t="str">
        <x:f>IF(AND(AM$5&gt;=$C166,AM$5&lt;=$D166,$A166&lt;&gt;""),"●","")</x:f>
      </x:c>
      <x:c r="AN166" s="165" t="str">
        <x:f>IF(AND(AN$5&gt;=$C166,AN$5&lt;=$D166,$A166&lt;&gt;""),"●","")</x:f>
      </x:c>
      <x:c r="AO166" s="165" t="str">
        <x:f>IF(AND(AO$5&gt;=$C166,AO$5&lt;=$D166,$A166&lt;&gt;""),"●","")</x:f>
      </x:c>
      <x:c r="AP166" s="165" t="str">
        <x:f>IF(AND(AP$5&gt;=$C166,AP$5&lt;=$D166,$A166&lt;&gt;""),"●","")</x:f>
      </x:c>
      <x:c r="AQ166" s="165" t="str">
        <x:f>IF(AND(AQ$5&gt;=$C166,AQ$5&lt;=$D166,$A166&lt;&gt;""),"●","")</x:f>
      </x:c>
      <x:c r="AR166" s="165" t="str">
        <x:f>IF(AND(AR$5&gt;=$C166,AR$5&lt;=$D166,$A166&lt;&gt;""),"●","")</x:f>
      </x:c>
      <x:c r="AS166" s="165" t="str">
        <x:f>IF(AND(AS$5&gt;=$C166,AS$5&lt;=$D166,$A166&lt;&gt;""),"●","")</x:f>
      </x:c>
      <x:c r="AT166" s="165" t="str">
        <x:f>IF(AND(AT$5&gt;=$C166,AT$5&lt;=$D166,$A166&lt;&gt;""),"●","")</x:f>
      </x:c>
      <x:c r="AU166" s="165" t="str">
        <x:f>IF(AND(AU$5&gt;=$C166,AU$5&lt;=$D166,$A166&lt;&gt;""),"●","")</x:f>
      </x:c>
      <x:c r="AV166" s="165" t="str">
        <x:f>IF(AND(AV$5&gt;=$C166,AV$5&lt;=$D166,$A166&lt;&gt;""),"●","")</x:f>
      </x:c>
      <x:c r="AW166" s="165" t="str">
        <x:f>IF(AND(AW$5&gt;=$C166,AW$5&lt;=$D166,$A166&lt;&gt;""),"●","")</x:f>
      </x:c>
      <x:c r="AX166" s="165" t="str">
        <x:f>IF(AND(AX$5&gt;=$C166,AX$5&lt;=$D166,$A166&lt;&gt;""),"●","")</x:f>
      </x:c>
      <x:c r="AY166" s="165" t="str">
        <x:f>IF(AND(AY$5&gt;=$C166,AY$5&lt;=$D166,$A166&lt;&gt;""),"●","")</x:f>
      </x:c>
      <x:c r="AZ166" s="165" t="str">
        <x:f>IF(AND(AZ$5&gt;=$C166,AZ$5&lt;=$D166,$A166&lt;&gt;""),"●","")</x:f>
      </x:c>
      <x:c r="BA166" s="165" t="str">
        <x:f>IF(AND(BA$5&gt;=$C166,BA$5&lt;=$D166,$A166&lt;&gt;""),"●","")</x:f>
      </x:c>
      <x:c r="BB166" s="165" t="str">
        <x:f>IF(AND(BB$5&gt;=$C166,BB$5&lt;=$D166,$A166&lt;&gt;""),"●","")</x:f>
      </x:c>
      <x:c r="BC166" s="165" t="str">
        <x:f>IF(AND(BC$5&gt;=$C166,BC$5&lt;=$D166,$A166&lt;&gt;""),"●","")</x:f>
      </x:c>
      <x:c r="BD166" s="165" t="str">
        <x:f>IF(AND(BD$5&gt;=$C166,BD$5&lt;=$D166,$A166&lt;&gt;""),"●","")</x:f>
      </x:c>
      <x:c r="BE166" s="165" t="str">
        <x:f>IF(AND(BE$5&gt;=$C166,BE$5&lt;=$D166,$A166&lt;&gt;""),"●","")</x:f>
      </x:c>
      <x:c r="BF166" s="165" t="str">
        <x:f>IF(AND(BF$5&gt;=$C166,BF$5&lt;=$D166,$A166&lt;&gt;""),"●","")</x:f>
      </x:c>
      <x:c r="BG166" s="165" t="str">
        <x:f>IF(AND(BG$5&gt;=$C166,BG$5&lt;=$D166,$A166&lt;&gt;""),"●","")</x:f>
      </x:c>
      <x:c r="BH166" s="165" t="str">
        <x:f>IF(AND(BH$5&gt;=$C166,BH$5&lt;=$D166,$A166&lt;&gt;""),"●","")</x:f>
      </x:c>
      <x:c r="BI166" s="165" t="str">
        <x:f>IF(AND(BI$5&gt;=$C166,BI$5&lt;=$D166,$A166&lt;&gt;""),"●","")</x:f>
      </x:c>
      <x:c r="BJ166" s="165" t="str">
        <x:f>IF(AND(BJ$5&gt;=$C166,BJ$5&lt;=$D166,$A166&lt;&gt;""),"●","")</x:f>
      </x:c>
      <x:c r="BK166" s="165" t="str">
        <x:f>IF(AND(BK$5&gt;=$C166,BK$5&lt;=$D166,$A166&lt;&gt;""),"●","")</x:f>
      </x:c>
      <x:c r="BL166" s="165" t="str">
        <x:f>IF(AND(BL$5&gt;=$C166,BL$5&lt;=$D166,$A166&lt;&gt;""),"●","")</x:f>
      </x:c>
      <x:c r="BM166" s="165" t="str">
        <x:f>IF(AND(BM$5&gt;=$C166,BM$5&lt;=$D166,$A166&lt;&gt;""),"●","")</x:f>
      </x:c>
      <x:c r="BN166" s="165" t="str">
        <x:f>IF(AND(BN$5&gt;=$C166,BN$5&lt;=$D166,$A166&lt;&gt;""),"●","")</x:f>
      </x:c>
      <x:c r="BO166" s="165" t="str">
        <x:f>IF(AND(BO$5&gt;=$C166,BO$5&lt;=$D166,$A166&lt;&gt;""),"●","")</x:f>
      </x:c>
      <x:c r="BP166" s="165" t="str">
        <x:f>IF(AND(BP$5&gt;=$C166,BP$5&lt;=$D166,$A166&lt;&gt;""),"●","")</x:f>
      </x:c>
      <x:c r="BQ166" s="165" t="str">
        <x:f>IF(AND(BQ$5&gt;=$C166,BQ$5&lt;=$D166,$A166&lt;&gt;""),"●","")</x:f>
      </x:c>
      <x:c r="BR166" s="165" t="str">
        <x:f>IF(AND(BR$5&gt;=$C166,BR$5&lt;=$D166,$A166&lt;&gt;""),"●","")</x:f>
      </x:c>
      <x:c r="BS166" s="165" t="str">
        <x:f>IF(AND(BS$5&gt;=$C166,BS$5&lt;=$D166,$A166&lt;&gt;""),"●","")</x:f>
      </x:c>
      <x:c r="BT166" s="165" t="str">
        <x:f>IF(AND(BT$5&gt;=$C166,BT$5&lt;=$D166,$A166&lt;&gt;""),"●","")</x:f>
      </x:c>
      <x:c r="BU166" s="165" t="str">
        <x:f>IF(AND(BU$5&gt;=$C166,BU$5&lt;=$D166,$A166&lt;&gt;""),"●","")</x:f>
      </x:c>
      <x:c r="BV166" s="165" t="str">
        <x:f>IF(AND(BV$5&gt;=$C166,BV$5&lt;=$D166,$A166&lt;&gt;""),"●","")</x:f>
      </x:c>
      <x:c r="BW166" s="165" t="str">
        <x:f>IF(AND(BW$5&gt;=$C166,BW$5&lt;=$D166,$A166&lt;&gt;""),"●","")</x:f>
      </x:c>
    </x:row>
    <x:row r="167">
      <x:c r="A167" s="159" t="str">
        <x:f>IF('รายการสัญญา'!A167="","",'รายการสัญญา'!A167)</x:f>
      </x:c>
      <x:c r="B167" s="159" t="str">
        <x:f>IF('รายการสัญญา'!A167="","",'รายการสัญญา'!C167)</x:f>
      </x:c>
      <x:c r="C167" s="162" t="str">
        <x:f>IF('รายการสัญญา'!A167="","",'รายการสัญญา'!E167)</x:f>
      </x:c>
      <x:c r="D167" s="162" t="str">
        <x:f>IF('รายการสัญญา'!A167="","",'รายการสัญญา'!G167)</x:f>
      </x:c>
      <x:c r="E167" s="159" t="str">
        <x:f>IF('รายการสัญญา'!A167="","",'รายการสัญญา'!K167)</x:f>
      </x:c>
      <x:c r="F167" s="165" t="str">
        <x:f>IF(AND(F$5&gt;=$C167,F$5&lt;=$D167,$A167&lt;&gt;""),"●","")</x:f>
      </x:c>
      <x:c r="G167" s="165" t="str">
        <x:f>IF(AND(G$5&gt;=$C167,G$5&lt;=$D167,$A167&lt;&gt;""),"●","")</x:f>
      </x:c>
      <x:c r="H167" s="165" t="str">
        <x:f>IF(AND(H$5&gt;=$C167,H$5&lt;=$D167,$A167&lt;&gt;""),"●","")</x:f>
      </x:c>
      <x:c r="I167" s="165" t="str">
        <x:f>IF(AND(I$5&gt;=$C167,I$5&lt;=$D167,$A167&lt;&gt;""),"●","")</x:f>
      </x:c>
      <x:c r="J167" s="165" t="str">
        <x:f>IF(AND(J$5&gt;=$C167,J$5&lt;=$D167,$A167&lt;&gt;""),"●","")</x:f>
      </x:c>
      <x:c r="K167" s="165" t="str">
        <x:f>IF(AND(K$5&gt;=$C167,K$5&lt;=$D167,$A167&lt;&gt;""),"●","")</x:f>
      </x:c>
      <x:c r="L167" s="165" t="str">
        <x:f>IF(AND(L$5&gt;=$C167,L$5&lt;=$D167,$A167&lt;&gt;""),"●","")</x:f>
      </x:c>
      <x:c r="M167" s="165" t="str">
        <x:f>IF(AND(M$5&gt;=$C167,M$5&lt;=$D167,$A167&lt;&gt;""),"●","")</x:f>
      </x:c>
      <x:c r="N167" s="165" t="str">
        <x:f>IF(AND(N$5&gt;=$C167,N$5&lt;=$D167,$A167&lt;&gt;""),"●","")</x:f>
      </x:c>
      <x:c r="O167" s="165" t="str">
        <x:f>IF(AND(O$5&gt;=$C167,O$5&lt;=$D167,$A167&lt;&gt;""),"●","")</x:f>
      </x:c>
      <x:c r="P167" s="165" t="str">
        <x:f>IF(AND(P$5&gt;=$C167,P$5&lt;=$D167,$A167&lt;&gt;""),"●","")</x:f>
      </x:c>
      <x:c r="Q167" s="165" t="str">
        <x:f>IF(AND(Q$5&gt;=$C167,Q$5&lt;=$D167,$A167&lt;&gt;""),"●","")</x:f>
      </x:c>
      <x:c r="R167" s="165" t="str">
        <x:f>IF(AND(R$5&gt;=$C167,R$5&lt;=$D167,$A167&lt;&gt;""),"●","")</x:f>
      </x:c>
      <x:c r="S167" s="165" t="str">
        <x:f>IF(AND(S$5&gt;=$C167,S$5&lt;=$D167,$A167&lt;&gt;""),"●","")</x:f>
      </x:c>
      <x:c r="T167" s="165" t="str">
        <x:f>IF(AND(T$5&gt;=$C167,T$5&lt;=$D167,$A167&lt;&gt;""),"●","")</x:f>
      </x:c>
      <x:c r="U167" s="165" t="str">
        <x:f>IF(AND(U$5&gt;=$C167,U$5&lt;=$D167,$A167&lt;&gt;""),"●","")</x:f>
      </x:c>
      <x:c r="V167" s="165" t="str">
        <x:f>IF(AND(V$5&gt;=$C167,V$5&lt;=$D167,$A167&lt;&gt;""),"●","")</x:f>
      </x:c>
      <x:c r="W167" s="165" t="str">
        <x:f>IF(AND(W$5&gt;=$C167,W$5&lt;=$D167,$A167&lt;&gt;""),"●","")</x:f>
      </x:c>
      <x:c r="X167" s="165" t="str">
        <x:f>IF(AND(X$5&gt;=$C167,X$5&lt;=$D167,$A167&lt;&gt;""),"●","")</x:f>
      </x:c>
      <x:c r="Y167" s="165" t="str">
        <x:f>IF(AND(Y$5&gt;=$C167,Y$5&lt;=$D167,$A167&lt;&gt;""),"●","")</x:f>
      </x:c>
      <x:c r="Z167" s="165" t="str">
        <x:f>IF(AND(Z$5&gt;=$C167,Z$5&lt;=$D167,$A167&lt;&gt;""),"●","")</x:f>
      </x:c>
      <x:c r="AA167" s="165" t="str">
        <x:f>IF(AND(AA$5&gt;=$C167,AA$5&lt;=$D167,$A167&lt;&gt;""),"●","")</x:f>
      </x:c>
      <x:c r="AB167" s="165" t="str">
        <x:f>IF(AND(AB$5&gt;=$C167,AB$5&lt;=$D167,$A167&lt;&gt;""),"●","")</x:f>
      </x:c>
      <x:c r="AC167" s="165" t="str">
        <x:f>IF(AND(AC$5&gt;=$C167,AC$5&lt;=$D167,$A167&lt;&gt;""),"●","")</x:f>
      </x:c>
      <x:c r="AD167" s="165" t="str">
        <x:f>IF(AND(AD$5&gt;=$C167,AD$5&lt;=$D167,$A167&lt;&gt;""),"●","")</x:f>
      </x:c>
      <x:c r="AE167" s="165" t="str">
        <x:f>IF(AND(AE$5&gt;=$C167,AE$5&lt;=$D167,$A167&lt;&gt;""),"●","")</x:f>
      </x:c>
      <x:c r="AF167" s="165" t="str">
        <x:f>IF(AND(AF$5&gt;=$C167,AF$5&lt;=$D167,$A167&lt;&gt;""),"●","")</x:f>
      </x:c>
      <x:c r="AG167" s="165" t="str">
        <x:f>IF(AND(AG$5&gt;=$C167,AG$5&lt;=$D167,$A167&lt;&gt;""),"●","")</x:f>
      </x:c>
      <x:c r="AH167" s="165" t="str">
        <x:f>IF(AND(AH$5&gt;=$C167,AH$5&lt;=$D167,$A167&lt;&gt;""),"●","")</x:f>
      </x:c>
      <x:c r="AI167" s="165" t="str">
        <x:f>IF(AND(AI$5&gt;=$C167,AI$5&lt;=$D167,$A167&lt;&gt;""),"●","")</x:f>
      </x:c>
      <x:c r="AJ167" s="165" t="str">
        <x:f>IF(AND(AJ$5&gt;=$C167,AJ$5&lt;=$D167,$A167&lt;&gt;""),"●","")</x:f>
      </x:c>
      <x:c r="AK167" s="165" t="str">
        <x:f>IF(AND(AK$5&gt;=$C167,AK$5&lt;=$D167,$A167&lt;&gt;""),"●","")</x:f>
      </x:c>
      <x:c r="AL167" s="165" t="str">
        <x:f>IF(AND(AL$5&gt;=$C167,AL$5&lt;=$D167,$A167&lt;&gt;""),"●","")</x:f>
      </x:c>
      <x:c r="AM167" s="165" t="str">
        <x:f>IF(AND(AM$5&gt;=$C167,AM$5&lt;=$D167,$A167&lt;&gt;""),"●","")</x:f>
      </x:c>
      <x:c r="AN167" s="165" t="str">
        <x:f>IF(AND(AN$5&gt;=$C167,AN$5&lt;=$D167,$A167&lt;&gt;""),"●","")</x:f>
      </x:c>
      <x:c r="AO167" s="165" t="str">
        <x:f>IF(AND(AO$5&gt;=$C167,AO$5&lt;=$D167,$A167&lt;&gt;""),"●","")</x:f>
      </x:c>
      <x:c r="AP167" s="165" t="str">
        <x:f>IF(AND(AP$5&gt;=$C167,AP$5&lt;=$D167,$A167&lt;&gt;""),"●","")</x:f>
      </x:c>
      <x:c r="AQ167" s="165" t="str">
        <x:f>IF(AND(AQ$5&gt;=$C167,AQ$5&lt;=$D167,$A167&lt;&gt;""),"●","")</x:f>
      </x:c>
      <x:c r="AR167" s="165" t="str">
        <x:f>IF(AND(AR$5&gt;=$C167,AR$5&lt;=$D167,$A167&lt;&gt;""),"●","")</x:f>
      </x:c>
      <x:c r="AS167" s="165" t="str">
        <x:f>IF(AND(AS$5&gt;=$C167,AS$5&lt;=$D167,$A167&lt;&gt;""),"●","")</x:f>
      </x:c>
      <x:c r="AT167" s="165" t="str">
        <x:f>IF(AND(AT$5&gt;=$C167,AT$5&lt;=$D167,$A167&lt;&gt;""),"●","")</x:f>
      </x:c>
      <x:c r="AU167" s="165" t="str">
        <x:f>IF(AND(AU$5&gt;=$C167,AU$5&lt;=$D167,$A167&lt;&gt;""),"●","")</x:f>
      </x:c>
      <x:c r="AV167" s="165" t="str">
        <x:f>IF(AND(AV$5&gt;=$C167,AV$5&lt;=$D167,$A167&lt;&gt;""),"●","")</x:f>
      </x:c>
      <x:c r="AW167" s="165" t="str">
        <x:f>IF(AND(AW$5&gt;=$C167,AW$5&lt;=$D167,$A167&lt;&gt;""),"●","")</x:f>
      </x:c>
      <x:c r="AX167" s="165" t="str">
        <x:f>IF(AND(AX$5&gt;=$C167,AX$5&lt;=$D167,$A167&lt;&gt;""),"●","")</x:f>
      </x:c>
      <x:c r="AY167" s="165" t="str">
        <x:f>IF(AND(AY$5&gt;=$C167,AY$5&lt;=$D167,$A167&lt;&gt;""),"●","")</x:f>
      </x:c>
      <x:c r="AZ167" s="165" t="str">
        <x:f>IF(AND(AZ$5&gt;=$C167,AZ$5&lt;=$D167,$A167&lt;&gt;""),"●","")</x:f>
      </x:c>
      <x:c r="BA167" s="165" t="str">
        <x:f>IF(AND(BA$5&gt;=$C167,BA$5&lt;=$D167,$A167&lt;&gt;""),"●","")</x:f>
      </x:c>
      <x:c r="BB167" s="165" t="str">
        <x:f>IF(AND(BB$5&gt;=$C167,BB$5&lt;=$D167,$A167&lt;&gt;""),"●","")</x:f>
      </x:c>
      <x:c r="BC167" s="165" t="str">
        <x:f>IF(AND(BC$5&gt;=$C167,BC$5&lt;=$D167,$A167&lt;&gt;""),"●","")</x:f>
      </x:c>
      <x:c r="BD167" s="165" t="str">
        <x:f>IF(AND(BD$5&gt;=$C167,BD$5&lt;=$D167,$A167&lt;&gt;""),"●","")</x:f>
      </x:c>
      <x:c r="BE167" s="165" t="str">
        <x:f>IF(AND(BE$5&gt;=$C167,BE$5&lt;=$D167,$A167&lt;&gt;""),"●","")</x:f>
      </x:c>
      <x:c r="BF167" s="165" t="str">
        <x:f>IF(AND(BF$5&gt;=$C167,BF$5&lt;=$D167,$A167&lt;&gt;""),"●","")</x:f>
      </x:c>
      <x:c r="BG167" s="165" t="str">
        <x:f>IF(AND(BG$5&gt;=$C167,BG$5&lt;=$D167,$A167&lt;&gt;""),"●","")</x:f>
      </x:c>
      <x:c r="BH167" s="165" t="str">
        <x:f>IF(AND(BH$5&gt;=$C167,BH$5&lt;=$D167,$A167&lt;&gt;""),"●","")</x:f>
      </x:c>
      <x:c r="BI167" s="165" t="str">
        <x:f>IF(AND(BI$5&gt;=$C167,BI$5&lt;=$D167,$A167&lt;&gt;""),"●","")</x:f>
      </x:c>
      <x:c r="BJ167" s="165" t="str">
        <x:f>IF(AND(BJ$5&gt;=$C167,BJ$5&lt;=$D167,$A167&lt;&gt;""),"●","")</x:f>
      </x:c>
      <x:c r="BK167" s="165" t="str">
        <x:f>IF(AND(BK$5&gt;=$C167,BK$5&lt;=$D167,$A167&lt;&gt;""),"●","")</x:f>
      </x:c>
      <x:c r="BL167" s="165" t="str">
        <x:f>IF(AND(BL$5&gt;=$C167,BL$5&lt;=$D167,$A167&lt;&gt;""),"●","")</x:f>
      </x:c>
      <x:c r="BM167" s="165" t="str">
        <x:f>IF(AND(BM$5&gt;=$C167,BM$5&lt;=$D167,$A167&lt;&gt;""),"●","")</x:f>
      </x:c>
      <x:c r="BN167" s="165" t="str">
        <x:f>IF(AND(BN$5&gt;=$C167,BN$5&lt;=$D167,$A167&lt;&gt;""),"●","")</x:f>
      </x:c>
      <x:c r="BO167" s="165" t="str">
        <x:f>IF(AND(BO$5&gt;=$C167,BO$5&lt;=$D167,$A167&lt;&gt;""),"●","")</x:f>
      </x:c>
      <x:c r="BP167" s="165" t="str">
        <x:f>IF(AND(BP$5&gt;=$C167,BP$5&lt;=$D167,$A167&lt;&gt;""),"●","")</x:f>
      </x:c>
      <x:c r="BQ167" s="165" t="str">
        <x:f>IF(AND(BQ$5&gt;=$C167,BQ$5&lt;=$D167,$A167&lt;&gt;""),"●","")</x:f>
      </x:c>
      <x:c r="BR167" s="165" t="str">
        <x:f>IF(AND(BR$5&gt;=$C167,BR$5&lt;=$D167,$A167&lt;&gt;""),"●","")</x:f>
      </x:c>
      <x:c r="BS167" s="165" t="str">
        <x:f>IF(AND(BS$5&gt;=$C167,BS$5&lt;=$D167,$A167&lt;&gt;""),"●","")</x:f>
      </x:c>
      <x:c r="BT167" s="165" t="str">
        <x:f>IF(AND(BT$5&gt;=$C167,BT$5&lt;=$D167,$A167&lt;&gt;""),"●","")</x:f>
      </x:c>
      <x:c r="BU167" s="165" t="str">
        <x:f>IF(AND(BU$5&gt;=$C167,BU$5&lt;=$D167,$A167&lt;&gt;""),"●","")</x:f>
      </x:c>
      <x:c r="BV167" s="165" t="str">
        <x:f>IF(AND(BV$5&gt;=$C167,BV$5&lt;=$D167,$A167&lt;&gt;""),"●","")</x:f>
      </x:c>
      <x:c r="BW167" s="165" t="str">
        <x:f>IF(AND(BW$5&gt;=$C167,BW$5&lt;=$D167,$A167&lt;&gt;""),"●","")</x:f>
      </x:c>
    </x:row>
    <x:row r="168">
      <x:c r="A168" s="159" t="str">
        <x:f>IF('รายการสัญญา'!A168="","",'รายการสัญญา'!A168)</x:f>
      </x:c>
      <x:c r="B168" s="159" t="str">
        <x:f>IF('รายการสัญญา'!A168="","",'รายการสัญญา'!C168)</x:f>
      </x:c>
      <x:c r="C168" s="162" t="str">
        <x:f>IF('รายการสัญญา'!A168="","",'รายการสัญญา'!E168)</x:f>
      </x:c>
      <x:c r="D168" s="162" t="str">
        <x:f>IF('รายการสัญญา'!A168="","",'รายการสัญญา'!G168)</x:f>
      </x:c>
      <x:c r="E168" s="159" t="str">
        <x:f>IF('รายการสัญญา'!A168="","",'รายการสัญญา'!K168)</x:f>
      </x:c>
      <x:c r="F168" s="165" t="str">
        <x:f>IF(AND(F$5&gt;=$C168,F$5&lt;=$D168,$A168&lt;&gt;""),"●","")</x:f>
      </x:c>
      <x:c r="G168" s="165" t="str">
        <x:f>IF(AND(G$5&gt;=$C168,G$5&lt;=$D168,$A168&lt;&gt;""),"●","")</x:f>
      </x:c>
      <x:c r="H168" s="165" t="str">
        <x:f>IF(AND(H$5&gt;=$C168,H$5&lt;=$D168,$A168&lt;&gt;""),"●","")</x:f>
      </x:c>
      <x:c r="I168" s="165" t="str">
        <x:f>IF(AND(I$5&gt;=$C168,I$5&lt;=$D168,$A168&lt;&gt;""),"●","")</x:f>
      </x:c>
      <x:c r="J168" s="165" t="str">
        <x:f>IF(AND(J$5&gt;=$C168,J$5&lt;=$D168,$A168&lt;&gt;""),"●","")</x:f>
      </x:c>
      <x:c r="K168" s="165" t="str">
        <x:f>IF(AND(K$5&gt;=$C168,K$5&lt;=$D168,$A168&lt;&gt;""),"●","")</x:f>
      </x:c>
      <x:c r="L168" s="165" t="str">
        <x:f>IF(AND(L$5&gt;=$C168,L$5&lt;=$D168,$A168&lt;&gt;""),"●","")</x:f>
      </x:c>
      <x:c r="M168" s="165" t="str">
        <x:f>IF(AND(M$5&gt;=$C168,M$5&lt;=$D168,$A168&lt;&gt;""),"●","")</x:f>
      </x:c>
      <x:c r="N168" s="165" t="str">
        <x:f>IF(AND(N$5&gt;=$C168,N$5&lt;=$D168,$A168&lt;&gt;""),"●","")</x:f>
      </x:c>
      <x:c r="O168" s="165" t="str">
        <x:f>IF(AND(O$5&gt;=$C168,O$5&lt;=$D168,$A168&lt;&gt;""),"●","")</x:f>
      </x:c>
      <x:c r="P168" s="165" t="str">
        <x:f>IF(AND(P$5&gt;=$C168,P$5&lt;=$D168,$A168&lt;&gt;""),"●","")</x:f>
      </x:c>
      <x:c r="Q168" s="165" t="str">
        <x:f>IF(AND(Q$5&gt;=$C168,Q$5&lt;=$D168,$A168&lt;&gt;""),"●","")</x:f>
      </x:c>
      <x:c r="R168" s="165" t="str">
        <x:f>IF(AND(R$5&gt;=$C168,R$5&lt;=$D168,$A168&lt;&gt;""),"●","")</x:f>
      </x:c>
      <x:c r="S168" s="165" t="str">
        <x:f>IF(AND(S$5&gt;=$C168,S$5&lt;=$D168,$A168&lt;&gt;""),"●","")</x:f>
      </x:c>
      <x:c r="T168" s="165" t="str">
        <x:f>IF(AND(T$5&gt;=$C168,T$5&lt;=$D168,$A168&lt;&gt;""),"●","")</x:f>
      </x:c>
      <x:c r="U168" s="165" t="str">
        <x:f>IF(AND(U$5&gt;=$C168,U$5&lt;=$D168,$A168&lt;&gt;""),"●","")</x:f>
      </x:c>
      <x:c r="V168" s="165" t="str">
        <x:f>IF(AND(V$5&gt;=$C168,V$5&lt;=$D168,$A168&lt;&gt;""),"●","")</x:f>
      </x:c>
      <x:c r="W168" s="165" t="str">
        <x:f>IF(AND(W$5&gt;=$C168,W$5&lt;=$D168,$A168&lt;&gt;""),"●","")</x:f>
      </x:c>
      <x:c r="X168" s="165" t="str">
        <x:f>IF(AND(X$5&gt;=$C168,X$5&lt;=$D168,$A168&lt;&gt;""),"●","")</x:f>
      </x:c>
      <x:c r="Y168" s="165" t="str">
        <x:f>IF(AND(Y$5&gt;=$C168,Y$5&lt;=$D168,$A168&lt;&gt;""),"●","")</x:f>
      </x:c>
      <x:c r="Z168" s="165" t="str">
        <x:f>IF(AND(Z$5&gt;=$C168,Z$5&lt;=$D168,$A168&lt;&gt;""),"●","")</x:f>
      </x:c>
      <x:c r="AA168" s="165" t="str">
        <x:f>IF(AND(AA$5&gt;=$C168,AA$5&lt;=$D168,$A168&lt;&gt;""),"●","")</x:f>
      </x:c>
      <x:c r="AB168" s="165" t="str">
        <x:f>IF(AND(AB$5&gt;=$C168,AB$5&lt;=$D168,$A168&lt;&gt;""),"●","")</x:f>
      </x:c>
      <x:c r="AC168" s="165" t="str">
        <x:f>IF(AND(AC$5&gt;=$C168,AC$5&lt;=$D168,$A168&lt;&gt;""),"●","")</x:f>
      </x:c>
      <x:c r="AD168" s="165" t="str">
        <x:f>IF(AND(AD$5&gt;=$C168,AD$5&lt;=$D168,$A168&lt;&gt;""),"●","")</x:f>
      </x:c>
      <x:c r="AE168" s="165" t="str">
        <x:f>IF(AND(AE$5&gt;=$C168,AE$5&lt;=$D168,$A168&lt;&gt;""),"●","")</x:f>
      </x:c>
      <x:c r="AF168" s="165" t="str">
        <x:f>IF(AND(AF$5&gt;=$C168,AF$5&lt;=$D168,$A168&lt;&gt;""),"●","")</x:f>
      </x:c>
      <x:c r="AG168" s="165" t="str">
        <x:f>IF(AND(AG$5&gt;=$C168,AG$5&lt;=$D168,$A168&lt;&gt;""),"●","")</x:f>
      </x:c>
      <x:c r="AH168" s="165" t="str">
        <x:f>IF(AND(AH$5&gt;=$C168,AH$5&lt;=$D168,$A168&lt;&gt;""),"●","")</x:f>
      </x:c>
      <x:c r="AI168" s="165" t="str">
        <x:f>IF(AND(AI$5&gt;=$C168,AI$5&lt;=$D168,$A168&lt;&gt;""),"●","")</x:f>
      </x:c>
      <x:c r="AJ168" s="165" t="str">
        <x:f>IF(AND(AJ$5&gt;=$C168,AJ$5&lt;=$D168,$A168&lt;&gt;""),"●","")</x:f>
      </x:c>
      <x:c r="AK168" s="165" t="str">
        <x:f>IF(AND(AK$5&gt;=$C168,AK$5&lt;=$D168,$A168&lt;&gt;""),"●","")</x:f>
      </x:c>
      <x:c r="AL168" s="165" t="str">
        <x:f>IF(AND(AL$5&gt;=$C168,AL$5&lt;=$D168,$A168&lt;&gt;""),"●","")</x:f>
      </x:c>
      <x:c r="AM168" s="165" t="str">
        <x:f>IF(AND(AM$5&gt;=$C168,AM$5&lt;=$D168,$A168&lt;&gt;""),"●","")</x:f>
      </x:c>
      <x:c r="AN168" s="165" t="str">
        <x:f>IF(AND(AN$5&gt;=$C168,AN$5&lt;=$D168,$A168&lt;&gt;""),"●","")</x:f>
      </x:c>
      <x:c r="AO168" s="165" t="str">
        <x:f>IF(AND(AO$5&gt;=$C168,AO$5&lt;=$D168,$A168&lt;&gt;""),"●","")</x:f>
      </x:c>
      <x:c r="AP168" s="165" t="str">
        <x:f>IF(AND(AP$5&gt;=$C168,AP$5&lt;=$D168,$A168&lt;&gt;""),"●","")</x:f>
      </x:c>
      <x:c r="AQ168" s="165" t="str">
        <x:f>IF(AND(AQ$5&gt;=$C168,AQ$5&lt;=$D168,$A168&lt;&gt;""),"●","")</x:f>
      </x:c>
      <x:c r="AR168" s="165" t="str">
        <x:f>IF(AND(AR$5&gt;=$C168,AR$5&lt;=$D168,$A168&lt;&gt;""),"●","")</x:f>
      </x:c>
      <x:c r="AS168" s="165" t="str">
        <x:f>IF(AND(AS$5&gt;=$C168,AS$5&lt;=$D168,$A168&lt;&gt;""),"●","")</x:f>
      </x:c>
      <x:c r="AT168" s="165" t="str">
        <x:f>IF(AND(AT$5&gt;=$C168,AT$5&lt;=$D168,$A168&lt;&gt;""),"●","")</x:f>
      </x:c>
      <x:c r="AU168" s="165" t="str">
        <x:f>IF(AND(AU$5&gt;=$C168,AU$5&lt;=$D168,$A168&lt;&gt;""),"●","")</x:f>
      </x:c>
      <x:c r="AV168" s="165" t="str">
        <x:f>IF(AND(AV$5&gt;=$C168,AV$5&lt;=$D168,$A168&lt;&gt;""),"●","")</x:f>
      </x:c>
      <x:c r="AW168" s="165" t="str">
        <x:f>IF(AND(AW$5&gt;=$C168,AW$5&lt;=$D168,$A168&lt;&gt;""),"●","")</x:f>
      </x:c>
      <x:c r="AX168" s="165" t="str">
        <x:f>IF(AND(AX$5&gt;=$C168,AX$5&lt;=$D168,$A168&lt;&gt;""),"●","")</x:f>
      </x:c>
      <x:c r="AY168" s="165" t="str">
        <x:f>IF(AND(AY$5&gt;=$C168,AY$5&lt;=$D168,$A168&lt;&gt;""),"●","")</x:f>
      </x:c>
      <x:c r="AZ168" s="165" t="str">
        <x:f>IF(AND(AZ$5&gt;=$C168,AZ$5&lt;=$D168,$A168&lt;&gt;""),"●","")</x:f>
      </x:c>
      <x:c r="BA168" s="165" t="str">
        <x:f>IF(AND(BA$5&gt;=$C168,BA$5&lt;=$D168,$A168&lt;&gt;""),"●","")</x:f>
      </x:c>
      <x:c r="BB168" s="165" t="str">
        <x:f>IF(AND(BB$5&gt;=$C168,BB$5&lt;=$D168,$A168&lt;&gt;""),"●","")</x:f>
      </x:c>
      <x:c r="BC168" s="165" t="str">
        <x:f>IF(AND(BC$5&gt;=$C168,BC$5&lt;=$D168,$A168&lt;&gt;""),"●","")</x:f>
      </x:c>
      <x:c r="BD168" s="165" t="str">
        <x:f>IF(AND(BD$5&gt;=$C168,BD$5&lt;=$D168,$A168&lt;&gt;""),"●","")</x:f>
      </x:c>
      <x:c r="BE168" s="165" t="str">
        <x:f>IF(AND(BE$5&gt;=$C168,BE$5&lt;=$D168,$A168&lt;&gt;""),"●","")</x:f>
      </x:c>
      <x:c r="BF168" s="165" t="str">
        <x:f>IF(AND(BF$5&gt;=$C168,BF$5&lt;=$D168,$A168&lt;&gt;""),"●","")</x:f>
      </x:c>
      <x:c r="BG168" s="165" t="str">
        <x:f>IF(AND(BG$5&gt;=$C168,BG$5&lt;=$D168,$A168&lt;&gt;""),"●","")</x:f>
      </x:c>
      <x:c r="BH168" s="165" t="str">
        <x:f>IF(AND(BH$5&gt;=$C168,BH$5&lt;=$D168,$A168&lt;&gt;""),"●","")</x:f>
      </x:c>
      <x:c r="BI168" s="165" t="str">
        <x:f>IF(AND(BI$5&gt;=$C168,BI$5&lt;=$D168,$A168&lt;&gt;""),"●","")</x:f>
      </x:c>
      <x:c r="BJ168" s="165" t="str">
        <x:f>IF(AND(BJ$5&gt;=$C168,BJ$5&lt;=$D168,$A168&lt;&gt;""),"●","")</x:f>
      </x:c>
      <x:c r="BK168" s="165" t="str">
        <x:f>IF(AND(BK$5&gt;=$C168,BK$5&lt;=$D168,$A168&lt;&gt;""),"●","")</x:f>
      </x:c>
      <x:c r="BL168" s="165" t="str">
        <x:f>IF(AND(BL$5&gt;=$C168,BL$5&lt;=$D168,$A168&lt;&gt;""),"●","")</x:f>
      </x:c>
      <x:c r="BM168" s="165" t="str">
        <x:f>IF(AND(BM$5&gt;=$C168,BM$5&lt;=$D168,$A168&lt;&gt;""),"●","")</x:f>
      </x:c>
      <x:c r="BN168" s="165" t="str">
        <x:f>IF(AND(BN$5&gt;=$C168,BN$5&lt;=$D168,$A168&lt;&gt;""),"●","")</x:f>
      </x:c>
      <x:c r="BO168" s="165" t="str">
        <x:f>IF(AND(BO$5&gt;=$C168,BO$5&lt;=$D168,$A168&lt;&gt;""),"●","")</x:f>
      </x:c>
      <x:c r="BP168" s="165" t="str">
        <x:f>IF(AND(BP$5&gt;=$C168,BP$5&lt;=$D168,$A168&lt;&gt;""),"●","")</x:f>
      </x:c>
      <x:c r="BQ168" s="165" t="str">
        <x:f>IF(AND(BQ$5&gt;=$C168,BQ$5&lt;=$D168,$A168&lt;&gt;""),"●","")</x:f>
      </x:c>
      <x:c r="BR168" s="165" t="str">
        <x:f>IF(AND(BR$5&gt;=$C168,BR$5&lt;=$D168,$A168&lt;&gt;""),"●","")</x:f>
      </x:c>
      <x:c r="BS168" s="165" t="str">
        <x:f>IF(AND(BS$5&gt;=$C168,BS$5&lt;=$D168,$A168&lt;&gt;""),"●","")</x:f>
      </x:c>
      <x:c r="BT168" s="165" t="str">
        <x:f>IF(AND(BT$5&gt;=$C168,BT$5&lt;=$D168,$A168&lt;&gt;""),"●","")</x:f>
      </x:c>
      <x:c r="BU168" s="165" t="str">
        <x:f>IF(AND(BU$5&gt;=$C168,BU$5&lt;=$D168,$A168&lt;&gt;""),"●","")</x:f>
      </x:c>
      <x:c r="BV168" s="165" t="str">
        <x:f>IF(AND(BV$5&gt;=$C168,BV$5&lt;=$D168,$A168&lt;&gt;""),"●","")</x:f>
      </x:c>
      <x:c r="BW168" s="165" t="str">
        <x:f>IF(AND(BW$5&gt;=$C168,BW$5&lt;=$D168,$A168&lt;&gt;""),"●","")</x:f>
      </x:c>
    </x:row>
    <x:row r="169">
      <x:c r="A169" s="159" t="str">
        <x:f>IF('รายการสัญญา'!A169="","",'รายการสัญญา'!A169)</x:f>
      </x:c>
      <x:c r="B169" s="159" t="str">
        <x:f>IF('รายการสัญญา'!A169="","",'รายการสัญญา'!C169)</x:f>
      </x:c>
      <x:c r="C169" s="162" t="str">
        <x:f>IF('รายการสัญญา'!A169="","",'รายการสัญญา'!E169)</x:f>
      </x:c>
      <x:c r="D169" s="162" t="str">
        <x:f>IF('รายการสัญญา'!A169="","",'รายการสัญญา'!G169)</x:f>
      </x:c>
      <x:c r="E169" s="159" t="str">
        <x:f>IF('รายการสัญญา'!A169="","",'รายการสัญญา'!K169)</x:f>
      </x:c>
      <x:c r="F169" s="165" t="str">
        <x:f>IF(AND(F$5&gt;=$C169,F$5&lt;=$D169,$A169&lt;&gt;""),"●","")</x:f>
      </x:c>
      <x:c r="G169" s="165" t="str">
        <x:f>IF(AND(G$5&gt;=$C169,G$5&lt;=$D169,$A169&lt;&gt;""),"●","")</x:f>
      </x:c>
      <x:c r="H169" s="165" t="str">
        <x:f>IF(AND(H$5&gt;=$C169,H$5&lt;=$D169,$A169&lt;&gt;""),"●","")</x:f>
      </x:c>
      <x:c r="I169" s="165" t="str">
        <x:f>IF(AND(I$5&gt;=$C169,I$5&lt;=$D169,$A169&lt;&gt;""),"●","")</x:f>
      </x:c>
      <x:c r="J169" s="165" t="str">
        <x:f>IF(AND(J$5&gt;=$C169,J$5&lt;=$D169,$A169&lt;&gt;""),"●","")</x:f>
      </x:c>
      <x:c r="K169" s="165" t="str">
        <x:f>IF(AND(K$5&gt;=$C169,K$5&lt;=$D169,$A169&lt;&gt;""),"●","")</x:f>
      </x:c>
      <x:c r="L169" s="165" t="str">
        <x:f>IF(AND(L$5&gt;=$C169,L$5&lt;=$D169,$A169&lt;&gt;""),"●","")</x:f>
      </x:c>
      <x:c r="M169" s="165" t="str">
        <x:f>IF(AND(M$5&gt;=$C169,M$5&lt;=$D169,$A169&lt;&gt;""),"●","")</x:f>
      </x:c>
      <x:c r="N169" s="165" t="str">
        <x:f>IF(AND(N$5&gt;=$C169,N$5&lt;=$D169,$A169&lt;&gt;""),"●","")</x:f>
      </x:c>
      <x:c r="O169" s="165" t="str">
        <x:f>IF(AND(O$5&gt;=$C169,O$5&lt;=$D169,$A169&lt;&gt;""),"●","")</x:f>
      </x:c>
      <x:c r="P169" s="165" t="str">
        <x:f>IF(AND(P$5&gt;=$C169,P$5&lt;=$D169,$A169&lt;&gt;""),"●","")</x:f>
      </x:c>
      <x:c r="Q169" s="165" t="str">
        <x:f>IF(AND(Q$5&gt;=$C169,Q$5&lt;=$D169,$A169&lt;&gt;""),"●","")</x:f>
      </x:c>
      <x:c r="R169" s="165" t="str">
        <x:f>IF(AND(R$5&gt;=$C169,R$5&lt;=$D169,$A169&lt;&gt;""),"●","")</x:f>
      </x:c>
      <x:c r="S169" s="165" t="str">
        <x:f>IF(AND(S$5&gt;=$C169,S$5&lt;=$D169,$A169&lt;&gt;""),"●","")</x:f>
      </x:c>
      <x:c r="T169" s="165" t="str">
        <x:f>IF(AND(T$5&gt;=$C169,T$5&lt;=$D169,$A169&lt;&gt;""),"●","")</x:f>
      </x:c>
      <x:c r="U169" s="165" t="str">
        <x:f>IF(AND(U$5&gt;=$C169,U$5&lt;=$D169,$A169&lt;&gt;""),"●","")</x:f>
      </x:c>
      <x:c r="V169" s="165" t="str">
        <x:f>IF(AND(V$5&gt;=$C169,V$5&lt;=$D169,$A169&lt;&gt;""),"●","")</x:f>
      </x:c>
      <x:c r="W169" s="165" t="str">
        <x:f>IF(AND(W$5&gt;=$C169,W$5&lt;=$D169,$A169&lt;&gt;""),"●","")</x:f>
      </x:c>
      <x:c r="X169" s="165" t="str">
        <x:f>IF(AND(X$5&gt;=$C169,X$5&lt;=$D169,$A169&lt;&gt;""),"●","")</x:f>
      </x:c>
      <x:c r="Y169" s="165" t="str">
        <x:f>IF(AND(Y$5&gt;=$C169,Y$5&lt;=$D169,$A169&lt;&gt;""),"●","")</x:f>
      </x:c>
      <x:c r="Z169" s="165" t="str">
        <x:f>IF(AND(Z$5&gt;=$C169,Z$5&lt;=$D169,$A169&lt;&gt;""),"●","")</x:f>
      </x:c>
      <x:c r="AA169" s="165" t="str">
        <x:f>IF(AND(AA$5&gt;=$C169,AA$5&lt;=$D169,$A169&lt;&gt;""),"●","")</x:f>
      </x:c>
      <x:c r="AB169" s="165" t="str">
        <x:f>IF(AND(AB$5&gt;=$C169,AB$5&lt;=$D169,$A169&lt;&gt;""),"●","")</x:f>
      </x:c>
      <x:c r="AC169" s="165" t="str">
        <x:f>IF(AND(AC$5&gt;=$C169,AC$5&lt;=$D169,$A169&lt;&gt;""),"●","")</x:f>
      </x:c>
      <x:c r="AD169" s="165" t="str">
        <x:f>IF(AND(AD$5&gt;=$C169,AD$5&lt;=$D169,$A169&lt;&gt;""),"●","")</x:f>
      </x:c>
      <x:c r="AE169" s="165" t="str">
        <x:f>IF(AND(AE$5&gt;=$C169,AE$5&lt;=$D169,$A169&lt;&gt;""),"●","")</x:f>
      </x:c>
      <x:c r="AF169" s="165" t="str">
        <x:f>IF(AND(AF$5&gt;=$C169,AF$5&lt;=$D169,$A169&lt;&gt;""),"●","")</x:f>
      </x:c>
      <x:c r="AG169" s="165" t="str">
        <x:f>IF(AND(AG$5&gt;=$C169,AG$5&lt;=$D169,$A169&lt;&gt;""),"●","")</x:f>
      </x:c>
      <x:c r="AH169" s="165" t="str">
        <x:f>IF(AND(AH$5&gt;=$C169,AH$5&lt;=$D169,$A169&lt;&gt;""),"●","")</x:f>
      </x:c>
      <x:c r="AI169" s="165" t="str">
        <x:f>IF(AND(AI$5&gt;=$C169,AI$5&lt;=$D169,$A169&lt;&gt;""),"●","")</x:f>
      </x:c>
      <x:c r="AJ169" s="165" t="str">
        <x:f>IF(AND(AJ$5&gt;=$C169,AJ$5&lt;=$D169,$A169&lt;&gt;""),"●","")</x:f>
      </x:c>
      <x:c r="AK169" s="165" t="str">
        <x:f>IF(AND(AK$5&gt;=$C169,AK$5&lt;=$D169,$A169&lt;&gt;""),"●","")</x:f>
      </x:c>
      <x:c r="AL169" s="165" t="str">
        <x:f>IF(AND(AL$5&gt;=$C169,AL$5&lt;=$D169,$A169&lt;&gt;""),"●","")</x:f>
      </x:c>
      <x:c r="AM169" s="165" t="str">
        <x:f>IF(AND(AM$5&gt;=$C169,AM$5&lt;=$D169,$A169&lt;&gt;""),"●","")</x:f>
      </x:c>
      <x:c r="AN169" s="165" t="str">
        <x:f>IF(AND(AN$5&gt;=$C169,AN$5&lt;=$D169,$A169&lt;&gt;""),"●","")</x:f>
      </x:c>
      <x:c r="AO169" s="165" t="str">
        <x:f>IF(AND(AO$5&gt;=$C169,AO$5&lt;=$D169,$A169&lt;&gt;""),"●","")</x:f>
      </x:c>
      <x:c r="AP169" s="165" t="str">
        <x:f>IF(AND(AP$5&gt;=$C169,AP$5&lt;=$D169,$A169&lt;&gt;""),"●","")</x:f>
      </x:c>
      <x:c r="AQ169" s="165" t="str">
        <x:f>IF(AND(AQ$5&gt;=$C169,AQ$5&lt;=$D169,$A169&lt;&gt;""),"●","")</x:f>
      </x:c>
      <x:c r="AR169" s="165" t="str">
        <x:f>IF(AND(AR$5&gt;=$C169,AR$5&lt;=$D169,$A169&lt;&gt;""),"●","")</x:f>
      </x:c>
      <x:c r="AS169" s="165" t="str">
        <x:f>IF(AND(AS$5&gt;=$C169,AS$5&lt;=$D169,$A169&lt;&gt;""),"●","")</x:f>
      </x:c>
      <x:c r="AT169" s="165" t="str">
        <x:f>IF(AND(AT$5&gt;=$C169,AT$5&lt;=$D169,$A169&lt;&gt;""),"●","")</x:f>
      </x:c>
      <x:c r="AU169" s="165" t="str">
        <x:f>IF(AND(AU$5&gt;=$C169,AU$5&lt;=$D169,$A169&lt;&gt;""),"●","")</x:f>
      </x:c>
      <x:c r="AV169" s="165" t="str">
        <x:f>IF(AND(AV$5&gt;=$C169,AV$5&lt;=$D169,$A169&lt;&gt;""),"●","")</x:f>
      </x:c>
      <x:c r="AW169" s="165" t="str">
        <x:f>IF(AND(AW$5&gt;=$C169,AW$5&lt;=$D169,$A169&lt;&gt;""),"●","")</x:f>
      </x:c>
      <x:c r="AX169" s="165" t="str">
        <x:f>IF(AND(AX$5&gt;=$C169,AX$5&lt;=$D169,$A169&lt;&gt;""),"●","")</x:f>
      </x:c>
      <x:c r="AY169" s="165" t="str">
        <x:f>IF(AND(AY$5&gt;=$C169,AY$5&lt;=$D169,$A169&lt;&gt;""),"●","")</x:f>
      </x:c>
      <x:c r="AZ169" s="165" t="str">
        <x:f>IF(AND(AZ$5&gt;=$C169,AZ$5&lt;=$D169,$A169&lt;&gt;""),"●","")</x:f>
      </x:c>
      <x:c r="BA169" s="165" t="str">
        <x:f>IF(AND(BA$5&gt;=$C169,BA$5&lt;=$D169,$A169&lt;&gt;""),"●","")</x:f>
      </x:c>
      <x:c r="BB169" s="165" t="str">
        <x:f>IF(AND(BB$5&gt;=$C169,BB$5&lt;=$D169,$A169&lt;&gt;""),"●","")</x:f>
      </x:c>
      <x:c r="BC169" s="165" t="str">
        <x:f>IF(AND(BC$5&gt;=$C169,BC$5&lt;=$D169,$A169&lt;&gt;""),"●","")</x:f>
      </x:c>
      <x:c r="BD169" s="165" t="str">
        <x:f>IF(AND(BD$5&gt;=$C169,BD$5&lt;=$D169,$A169&lt;&gt;""),"●","")</x:f>
      </x:c>
      <x:c r="BE169" s="165" t="str">
        <x:f>IF(AND(BE$5&gt;=$C169,BE$5&lt;=$D169,$A169&lt;&gt;""),"●","")</x:f>
      </x:c>
      <x:c r="BF169" s="165" t="str">
        <x:f>IF(AND(BF$5&gt;=$C169,BF$5&lt;=$D169,$A169&lt;&gt;""),"●","")</x:f>
      </x:c>
      <x:c r="BG169" s="165" t="str">
        <x:f>IF(AND(BG$5&gt;=$C169,BG$5&lt;=$D169,$A169&lt;&gt;""),"●","")</x:f>
      </x:c>
      <x:c r="BH169" s="165" t="str">
        <x:f>IF(AND(BH$5&gt;=$C169,BH$5&lt;=$D169,$A169&lt;&gt;""),"●","")</x:f>
      </x:c>
      <x:c r="BI169" s="165" t="str">
        <x:f>IF(AND(BI$5&gt;=$C169,BI$5&lt;=$D169,$A169&lt;&gt;""),"●","")</x:f>
      </x:c>
      <x:c r="BJ169" s="165" t="str">
        <x:f>IF(AND(BJ$5&gt;=$C169,BJ$5&lt;=$D169,$A169&lt;&gt;""),"●","")</x:f>
      </x:c>
      <x:c r="BK169" s="165" t="str">
        <x:f>IF(AND(BK$5&gt;=$C169,BK$5&lt;=$D169,$A169&lt;&gt;""),"●","")</x:f>
      </x:c>
      <x:c r="BL169" s="165" t="str">
        <x:f>IF(AND(BL$5&gt;=$C169,BL$5&lt;=$D169,$A169&lt;&gt;""),"●","")</x:f>
      </x:c>
      <x:c r="BM169" s="165" t="str">
        <x:f>IF(AND(BM$5&gt;=$C169,BM$5&lt;=$D169,$A169&lt;&gt;""),"●","")</x:f>
      </x:c>
      <x:c r="BN169" s="165" t="str">
        <x:f>IF(AND(BN$5&gt;=$C169,BN$5&lt;=$D169,$A169&lt;&gt;""),"●","")</x:f>
      </x:c>
      <x:c r="BO169" s="165" t="str">
        <x:f>IF(AND(BO$5&gt;=$C169,BO$5&lt;=$D169,$A169&lt;&gt;""),"●","")</x:f>
      </x:c>
      <x:c r="BP169" s="165" t="str">
        <x:f>IF(AND(BP$5&gt;=$C169,BP$5&lt;=$D169,$A169&lt;&gt;""),"●","")</x:f>
      </x:c>
      <x:c r="BQ169" s="165" t="str">
        <x:f>IF(AND(BQ$5&gt;=$C169,BQ$5&lt;=$D169,$A169&lt;&gt;""),"●","")</x:f>
      </x:c>
      <x:c r="BR169" s="165" t="str">
        <x:f>IF(AND(BR$5&gt;=$C169,BR$5&lt;=$D169,$A169&lt;&gt;""),"●","")</x:f>
      </x:c>
      <x:c r="BS169" s="165" t="str">
        <x:f>IF(AND(BS$5&gt;=$C169,BS$5&lt;=$D169,$A169&lt;&gt;""),"●","")</x:f>
      </x:c>
      <x:c r="BT169" s="165" t="str">
        <x:f>IF(AND(BT$5&gt;=$C169,BT$5&lt;=$D169,$A169&lt;&gt;""),"●","")</x:f>
      </x:c>
      <x:c r="BU169" s="165" t="str">
        <x:f>IF(AND(BU$5&gt;=$C169,BU$5&lt;=$D169,$A169&lt;&gt;""),"●","")</x:f>
      </x:c>
      <x:c r="BV169" s="165" t="str">
        <x:f>IF(AND(BV$5&gt;=$C169,BV$5&lt;=$D169,$A169&lt;&gt;""),"●","")</x:f>
      </x:c>
      <x:c r="BW169" s="165" t="str">
        <x:f>IF(AND(BW$5&gt;=$C169,BW$5&lt;=$D169,$A169&lt;&gt;""),"●","")</x:f>
      </x:c>
    </x:row>
    <x:row r="170">
      <x:c r="A170" s="159" t="str">
        <x:f>IF('รายการสัญญา'!A170="","",'รายการสัญญา'!A170)</x:f>
      </x:c>
      <x:c r="B170" s="159" t="str">
        <x:f>IF('รายการสัญญา'!A170="","",'รายการสัญญา'!C170)</x:f>
      </x:c>
      <x:c r="C170" s="162" t="str">
        <x:f>IF('รายการสัญญา'!A170="","",'รายการสัญญา'!E170)</x:f>
      </x:c>
      <x:c r="D170" s="162" t="str">
        <x:f>IF('รายการสัญญา'!A170="","",'รายการสัญญา'!G170)</x:f>
      </x:c>
      <x:c r="E170" s="159" t="str">
        <x:f>IF('รายการสัญญา'!A170="","",'รายการสัญญา'!K170)</x:f>
      </x:c>
      <x:c r="F170" s="165" t="str">
        <x:f>IF(AND(F$5&gt;=$C170,F$5&lt;=$D170,$A170&lt;&gt;""),"●","")</x:f>
      </x:c>
      <x:c r="G170" s="165" t="str">
        <x:f>IF(AND(G$5&gt;=$C170,G$5&lt;=$D170,$A170&lt;&gt;""),"●","")</x:f>
      </x:c>
      <x:c r="H170" s="165" t="str">
        <x:f>IF(AND(H$5&gt;=$C170,H$5&lt;=$D170,$A170&lt;&gt;""),"●","")</x:f>
      </x:c>
      <x:c r="I170" s="165" t="str">
        <x:f>IF(AND(I$5&gt;=$C170,I$5&lt;=$D170,$A170&lt;&gt;""),"●","")</x:f>
      </x:c>
      <x:c r="J170" s="165" t="str">
        <x:f>IF(AND(J$5&gt;=$C170,J$5&lt;=$D170,$A170&lt;&gt;""),"●","")</x:f>
      </x:c>
      <x:c r="K170" s="165" t="str">
        <x:f>IF(AND(K$5&gt;=$C170,K$5&lt;=$D170,$A170&lt;&gt;""),"●","")</x:f>
      </x:c>
      <x:c r="L170" s="165" t="str">
        <x:f>IF(AND(L$5&gt;=$C170,L$5&lt;=$D170,$A170&lt;&gt;""),"●","")</x:f>
      </x:c>
      <x:c r="M170" s="165" t="str">
        <x:f>IF(AND(M$5&gt;=$C170,M$5&lt;=$D170,$A170&lt;&gt;""),"●","")</x:f>
      </x:c>
      <x:c r="N170" s="165" t="str">
        <x:f>IF(AND(N$5&gt;=$C170,N$5&lt;=$D170,$A170&lt;&gt;""),"●","")</x:f>
      </x:c>
      <x:c r="O170" s="165" t="str">
        <x:f>IF(AND(O$5&gt;=$C170,O$5&lt;=$D170,$A170&lt;&gt;""),"●","")</x:f>
      </x:c>
      <x:c r="P170" s="165" t="str">
        <x:f>IF(AND(P$5&gt;=$C170,P$5&lt;=$D170,$A170&lt;&gt;""),"●","")</x:f>
      </x:c>
      <x:c r="Q170" s="165" t="str">
        <x:f>IF(AND(Q$5&gt;=$C170,Q$5&lt;=$D170,$A170&lt;&gt;""),"●","")</x:f>
      </x:c>
      <x:c r="R170" s="165" t="str">
        <x:f>IF(AND(R$5&gt;=$C170,R$5&lt;=$D170,$A170&lt;&gt;""),"●","")</x:f>
      </x:c>
      <x:c r="S170" s="165" t="str">
        <x:f>IF(AND(S$5&gt;=$C170,S$5&lt;=$D170,$A170&lt;&gt;""),"●","")</x:f>
      </x:c>
      <x:c r="T170" s="165" t="str">
        <x:f>IF(AND(T$5&gt;=$C170,T$5&lt;=$D170,$A170&lt;&gt;""),"●","")</x:f>
      </x:c>
      <x:c r="U170" s="165" t="str">
        <x:f>IF(AND(U$5&gt;=$C170,U$5&lt;=$D170,$A170&lt;&gt;""),"●","")</x:f>
      </x:c>
      <x:c r="V170" s="165" t="str">
        <x:f>IF(AND(V$5&gt;=$C170,V$5&lt;=$D170,$A170&lt;&gt;""),"●","")</x:f>
      </x:c>
      <x:c r="W170" s="165" t="str">
        <x:f>IF(AND(W$5&gt;=$C170,W$5&lt;=$D170,$A170&lt;&gt;""),"●","")</x:f>
      </x:c>
      <x:c r="X170" s="165" t="str">
        <x:f>IF(AND(X$5&gt;=$C170,X$5&lt;=$D170,$A170&lt;&gt;""),"●","")</x:f>
      </x:c>
      <x:c r="Y170" s="165" t="str">
        <x:f>IF(AND(Y$5&gt;=$C170,Y$5&lt;=$D170,$A170&lt;&gt;""),"●","")</x:f>
      </x:c>
      <x:c r="Z170" s="165" t="str">
        <x:f>IF(AND(Z$5&gt;=$C170,Z$5&lt;=$D170,$A170&lt;&gt;""),"●","")</x:f>
      </x:c>
      <x:c r="AA170" s="165" t="str">
        <x:f>IF(AND(AA$5&gt;=$C170,AA$5&lt;=$D170,$A170&lt;&gt;""),"●","")</x:f>
      </x:c>
      <x:c r="AB170" s="165" t="str">
        <x:f>IF(AND(AB$5&gt;=$C170,AB$5&lt;=$D170,$A170&lt;&gt;""),"●","")</x:f>
      </x:c>
      <x:c r="AC170" s="165" t="str">
        <x:f>IF(AND(AC$5&gt;=$C170,AC$5&lt;=$D170,$A170&lt;&gt;""),"●","")</x:f>
      </x:c>
      <x:c r="AD170" s="165" t="str">
        <x:f>IF(AND(AD$5&gt;=$C170,AD$5&lt;=$D170,$A170&lt;&gt;""),"●","")</x:f>
      </x:c>
      <x:c r="AE170" s="165" t="str">
        <x:f>IF(AND(AE$5&gt;=$C170,AE$5&lt;=$D170,$A170&lt;&gt;""),"●","")</x:f>
      </x:c>
      <x:c r="AF170" s="165" t="str">
        <x:f>IF(AND(AF$5&gt;=$C170,AF$5&lt;=$D170,$A170&lt;&gt;""),"●","")</x:f>
      </x:c>
      <x:c r="AG170" s="165" t="str">
        <x:f>IF(AND(AG$5&gt;=$C170,AG$5&lt;=$D170,$A170&lt;&gt;""),"●","")</x:f>
      </x:c>
      <x:c r="AH170" s="165" t="str">
        <x:f>IF(AND(AH$5&gt;=$C170,AH$5&lt;=$D170,$A170&lt;&gt;""),"●","")</x:f>
      </x:c>
      <x:c r="AI170" s="165" t="str">
        <x:f>IF(AND(AI$5&gt;=$C170,AI$5&lt;=$D170,$A170&lt;&gt;""),"●","")</x:f>
      </x:c>
      <x:c r="AJ170" s="165" t="str">
        <x:f>IF(AND(AJ$5&gt;=$C170,AJ$5&lt;=$D170,$A170&lt;&gt;""),"●","")</x:f>
      </x:c>
      <x:c r="AK170" s="165" t="str">
        <x:f>IF(AND(AK$5&gt;=$C170,AK$5&lt;=$D170,$A170&lt;&gt;""),"●","")</x:f>
      </x:c>
      <x:c r="AL170" s="165" t="str">
        <x:f>IF(AND(AL$5&gt;=$C170,AL$5&lt;=$D170,$A170&lt;&gt;""),"●","")</x:f>
      </x:c>
      <x:c r="AM170" s="165" t="str">
        <x:f>IF(AND(AM$5&gt;=$C170,AM$5&lt;=$D170,$A170&lt;&gt;""),"●","")</x:f>
      </x:c>
      <x:c r="AN170" s="165" t="str">
        <x:f>IF(AND(AN$5&gt;=$C170,AN$5&lt;=$D170,$A170&lt;&gt;""),"●","")</x:f>
      </x:c>
      <x:c r="AO170" s="165" t="str">
        <x:f>IF(AND(AO$5&gt;=$C170,AO$5&lt;=$D170,$A170&lt;&gt;""),"●","")</x:f>
      </x:c>
      <x:c r="AP170" s="165" t="str">
        <x:f>IF(AND(AP$5&gt;=$C170,AP$5&lt;=$D170,$A170&lt;&gt;""),"●","")</x:f>
      </x:c>
      <x:c r="AQ170" s="165" t="str">
        <x:f>IF(AND(AQ$5&gt;=$C170,AQ$5&lt;=$D170,$A170&lt;&gt;""),"●","")</x:f>
      </x:c>
      <x:c r="AR170" s="165" t="str">
        <x:f>IF(AND(AR$5&gt;=$C170,AR$5&lt;=$D170,$A170&lt;&gt;""),"●","")</x:f>
      </x:c>
      <x:c r="AS170" s="165" t="str">
        <x:f>IF(AND(AS$5&gt;=$C170,AS$5&lt;=$D170,$A170&lt;&gt;""),"●","")</x:f>
      </x:c>
      <x:c r="AT170" s="165" t="str">
        <x:f>IF(AND(AT$5&gt;=$C170,AT$5&lt;=$D170,$A170&lt;&gt;""),"●","")</x:f>
      </x:c>
      <x:c r="AU170" s="165" t="str">
        <x:f>IF(AND(AU$5&gt;=$C170,AU$5&lt;=$D170,$A170&lt;&gt;""),"●","")</x:f>
      </x:c>
      <x:c r="AV170" s="165" t="str">
        <x:f>IF(AND(AV$5&gt;=$C170,AV$5&lt;=$D170,$A170&lt;&gt;""),"●","")</x:f>
      </x:c>
      <x:c r="AW170" s="165" t="str">
        <x:f>IF(AND(AW$5&gt;=$C170,AW$5&lt;=$D170,$A170&lt;&gt;""),"●","")</x:f>
      </x:c>
      <x:c r="AX170" s="165" t="str">
        <x:f>IF(AND(AX$5&gt;=$C170,AX$5&lt;=$D170,$A170&lt;&gt;""),"●","")</x:f>
      </x:c>
      <x:c r="AY170" s="165" t="str">
        <x:f>IF(AND(AY$5&gt;=$C170,AY$5&lt;=$D170,$A170&lt;&gt;""),"●","")</x:f>
      </x:c>
      <x:c r="AZ170" s="165" t="str">
        <x:f>IF(AND(AZ$5&gt;=$C170,AZ$5&lt;=$D170,$A170&lt;&gt;""),"●","")</x:f>
      </x:c>
      <x:c r="BA170" s="165" t="str">
        <x:f>IF(AND(BA$5&gt;=$C170,BA$5&lt;=$D170,$A170&lt;&gt;""),"●","")</x:f>
      </x:c>
      <x:c r="BB170" s="165" t="str">
        <x:f>IF(AND(BB$5&gt;=$C170,BB$5&lt;=$D170,$A170&lt;&gt;""),"●","")</x:f>
      </x:c>
      <x:c r="BC170" s="165" t="str">
        <x:f>IF(AND(BC$5&gt;=$C170,BC$5&lt;=$D170,$A170&lt;&gt;""),"●","")</x:f>
      </x:c>
      <x:c r="BD170" s="165" t="str">
        <x:f>IF(AND(BD$5&gt;=$C170,BD$5&lt;=$D170,$A170&lt;&gt;""),"●","")</x:f>
      </x:c>
      <x:c r="BE170" s="165" t="str">
        <x:f>IF(AND(BE$5&gt;=$C170,BE$5&lt;=$D170,$A170&lt;&gt;""),"●","")</x:f>
      </x:c>
      <x:c r="BF170" s="165" t="str">
        <x:f>IF(AND(BF$5&gt;=$C170,BF$5&lt;=$D170,$A170&lt;&gt;""),"●","")</x:f>
      </x:c>
      <x:c r="BG170" s="165" t="str">
        <x:f>IF(AND(BG$5&gt;=$C170,BG$5&lt;=$D170,$A170&lt;&gt;""),"●","")</x:f>
      </x:c>
      <x:c r="BH170" s="165" t="str">
        <x:f>IF(AND(BH$5&gt;=$C170,BH$5&lt;=$D170,$A170&lt;&gt;""),"●","")</x:f>
      </x:c>
      <x:c r="BI170" s="165" t="str">
        <x:f>IF(AND(BI$5&gt;=$C170,BI$5&lt;=$D170,$A170&lt;&gt;""),"●","")</x:f>
      </x:c>
      <x:c r="BJ170" s="165" t="str">
        <x:f>IF(AND(BJ$5&gt;=$C170,BJ$5&lt;=$D170,$A170&lt;&gt;""),"●","")</x:f>
      </x:c>
      <x:c r="BK170" s="165" t="str">
        <x:f>IF(AND(BK$5&gt;=$C170,BK$5&lt;=$D170,$A170&lt;&gt;""),"●","")</x:f>
      </x:c>
      <x:c r="BL170" s="165" t="str">
        <x:f>IF(AND(BL$5&gt;=$C170,BL$5&lt;=$D170,$A170&lt;&gt;""),"●","")</x:f>
      </x:c>
      <x:c r="BM170" s="165" t="str">
        <x:f>IF(AND(BM$5&gt;=$C170,BM$5&lt;=$D170,$A170&lt;&gt;""),"●","")</x:f>
      </x:c>
      <x:c r="BN170" s="165" t="str">
        <x:f>IF(AND(BN$5&gt;=$C170,BN$5&lt;=$D170,$A170&lt;&gt;""),"●","")</x:f>
      </x:c>
      <x:c r="BO170" s="165" t="str">
        <x:f>IF(AND(BO$5&gt;=$C170,BO$5&lt;=$D170,$A170&lt;&gt;""),"●","")</x:f>
      </x:c>
      <x:c r="BP170" s="165" t="str">
        <x:f>IF(AND(BP$5&gt;=$C170,BP$5&lt;=$D170,$A170&lt;&gt;""),"●","")</x:f>
      </x:c>
      <x:c r="BQ170" s="165" t="str">
        <x:f>IF(AND(BQ$5&gt;=$C170,BQ$5&lt;=$D170,$A170&lt;&gt;""),"●","")</x:f>
      </x:c>
      <x:c r="BR170" s="165" t="str">
        <x:f>IF(AND(BR$5&gt;=$C170,BR$5&lt;=$D170,$A170&lt;&gt;""),"●","")</x:f>
      </x:c>
      <x:c r="BS170" s="165" t="str">
        <x:f>IF(AND(BS$5&gt;=$C170,BS$5&lt;=$D170,$A170&lt;&gt;""),"●","")</x:f>
      </x:c>
      <x:c r="BT170" s="165" t="str">
        <x:f>IF(AND(BT$5&gt;=$C170,BT$5&lt;=$D170,$A170&lt;&gt;""),"●","")</x:f>
      </x:c>
      <x:c r="BU170" s="165" t="str">
        <x:f>IF(AND(BU$5&gt;=$C170,BU$5&lt;=$D170,$A170&lt;&gt;""),"●","")</x:f>
      </x:c>
      <x:c r="BV170" s="165" t="str">
        <x:f>IF(AND(BV$5&gt;=$C170,BV$5&lt;=$D170,$A170&lt;&gt;""),"●","")</x:f>
      </x:c>
      <x:c r="BW170" s="165" t="str">
        <x:f>IF(AND(BW$5&gt;=$C170,BW$5&lt;=$D170,$A170&lt;&gt;""),"●","")</x:f>
      </x:c>
    </x:row>
    <x:row r="171">
      <x:c r="A171" s="159" t="str">
        <x:f>IF('รายการสัญญา'!A171="","",'รายการสัญญา'!A171)</x:f>
      </x:c>
      <x:c r="B171" s="159" t="str">
        <x:f>IF('รายการสัญญา'!A171="","",'รายการสัญญา'!C171)</x:f>
      </x:c>
      <x:c r="C171" s="162" t="str">
        <x:f>IF('รายการสัญญา'!A171="","",'รายการสัญญา'!E171)</x:f>
      </x:c>
      <x:c r="D171" s="162" t="str">
        <x:f>IF('รายการสัญญา'!A171="","",'รายการสัญญา'!G171)</x:f>
      </x:c>
      <x:c r="E171" s="159" t="str">
        <x:f>IF('รายการสัญญา'!A171="","",'รายการสัญญา'!K171)</x:f>
      </x:c>
      <x:c r="F171" s="165" t="str">
        <x:f>IF(AND(F$5&gt;=$C171,F$5&lt;=$D171,$A171&lt;&gt;""),"●","")</x:f>
      </x:c>
      <x:c r="G171" s="165" t="str">
        <x:f>IF(AND(G$5&gt;=$C171,G$5&lt;=$D171,$A171&lt;&gt;""),"●","")</x:f>
      </x:c>
      <x:c r="H171" s="165" t="str">
        <x:f>IF(AND(H$5&gt;=$C171,H$5&lt;=$D171,$A171&lt;&gt;""),"●","")</x:f>
      </x:c>
      <x:c r="I171" s="165" t="str">
        <x:f>IF(AND(I$5&gt;=$C171,I$5&lt;=$D171,$A171&lt;&gt;""),"●","")</x:f>
      </x:c>
      <x:c r="J171" s="165" t="str">
        <x:f>IF(AND(J$5&gt;=$C171,J$5&lt;=$D171,$A171&lt;&gt;""),"●","")</x:f>
      </x:c>
      <x:c r="K171" s="165" t="str">
        <x:f>IF(AND(K$5&gt;=$C171,K$5&lt;=$D171,$A171&lt;&gt;""),"●","")</x:f>
      </x:c>
      <x:c r="L171" s="165" t="str">
        <x:f>IF(AND(L$5&gt;=$C171,L$5&lt;=$D171,$A171&lt;&gt;""),"●","")</x:f>
      </x:c>
      <x:c r="M171" s="165" t="str">
        <x:f>IF(AND(M$5&gt;=$C171,M$5&lt;=$D171,$A171&lt;&gt;""),"●","")</x:f>
      </x:c>
      <x:c r="N171" s="165" t="str">
        <x:f>IF(AND(N$5&gt;=$C171,N$5&lt;=$D171,$A171&lt;&gt;""),"●","")</x:f>
      </x:c>
      <x:c r="O171" s="165" t="str">
        <x:f>IF(AND(O$5&gt;=$C171,O$5&lt;=$D171,$A171&lt;&gt;""),"●","")</x:f>
      </x:c>
      <x:c r="P171" s="165" t="str">
        <x:f>IF(AND(P$5&gt;=$C171,P$5&lt;=$D171,$A171&lt;&gt;""),"●","")</x:f>
      </x:c>
      <x:c r="Q171" s="165" t="str">
        <x:f>IF(AND(Q$5&gt;=$C171,Q$5&lt;=$D171,$A171&lt;&gt;""),"●","")</x:f>
      </x:c>
      <x:c r="R171" s="165" t="str">
        <x:f>IF(AND(R$5&gt;=$C171,R$5&lt;=$D171,$A171&lt;&gt;""),"●","")</x:f>
      </x:c>
      <x:c r="S171" s="165" t="str">
        <x:f>IF(AND(S$5&gt;=$C171,S$5&lt;=$D171,$A171&lt;&gt;""),"●","")</x:f>
      </x:c>
      <x:c r="T171" s="165" t="str">
        <x:f>IF(AND(T$5&gt;=$C171,T$5&lt;=$D171,$A171&lt;&gt;""),"●","")</x:f>
      </x:c>
      <x:c r="U171" s="165" t="str">
        <x:f>IF(AND(U$5&gt;=$C171,U$5&lt;=$D171,$A171&lt;&gt;""),"●","")</x:f>
      </x:c>
      <x:c r="V171" s="165" t="str">
        <x:f>IF(AND(V$5&gt;=$C171,V$5&lt;=$D171,$A171&lt;&gt;""),"●","")</x:f>
      </x:c>
      <x:c r="W171" s="165" t="str">
        <x:f>IF(AND(W$5&gt;=$C171,W$5&lt;=$D171,$A171&lt;&gt;""),"●","")</x:f>
      </x:c>
      <x:c r="X171" s="165" t="str">
        <x:f>IF(AND(X$5&gt;=$C171,X$5&lt;=$D171,$A171&lt;&gt;""),"●","")</x:f>
      </x:c>
      <x:c r="Y171" s="165" t="str">
        <x:f>IF(AND(Y$5&gt;=$C171,Y$5&lt;=$D171,$A171&lt;&gt;""),"●","")</x:f>
      </x:c>
      <x:c r="Z171" s="165" t="str">
        <x:f>IF(AND(Z$5&gt;=$C171,Z$5&lt;=$D171,$A171&lt;&gt;""),"●","")</x:f>
      </x:c>
      <x:c r="AA171" s="165" t="str">
        <x:f>IF(AND(AA$5&gt;=$C171,AA$5&lt;=$D171,$A171&lt;&gt;""),"●","")</x:f>
      </x:c>
      <x:c r="AB171" s="165" t="str">
        <x:f>IF(AND(AB$5&gt;=$C171,AB$5&lt;=$D171,$A171&lt;&gt;""),"●","")</x:f>
      </x:c>
      <x:c r="AC171" s="165" t="str">
        <x:f>IF(AND(AC$5&gt;=$C171,AC$5&lt;=$D171,$A171&lt;&gt;""),"●","")</x:f>
      </x:c>
      <x:c r="AD171" s="165" t="str">
        <x:f>IF(AND(AD$5&gt;=$C171,AD$5&lt;=$D171,$A171&lt;&gt;""),"●","")</x:f>
      </x:c>
      <x:c r="AE171" s="165" t="str">
        <x:f>IF(AND(AE$5&gt;=$C171,AE$5&lt;=$D171,$A171&lt;&gt;""),"●","")</x:f>
      </x:c>
      <x:c r="AF171" s="165" t="str">
        <x:f>IF(AND(AF$5&gt;=$C171,AF$5&lt;=$D171,$A171&lt;&gt;""),"●","")</x:f>
      </x:c>
      <x:c r="AG171" s="165" t="str">
        <x:f>IF(AND(AG$5&gt;=$C171,AG$5&lt;=$D171,$A171&lt;&gt;""),"●","")</x:f>
      </x:c>
      <x:c r="AH171" s="165" t="str">
        <x:f>IF(AND(AH$5&gt;=$C171,AH$5&lt;=$D171,$A171&lt;&gt;""),"●","")</x:f>
      </x:c>
      <x:c r="AI171" s="165" t="str">
        <x:f>IF(AND(AI$5&gt;=$C171,AI$5&lt;=$D171,$A171&lt;&gt;""),"●","")</x:f>
      </x:c>
      <x:c r="AJ171" s="165" t="str">
        <x:f>IF(AND(AJ$5&gt;=$C171,AJ$5&lt;=$D171,$A171&lt;&gt;""),"●","")</x:f>
      </x:c>
      <x:c r="AK171" s="165" t="str">
        <x:f>IF(AND(AK$5&gt;=$C171,AK$5&lt;=$D171,$A171&lt;&gt;""),"●","")</x:f>
      </x:c>
      <x:c r="AL171" s="165" t="str">
        <x:f>IF(AND(AL$5&gt;=$C171,AL$5&lt;=$D171,$A171&lt;&gt;""),"●","")</x:f>
      </x:c>
      <x:c r="AM171" s="165" t="str">
        <x:f>IF(AND(AM$5&gt;=$C171,AM$5&lt;=$D171,$A171&lt;&gt;""),"●","")</x:f>
      </x:c>
      <x:c r="AN171" s="165" t="str">
        <x:f>IF(AND(AN$5&gt;=$C171,AN$5&lt;=$D171,$A171&lt;&gt;""),"●","")</x:f>
      </x:c>
      <x:c r="AO171" s="165" t="str">
        <x:f>IF(AND(AO$5&gt;=$C171,AO$5&lt;=$D171,$A171&lt;&gt;""),"●","")</x:f>
      </x:c>
      <x:c r="AP171" s="165" t="str">
        <x:f>IF(AND(AP$5&gt;=$C171,AP$5&lt;=$D171,$A171&lt;&gt;""),"●","")</x:f>
      </x:c>
      <x:c r="AQ171" s="165" t="str">
        <x:f>IF(AND(AQ$5&gt;=$C171,AQ$5&lt;=$D171,$A171&lt;&gt;""),"●","")</x:f>
      </x:c>
      <x:c r="AR171" s="165" t="str">
        <x:f>IF(AND(AR$5&gt;=$C171,AR$5&lt;=$D171,$A171&lt;&gt;""),"●","")</x:f>
      </x:c>
      <x:c r="AS171" s="165" t="str">
        <x:f>IF(AND(AS$5&gt;=$C171,AS$5&lt;=$D171,$A171&lt;&gt;""),"●","")</x:f>
      </x:c>
      <x:c r="AT171" s="165" t="str">
        <x:f>IF(AND(AT$5&gt;=$C171,AT$5&lt;=$D171,$A171&lt;&gt;""),"●","")</x:f>
      </x:c>
      <x:c r="AU171" s="165" t="str">
        <x:f>IF(AND(AU$5&gt;=$C171,AU$5&lt;=$D171,$A171&lt;&gt;""),"●","")</x:f>
      </x:c>
      <x:c r="AV171" s="165" t="str">
        <x:f>IF(AND(AV$5&gt;=$C171,AV$5&lt;=$D171,$A171&lt;&gt;""),"●","")</x:f>
      </x:c>
      <x:c r="AW171" s="165" t="str">
        <x:f>IF(AND(AW$5&gt;=$C171,AW$5&lt;=$D171,$A171&lt;&gt;""),"●","")</x:f>
      </x:c>
      <x:c r="AX171" s="165" t="str">
        <x:f>IF(AND(AX$5&gt;=$C171,AX$5&lt;=$D171,$A171&lt;&gt;""),"●","")</x:f>
      </x:c>
      <x:c r="AY171" s="165" t="str">
        <x:f>IF(AND(AY$5&gt;=$C171,AY$5&lt;=$D171,$A171&lt;&gt;""),"●","")</x:f>
      </x:c>
      <x:c r="AZ171" s="165" t="str">
        <x:f>IF(AND(AZ$5&gt;=$C171,AZ$5&lt;=$D171,$A171&lt;&gt;""),"●","")</x:f>
      </x:c>
      <x:c r="BA171" s="165" t="str">
        <x:f>IF(AND(BA$5&gt;=$C171,BA$5&lt;=$D171,$A171&lt;&gt;""),"●","")</x:f>
      </x:c>
      <x:c r="BB171" s="165" t="str">
        <x:f>IF(AND(BB$5&gt;=$C171,BB$5&lt;=$D171,$A171&lt;&gt;""),"●","")</x:f>
      </x:c>
      <x:c r="BC171" s="165" t="str">
        <x:f>IF(AND(BC$5&gt;=$C171,BC$5&lt;=$D171,$A171&lt;&gt;""),"●","")</x:f>
      </x:c>
      <x:c r="BD171" s="165" t="str">
        <x:f>IF(AND(BD$5&gt;=$C171,BD$5&lt;=$D171,$A171&lt;&gt;""),"●","")</x:f>
      </x:c>
      <x:c r="BE171" s="165" t="str">
        <x:f>IF(AND(BE$5&gt;=$C171,BE$5&lt;=$D171,$A171&lt;&gt;""),"●","")</x:f>
      </x:c>
      <x:c r="BF171" s="165" t="str">
        <x:f>IF(AND(BF$5&gt;=$C171,BF$5&lt;=$D171,$A171&lt;&gt;""),"●","")</x:f>
      </x:c>
      <x:c r="BG171" s="165" t="str">
        <x:f>IF(AND(BG$5&gt;=$C171,BG$5&lt;=$D171,$A171&lt;&gt;""),"●","")</x:f>
      </x:c>
      <x:c r="BH171" s="165" t="str">
        <x:f>IF(AND(BH$5&gt;=$C171,BH$5&lt;=$D171,$A171&lt;&gt;""),"●","")</x:f>
      </x:c>
      <x:c r="BI171" s="165" t="str">
        <x:f>IF(AND(BI$5&gt;=$C171,BI$5&lt;=$D171,$A171&lt;&gt;""),"●","")</x:f>
      </x:c>
      <x:c r="BJ171" s="165" t="str">
        <x:f>IF(AND(BJ$5&gt;=$C171,BJ$5&lt;=$D171,$A171&lt;&gt;""),"●","")</x:f>
      </x:c>
      <x:c r="BK171" s="165" t="str">
        <x:f>IF(AND(BK$5&gt;=$C171,BK$5&lt;=$D171,$A171&lt;&gt;""),"●","")</x:f>
      </x:c>
      <x:c r="BL171" s="165" t="str">
        <x:f>IF(AND(BL$5&gt;=$C171,BL$5&lt;=$D171,$A171&lt;&gt;""),"●","")</x:f>
      </x:c>
      <x:c r="BM171" s="165" t="str">
        <x:f>IF(AND(BM$5&gt;=$C171,BM$5&lt;=$D171,$A171&lt;&gt;""),"●","")</x:f>
      </x:c>
      <x:c r="BN171" s="165" t="str">
        <x:f>IF(AND(BN$5&gt;=$C171,BN$5&lt;=$D171,$A171&lt;&gt;""),"●","")</x:f>
      </x:c>
      <x:c r="BO171" s="165" t="str">
        <x:f>IF(AND(BO$5&gt;=$C171,BO$5&lt;=$D171,$A171&lt;&gt;""),"●","")</x:f>
      </x:c>
      <x:c r="BP171" s="165" t="str">
        <x:f>IF(AND(BP$5&gt;=$C171,BP$5&lt;=$D171,$A171&lt;&gt;""),"●","")</x:f>
      </x:c>
      <x:c r="BQ171" s="165" t="str">
        <x:f>IF(AND(BQ$5&gt;=$C171,BQ$5&lt;=$D171,$A171&lt;&gt;""),"●","")</x:f>
      </x:c>
      <x:c r="BR171" s="165" t="str">
        <x:f>IF(AND(BR$5&gt;=$C171,BR$5&lt;=$D171,$A171&lt;&gt;""),"●","")</x:f>
      </x:c>
      <x:c r="BS171" s="165" t="str">
        <x:f>IF(AND(BS$5&gt;=$C171,BS$5&lt;=$D171,$A171&lt;&gt;""),"●","")</x:f>
      </x:c>
      <x:c r="BT171" s="165" t="str">
        <x:f>IF(AND(BT$5&gt;=$C171,BT$5&lt;=$D171,$A171&lt;&gt;""),"●","")</x:f>
      </x:c>
      <x:c r="BU171" s="165" t="str">
        <x:f>IF(AND(BU$5&gt;=$C171,BU$5&lt;=$D171,$A171&lt;&gt;""),"●","")</x:f>
      </x:c>
      <x:c r="BV171" s="165" t="str">
        <x:f>IF(AND(BV$5&gt;=$C171,BV$5&lt;=$D171,$A171&lt;&gt;""),"●","")</x:f>
      </x:c>
      <x:c r="BW171" s="165" t="str">
        <x:f>IF(AND(BW$5&gt;=$C171,BW$5&lt;=$D171,$A171&lt;&gt;""),"●","")</x:f>
      </x:c>
    </x:row>
    <x:row r="172">
      <x:c r="A172" s="159" t="str">
        <x:f>IF('รายการสัญญา'!A172="","",'รายการสัญญา'!A172)</x:f>
      </x:c>
      <x:c r="B172" s="159" t="str">
        <x:f>IF('รายการสัญญา'!A172="","",'รายการสัญญา'!C172)</x:f>
      </x:c>
      <x:c r="C172" s="162" t="str">
        <x:f>IF('รายการสัญญา'!A172="","",'รายการสัญญา'!E172)</x:f>
      </x:c>
      <x:c r="D172" s="162" t="str">
        <x:f>IF('รายการสัญญา'!A172="","",'รายการสัญญา'!G172)</x:f>
      </x:c>
      <x:c r="E172" s="159" t="str">
        <x:f>IF('รายการสัญญา'!A172="","",'รายการสัญญา'!K172)</x:f>
      </x:c>
      <x:c r="F172" s="165" t="str">
        <x:f>IF(AND(F$5&gt;=$C172,F$5&lt;=$D172,$A172&lt;&gt;""),"●","")</x:f>
      </x:c>
      <x:c r="G172" s="165" t="str">
        <x:f>IF(AND(G$5&gt;=$C172,G$5&lt;=$D172,$A172&lt;&gt;""),"●","")</x:f>
      </x:c>
      <x:c r="H172" s="165" t="str">
        <x:f>IF(AND(H$5&gt;=$C172,H$5&lt;=$D172,$A172&lt;&gt;""),"●","")</x:f>
      </x:c>
      <x:c r="I172" s="165" t="str">
        <x:f>IF(AND(I$5&gt;=$C172,I$5&lt;=$D172,$A172&lt;&gt;""),"●","")</x:f>
      </x:c>
      <x:c r="J172" s="165" t="str">
        <x:f>IF(AND(J$5&gt;=$C172,J$5&lt;=$D172,$A172&lt;&gt;""),"●","")</x:f>
      </x:c>
      <x:c r="K172" s="165" t="str">
        <x:f>IF(AND(K$5&gt;=$C172,K$5&lt;=$D172,$A172&lt;&gt;""),"●","")</x:f>
      </x:c>
      <x:c r="L172" s="165" t="str">
        <x:f>IF(AND(L$5&gt;=$C172,L$5&lt;=$D172,$A172&lt;&gt;""),"●","")</x:f>
      </x:c>
      <x:c r="M172" s="165" t="str">
        <x:f>IF(AND(M$5&gt;=$C172,M$5&lt;=$D172,$A172&lt;&gt;""),"●","")</x:f>
      </x:c>
      <x:c r="N172" s="165" t="str">
        <x:f>IF(AND(N$5&gt;=$C172,N$5&lt;=$D172,$A172&lt;&gt;""),"●","")</x:f>
      </x:c>
      <x:c r="O172" s="165" t="str">
        <x:f>IF(AND(O$5&gt;=$C172,O$5&lt;=$D172,$A172&lt;&gt;""),"●","")</x:f>
      </x:c>
      <x:c r="P172" s="165" t="str">
        <x:f>IF(AND(P$5&gt;=$C172,P$5&lt;=$D172,$A172&lt;&gt;""),"●","")</x:f>
      </x:c>
      <x:c r="Q172" s="165" t="str">
        <x:f>IF(AND(Q$5&gt;=$C172,Q$5&lt;=$D172,$A172&lt;&gt;""),"●","")</x:f>
      </x:c>
      <x:c r="R172" s="165" t="str">
        <x:f>IF(AND(R$5&gt;=$C172,R$5&lt;=$D172,$A172&lt;&gt;""),"●","")</x:f>
      </x:c>
      <x:c r="S172" s="165" t="str">
        <x:f>IF(AND(S$5&gt;=$C172,S$5&lt;=$D172,$A172&lt;&gt;""),"●","")</x:f>
      </x:c>
      <x:c r="T172" s="165" t="str">
        <x:f>IF(AND(T$5&gt;=$C172,T$5&lt;=$D172,$A172&lt;&gt;""),"●","")</x:f>
      </x:c>
      <x:c r="U172" s="165" t="str">
        <x:f>IF(AND(U$5&gt;=$C172,U$5&lt;=$D172,$A172&lt;&gt;""),"●","")</x:f>
      </x:c>
      <x:c r="V172" s="165" t="str">
        <x:f>IF(AND(V$5&gt;=$C172,V$5&lt;=$D172,$A172&lt;&gt;""),"●","")</x:f>
      </x:c>
      <x:c r="W172" s="165" t="str">
        <x:f>IF(AND(W$5&gt;=$C172,W$5&lt;=$D172,$A172&lt;&gt;""),"●","")</x:f>
      </x:c>
      <x:c r="X172" s="165" t="str">
        <x:f>IF(AND(X$5&gt;=$C172,X$5&lt;=$D172,$A172&lt;&gt;""),"●","")</x:f>
      </x:c>
      <x:c r="Y172" s="165" t="str">
        <x:f>IF(AND(Y$5&gt;=$C172,Y$5&lt;=$D172,$A172&lt;&gt;""),"●","")</x:f>
      </x:c>
      <x:c r="Z172" s="165" t="str">
        <x:f>IF(AND(Z$5&gt;=$C172,Z$5&lt;=$D172,$A172&lt;&gt;""),"●","")</x:f>
      </x:c>
      <x:c r="AA172" s="165" t="str">
        <x:f>IF(AND(AA$5&gt;=$C172,AA$5&lt;=$D172,$A172&lt;&gt;""),"●","")</x:f>
      </x:c>
      <x:c r="AB172" s="165" t="str">
        <x:f>IF(AND(AB$5&gt;=$C172,AB$5&lt;=$D172,$A172&lt;&gt;""),"●","")</x:f>
      </x:c>
      <x:c r="AC172" s="165" t="str">
        <x:f>IF(AND(AC$5&gt;=$C172,AC$5&lt;=$D172,$A172&lt;&gt;""),"●","")</x:f>
      </x:c>
      <x:c r="AD172" s="165" t="str">
        <x:f>IF(AND(AD$5&gt;=$C172,AD$5&lt;=$D172,$A172&lt;&gt;""),"●","")</x:f>
      </x:c>
      <x:c r="AE172" s="165" t="str">
        <x:f>IF(AND(AE$5&gt;=$C172,AE$5&lt;=$D172,$A172&lt;&gt;""),"●","")</x:f>
      </x:c>
      <x:c r="AF172" s="165" t="str">
        <x:f>IF(AND(AF$5&gt;=$C172,AF$5&lt;=$D172,$A172&lt;&gt;""),"●","")</x:f>
      </x:c>
      <x:c r="AG172" s="165" t="str">
        <x:f>IF(AND(AG$5&gt;=$C172,AG$5&lt;=$D172,$A172&lt;&gt;""),"●","")</x:f>
      </x:c>
      <x:c r="AH172" s="165" t="str">
        <x:f>IF(AND(AH$5&gt;=$C172,AH$5&lt;=$D172,$A172&lt;&gt;""),"●","")</x:f>
      </x:c>
      <x:c r="AI172" s="165" t="str">
        <x:f>IF(AND(AI$5&gt;=$C172,AI$5&lt;=$D172,$A172&lt;&gt;""),"●","")</x:f>
      </x:c>
      <x:c r="AJ172" s="165" t="str">
        <x:f>IF(AND(AJ$5&gt;=$C172,AJ$5&lt;=$D172,$A172&lt;&gt;""),"●","")</x:f>
      </x:c>
      <x:c r="AK172" s="165" t="str">
        <x:f>IF(AND(AK$5&gt;=$C172,AK$5&lt;=$D172,$A172&lt;&gt;""),"●","")</x:f>
      </x:c>
      <x:c r="AL172" s="165" t="str">
        <x:f>IF(AND(AL$5&gt;=$C172,AL$5&lt;=$D172,$A172&lt;&gt;""),"●","")</x:f>
      </x:c>
      <x:c r="AM172" s="165" t="str">
        <x:f>IF(AND(AM$5&gt;=$C172,AM$5&lt;=$D172,$A172&lt;&gt;""),"●","")</x:f>
      </x:c>
      <x:c r="AN172" s="165" t="str">
        <x:f>IF(AND(AN$5&gt;=$C172,AN$5&lt;=$D172,$A172&lt;&gt;""),"●","")</x:f>
      </x:c>
      <x:c r="AO172" s="165" t="str">
        <x:f>IF(AND(AO$5&gt;=$C172,AO$5&lt;=$D172,$A172&lt;&gt;""),"●","")</x:f>
      </x:c>
      <x:c r="AP172" s="165" t="str">
        <x:f>IF(AND(AP$5&gt;=$C172,AP$5&lt;=$D172,$A172&lt;&gt;""),"●","")</x:f>
      </x:c>
      <x:c r="AQ172" s="165" t="str">
        <x:f>IF(AND(AQ$5&gt;=$C172,AQ$5&lt;=$D172,$A172&lt;&gt;""),"●","")</x:f>
      </x:c>
      <x:c r="AR172" s="165" t="str">
        <x:f>IF(AND(AR$5&gt;=$C172,AR$5&lt;=$D172,$A172&lt;&gt;""),"●","")</x:f>
      </x:c>
      <x:c r="AS172" s="165" t="str">
        <x:f>IF(AND(AS$5&gt;=$C172,AS$5&lt;=$D172,$A172&lt;&gt;""),"●","")</x:f>
      </x:c>
      <x:c r="AT172" s="165" t="str">
        <x:f>IF(AND(AT$5&gt;=$C172,AT$5&lt;=$D172,$A172&lt;&gt;""),"●","")</x:f>
      </x:c>
      <x:c r="AU172" s="165" t="str">
        <x:f>IF(AND(AU$5&gt;=$C172,AU$5&lt;=$D172,$A172&lt;&gt;""),"●","")</x:f>
      </x:c>
      <x:c r="AV172" s="165" t="str">
        <x:f>IF(AND(AV$5&gt;=$C172,AV$5&lt;=$D172,$A172&lt;&gt;""),"●","")</x:f>
      </x:c>
      <x:c r="AW172" s="165" t="str">
        <x:f>IF(AND(AW$5&gt;=$C172,AW$5&lt;=$D172,$A172&lt;&gt;""),"●","")</x:f>
      </x:c>
      <x:c r="AX172" s="165" t="str">
        <x:f>IF(AND(AX$5&gt;=$C172,AX$5&lt;=$D172,$A172&lt;&gt;""),"●","")</x:f>
      </x:c>
      <x:c r="AY172" s="165" t="str">
        <x:f>IF(AND(AY$5&gt;=$C172,AY$5&lt;=$D172,$A172&lt;&gt;""),"●","")</x:f>
      </x:c>
      <x:c r="AZ172" s="165" t="str">
        <x:f>IF(AND(AZ$5&gt;=$C172,AZ$5&lt;=$D172,$A172&lt;&gt;""),"●","")</x:f>
      </x:c>
      <x:c r="BA172" s="165" t="str">
        <x:f>IF(AND(BA$5&gt;=$C172,BA$5&lt;=$D172,$A172&lt;&gt;""),"●","")</x:f>
      </x:c>
      <x:c r="BB172" s="165" t="str">
        <x:f>IF(AND(BB$5&gt;=$C172,BB$5&lt;=$D172,$A172&lt;&gt;""),"●","")</x:f>
      </x:c>
      <x:c r="BC172" s="165" t="str">
        <x:f>IF(AND(BC$5&gt;=$C172,BC$5&lt;=$D172,$A172&lt;&gt;""),"●","")</x:f>
      </x:c>
      <x:c r="BD172" s="165" t="str">
        <x:f>IF(AND(BD$5&gt;=$C172,BD$5&lt;=$D172,$A172&lt;&gt;""),"●","")</x:f>
      </x:c>
      <x:c r="BE172" s="165" t="str">
        <x:f>IF(AND(BE$5&gt;=$C172,BE$5&lt;=$D172,$A172&lt;&gt;""),"●","")</x:f>
      </x:c>
      <x:c r="BF172" s="165" t="str">
        <x:f>IF(AND(BF$5&gt;=$C172,BF$5&lt;=$D172,$A172&lt;&gt;""),"●","")</x:f>
      </x:c>
      <x:c r="BG172" s="165" t="str">
        <x:f>IF(AND(BG$5&gt;=$C172,BG$5&lt;=$D172,$A172&lt;&gt;""),"●","")</x:f>
      </x:c>
      <x:c r="BH172" s="165" t="str">
        <x:f>IF(AND(BH$5&gt;=$C172,BH$5&lt;=$D172,$A172&lt;&gt;""),"●","")</x:f>
      </x:c>
      <x:c r="BI172" s="165" t="str">
        <x:f>IF(AND(BI$5&gt;=$C172,BI$5&lt;=$D172,$A172&lt;&gt;""),"●","")</x:f>
      </x:c>
      <x:c r="BJ172" s="165" t="str">
        <x:f>IF(AND(BJ$5&gt;=$C172,BJ$5&lt;=$D172,$A172&lt;&gt;""),"●","")</x:f>
      </x:c>
      <x:c r="BK172" s="165" t="str">
        <x:f>IF(AND(BK$5&gt;=$C172,BK$5&lt;=$D172,$A172&lt;&gt;""),"●","")</x:f>
      </x:c>
      <x:c r="BL172" s="165" t="str">
        <x:f>IF(AND(BL$5&gt;=$C172,BL$5&lt;=$D172,$A172&lt;&gt;""),"●","")</x:f>
      </x:c>
      <x:c r="BM172" s="165" t="str">
        <x:f>IF(AND(BM$5&gt;=$C172,BM$5&lt;=$D172,$A172&lt;&gt;""),"●","")</x:f>
      </x:c>
      <x:c r="BN172" s="165" t="str">
        <x:f>IF(AND(BN$5&gt;=$C172,BN$5&lt;=$D172,$A172&lt;&gt;""),"●","")</x:f>
      </x:c>
      <x:c r="BO172" s="165" t="str">
        <x:f>IF(AND(BO$5&gt;=$C172,BO$5&lt;=$D172,$A172&lt;&gt;""),"●","")</x:f>
      </x:c>
      <x:c r="BP172" s="165" t="str">
        <x:f>IF(AND(BP$5&gt;=$C172,BP$5&lt;=$D172,$A172&lt;&gt;""),"●","")</x:f>
      </x:c>
      <x:c r="BQ172" s="165" t="str">
        <x:f>IF(AND(BQ$5&gt;=$C172,BQ$5&lt;=$D172,$A172&lt;&gt;""),"●","")</x:f>
      </x:c>
      <x:c r="BR172" s="165" t="str">
        <x:f>IF(AND(BR$5&gt;=$C172,BR$5&lt;=$D172,$A172&lt;&gt;""),"●","")</x:f>
      </x:c>
      <x:c r="BS172" s="165" t="str">
        <x:f>IF(AND(BS$5&gt;=$C172,BS$5&lt;=$D172,$A172&lt;&gt;""),"●","")</x:f>
      </x:c>
      <x:c r="BT172" s="165" t="str">
        <x:f>IF(AND(BT$5&gt;=$C172,BT$5&lt;=$D172,$A172&lt;&gt;""),"●","")</x:f>
      </x:c>
      <x:c r="BU172" s="165" t="str">
        <x:f>IF(AND(BU$5&gt;=$C172,BU$5&lt;=$D172,$A172&lt;&gt;""),"●","")</x:f>
      </x:c>
      <x:c r="BV172" s="165" t="str">
        <x:f>IF(AND(BV$5&gt;=$C172,BV$5&lt;=$D172,$A172&lt;&gt;""),"●","")</x:f>
      </x:c>
      <x:c r="BW172" s="165" t="str">
        <x:f>IF(AND(BW$5&gt;=$C172,BW$5&lt;=$D172,$A172&lt;&gt;""),"●","")</x:f>
      </x:c>
    </x:row>
    <x:row r="173">
      <x:c r="A173" s="159" t="str">
        <x:f>IF('รายการสัญญา'!A173="","",'รายการสัญญา'!A173)</x:f>
      </x:c>
      <x:c r="B173" s="159" t="str">
        <x:f>IF('รายการสัญญา'!A173="","",'รายการสัญญา'!C173)</x:f>
      </x:c>
      <x:c r="C173" s="162" t="str">
        <x:f>IF('รายการสัญญา'!A173="","",'รายการสัญญา'!E173)</x:f>
      </x:c>
      <x:c r="D173" s="162" t="str">
        <x:f>IF('รายการสัญญา'!A173="","",'รายการสัญญา'!G173)</x:f>
      </x:c>
      <x:c r="E173" s="159" t="str">
        <x:f>IF('รายการสัญญา'!A173="","",'รายการสัญญา'!K173)</x:f>
      </x:c>
      <x:c r="F173" s="165" t="str">
        <x:f>IF(AND(F$5&gt;=$C173,F$5&lt;=$D173,$A173&lt;&gt;""),"●","")</x:f>
      </x:c>
      <x:c r="G173" s="165" t="str">
        <x:f>IF(AND(G$5&gt;=$C173,G$5&lt;=$D173,$A173&lt;&gt;""),"●","")</x:f>
      </x:c>
      <x:c r="H173" s="165" t="str">
        <x:f>IF(AND(H$5&gt;=$C173,H$5&lt;=$D173,$A173&lt;&gt;""),"●","")</x:f>
      </x:c>
      <x:c r="I173" s="165" t="str">
        <x:f>IF(AND(I$5&gt;=$C173,I$5&lt;=$D173,$A173&lt;&gt;""),"●","")</x:f>
      </x:c>
      <x:c r="J173" s="165" t="str">
        <x:f>IF(AND(J$5&gt;=$C173,J$5&lt;=$D173,$A173&lt;&gt;""),"●","")</x:f>
      </x:c>
      <x:c r="K173" s="165" t="str">
        <x:f>IF(AND(K$5&gt;=$C173,K$5&lt;=$D173,$A173&lt;&gt;""),"●","")</x:f>
      </x:c>
      <x:c r="L173" s="165" t="str">
        <x:f>IF(AND(L$5&gt;=$C173,L$5&lt;=$D173,$A173&lt;&gt;""),"●","")</x:f>
      </x:c>
      <x:c r="M173" s="165" t="str">
        <x:f>IF(AND(M$5&gt;=$C173,M$5&lt;=$D173,$A173&lt;&gt;""),"●","")</x:f>
      </x:c>
      <x:c r="N173" s="165" t="str">
        <x:f>IF(AND(N$5&gt;=$C173,N$5&lt;=$D173,$A173&lt;&gt;""),"●","")</x:f>
      </x:c>
      <x:c r="O173" s="165" t="str">
        <x:f>IF(AND(O$5&gt;=$C173,O$5&lt;=$D173,$A173&lt;&gt;""),"●","")</x:f>
      </x:c>
      <x:c r="P173" s="165" t="str">
        <x:f>IF(AND(P$5&gt;=$C173,P$5&lt;=$D173,$A173&lt;&gt;""),"●","")</x:f>
      </x:c>
      <x:c r="Q173" s="165" t="str">
        <x:f>IF(AND(Q$5&gt;=$C173,Q$5&lt;=$D173,$A173&lt;&gt;""),"●","")</x:f>
      </x:c>
      <x:c r="R173" s="165" t="str">
        <x:f>IF(AND(R$5&gt;=$C173,R$5&lt;=$D173,$A173&lt;&gt;""),"●","")</x:f>
      </x:c>
      <x:c r="S173" s="165" t="str">
        <x:f>IF(AND(S$5&gt;=$C173,S$5&lt;=$D173,$A173&lt;&gt;""),"●","")</x:f>
      </x:c>
      <x:c r="T173" s="165" t="str">
        <x:f>IF(AND(T$5&gt;=$C173,T$5&lt;=$D173,$A173&lt;&gt;""),"●","")</x:f>
      </x:c>
      <x:c r="U173" s="165" t="str">
        <x:f>IF(AND(U$5&gt;=$C173,U$5&lt;=$D173,$A173&lt;&gt;""),"●","")</x:f>
      </x:c>
      <x:c r="V173" s="165" t="str">
        <x:f>IF(AND(V$5&gt;=$C173,V$5&lt;=$D173,$A173&lt;&gt;""),"●","")</x:f>
      </x:c>
      <x:c r="W173" s="165" t="str">
        <x:f>IF(AND(W$5&gt;=$C173,W$5&lt;=$D173,$A173&lt;&gt;""),"●","")</x:f>
      </x:c>
      <x:c r="X173" s="165" t="str">
        <x:f>IF(AND(X$5&gt;=$C173,X$5&lt;=$D173,$A173&lt;&gt;""),"●","")</x:f>
      </x:c>
      <x:c r="Y173" s="165" t="str">
        <x:f>IF(AND(Y$5&gt;=$C173,Y$5&lt;=$D173,$A173&lt;&gt;""),"●","")</x:f>
      </x:c>
      <x:c r="Z173" s="165" t="str">
        <x:f>IF(AND(Z$5&gt;=$C173,Z$5&lt;=$D173,$A173&lt;&gt;""),"●","")</x:f>
      </x:c>
      <x:c r="AA173" s="165" t="str">
        <x:f>IF(AND(AA$5&gt;=$C173,AA$5&lt;=$D173,$A173&lt;&gt;""),"●","")</x:f>
      </x:c>
      <x:c r="AB173" s="165" t="str">
        <x:f>IF(AND(AB$5&gt;=$C173,AB$5&lt;=$D173,$A173&lt;&gt;""),"●","")</x:f>
      </x:c>
      <x:c r="AC173" s="165" t="str">
        <x:f>IF(AND(AC$5&gt;=$C173,AC$5&lt;=$D173,$A173&lt;&gt;""),"●","")</x:f>
      </x:c>
      <x:c r="AD173" s="165" t="str">
        <x:f>IF(AND(AD$5&gt;=$C173,AD$5&lt;=$D173,$A173&lt;&gt;""),"●","")</x:f>
      </x:c>
      <x:c r="AE173" s="165" t="str">
        <x:f>IF(AND(AE$5&gt;=$C173,AE$5&lt;=$D173,$A173&lt;&gt;""),"●","")</x:f>
      </x:c>
      <x:c r="AF173" s="165" t="str">
        <x:f>IF(AND(AF$5&gt;=$C173,AF$5&lt;=$D173,$A173&lt;&gt;""),"●","")</x:f>
      </x:c>
      <x:c r="AG173" s="165" t="str">
        <x:f>IF(AND(AG$5&gt;=$C173,AG$5&lt;=$D173,$A173&lt;&gt;""),"●","")</x:f>
      </x:c>
      <x:c r="AH173" s="165" t="str">
        <x:f>IF(AND(AH$5&gt;=$C173,AH$5&lt;=$D173,$A173&lt;&gt;""),"●","")</x:f>
      </x:c>
      <x:c r="AI173" s="165" t="str">
        <x:f>IF(AND(AI$5&gt;=$C173,AI$5&lt;=$D173,$A173&lt;&gt;""),"●","")</x:f>
      </x:c>
      <x:c r="AJ173" s="165" t="str">
        <x:f>IF(AND(AJ$5&gt;=$C173,AJ$5&lt;=$D173,$A173&lt;&gt;""),"●","")</x:f>
      </x:c>
      <x:c r="AK173" s="165" t="str">
        <x:f>IF(AND(AK$5&gt;=$C173,AK$5&lt;=$D173,$A173&lt;&gt;""),"●","")</x:f>
      </x:c>
      <x:c r="AL173" s="165" t="str">
        <x:f>IF(AND(AL$5&gt;=$C173,AL$5&lt;=$D173,$A173&lt;&gt;""),"●","")</x:f>
      </x:c>
      <x:c r="AM173" s="165" t="str">
        <x:f>IF(AND(AM$5&gt;=$C173,AM$5&lt;=$D173,$A173&lt;&gt;""),"●","")</x:f>
      </x:c>
      <x:c r="AN173" s="165" t="str">
        <x:f>IF(AND(AN$5&gt;=$C173,AN$5&lt;=$D173,$A173&lt;&gt;""),"●","")</x:f>
      </x:c>
      <x:c r="AO173" s="165" t="str">
        <x:f>IF(AND(AO$5&gt;=$C173,AO$5&lt;=$D173,$A173&lt;&gt;""),"●","")</x:f>
      </x:c>
      <x:c r="AP173" s="165" t="str">
        <x:f>IF(AND(AP$5&gt;=$C173,AP$5&lt;=$D173,$A173&lt;&gt;""),"●","")</x:f>
      </x:c>
      <x:c r="AQ173" s="165" t="str">
        <x:f>IF(AND(AQ$5&gt;=$C173,AQ$5&lt;=$D173,$A173&lt;&gt;""),"●","")</x:f>
      </x:c>
      <x:c r="AR173" s="165" t="str">
        <x:f>IF(AND(AR$5&gt;=$C173,AR$5&lt;=$D173,$A173&lt;&gt;""),"●","")</x:f>
      </x:c>
      <x:c r="AS173" s="165" t="str">
        <x:f>IF(AND(AS$5&gt;=$C173,AS$5&lt;=$D173,$A173&lt;&gt;""),"●","")</x:f>
      </x:c>
      <x:c r="AT173" s="165" t="str">
        <x:f>IF(AND(AT$5&gt;=$C173,AT$5&lt;=$D173,$A173&lt;&gt;""),"●","")</x:f>
      </x:c>
      <x:c r="AU173" s="165" t="str">
        <x:f>IF(AND(AU$5&gt;=$C173,AU$5&lt;=$D173,$A173&lt;&gt;""),"●","")</x:f>
      </x:c>
      <x:c r="AV173" s="165" t="str">
        <x:f>IF(AND(AV$5&gt;=$C173,AV$5&lt;=$D173,$A173&lt;&gt;""),"●","")</x:f>
      </x:c>
      <x:c r="AW173" s="165" t="str">
        <x:f>IF(AND(AW$5&gt;=$C173,AW$5&lt;=$D173,$A173&lt;&gt;""),"●","")</x:f>
      </x:c>
      <x:c r="AX173" s="165" t="str">
        <x:f>IF(AND(AX$5&gt;=$C173,AX$5&lt;=$D173,$A173&lt;&gt;""),"●","")</x:f>
      </x:c>
      <x:c r="AY173" s="165" t="str">
        <x:f>IF(AND(AY$5&gt;=$C173,AY$5&lt;=$D173,$A173&lt;&gt;""),"●","")</x:f>
      </x:c>
      <x:c r="AZ173" s="165" t="str">
        <x:f>IF(AND(AZ$5&gt;=$C173,AZ$5&lt;=$D173,$A173&lt;&gt;""),"●","")</x:f>
      </x:c>
      <x:c r="BA173" s="165" t="str">
        <x:f>IF(AND(BA$5&gt;=$C173,BA$5&lt;=$D173,$A173&lt;&gt;""),"●","")</x:f>
      </x:c>
      <x:c r="BB173" s="165" t="str">
        <x:f>IF(AND(BB$5&gt;=$C173,BB$5&lt;=$D173,$A173&lt;&gt;""),"●","")</x:f>
      </x:c>
      <x:c r="BC173" s="165" t="str">
        <x:f>IF(AND(BC$5&gt;=$C173,BC$5&lt;=$D173,$A173&lt;&gt;""),"●","")</x:f>
      </x:c>
      <x:c r="BD173" s="165" t="str">
        <x:f>IF(AND(BD$5&gt;=$C173,BD$5&lt;=$D173,$A173&lt;&gt;""),"●","")</x:f>
      </x:c>
      <x:c r="BE173" s="165" t="str">
        <x:f>IF(AND(BE$5&gt;=$C173,BE$5&lt;=$D173,$A173&lt;&gt;""),"●","")</x:f>
      </x:c>
      <x:c r="BF173" s="165" t="str">
        <x:f>IF(AND(BF$5&gt;=$C173,BF$5&lt;=$D173,$A173&lt;&gt;""),"●","")</x:f>
      </x:c>
      <x:c r="BG173" s="165" t="str">
        <x:f>IF(AND(BG$5&gt;=$C173,BG$5&lt;=$D173,$A173&lt;&gt;""),"●","")</x:f>
      </x:c>
      <x:c r="BH173" s="165" t="str">
        <x:f>IF(AND(BH$5&gt;=$C173,BH$5&lt;=$D173,$A173&lt;&gt;""),"●","")</x:f>
      </x:c>
      <x:c r="BI173" s="165" t="str">
        <x:f>IF(AND(BI$5&gt;=$C173,BI$5&lt;=$D173,$A173&lt;&gt;""),"●","")</x:f>
      </x:c>
      <x:c r="BJ173" s="165" t="str">
        <x:f>IF(AND(BJ$5&gt;=$C173,BJ$5&lt;=$D173,$A173&lt;&gt;""),"●","")</x:f>
      </x:c>
      <x:c r="BK173" s="165" t="str">
        <x:f>IF(AND(BK$5&gt;=$C173,BK$5&lt;=$D173,$A173&lt;&gt;""),"●","")</x:f>
      </x:c>
      <x:c r="BL173" s="165" t="str">
        <x:f>IF(AND(BL$5&gt;=$C173,BL$5&lt;=$D173,$A173&lt;&gt;""),"●","")</x:f>
      </x:c>
      <x:c r="BM173" s="165" t="str">
        <x:f>IF(AND(BM$5&gt;=$C173,BM$5&lt;=$D173,$A173&lt;&gt;""),"●","")</x:f>
      </x:c>
      <x:c r="BN173" s="165" t="str">
        <x:f>IF(AND(BN$5&gt;=$C173,BN$5&lt;=$D173,$A173&lt;&gt;""),"●","")</x:f>
      </x:c>
      <x:c r="BO173" s="165" t="str">
        <x:f>IF(AND(BO$5&gt;=$C173,BO$5&lt;=$D173,$A173&lt;&gt;""),"●","")</x:f>
      </x:c>
      <x:c r="BP173" s="165" t="str">
        <x:f>IF(AND(BP$5&gt;=$C173,BP$5&lt;=$D173,$A173&lt;&gt;""),"●","")</x:f>
      </x:c>
      <x:c r="BQ173" s="165" t="str">
        <x:f>IF(AND(BQ$5&gt;=$C173,BQ$5&lt;=$D173,$A173&lt;&gt;""),"●","")</x:f>
      </x:c>
      <x:c r="BR173" s="165" t="str">
        <x:f>IF(AND(BR$5&gt;=$C173,BR$5&lt;=$D173,$A173&lt;&gt;""),"●","")</x:f>
      </x:c>
      <x:c r="BS173" s="165" t="str">
        <x:f>IF(AND(BS$5&gt;=$C173,BS$5&lt;=$D173,$A173&lt;&gt;""),"●","")</x:f>
      </x:c>
      <x:c r="BT173" s="165" t="str">
        <x:f>IF(AND(BT$5&gt;=$C173,BT$5&lt;=$D173,$A173&lt;&gt;""),"●","")</x:f>
      </x:c>
      <x:c r="BU173" s="165" t="str">
        <x:f>IF(AND(BU$5&gt;=$C173,BU$5&lt;=$D173,$A173&lt;&gt;""),"●","")</x:f>
      </x:c>
      <x:c r="BV173" s="165" t="str">
        <x:f>IF(AND(BV$5&gt;=$C173,BV$5&lt;=$D173,$A173&lt;&gt;""),"●","")</x:f>
      </x:c>
      <x:c r="BW173" s="165" t="str">
        <x:f>IF(AND(BW$5&gt;=$C173,BW$5&lt;=$D173,$A173&lt;&gt;""),"●","")</x:f>
      </x:c>
    </x:row>
    <x:row r="174">
      <x:c r="A174" s="159" t="str">
        <x:f>IF('รายการสัญญา'!A174="","",'รายการสัญญา'!A174)</x:f>
      </x:c>
      <x:c r="B174" s="159" t="str">
        <x:f>IF('รายการสัญญา'!A174="","",'รายการสัญญา'!C174)</x:f>
      </x:c>
      <x:c r="C174" s="162" t="str">
        <x:f>IF('รายการสัญญา'!A174="","",'รายการสัญญา'!E174)</x:f>
      </x:c>
      <x:c r="D174" s="162" t="str">
        <x:f>IF('รายการสัญญา'!A174="","",'รายการสัญญา'!G174)</x:f>
      </x:c>
      <x:c r="E174" s="159" t="str">
        <x:f>IF('รายการสัญญา'!A174="","",'รายการสัญญา'!K174)</x:f>
      </x:c>
      <x:c r="F174" s="165" t="str">
        <x:f>IF(AND(F$5&gt;=$C174,F$5&lt;=$D174,$A174&lt;&gt;""),"●","")</x:f>
      </x:c>
      <x:c r="G174" s="165" t="str">
        <x:f>IF(AND(G$5&gt;=$C174,G$5&lt;=$D174,$A174&lt;&gt;""),"●","")</x:f>
      </x:c>
      <x:c r="H174" s="165" t="str">
        <x:f>IF(AND(H$5&gt;=$C174,H$5&lt;=$D174,$A174&lt;&gt;""),"●","")</x:f>
      </x:c>
      <x:c r="I174" s="165" t="str">
        <x:f>IF(AND(I$5&gt;=$C174,I$5&lt;=$D174,$A174&lt;&gt;""),"●","")</x:f>
      </x:c>
      <x:c r="J174" s="165" t="str">
        <x:f>IF(AND(J$5&gt;=$C174,J$5&lt;=$D174,$A174&lt;&gt;""),"●","")</x:f>
      </x:c>
      <x:c r="K174" s="165" t="str">
        <x:f>IF(AND(K$5&gt;=$C174,K$5&lt;=$D174,$A174&lt;&gt;""),"●","")</x:f>
      </x:c>
      <x:c r="L174" s="165" t="str">
        <x:f>IF(AND(L$5&gt;=$C174,L$5&lt;=$D174,$A174&lt;&gt;""),"●","")</x:f>
      </x:c>
      <x:c r="M174" s="165" t="str">
        <x:f>IF(AND(M$5&gt;=$C174,M$5&lt;=$D174,$A174&lt;&gt;""),"●","")</x:f>
      </x:c>
      <x:c r="N174" s="165" t="str">
        <x:f>IF(AND(N$5&gt;=$C174,N$5&lt;=$D174,$A174&lt;&gt;""),"●","")</x:f>
      </x:c>
      <x:c r="O174" s="165" t="str">
        <x:f>IF(AND(O$5&gt;=$C174,O$5&lt;=$D174,$A174&lt;&gt;""),"●","")</x:f>
      </x:c>
      <x:c r="P174" s="165" t="str">
        <x:f>IF(AND(P$5&gt;=$C174,P$5&lt;=$D174,$A174&lt;&gt;""),"●","")</x:f>
      </x:c>
      <x:c r="Q174" s="165" t="str">
        <x:f>IF(AND(Q$5&gt;=$C174,Q$5&lt;=$D174,$A174&lt;&gt;""),"●","")</x:f>
      </x:c>
      <x:c r="R174" s="165" t="str">
        <x:f>IF(AND(R$5&gt;=$C174,R$5&lt;=$D174,$A174&lt;&gt;""),"●","")</x:f>
      </x:c>
      <x:c r="S174" s="165" t="str">
        <x:f>IF(AND(S$5&gt;=$C174,S$5&lt;=$D174,$A174&lt;&gt;""),"●","")</x:f>
      </x:c>
      <x:c r="T174" s="165" t="str">
        <x:f>IF(AND(T$5&gt;=$C174,T$5&lt;=$D174,$A174&lt;&gt;""),"●","")</x:f>
      </x:c>
      <x:c r="U174" s="165" t="str">
        <x:f>IF(AND(U$5&gt;=$C174,U$5&lt;=$D174,$A174&lt;&gt;""),"●","")</x:f>
      </x:c>
      <x:c r="V174" s="165" t="str">
        <x:f>IF(AND(V$5&gt;=$C174,V$5&lt;=$D174,$A174&lt;&gt;""),"●","")</x:f>
      </x:c>
      <x:c r="W174" s="165" t="str">
        <x:f>IF(AND(W$5&gt;=$C174,W$5&lt;=$D174,$A174&lt;&gt;""),"●","")</x:f>
      </x:c>
      <x:c r="X174" s="165" t="str">
        <x:f>IF(AND(X$5&gt;=$C174,X$5&lt;=$D174,$A174&lt;&gt;""),"●","")</x:f>
      </x:c>
      <x:c r="Y174" s="165" t="str">
        <x:f>IF(AND(Y$5&gt;=$C174,Y$5&lt;=$D174,$A174&lt;&gt;""),"●","")</x:f>
      </x:c>
      <x:c r="Z174" s="165" t="str">
        <x:f>IF(AND(Z$5&gt;=$C174,Z$5&lt;=$D174,$A174&lt;&gt;""),"●","")</x:f>
      </x:c>
      <x:c r="AA174" s="165" t="str">
        <x:f>IF(AND(AA$5&gt;=$C174,AA$5&lt;=$D174,$A174&lt;&gt;""),"●","")</x:f>
      </x:c>
      <x:c r="AB174" s="165" t="str">
        <x:f>IF(AND(AB$5&gt;=$C174,AB$5&lt;=$D174,$A174&lt;&gt;""),"●","")</x:f>
      </x:c>
      <x:c r="AC174" s="165" t="str">
        <x:f>IF(AND(AC$5&gt;=$C174,AC$5&lt;=$D174,$A174&lt;&gt;""),"●","")</x:f>
      </x:c>
      <x:c r="AD174" s="165" t="str">
        <x:f>IF(AND(AD$5&gt;=$C174,AD$5&lt;=$D174,$A174&lt;&gt;""),"●","")</x:f>
      </x:c>
      <x:c r="AE174" s="165" t="str">
        <x:f>IF(AND(AE$5&gt;=$C174,AE$5&lt;=$D174,$A174&lt;&gt;""),"●","")</x:f>
      </x:c>
      <x:c r="AF174" s="165" t="str">
        <x:f>IF(AND(AF$5&gt;=$C174,AF$5&lt;=$D174,$A174&lt;&gt;""),"●","")</x:f>
      </x:c>
      <x:c r="AG174" s="165" t="str">
        <x:f>IF(AND(AG$5&gt;=$C174,AG$5&lt;=$D174,$A174&lt;&gt;""),"●","")</x:f>
      </x:c>
      <x:c r="AH174" s="165" t="str">
        <x:f>IF(AND(AH$5&gt;=$C174,AH$5&lt;=$D174,$A174&lt;&gt;""),"●","")</x:f>
      </x:c>
      <x:c r="AI174" s="165" t="str">
        <x:f>IF(AND(AI$5&gt;=$C174,AI$5&lt;=$D174,$A174&lt;&gt;""),"●","")</x:f>
      </x:c>
      <x:c r="AJ174" s="165" t="str">
        <x:f>IF(AND(AJ$5&gt;=$C174,AJ$5&lt;=$D174,$A174&lt;&gt;""),"●","")</x:f>
      </x:c>
      <x:c r="AK174" s="165" t="str">
        <x:f>IF(AND(AK$5&gt;=$C174,AK$5&lt;=$D174,$A174&lt;&gt;""),"●","")</x:f>
      </x:c>
      <x:c r="AL174" s="165" t="str">
        <x:f>IF(AND(AL$5&gt;=$C174,AL$5&lt;=$D174,$A174&lt;&gt;""),"●","")</x:f>
      </x:c>
      <x:c r="AM174" s="165" t="str">
        <x:f>IF(AND(AM$5&gt;=$C174,AM$5&lt;=$D174,$A174&lt;&gt;""),"●","")</x:f>
      </x:c>
      <x:c r="AN174" s="165" t="str">
        <x:f>IF(AND(AN$5&gt;=$C174,AN$5&lt;=$D174,$A174&lt;&gt;""),"●","")</x:f>
      </x:c>
      <x:c r="AO174" s="165" t="str">
        <x:f>IF(AND(AO$5&gt;=$C174,AO$5&lt;=$D174,$A174&lt;&gt;""),"●","")</x:f>
      </x:c>
      <x:c r="AP174" s="165" t="str">
        <x:f>IF(AND(AP$5&gt;=$C174,AP$5&lt;=$D174,$A174&lt;&gt;""),"●","")</x:f>
      </x:c>
      <x:c r="AQ174" s="165" t="str">
        <x:f>IF(AND(AQ$5&gt;=$C174,AQ$5&lt;=$D174,$A174&lt;&gt;""),"●","")</x:f>
      </x:c>
      <x:c r="AR174" s="165" t="str">
        <x:f>IF(AND(AR$5&gt;=$C174,AR$5&lt;=$D174,$A174&lt;&gt;""),"●","")</x:f>
      </x:c>
      <x:c r="AS174" s="165" t="str">
        <x:f>IF(AND(AS$5&gt;=$C174,AS$5&lt;=$D174,$A174&lt;&gt;""),"●","")</x:f>
      </x:c>
      <x:c r="AT174" s="165" t="str">
        <x:f>IF(AND(AT$5&gt;=$C174,AT$5&lt;=$D174,$A174&lt;&gt;""),"●","")</x:f>
      </x:c>
      <x:c r="AU174" s="165" t="str">
        <x:f>IF(AND(AU$5&gt;=$C174,AU$5&lt;=$D174,$A174&lt;&gt;""),"●","")</x:f>
      </x:c>
      <x:c r="AV174" s="165" t="str">
        <x:f>IF(AND(AV$5&gt;=$C174,AV$5&lt;=$D174,$A174&lt;&gt;""),"●","")</x:f>
      </x:c>
      <x:c r="AW174" s="165" t="str">
        <x:f>IF(AND(AW$5&gt;=$C174,AW$5&lt;=$D174,$A174&lt;&gt;""),"●","")</x:f>
      </x:c>
      <x:c r="AX174" s="165" t="str">
        <x:f>IF(AND(AX$5&gt;=$C174,AX$5&lt;=$D174,$A174&lt;&gt;""),"●","")</x:f>
      </x:c>
      <x:c r="AY174" s="165" t="str">
        <x:f>IF(AND(AY$5&gt;=$C174,AY$5&lt;=$D174,$A174&lt;&gt;""),"●","")</x:f>
      </x:c>
      <x:c r="AZ174" s="165" t="str">
        <x:f>IF(AND(AZ$5&gt;=$C174,AZ$5&lt;=$D174,$A174&lt;&gt;""),"●","")</x:f>
      </x:c>
      <x:c r="BA174" s="165" t="str">
        <x:f>IF(AND(BA$5&gt;=$C174,BA$5&lt;=$D174,$A174&lt;&gt;""),"●","")</x:f>
      </x:c>
      <x:c r="BB174" s="165" t="str">
        <x:f>IF(AND(BB$5&gt;=$C174,BB$5&lt;=$D174,$A174&lt;&gt;""),"●","")</x:f>
      </x:c>
      <x:c r="BC174" s="165" t="str">
        <x:f>IF(AND(BC$5&gt;=$C174,BC$5&lt;=$D174,$A174&lt;&gt;""),"●","")</x:f>
      </x:c>
      <x:c r="BD174" s="165" t="str">
        <x:f>IF(AND(BD$5&gt;=$C174,BD$5&lt;=$D174,$A174&lt;&gt;""),"●","")</x:f>
      </x:c>
      <x:c r="BE174" s="165" t="str">
        <x:f>IF(AND(BE$5&gt;=$C174,BE$5&lt;=$D174,$A174&lt;&gt;""),"●","")</x:f>
      </x:c>
      <x:c r="BF174" s="165" t="str">
        <x:f>IF(AND(BF$5&gt;=$C174,BF$5&lt;=$D174,$A174&lt;&gt;""),"●","")</x:f>
      </x:c>
      <x:c r="BG174" s="165" t="str">
        <x:f>IF(AND(BG$5&gt;=$C174,BG$5&lt;=$D174,$A174&lt;&gt;""),"●","")</x:f>
      </x:c>
      <x:c r="BH174" s="165" t="str">
        <x:f>IF(AND(BH$5&gt;=$C174,BH$5&lt;=$D174,$A174&lt;&gt;""),"●","")</x:f>
      </x:c>
      <x:c r="BI174" s="165" t="str">
        <x:f>IF(AND(BI$5&gt;=$C174,BI$5&lt;=$D174,$A174&lt;&gt;""),"●","")</x:f>
      </x:c>
      <x:c r="BJ174" s="165" t="str">
        <x:f>IF(AND(BJ$5&gt;=$C174,BJ$5&lt;=$D174,$A174&lt;&gt;""),"●","")</x:f>
      </x:c>
      <x:c r="BK174" s="165" t="str">
        <x:f>IF(AND(BK$5&gt;=$C174,BK$5&lt;=$D174,$A174&lt;&gt;""),"●","")</x:f>
      </x:c>
      <x:c r="BL174" s="165" t="str">
        <x:f>IF(AND(BL$5&gt;=$C174,BL$5&lt;=$D174,$A174&lt;&gt;""),"●","")</x:f>
      </x:c>
      <x:c r="BM174" s="165" t="str">
        <x:f>IF(AND(BM$5&gt;=$C174,BM$5&lt;=$D174,$A174&lt;&gt;""),"●","")</x:f>
      </x:c>
      <x:c r="BN174" s="165" t="str">
        <x:f>IF(AND(BN$5&gt;=$C174,BN$5&lt;=$D174,$A174&lt;&gt;""),"●","")</x:f>
      </x:c>
      <x:c r="BO174" s="165" t="str">
        <x:f>IF(AND(BO$5&gt;=$C174,BO$5&lt;=$D174,$A174&lt;&gt;""),"●","")</x:f>
      </x:c>
      <x:c r="BP174" s="165" t="str">
        <x:f>IF(AND(BP$5&gt;=$C174,BP$5&lt;=$D174,$A174&lt;&gt;""),"●","")</x:f>
      </x:c>
      <x:c r="BQ174" s="165" t="str">
        <x:f>IF(AND(BQ$5&gt;=$C174,BQ$5&lt;=$D174,$A174&lt;&gt;""),"●","")</x:f>
      </x:c>
      <x:c r="BR174" s="165" t="str">
        <x:f>IF(AND(BR$5&gt;=$C174,BR$5&lt;=$D174,$A174&lt;&gt;""),"●","")</x:f>
      </x:c>
      <x:c r="BS174" s="165" t="str">
        <x:f>IF(AND(BS$5&gt;=$C174,BS$5&lt;=$D174,$A174&lt;&gt;""),"●","")</x:f>
      </x:c>
      <x:c r="BT174" s="165" t="str">
        <x:f>IF(AND(BT$5&gt;=$C174,BT$5&lt;=$D174,$A174&lt;&gt;""),"●","")</x:f>
      </x:c>
      <x:c r="BU174" s="165" t="str">
        <x:f>IF(AND(BU$5&gt;=$C174,BU$5&lt;=$D174,$A174&lt;&gt;""),"●","")</x:f>
      </x:c>
      <x:c r="BV174" s="165" t="str">
        <x:f>IF(AND(BV$5&gt;=$C174,BV$5&lt;=$D174,$A174&lt;&gt;""),"●","")</x:f>
      </x:c>
      <x:c r="BW174" s="165" t="str">
        <x:f>IF(AND(BW$5&gt;=$C174,BW$5&lt;=$D174,$A174&lt;&gt;""),"●","")</x:f>
      </x:c>
    </x:row>
    <x:row r="175">
      <x:c r="A175" s="159" t="str">
        <x:f>IF('รายการสัญญา'!A175="","",'รายการสัญญา'!A175)</x:f>
      </x:c>
      <x:c r="B175" s="159" t="str">
        <x:f>IF('รายการสัญญา'!A175="","",'รายการสัญญา'!C175)</x:f>
      </x:c>
      <x:c r="C175" s="162" t="str">
        <x:f>IF('รายการสัญญา'!A175="","",'รายการสัญญา'!E175)</x:f>
      </x:c>
      <x:c r="D175" s="162" t="str">
        <x:f>IF('รายการสัญญา'!A175="","",'รายการสัญญา'!G175)</x:f>
      </x:c>
      <x:c r="E175" s="159" t="str">
        <x:f>IF('รายการสัญญา'!A175="","",'รายการสัญญา'!K175)</x:f>
      </x:c>
      <x:c r="F175" s="165" t="str">
        <x:f>IF(AND(F$5&gt;=$C175,F$5&lt;=$D175,$A175&lt;&gt;""),"●","")</x:f>
      </x:c>
      <x:c r="G175" s="165" t="str">
        <x:f>IF(AND(G$5&gt;=$C175,G$5&lt;=$D175,$A175&lt;&gt;""),"●","")</x:f>
      </x:c>
      <x:c r="H175" s="165" t="str">
        <x:f>IF(AND(H$5&gt;=$C175,H$5&lt;=$D175,$A175&lt;&gt;""),"●","")</x:f>
      </x:c>
      <x:c r="I175" s="165" t="str">
        <x:f>IF(AND(I$5&gt;=$C175,I$5&lt;=$D175,$A175&lt;&gt;""),"●","")</x:f>
      </x:c>
      <x:c r="J175" s="165" t="str">
        <x:f>IF(AND(J$5&gt;=$C175,J$5&lt;=$D175,$A175&lt;&gt;""),"●","")</x:f>
      </x:c>
      <x:c r="K175" s="165" t="str">
        <x:f>IF(AND(K$5&gt;=$C175,K$5&lt;=$D175,$A175&lt;&gt;""),"●","")</x:f>
      </x:c>
      <x:c r="L175" s="165" t="str">
        <x:f>IF(AND(L$5&gt;=$C175,L$5&lt;=$D175,$A175&lt;&gt;""),"●","")</x:f>
      </x:c>
      <x:c r="M175" s="165" t="str">
        <x:f>IF(AND(M$5&gt;=$C175,M$5&lt;=$D175,$A175&lt;&gt;""),"●","")</x:f>
      </x:c>
      <x:c r="N175" s="165" t="str">
        <x:f>IF(AND(N$5&gt;=$C175,N$5&lt;=$D175,$A175&lt;&gt;""),"●","")</x:f>
      </x:c>
      <x:c r="O175" s="165" t="str">
        <x:f>IF(AND(O$5&gt;=$C175,O$5&lt;=$D175,$A175&lt;&gt;""),"●","")</x:f>
      </x:c>
      <x:c r="P175" s="165" t="str">
        <x:f>IF(AND(P$5&gt;=$C175,P$5&lt;=$D175,$A175&lt;&gt;""),"●","")</x:f>
      </x:c>
      <x:c r="Q175" s="165" t="str">
        <x:f>IF(AND(Q$5&gt;=$C175,Q$5&lt;=$D175,$A175&lt;&gt;""),"●","")</x:f>
      </x:c>
      <x:c r="R175" s="165" t="str">
        <x:f>IF(AND(R$5&gt;=$C175,R$5&lt;=$D175,$A175&lt;&gt;""),"●","")</x:f>
      </x:c>
      <x:c r="S175" s="165" t="str">
        <x:f>IF(AND(S$5&gt;=$C175,S$5&lt;=$D175,$A175&lt;&gt;""),"●","")</x:f>
      </x:c>
      <x:c r="T175" s="165" t="str">
        <x:f>IF(AND(T$5&gt;=$C175,T$5&lt;=$D175,$A175&lt;&gt;""),"●","")</x:f>
      </x:c>
      <x:c r="U175" s="165" t="str">
        <x:f>IF(AND(U$5&gt;=$C175,U$5&lt;=$D175,$A175&lt;&gt;""),"●","")</x:f>
      </x:c>
      <x:c r="V175" s="165" t="str">
        <x:f>IF(AND(V$5&gt;=$C175,V$5&lt;=$D175,$A175&lt;&gt;""),"●","")</x:f>
      </x:c>
      <x:c r="W175" s="165" t="str">
        <x:f>IF(AND(W$5&gt;=$C175,W$5&lt;=$D175,$A175&lt;&gt;""),"●","")</x:f>
      </x:c>
      <x:c r="X175" s="165" t="str">
        <x:f>IF(AND(X$5&gt;=$C175,X$5&lt;=$D175,$A175&lt;&gt;""),"●","")</x:f>
      </x:c>
      <x:c r="Y175" s="165" t="str">
        <x:f>IF(AND(Y$5&gt;=$C175,Y$5&lt;=$D175,$A175&lt;&gt;""),"●","")</x:f>
      </x:c>
      <x:c r="Z175" s="165" t="str">
        <x:f>IF(AND(Z$5&gt;=$C175,Z$5&lt;=$D175,$A175&lt;&gt;""),"●","")</x:f>
      </x:c>
      <x:c r="AA175" s="165" t="str">
        <x:f>IF(AND(AA$5&gt;=$C175,AA$5&lt;=$D175,$A175&lt;&gt;""),"●","")</x:f>
      </x:c>
      <x:c r="AB175" s="165" t="str">
        <x:f>IF(AND(AB$5&gt;=$C175,AB$5&lt;=$D175,$A175&lt;&gt;""),"●","")</x:f>
      </x:c>
      <x:c r="AC175" s="165" t="str">
        <x:f>IF(AND(AC$5&gt;=$C175,AC$5&lt;=$D175,$A175&lt;&gt;""),"●","")</x:f>
      </x:c>
      <x:c r="AD175" s="165" t="str">
        <x:f>IF(AND(AD$5&gt;=$C175,AD$5&lt;=$D175,$A175&lt;&gt;""),"●","")</x:f>
      </x:c>
      <x:c r="AE175" s="165" t="str">
        <x:f>IF(AND(AE$5&gt;=$C175,AE$5&lt;=$D175,$A175&lt;&gt;""),"●","")</x:f>
      </x:c>
      <x:c r="AF175" s="165" t="str">
        <x:f>IF(AND(AF$5&gt;=$C175,AF$5&lt;=$D175,$A175&lt;&gt;""),"●","")</x:f>
      </x:c>
      <x:c r="AG175" s="165" t="str">
        <x:f>IF(AND(AG$5&gt;=$C175,AG$5&lt;=$D175,$A175&lt;&gt;""),"●","")</x:f>
      </x:c>
      <x:c r="AH175" s="165" t="str">
        <x:f>IF(AND(AH$5&gt;=$C175,AH$5&lt;=$D175,$A175&lt;&gt;""),"●","")</x:f>
      </x:c>
      <x:c r="AI175" s="165" t="str">
        <x:f>IF(AND(AI$5&gt;=$C175,AI$5&lt;=$D175,$A175&lt;&gt;""),"●","")</x:f>
      </x:c>
      <x:c r="AJ175" s="165" t="str">
        <x:f>IF(AND(AJ$5&gt;=$C175,AJ$5&lt;=$D175,$A175&lt;&gt;""),"●","")</x:f>
      </x:c>
      <x:c r="AK175" s="165" t="str">
        <x:f>IF(AND(AK$5&gt;=$C175,AK$5&lt;=$D175,$A175&lt;&gt;""),"●","")</x:f>
      </x:c>
      <x:c r="AL175" s="165" t="str">
        <x:f>IF(AND(AL$5&gt;=$C175,AL$5&lt;=$D175,$A175&lt;&gt;""),"●","")</x:f>
      </x:c>
      <x:c r="AM175" s="165" t="str">
        <x:f>IF(AND(AM$5&gt;=$C175,AM$5&lt;=$D175,$A175&lt;&gt;""),"●","")</x:f>
      </x:c>
      <x:c r="AN175" s="165" t="str">
        <x:f>IF(AND(AN$5&gt;=$C175,AN$5&lt;=$D175,$A175&lt;&gt;""),"●","")</x:f>
      </x:c>
      <x:c r="AO175" s="165" t="str">
        <x:f>IF(AND(AO$5&gt;=$C175,AO$5&lt;=$D175,$A175&lt;&gt;""),"●","")</x:f>
      </x:c>
      <x:c r="AP175" s="165" t="str">
        <x:f>IF(AND(AP$5&gt;=$C175,AP$5&lt;=$D175,$A175&lt;&gt;""),"●","")</x:f>
      </x:c>
      <x:c r="AQ175" s="165" t="str">
        <x:f>IF(AND(AQ$5&gt;=$C175,AQ$5&lt;=$D175,$A175&lt;&gt;""),"●","")</x:f>
      </x:c>
      <x:c r="AR175" s="165" t="str">
        <x:f>IF(AND(AR$5&gt;=$C175,AR$5&lt;=$D175,$A175&lt;&gt;""),"●","")</x:f>
      </x:c>
      <x:c r="AS175" s="165" t="str">
        <x:f>IF(AND(AS$5&gt;=$C175,AS$5&lt;=$D175,$A175&lt;&gt;""),"●","")</x:f>
      </x:c>
      <x:c r="AT175" s="165" t="str">
        <x:f>IF(AND(AT$5&gt;=$C175,AT$5&lt;=$D175,$A175&lt;&gt;""),"●","")</x:f>
      </x:c>
      <x:c r="AU175" s="165" t="str">
        <x:f>IF(AND(AU$5&gt;=$C175,AU$5&lt;=$D175,$A175&lt;&gt;""),"●","")</x:f>
      </x:c>
      <x:c r="AV175" s="165" t="str">
        <x:f>IF(AND(AV$5&gt;=$C175,AV$5&lt;=$D175,$A175&lt;&gt;""),"●","")</x:f>
      </x:c>
      <x:c r="AW175" s="165" t="str">
        <x:f>IF(AND(AW$5&gt;=$C175,AW$5&lt;=$D175,$A175&lt;&gt;""),"●","")</x:f>
      </x:c>
      <x:c r="AX175" s="165" t="str">
        <x:f>IF(AND(AX$5&gt;=$C175,AX$5&lt;=$D175,$A175&lt;&gt;""),"●","")</x:f>
      </x:c>
      <x:c r="AY175" s="165" t="str">
        <x:f>IF(AND(AY$5&gt;=$C175,AY$5&lt;=$D175,$A175&lt;&gt;""),"●","")</x:f>
      </x:c>
      <x:c r="AZ175" s="165" t="str">
        <x:f>IF(AND(AZ$5&gt;=$C175,AZ$5&lt;=$D175,$A175&lt;&gt;""),"●","")</x:f>
      </x:c>
      <x:c r="BA175" s="165" t="str">
        <x:f>IF(AND(BA$5&gt;=$C175,BA$5&lt;=$D175,$A175&lt;&gt;""),"●","")</x:f>
      </x:c>
      <x:c r="BB175" s="165" t="str">
        <x:f>IF(AND(BB$5&gt;=$C175,BB$5&lt;=$D175,$A175&lt;&gt;""),"●","")</x:f>
      </x:c>
      <x:c r="BC175" s="165" t="str">
        <x:f>IF(AND(BC$5&gt;=$C175,BC$5&lt;=$D175,$A175&lt;&gt;""),"●","")</x:f>
      </x:c>
      <x:c r="BD175" s="165" t="str">
        <x:f>IF(AND(BD$5&gt;=$C175,BD$5&lt;=$D175,$A175&lt;&gt;""),"●","")</x:f>
      </x:c>
      <x:c r="BE175" s="165" t="str">
        <x:f>IF(AND(BE$5&gt;=$C175,BE$5&lt;=$D175,$A175&lt;&gt;""),"●","")</x:f>
      </x:c>
      <x:c r="BF175" s="165" t="str">
        <x:f>IF(AND(BF$5&gt;=$C175,BF$5&lt;=$D175,$A175&lt;&gt;""),"●","")</x:f>
      </x:c>
      <x:c r="BG175" s="165" t="str">
        <x:f>IF(AND(BG$5&gt;=$C175,BG$5&lt;=$D175,$A175&lt;&gt;""),"●","")</x:f>
      </x:c>
      <x:c r="BH175" s="165" t="str">
        <x:f>IF(AND(BH$5&gt;=$C175,BH$5&lt;=$D175,$A175&lt;&gt;""),"●","")</x:f>
      </x:c>
      <x:c r="BI175" s="165" t="str">
        <x:f>IF(AND(BI$5&gt;=$C175,BI$5&lt;=$D175,$A175&lt;&gt;""),"●","")</x:f>
      </x:c>
      <x:c r="BJ175" s="165" t="str">
        <x:f>IF(AND(BJ$5&gt;=$C175,BJ$5&lt;=$D175,$A175&lt;&gt;""),"●","")</x:f>
      </x:c>
      <x:c r="BK175" s="165" t="str">
        <x:f>IF(AND(BK$5&gt;=$C175,BK$5&lt;=$D175,$A175&lt;&gt;""),"●","")</x:f>
      </x:c>
      <x:c r="BL175" s="165" t="str">
        <x:f>IF(AND(BL$5&gt;=$C175,BL$5&lt;=$D175,$A175&lt;&gt;""),"●","")</x:f>
      </x:c>
      <x:c r="BM175" s="165" t="str">
        <x:f>IF(AND(BM$5&gt;=$C175,BM$5&lt;=$D175,$A175&lt;&gt;""),"●","")</x:f>
      </x:c>
      <x:c r="BN175" s="165" t="str">
        <x:f>IF(AND(BN$5&gt;=$C175,BN$5&lt;=$D175,$A175&lt;&gt;""),"●","")</x:f>
      </x:c>
      <x:c r="BO175" s="165" t="str">
        <x:f>IF(AND(BO$5&gt;=$C175,BO$5&lt;=$D175,$A175&lt;&gt;""),"●","")</x:f>
      </x:c>
      <x:c r="BP175" s="165" t="str">
        <x:f>IF(AND(BP$5&gt;=$C175,BP$5&lt;=$D175,$A175&lt;&gt;""),"●","")</x:f>
      </x:c>
      <x:c r="BQ175" s="165" t="str">
        <x:f>IF(AND(BQ$5&gt;=$C175,BQ$5&lt;=$D175,$A175&lt;&gt;""),"●","")</x:f>
      </x:c>
      <x:c r="BR175" s="165" t="str">
        <x:f>IF(AND(BR$5&gt;=$C175,BR$5&lt;=$D175,$A175&lt;&gt;""),"●","")</x:f>
      </x:c>
      <x:c r="BS175" s="165" t="str">
        <x:f>IF(AND(BS$5&gt;=$C175,BS$5&lt;=$D175,$A175&lt;&gt;""),"●","")</x:f>
      </x:c>
      <x:c r="BT175" s="165" t="str">
        <x:f>IF(AND(BT$5&gt;=$C175,BT$5&lt;=$D175,$A175&lt;&gt;""),"●","")</x:f>
      </x:c>
      <x:c r="BU175" s="165" t="str">
        <x:f>IF(AND(BU$5&gt;=$C175,BU$5&lt;=$D175,$A175&lt;&gt;""),"●","")</x:f>
      </x:c>
      <x:c r="BV175" s="165" t="str">
        <x:f>IF(AND(BV$5&gt;=$C175,BV$5&lt;=$D175,$A175&lt;&gt;""),"●","")</x:f>
      </x:c>
      <x:c r="BW175" s="165" t="str">
        <x:f>IF(AND(BW$5&gt;=$C175,BW$5&lt;=$D175,$A175&lt;&gt;""),"●","")</x:f>
      </x:c>
    </x:row>
    <x:row r="176">
      <x:c r="A176" s="159" t="str">
        <x:f>IF('รายการสัญญา'!A176="","",'รายการสัญญา'!A176)</x:f>
      </x:c>
      <x:c r="B176" s="159" t="str">
        <x:f>IF('รายการสัญญา'!A176="","",'รายการสัญญา'!C176)</x:f>
      </x:c>
      <x:c r="C176" s="162" t="str">
        <x:f>IF('รายการสัญญา'!A176="","",'รายการสัญญา'!E176)</x:f>
      </x:c>
      <x:c r="D176" s="162" t="str">
        <x:f>IF('รายการสัญญา'!A176="","",'รายการสัญญา'!G176)</x:f>
      </x:c>
      <x:c r="E176" s="159" t="str">
        <x:f>IF('รายการสัญญา'!A176="","",'รายการสัญญา'!K176)</x:f>
      </x:c>
      <x:c r="F176" s="165" t="str">
        <x:f>IF(AND(F$5&gt;=$C176,F$5&lt;=$D176,$A176&lt;&gt;""),"●","")</x:f>
      </x:c>
      <x:c r="G176" s="165" t="str">
        <x:f>IF(AND(G$5&gt;=$C176,G$5&lt;=$D176,$A176&lt;&gt;""),"●","")</x:f>
      </x:c>
      <x:c r="H176" s="165" t="str">
        <x:f>IF(AND(H$5&gt;=$C176,H$5&lt;=$D176,$A176&lt;&gt;""),"●","")</x:f>
      </x:c>
      <x:c r="I176" s="165" t="str">
        <x:f>IF(AND(I$5&gt;=$C176,I$5&lt;=$D176,$A176&lt;&gt;""),"●","")</x:f>
      </x:c>
      <x:c r="J176" s="165" t="str">
        <x:f>IF(AND(J$5&gt;=$C176,J$5&lt;=$D176,$A176&lt;&gt;""),"●","")</x:f>
      </x:c>
      <x:c r="K176" s="165" t="str">
        <x:f>IF(AND(K$5&gt;=$C176,K$5&lt;=$D176,$A176&lt;&gt;""),"●","")</x:f>
      </x:c>
      <x:c r="L176" s="165" t="str">
        <x:f>IF(AND(L$5&gt;=$C176,L$5&lt;=$D176,$A176&lt;&gt;""),"●","")</x:f>
      </x:c>
      <x:c r="M176" s="165" t="str">
        <x:f>IF(AND(M$5&gt;=$C176,M$5&lt;=$D176,$A176&lt;&gt;""),"●","")</x:f>
      </x:c>
      <x:c r="N176" s="165" t="str">
        <x:f>IF(AND(N$5&gt;=$C176,N$5&lt;=$D176,$A176&lt;&gt;""),"●","")</x:f>
      </x:c>
      <x:c r="O176" s="165" t="str">
        <x:f>IF(AND(O$5&gt;=$C176,O$5&lt;=$D176,$A176&lt;&gt;""),"●","")</x:f>
      </x:c>
      <x:c r="P176" s="165" t="str">
        <x:f>IF(AND(P$5&gt;=$C176,P$5&lt;=$D176,$A176&lt;&gt;""),"●","")</x:f>
      </x:c>
      <x:c r="Q176" s="165" t="str">
        <x:f>IF(AND(Q$5&gt;=$C176,Q$5&lt;=$D176,$A176&lt;&gt;""),"●","")</x:f>
      </x:c>
      <x:c r="R176" s="165" t="str">
        <x:f>IF(AND(R$5&gt;=$C176,R$5&lt;=$D176,$A176&lt;&gt;""),"●","")</x:f>
      </x:c>
      <x:c r="S176" s="165" t="str">
        <x:f>IF(AND(S$5&gt;=$C176,S$5&lt;=$D176,$A176&lt;&gt;""),"●","")</x:f>
      </x:c>
      <x:c r="T176" s="165" t="str">
        <x:f>IF(AND(T$5&gt;=$C176,T$5&lt;=$D176,$A176&lt;&gt;""),"●","")</x:f>
      </x:c>
      <x:c r="U176" s="165" t="str">
        <x:f>IF(AND(U$5&gt;=$C176,U$5&lt;=$D176,$A176&lt;&gt;""),"●","")</x:f>
      </x:c>
      <x:c r="V176" s="165" t="str">
        <x:f>IF(AND(V$5&gt;=$C176,V$5&lt;=$D176,$A176&lt;&gt;""),"●","")</x:f>
      </x:c>
      <x:c r="W176" s="165" t="str">
        <x:f>IF(AND(W$5&gt;=$C176,W$5&lt;=$D176,$A176&lt;&gt;""),"●","")</x:f>
      </x:c>
      <x:c r="X176" s="165" t="str">
        <x:f>IF(AND(X$5&gt;=$C176,X$5&lt;=$D176,$A176&lt;&gt;""),"●","")</x:f>
      </x:c>
      <x:c r="Y176" s="165" t="str">
        <x:f>IF(AND(Y$5&gt;=$C176,Y$5&lt;=$D176,$A176&lt;&gt;""),"●","")</x:f>
      </x:c>
      <x:c r="Z176" s="165" t="str">
        <x:f>IF(AND(Z$5&gt;=$C176,Z$5&lt;=$D176,$A176&lt;&gt;""),"●","")</x:f>
      </x:c>
      <x:c r="AA176" s="165" t="str">
        <x:f>IF(AND(AA$5&gt;=$C176,AA$5&lt;=$D176,$A176&lt;&gt;""),"●","")</x:f>
      </x:c>
      <x:c r="AB176" s="165" t="str">
        <x:f>IF(AND(AB$5&gt;=$C176,AB$5&lt;=$D176,$A176&lt;&gt;""),"●","")</x:f>
      </x:c>
      <x:c r="AC176" s="165" t="str">
        <x:f>IF(AND(AC$5&gt;=$C176,AC$5&lt;=$D176,$A176&lt;&gt;""),"●","")</x:f>
      </x:c>
      <x:c r="AD176" s="165" t="str">
        <x:f>IF(AND(AD$5&gt;=$C176,AD$5&lt;=$D176,$A176&lt;&gt;""),"●","")</x:f>
      </x:c>
      <x:c r="AE176" s="165" t="str">
        <x:f>IF(AND(AE$5&gt;=$C176,AE$5&lt;=$D176,$A176&lt;&gt;""),"●","")</x:f>
      </x:c>
      <x:c r="AF176" s="165" t="str">
        <x:f>IF(AND(AF$5&gt;=$C176,AF$5&lt;=$D176,$A176&lt;&gt;""),"●","")</x:f>
      </x:c>
      <x:c r="AG176" s="165" t="str">
        <x:f>IF(AND(AG$5&gt;=$C176,AG$5&lt;=$D176,$A176&lt;&gt;""),"●","")</x:f>
      </x:c>
      <x:c r="AH176" s="165" t="str">
        <x:f>IF(AND(AH$5&gt;=$C176,AH$5&lt;=$D176,$A176&lt;&gt;""),"●","")</x:f>
      </x:c>
      <x:c r="AI176" s="165" t="str">
        <x:f>IF(AND(AI$5&gt;=$C176,AI$5&lt;=$D176,$A176&lt;&gt;""),"●","")</x:f>
      </x:c>
      <x:c r="AJ176" s="165" t="str">
        <x:f>IF(AND(AJ$5&gt;=$C176,AJ$5&lt;=$D176,$A176&lt;&gt;""),"●","")</x:f>
      </x:c>
      <x:c r="AK176" s="165" t="str">
        <x:f>IF(AND(AK$5&gt;=$C176,AK$5&lt;=$D176,$A176&lt;&gt;""),"●","")</x:f>
      </x:c>
      <x:c r="AL176" s="165" t="str">
        <x:f>IF(AND(AL$5&gt;=$C176,AL$5&lt;=$D176,$A176&lt;&gt;""),"●","")</x:f>
      </x:c>
      <x:c r="AM176" s="165" t="str">
        <x:f>IF(AND(AM$5&gt;=$C176,AM$5&lt;=$D176,$A176&lt;&gt;""),"●","")</x:f>
      </x:c>
      <x:c r="AN176" s="165" t="str">
        <x:f>IF(AND(AN$5&gt;=$C176,AN$5&lt;=$D176,$A176&lt;&gt;""),"●","")</x:f>
      </x:c>
      <x:c r="AO176" s="165" t="str">
        <x:f>IF(AND(AO$5&gt;=$C176,AO$5&lt;=$D176,$A176&lt;&gt;""),"●","")</x:f>
      </x:c>
      <x:c r="AP176" s="165" t="str">
        <x:f>IF(AND(AP$5&gt;=$C176,AP$5&lt;=$D176,$A176&lt;&gt;""),"●","")</x:f>
      </x:c>
      <x:c r="AQ176" s="165" t="str">
        <x:f>IF(AND(AQ$5&gt;=$C176,AQ$5&lt;=$D176,$A176&lt;&gt;""),"●","")</x:f>
      </x:c>
      <x:c r="AR176" s="165" t="str">
        <x:f>IF(AND(AR$5&gt;=$C176,AR$5&lt;=$D176,$A176&lt;&gt;""),"●","")</x:f>
      </x:c>
      <x:c r="AS176" s="165" t="str">
        <x:f>IF(AND(AS$5&gt;=$C176,AS$5&lt;=$D176,$A176&lt;&gt;""),"●","")</x:f>
      </x:c>
      <x:c r="AT176" s="165" t="str">
        <x:f>IF(AND(AT$5&gt;=$C176,AT$5&lt;=$D176,$A176&lt;&gt;""),"●","")</x:f>
      </x:c>
      <x:c r="AU176" s="165" t="str">
        <x:f>IF(AND(AU$5&gt;=$C176,AU$5&lt;=$D176,$A176&lt;&gt;""),"●","")</x:f>
      </x:c>
      <x:c r="AV176" s="165" t="str">
        <x:f>IF(AND(AV$5&gt;=$C176,AV$5&lt;=$D176,$A176&lt;&gt;""),"●","")</x:f>
      </x:c>
      <x:c r="AW176" s="165" t="str">
        <x:f>IF(AND(AW$5&gt;=$C176,AW$5&lt;=$D176,$A176&lt;&gt;""),"●","")</x:f>
      </x:c>
      <x:c r="AX176" s="165" t="str">
        <x:f>IF(AND(AX$5&gt;=$C176,AX$5&lt;=$D176,$A176&lt;&gt;""),"●","")</x:f>
      </x:c>
      <x:c r="AY176" s="165" t="str">
        <x:f>IF(AND(AY$5&gt;=$C176,AY$5&lt;=$D176,$A176&lt;&gt;""),"●","")</x:f>
      </x:c>
      <x:c r="AZ176" s="165" t="str">
        <x:f>IF(AND(AZ$5&gt;=$C176,AZ$5&lt;=$D176,$A176&lt;&gt;""),"●","")</x:f>
      </x:c>
      <x:c r="BA176" s="165" t="str">
        <x:f>IF(AND(BA$5&gt;=$C176,BA$5&lt;=$D176,$A176&lt;&gt;""),"●","")</x:f>
      </x:c>
      <x:c r="BB176" s="165" t="str">
        <x:f>IF(AND(BB$5&gt;=$C176,BB$5&lt;=$D176,$A176&lt;&gt;""),"●","")</x:f>
      </x:c>
      <x:c r="BC176" s="165" t="str">
        <x:f>IF(AND(BC$5&gt;=$C176,BC$5&lt;=$D176,$A176&lt;&gt;""),"●","")</x:f>
      </x:c>
      <x:c r="BD176" s="165" t="str">
        <x:f>IF(AND(BD$5&gt;=$C176,BD$5&lt;=$D176,$A176&lt;&gt;""),"●","")</x:f>
      </x:c>
      <x:c r="BE176" s="165" t="str">
        <x:f>IF(AND(BE$5&gt;=$C176,BE$5&lt;=$D176,$A176&lt;&gt;""),"●","")</x:f>
      </x:c>
      <x:c r="BF176" s="165" t="str">
        <x:f>IF(AND(BF$5&gt;=$C176,BF$5&lt;=$D176,$A176&lt;&gt;""),"●","")</x:f>
      </x:c>
      <x:c r="BG176" s="165" t="str">
        <x:f>IF(AND(BG$5&gt;=$C176,BG$5&lt;=$D176,$A176&lt;&gt;""),"●","")</x:f>
      </x:c>
      <x:c r="BH176" s="165" t="str">
        <x:f>IF(AND(BH$5&gt;=$C176,BH$5&lt;=$D176,$A176&lt;&gt;""),"●","")</x:f>
      </x:c>
      <x:c r="BI176" s="165" t="str">
        <x:f>IF(AND(BI$5&gt;=$C176,BI$5&lt;=$D176,$A176&lt;&gt;""),"●","")</x:f>
      </x:c>
      <x:c r="BJ176" s="165" t="str">
        <x:f>IF(AND(BJ$5&gt;=$C176,BJ$5&lt;=$D176,$A176&lt;&gt;""),"●","")</x:f>
      </x:c>
      <x:c r="BK176" s="165" t="str">
        <x:f>IF(AND(BK$5&gt;=$C176,BK$5&lt;=$D176,$A176&lt;&gt;""),"●","")</x:f>
      </x:c>
      <x:c r="BL176" s="165" t="str">
        <x:f>IF(AND(BL$5&gt;=$C176,BL$5&lt;=$D176,$A176&lt;&gt;""),"●","")</x:f>
      </x:c>
      <x:c r="BM176" s="165" t="str">
        <x:f>IF(AND(BM$5&gt;=$C176,BM$5&lt;=$D176,$A176&lt;&gt;""),"●","")</x:f>
      </x:c>
      <x:c r="BN176" s="165" t="str">
        <x:f>IF(AND(BN$5&gt;=$C176,BN$5&lt;=$D176,$A176&lt;&gt;""),"●","")</x:f>
      </x:c>
      <x:c r="BO176" s="165" t="str">
        <x:f>IF(AND(BO$5&gt;=$C176,BO$5&lt;=$D176,$A176&lt;&gt;""),"●","")</x:f>
      </x:c>
      <x:c r="BP176" s="165" t="str">
        <x:f>IF(AND(BP$5&gt;=$C176,BP$5&lt;=$D176,$A176&lt;&gt;""),"●","")</x:f>
      </x:c>
      <x:c r="BQ176" s="165" t="str">
        <x:f>IF(AND(BQ$5&gt;=$C176,BQ$5&lt;=$D176,$A176&lt;&gt;""),"●","")</x:f>
      </x:c>
      <x:c r="BR176" s="165" t="str">
        <x:f>IF(AND(BR$5&gt;=$C176,BR$5&lt;=$D176,$A176&lt;&gt;""),"●","")</x:f>
      </x:c>
      <x:c r="BS176" s="165" t="str">
        <x:f>IF(AND(BS$5&gt;=$C176,BS$5&lt;=$D176,$A176&lt;&gt;""),"●","")</x:f>
      </x:c>
      <x:c r="BT176" s="165" t="str">
        <x:f>IF(AND(BT$5&gt;=$C176,BT$5&lt;=$D176,$A176&lt;&gt;""),"●","")</x:f>
      </x:c>
      <x:c r="BU176" s="165" t="str">
        <x:f>IF(AND(BU$5&gt;=$C176,BU$5&lt;=$D176,$A176&lt;&gt;""),"●","")</x:f>
      </x:c>
      <x:c r="BV176" s="165" t="str">
        <x:f>IF(AND(BV$5&gt;=$C176,BV$5&lt;=$D176,$A176&lt;&gt;""),"●","")</x:f>
      </x:c>
      <x:c r="BW176" s="165" t="str">
        <x:f>IF(AND(BW$5&gt;=$C176,BW$5&lt;=$D176,$A176&lt;&gt;""),"●","")</x:f>
      </x:c>
    </x:row>
    <x:row r="177">
      <x:c r="A177" s="159" t="str">
        <x:f>IF('รายการสัญญา'!A177="","",'รายการสัญญา'!A177)</x:f>
      </x:c>
      <x:c r="B177" s="159" t="str">
        <x:f>IF('รายการสัญญา'!A177="","",'รายการสัญญา'!C177)</x:f>
      </x:c>
      <x:c r="C177" s="162" t="str">
        <x:f>IF('รายการสัญญา'!A177="","",'รายการสัญญา'!E177)</x:f>
      </x:c>
      <x:c r="D177" s="162" t="str">
        <x:f>IF('รายการสัญญา'!A177="","",'รายการสัญญา'!G177)</x:f>
      </x:c>
      <x:c r="E177" s="159" t="str">
        <x:f>IF('รายการสัญญา'!A177="","",'รายการสัญญา'!K177)</x:f>
      </x:c>
      <x:c r="F177" s="165" t="str">
        <x:f>IF(AND(F$5&gt;=$C177,F$5&lt;=$D177,$A177&lt;&gt;""),"●","")</x:f>
      </x:c>
      <x:c r="G177" s="165" t="str">
        <x:f>IF(AND(G$5&gt;=$C177,G$5&lt;=$D177,$A177&lt;&gt;""),"●","")</x:f>
      </x:c>
      <x:c r="H177" s="165" t="str">
        <x:f>IF(AND(H$5&gt;=$C177,H$5&lt;=$D177,$A177&lt;&gt;""),"●","")</x:f>
      </x:c>
      <x:c r="I177" s="165" t="str">
        <x:f>IF(AND(I$5&gt;=$C177,I$5&lt;=$D177,$A177&lt;&gt;""),"●","")</x:f>
      </x:c>
      <x:c r="J177" s="165" t="str">
        <x:f>IF(AND(J$5&gt;=$C177,J$5&lt;=$D177,$A177&lt;&gt;""),"●","")</x:f>
      </x:c>
      <x:c r="K177" s="165" t="str">
        <x:f>IF(AND(K$5&gt;=$C177,K$5&lt;=$D177,$A177&lt;&gt;""),"●","")</x:f>
      </x:c>
      <x:c r="L177" s="165" t="str">
        <x:f>IF(AND(L$5&gt;=$C177,L$5&lt;=$D177,$A177&lt;&gt;""),"●","")</x:f>
      </x:c>
      <x:c r="M177" s="165" t="str">
        <x:f>IF(AND(M$5&gt;=$C177,M$5&lt;=$D177,$A177&lt;&gt;""),"●","")</x:f>
      </x:c>
      <x:c r="N177" s="165" t="str">
        <x:f>IF(AND(N$5&gt;=$C177,N$5&lt;=$D177,$A177&lt;&gt;""),"●","")</x:f>
      </x:c>
      <x:c r="O177" s="165" t="str">
        <x:f>IF(AND(O$5&gt;=$C177,O$5&lt;=$D177,$A177&lt;&gt;""),"●","")</x:f>
      </x:c>
      <x:c r="P177" s="165" t="str">
        <x:f>IF(AND(P$5&gt;=$C177,P$5&lt;=$D177,$A177&lt;&gt;""),"●","")</x:f>
      </x:c>
      <x:c r="Q177" s="165" t="str">
        <x:f>IF(AND(Q$5&gt;=$C177,Q$5&lt;=$D177,$A177&lt;&gt;""),"●","")</x:f>
      </x:c>
      <x:c r="R177" s="165" t="str">
        <x:f>IF(AND(R$5&gt;=$C177,R$5&lt;=$D177,$A177&lt;&gt;""),"●","")</x:f>
      </x:c>
      <x:c r="S177" s="165" t="str">
        <x:f>IF(AND(S$5&gt;=$C177,S$5&lt;=$D177,$A177&lt;&gt;""),"●","")</x:f>
      </x:c>
      <x:c r="T177" s="165" t="str">
        <x:f>IF(AND(T$5&gt;=$C177,T$5&lt;=$D177,$A177&lt;&gt;""),"●","")</x:f>
      </x:c>
      <x:c r="U177" s="165" t="str">
        <x:f>IF(AND(U$5&gt;=$C177,U$5&lt;=$D177,$A177&lt;&gt;""),"●","")</x:f>
      </x:c>
      <x:c r="V177" s="165" t="str">
        <x:f>IF(AND(V$5&gt;=$C177,V$5&lt;=$D177,$A177&lt;&gt;""),"●","")</x:f>
      </x:c>
      <x:c r="W177" s="165" t="str">
        <x:f>IF(AND(W$5&gt;=$C177,W$5&lt;=$D177,$A177&lt;&gt;""),"●","")</x:f>
      </x:c>
      <x:c r="X177" s="165" t="str">
        <x:f>IF(AND(X$5&gt;=$C177,X$5&lt;=$D177,$A177&lt;&gt;""),"●","")</x:f>
      </x:c>
      <x:c r="Y177" s="165" t="str">
        <x:f>IF(AND(Y$5&gt;=$C177,Y$5&lt;=$D177,$A177&lt;&gt;""),"●","")</x:f>
      </x:c>
      <x:c r="Z177" s="165" t="str">
        <x:f>IF(AND(Z$5&gt;=$C177,Z$5&lt;=$D177,$A177&lt;&gt;""),"●","")</x:f>
      </x:c>
      <x:c r="AA177" s="165" t="str">
        <x:f>IF(AND(AA$5&gt;=$C177,AA$5&lt;=$D177,$A177&lt;&gt;""),"●","")</x:f>
      </x:c>
      <x:c r="AB177" s="165" t="str">
        <x:f>IF(AND(AB$5&gt;=$C177,AB$5&lt;=$D177,$A177&lt;&gt;""),"●","")</x:f>
      </x:c>
      <x:c r="AC177" s="165" t="str">
        <x:f>IF(AND(AC$5&gt;=$C177,AC$5&lt;=$D177,$A177&lt;&gt;""),"●","")</x:f>
      </x:c>
      <x:c r="AD177" s="165" t="str">
        <x:f>IF(AND(AD$5&gt;=$C177,AD$5&lt;=$D177,$A177&lt;&gt;""),"●","")</x:f>
      </x:c>
      <x:c r="AE177" s="165" t="str">
        <x:f>IF(AND(AE$5&gt;=$C177,AE$5&lt;=$D177,$A177&lt;&gt;""),"●","")</x:f>
      </x:c>
      <x:c r="AF177" s="165" t="str">
        <x:f>IF(AND(AF$5&gt;=$C177,AF$5&lt;=$D177,$A177&lt;&gt;""),"●","")</x:f>
      </x:c>
      <x:c r="AG177" s="165" t="str">
        <x:f>IF(AND(AG$5&gt;=$C177,AG$5&lt;=$D177,$A177&lt;&gt;""),"●","")</x:f>
      </x:c>
      <x:c r="AH177" s="165" t="str">
        <x:f>IF(AND(AH$5&gt;=$C177,AH$5&lt;=$D177,$A177&lt;&gt;""),"●","")</x:f>
      </x:c>
      <x:c r="AI177" s="165" t="str">
        <x:f>IF(AND(AI$5&gt;=$C177,AI$5&lt;=$D177,$A177&lt;&gt;""),"●","")</x:f>
      </x:c>
      <x:c r="AJ177" s="165" t="str">
        <x:f>IF(AND(AJ$5&gt;=$C177,AJ$5&lt;=$D177,$A177&lt;&gt;""),"●","")</x:f>
      </x:c>
      <x:c r="AK177" s="165" t="str">
        <x:f>IF(AND(AK$5&gt;=$C177,AK$5&lt;=$D177,$A177&lt;&gt;""),"●","")</x:f>
      </x:c>
      <x:c r="AL177" s="165" t="str">
        <x:f>IF(AND(AL$5&gt;=$C177,AL$5&lt;=$D177,$A177&lt;&gt;""),"●","")</x:f>
      </x:c>
      <x:c r="AM177" s="165" t="str">
        <x:f>IF(AND(AM$5&gt;=$C177,AM$5&lt;=$D177,$A177&lt;&gt;""),"●","")</x:f>
      </x:c>
      <x:c r="AN177" s="165" t="str">
        <x:f>IF(AND(AN$5&gt;=$C177,AN$5&lt;=$D177,$A177&lt;&gt;""),"●","")</x:f>
      </x:c>
      <x:c r="AO177" s="165" t="str">
        <x:f>IF(AND(AO$5&gt;=$C177,AO$5&lt;=$D177,$A177&lt;&gt;""),"●","")</x:f>
      </x:c>
      <x:c r="AP177" s="165" t="str">
        <x:f>IF(AND(AP$5&gt;=$C177,AP$5&lt;=$D177,$A177&lt;&gt;""),"●","")</x:f>
      </x:c>
      <x:c r="AQ177" s="165" t="str">
        <x:f>IF(AND(AQ$5&gt;=$C177,AQ$5&lt;=$D177,$A177&lt;&gt;""),"●","")</x:f>
      </x:c>
      <x:c r="AR177" s="165" t="str">
        <x:f>IF(AND(AR$5&gt;=$C177,AR$5&lt;=$D177,$A177&lt;&gt;""),"●","")</x:f>
      </x:c>
      <x:c r="AS177" s="165" t="str">
        <x:f>IF(AND(AS$5&gt;=$C177,AS$5&lt;=$D177,$A177&lt;&gt;""),"●","")</x:f>
      </x:c>
      <x:c r="AT177" s="165" t="str">
        <x:f>IF(AND(AT$5&gt;=$C177,AT$5&lt;=$D177,$A177&lt;&gt;""),"●","")</x:f>
      </x:c>
      <x:c r="AU177" s="165" t="str">
        <x:f>IF(AND(AU$5&gt;=$C177,AU$5&lt;=$D177,$A177&lt;&gt;""),"●","")</x:f>
      </x:c>
      <x:c r="AV177" s="165" t="str">
        <x:f>IF(AND(AV$5&gt;=$C177,AV$5&lt;=$D177,$A177&lt;&gt;""),"●","")</x:f>
      </x:c>
      <x:c r="AW177" s="165" t="str">
        <x:f>IF(AND(AW$5&gt;=$C177,AW$5&lt;=$D177,$A177&lt;&gt;""),"●","")</x:f>
      </x:c>
      <x:c r="AX177" s="165" t="str">
        <x:f>IF(AND(AX$5&gt;=$C177,AX$5&lt;=$D177,$A177&lt;&gt;""),"●","")</x:f>
      </x:c>
      <x:c r="AY177" s="165" t="str">
        <x:f>IF(AND(AY$5&gt;=$C177,AY$5&lt;=$D177,$A177&lt;&gt;""),"●","")</x:f>
      </x:c>
      <x:c r="AZ177" s="165" t="str">
        <x:f>IF(AND(AZ$5&gt;=$C177,AZ$5&lt;=$D177,$A177&lt;&gt;""),"●","")</x:f>
      </x:c>
      <x:c r="BA177" s="165" t="str">
        <x:f>IF(AND(BA$5&gt;=$C177,BA$5&lt;=$D177,$A177&lt;&gt;""),"●","")</x:f>
      </x:c>
      <x:c r="BB177" s="165" t="str">
        <x:f>IF(AND(BB$5&gt;=$C177,BB$5&lt;=$D177,$A177&lt;&gt;""),"●","")</x:f>
      </x:c>
      <x:c r="BC177" s="165" t="str">
        <x:f>IF(AND(BC$5&gt;=$C177,BC$5&lt;=$D177,$A177&lt;&gt;""),"●","")</x:f>
      </x:c>
      <x:c r="BD177" s="165" t="str">
        <x:f>IF(AND(BD$5&gt;=$C177,BD$5&lt;=$D177,$A177&lt;&gt;""),"●","")</x:f>
      </x:c>
      <x:c r="BE177" s="165" t="str">
        <x:f>IF(AND(BE$5&gt;=$C177,BE$5&lt;=$D177,$A177&lt;&gt;""),"●","")</x:f>
      </x:c>
      <x:c r="BF177" s="165" t="str">
        <x:f>IF(AND(BF$5&gt;=$C177,BF$5&lt;=$D177,$A177&lt;&gt;""),"●","")</x:f>
      </x:c>
      <x:c r="BG177" s="165" t="str">
        <x:f>IF(AND(BG$5&gt;=$C177,BG$5&lt;=$D177,$A177&lt;&gt;""),"●","")</x:f>
      </x:c>
      <x:c r="BH177" s="165" t="str">
        <x:f>IF(AND(BH$5&gt;=$C177,BH$5&lt;=$D177,$A177&lt;&gt;""),"●","")</x:f>
      </x:c>
      <x:c r="BI177" s="165" t="str">
        <x:f>IF(AND(BI$5&gt;=$C177,BI$5&lt;=$D177,$A177&lt;&gt;""),"●","")</x:f>
      </x:c>
      <x:c r="BJ177" s="165" t="str">
        <x:f>IF(AND(BJ$5&gt;=$C177,BJ$5&lt;=$D177,$A177&lt;&gt;""),"●","")</x:f>
      </x:c>
      <x:c r="BK177" s="165" t="str">
        <x:f>IF(AND(BK$5&gt;=$C177,BK$5&lt;=$D177,$A177&lt;&gt;""),"●","")</x:f>
      </x:c>
      <x:c r="BL177" s="165" t="str">
        <x:f>IF(AND(BL$5&gt;=$C177,BL$5&lt;=$D177,$A177&lt;&gt;""),"●","")</x:f>
      </x:c>
      <x:c r="BM177" s="165" t="str">
        <x:f>IF(AND(BM$5&gt;=$C177,BM$5&lt;=$D177,$A177&lt;&gt;""),"●","")</x:f>
      </x:c>
      <x:c r="BN177" s="165" t="str">
        <x:f>IF(AND(BN$5&gt;=$C177,BN$5&lt;=$D177,$A177&lt;&gt;""),"●","")</x:f>
      </x:c>
      <x:c r="BO177" s="165" t="str">
        <x:f>IF(AND(BO$5&gt;=$C177,BO$5&lt;=$D177,$A177&lt;&gt;""),"●","")</x:f>
      </x:c>
      <x:c r="BP177" s="165" t="str">
        <x:f>IF(AND(BP$5&gt;=$C177,BP$5&lt;=$D177,$A177&lt;&gt;""),"●","")</x:f>
      </x:c>
      <x:c r="BQ177" s="165" t="str">
        <x:f>IF(AND(BQ$5&gt;=$C177,BQ$5&lt;=$D177,$A177&lt;&gt;""),"●","")</x:f>
      </x:c>
      <x:c r="BR177" s="165" t="str">
        <x:f>IF(AND(BR$5&gt;=$C177,BR$5&lt;=$D177,$A177&lt;&gt;""),"●","")</x:f>
      </x:c>
      <x:c r="BS177" s="165" t="str">
        <x:f>IF(AND(BS$5&gt;=$C177,BS$5&lt;=$D177,$A177&lt;&gt;""),"●","")</x:f>
      </x:c>
      <x:c r="BT177" s="165" t="str">
        <x:f>IF(AND(BT$5&gt;=$C177,BT$5&lt;=$D177,$A177&lt;&gt;""),"●","")</x:f>
      </x:c>
      <x:c r="BU177" s="165" t="str">
        <x:f>IF(AND(BU$5&gt;=$C177,BU$5&lt;=$D177,$A177&lt;&gt;""),"●","")</x:f>
      </x:c>
      <x:c r="BV177" s="165" t="str">
        <x:f>IF(AND(BV$5&gt;=$C177,BV$5&lt;=$D177,$A177&lt;&gt;""),"●","")</x:f>
      </x:c>
      <x:c r="BW177" s="165" t="str">
        <x:f>IF(AND(BW$5&gt;=$C177,BW$5&lt;=$D177,$A177&lt;&gt;""),"●","")</x:f>
      </x:c>
    </x:row>
    <x:row r="178">
      <x:c r="A178" s="159" t="str">
        <x:f>IF('รายการสัญญา'!A178="","",'รายการสัญญา'!A178)</x:f>
      </x:c>
      <x:c r="B178" s="159" t="str">
        <x:f>IF('รายการสัญญา'!A178="","",'รายการสัญญา'!C178)</x:f>
      </x:c>
      <x:c r="C178" s="162" t="str">
        <x:f>IF('รายการสัญญา'!A178="","",'รายการสัญญา'!E178)</x:f>
      </x:c>
      <x:c r="D178" s="162" t="str">
        <x:f>IF('รายการสัญญา'!A178="","",'รายการสัญญา'!G178)</x:f>
      </x:c>
      <x:c r="E178" s="159" t="str">
        <x:f>IF('รายการสัญญา'!A178="","",'รายการสัญญา'!K178)</x:f>
      </x:c>
      <x:c r="F178" s="165" t="str">
        <x:f>IF(AND(F$5&gt;=$C178,F$5&lt;=$D178,$A178&lt;&gt;""),"●","")</x:f>
      </x:c>
      <x:c r="G178" s="165" t="str">
        <x:f>IF(AND(G$5&gt;=$C178,G$5&lt;=$D178,$A178&lt;&gt;""),"●","")</x:f>
      </x:c>
      <x:c r="H178" s="165" t="str">
        <x:f>IF(AND(H$5&gt;=$C178,H$5&lt;=$D178,$A178&lt;&gt;""),"●","")</x:f>
      </x:c>
      <x:c r="I178" s="165" t="str">
        <x:f>IF(AND(I$5&gt;=$C178,I$5&lt;=$D178,$A178&lt;&gt;""),"●","")</x:f>
      </x:c>
      <x:c r="J178" s="165" t="str">
        <x:f>IF(AND(J$5&gt;=$C178,J$5&lt;=$D178,$A178&lt;&gt;""),"●","")</x:f>
      </x:c>
      <x:c r="K178" s="165" t="str">
        <x:f>IF(AND(K$5&gt;=$C178,K$5&lt;=$D178,$A178&lt;&gt;""),"●","")</x:f>
      </x:c>
      <x:c r="L178" s="165" t="str">
        <x:f>IF(AND(L$5&gt;=$C178,L$5&lt;=$D178,$A178&lt;&gt;""),"●","")</x:f>
      </x:c>
      <x:c r="M178" s="165" t="str">
        <x:f>IF(AND(M$5&gt;=$C178,M$5&lt;=$D178,$A178&lt;&gt;""),"●","")</x:f>
      </x:c>
      <x:c r="N178" s="165" t="str">
        <x:f>IF(AND(N$5&gt;=$C178,N$5&lt;=$D178,$A178&lt;&gt;""),"●","")</x:f>
      </x:c>
      <x:c r="O178" s="165" t="str">
        <x:f>IF(AND(O$5&gt;=$C178,O$5&lt;=$D178,$A178&lt;&gt;""),"●","")</x:f>
      </x:c>
      <x:c r="P178" s="165" t="str">
        <x:f>IF(AND(P$5&gt;=$C178,P$5&lt;=$D178,$A178&lt;&gt;""),"●","")</x:f>
      </x:c>
      <x:c r="Q178" s="165" t="str">
        <x:f>IF(AND(Q$5&gt;=$C178,Q$5&lt;=$D178,$A178&lt;&gt;""),"●","")</x:f>
      </x:c>
      <x:c r="R178" s="165" t="str">
        <x:f>IF(AND(R$5&gt;=$C178,R$5&lt;=$D178,$A178&lt;&gt;""),"●","")</x:f>
      </x:c>
      <x:c r="S178" s="165" t="str">
        <x:f>IF(AND(S$5&gt;=$C178,S$5&lt;=$D178,$A178&lt;&gt;""),"●","")</x:f>
      </x:c>
      <x:c r="T178" s="165" t="str">
        <x:f>IF(AND(T$5&gt;=$C178,T$5&lt;=$D178,$A178&lt;&gt;""),"●","")</x:f>
      </x:c>
      <x:c r="U178" s="165" t="str">
        <x:f>IF(AND(U$5&gt;=$C178,U$5&lt;=$D178,$A178&lt;&gt;""),"●","")</x:f>
      </x:c>
      <x:c r="V178" s="165" t="str">
        <x:f>IF(AND(V$5&gt;=$C178,V$5&lt;=$D178,$A178&lt;&gt;""),"●","")</x:f>
      </x:c>
      <x:c r="W178" s="165" t="str">
        <x:f>IF(AND(W$5&gt;=$C178,W$5&lt;=$D178,$A178&lt;&gt;""),"●","")</x:f>
      </x:c>
      <x:c r="X178" s="165" t="str">
        <x:f>IF(AND(X$5&gt;=$C178,X$5&lt;=$D178,$A178&lt;&gt;""),"●","")</x:f>
      </x:c>
      <x:c r="Y178" s="165" t="str">
        <x:f>IF(AND(Y$5&gt;=$C178,Y$5&lt;=$D178,$A178&lt;&gt;""),"●","")</x:f>
      </x:c>
      <x:c r="Z178" s="165" t="str">
        <x:f>IF(AND(Z$5&gt;=$C178,Z$5&lt;=$D178,$A178&lt;&gt;""),"●","")</x:f>
      </x:c>
      <x:c r="AA178" s="165" t="str">
        <x:f>IF(AND(AA$5&gt;=$C178,AA$5&lt;=$D178,$A178&lt;&gt;""),"●","")</x:f>
      </x:c>
      <x:c r="AB178" s="165" t="str">
        <x:f>IF(AND(AB$5&gt;=$C178,AB$5&lt;=$D178,$A178&lt;&gt;""),"●","")</x:f>
      </x:c>
      <x:c r="AC178" s="165" t="str">
        <x:f>IF(AND(AC$5&gt;=$C178,AC$5&lt;=$D178,$A178&lt;&gt;""),"●","")</x:f>
      </x:c>
      <x:c r="AD178" s="165" t="str">
        <x:f>IF(AND(AD$5&gt;=$C178,AD$5&lt;=$D178,$A178&lt;&gt;""),"●","")</x:f>
      </x:c>
      <x:c r="AE178" s="165" t="str">
        <x:f>IF(AND(AE$5&gt;=$C178,AE$5&lt;=$D178,$A178&lt;&gt;""),"●","")</x:f>
      </x:c>
      <x:c r="AF178" s="165" t="str">
        <x:f>IF(AND(AF$5&gt;=$C178,AF$5&lt;=$D178,$A178&lt;&gt;""),"●","")</x:f>
      </x:c>
      <x:c r="AG178" s="165" t="str">
        <x:f>IF(AND(AG$5&gt;=$C178,AG$5&lt;=$D178,$A178&lt;&gt;""),"●","")</x:f>
      </x:c>
      <x:c r="AH178" s="165" t="str">
        <x:f>IF(AND(AH$5&gt;=$C178,AH$5&lt;=$D178,$A178&lt;&gt;""),"●","")</x:f>
      </x:c>
      <x:c r="AI178" s="165" t="str">
        <x:f>IF(AND(AI$5&gt;=$C178,AI$5&lt;=$D178,$A178&lt;&gt;""),"●","")</x:f>
      </x:c>
      <x:c r="AJ178" s="165" t="str">
        <x:f>IF(AND(AJ$5&gt;=$C178,AJ$5&lt;=$D178,$A178&lt;&gt;""),"●","")</x:f>
      </x:c>
      <x:c r="AK178" s="165" t="str">
        <x:f>IF(AND(AK$5&gt;=$C178,AK$5&lt;=$D178,$A178&lt;&gt;""),"●","")</x:f>
      </x:c>
      <x:c r="AL178" s="165" t="str">
        <x:f>IF(AND(AL$5&gt;=$C178,AL$5&lt;=$D178,$A178&lt;&gt;""),"●","")</x:f>
      </x:c>
      <x:c r="AM178" s="165" t="str">
        <x:f>IF(AND(AM$5&gt;=$C178,AM$5&lt;=$D178,$A178&lt;&gt;""),"●","")</x:f>
      </x:c>
      <x:c r="AN178" s="165" t="str">
        <x:f>IF(AND(AN$5&gt;=$C178,AN$5&lt;=$D178,$A178&lt;&gt;""),"●","")</x:f>
      </x:c>
      <x:c r="AO178" s="165" t="str">
        <x:f>IF(AND(AO$5&gt;=$C178,AO$5&lt;=$D178,$A178&lt;&gt;""),"●","")</x:f>
      </x:c>
      <x:c r="AP178" s="165" t="str">
        <x:f>IF(AND(AP$5&gt;=$C178,AP$5&lt;=$D178,$A178&lt;&gt;""),"●","")</x:f>
      </x:c>
      <x:c r="AQ178" s="165" t="str">
        <x:f>IF(AND(AQ$5&gt;=$C178,AQ$5&lt;=$D178,$A178&lt;&gt;""),"●","")</x:f>
      </x:c>
      <x:c r="AR178" s="165" t="str">
        <x:f>IF(AND(AR$5&gt;=$C178,AR$5&lt;=$D178,$A178&lt;&gt;""),"●","")</x:f>
      </x:c>
      <x:c r="AS178" s="165" t="str">
        <x:f>IF(AND(AS$5&gt;=$C178,AS$5&lt;=$D178,$A178&lt;&gt;""),"●","")</x:f>
      </x:c>
      <x:c r="AT178" s="165" t="str">
        <x:f>IF(AND(AT$5&gt;=$C178,AT$5&lt;=$D178,$A178&lt;&gt;""),"●","")</x:f>
      </x:c>
      <x:c r="AU178" s="165" t="str">
        <x:f>IF(AND(AU$5&gt;=$C178,AU$5&lt;=$D178,$A178&lt;&gt;""),"●","")</x:f>
      </x:c>
      <x:c r="AV178" s="165" t="str">
        <x:f>IF(AND(AV$5&gt;=$C178,AV$5&lt;=$D178,$A178&lt;&gt;""),"●","")</x:f>
      </x:c>
      <x:c r="AW178" s="165" t="str">
        <x:f>IF(AND(AW$5&gt;=$C178,AW$5&lt;=$D178,$A178&lt;&gt;""),"●","")</x:f>
      </x:c>
      <x:c r="AX178" s="165" t="str">
        <x:f>IF(AND(AX$5&gt;=$C178,AX$5&lt;=$D178,$A178&lt;&gt;""),"●","")</x:f>
      </x:c>
      <x:c r="AY178" s="165" t="str">
        <x:f>IF(AND(AY$5&gt;=$C178,AY$5&lt;=$D178,$A178&lt;&gt;""),"●","")</x:f>
      </x:c>
      <x:c r="AZ178" s="165" t="str">
        <x:f>IF(AND(AZ$5&gt;=$C178,AZ$5&lt;=$D178,$A178&lt;&gt;""),"●","")</x:f>
      </x:c>
      <x:c r="BA178" s="165" t="str">
        <x:f>IF(AND(BA$5&gt;=$C178,BA$5&lt;=$D178,$A178&lt;&gt;""),"●","")</x:f>
      </x:c>
      <x:c r="BB178" s="165" t="str">
        <x:f>IF(AND(BB$5&gt;=$C178,BB$5&lt;=$D178,$A178&lt;&gt;""),"●","")</x:f>
      </x:c>
      <x:c r="BC178" s="165" t="str">
        <x:f>IF(AND(BC$5&gt;=$C178,BC$5&lt;=$D178,$A178&lt;&gt;""),"●","")</x:f>
      </x:c>
      <x:c r="BD178" s="165" t="str">
        <x:f>IF(AND(BD$5&gt;=$C178,BD$5&lt;=$D178,$A178&lt;&gt;""),"●","")</x:f>
      </x:c>
      <x:c r="BE178" s="165" t="str">
        <x:f>IF(AND(BE$5&gt;=$C178,BE$5&lt;=$D178,$A178&lt;&gt;""),"●","")</x:f>
      </x:c>
      <x:c r="BF178" s="165" t="str">
        <x:f>IF(AND(BF$5&gt;=$C178,BF$5&lt;=$D178,$A178&lt;&gt;""),"●","")</x:f>
      </x:c>
      <x:c r="BG178" s="165" t="str">
        <x:f>IF(AND(BG$5&gt;=$C178,BG$5&lt;=$D178,$A178&lt;&gt;""),"●","")</x:f>
      </x:c>
      <x:c r="BH178" s="165" t="str">
        <x:f>IF(AND(BH$5&gt;=$C178,BH$5&lt;=$D178,$A178&lt;&gt;""),"●","")</x:f>
      </x:c>
      <x:c r="BI178" s="165" t="str">
        <x:f>IF(AND(BI$5&gt;=$C178,BI$5&lt;=$D178,$A178&lt;&gt;""),"●","")</x:f>
      </x:c>
      <x:c r="BJ178" s="165" t="str">
        <x:f>IF(AND(BJ$5&gt;=$C178,BJ$5&lt;=$D178,$A178&lt;&gt;""),"●","")</x:f>
      </x:c>
      <x:c r="BK178" s="165" t="str">
        <x:f>IF(AND(BK$5&gt;=$C178,BK$5&lt;=$D178,$A178&lt;&gt;""),"●","")</x:f>
      </x:c>
      <x:c r="BL178" s="165" t="str">
        <x:f>IF(AND(BL$5&gt;=$C178,BL$5&lt;=$D178,$A178&lt;&gt;""),"●","")</x:f>
      </x:c>
      <x:c r="BM178" s="165" t="str">
        <x:f>IF(AND(BM$5&gt;=$C178,BM$5&lt;=$D178,$A178&lt;&gt;""),"●","")</x:f>
      </x:c>
      <x:c r="BN178" s="165" t="str">
        <x:f>IF(AND(BN$5&gt;=$C178,BN$5&lt;=$D178,$A178&lt;&gt;""),"●","")</x:f>
      </x:c>
      <x:c r="BO178" s="165" t="str">
        <x:f>IF(AND(BO$5&gt;=$C178,BO$5&lt;=$D178,$A178&lt;&gt;""),"●","")</x:f>
      </x:c>
      <x:c r="BP178" s="165" t="str">
        <x:f>IF(AND(BP$5&gt;=$C178,BP$5&lt;=$D178,$A178&lt;&gt;""),"●","")</x:f>
      </x:c>
      <x:c r="BQ178" s="165" t="str">
        <x:f>IF(AND(BQ$5&gt;=$C178,BQ$5&lt;=$D178,$A178&lt;&gt;""),"●","")</x:f>
      </x:c>
      <x:c r="BR178" s="165" t="str">
        <x:f>IF(AND(BR$5&gt;=$C178,BR$5&lt;=$D178,$A178&lt;&gt;""),"●","")</x:f>
      </x:c>
      <x:c r="BS178" s="165" t="str">
        <x:f>IF(AND(BS$5&gt;=$C178,BS$5&lt;=$D178,$A178&lt;&gt;""),"●","")</x:f>
      </x:c>
      <x:c r="BT178" s="165" t="str">
        <x:f>IF(AND(BT$5&gt;=$C178,BT$5&lt;=$D178,$A178&lt;&gt;""),"●","")</x:f>
      </x:c>
      <x:c r="BU178" s="165" t="str">
        <x:f>IF(AND(BU$5&gt;=$C178,BU$5&lt;=$D178,$A178&lt;&gt;""),"●","")</x:f>
      </x:c>
      <x:c r="BV178" s="165" t="str">
        <x:f>IF(AND(BV$5&gt;=$C178,BV$5&lt;=$D178,$A178&lt;&gt;""),"●","")</x:f>
      </x:c>
      <x:c r="BW178" s="165" t="str">
        <x:f>IF(AND(BW$5&gt;=$C178,BW$5&lt;=$D178,$A178&lt;&gt;""),"●","")</x:f>
      </x:c>
    </x:row>
    <x:row r="179">
      <x:c r="A179" s="159" t="str">
        <x:f>IF('รายการสัญญา'!A179="","",'รายการสัญญา'!A179)</x:f>
      </x:c>
      <x:c r="B179" s="159" t="str">
        <x:f>IF('รายการสัญญา'!A179="","",'รายการสัญญา'!C179)</x:f>
      </x:c>
      <x:c r="C179" s="162" t="str">
        <x:f>IF('รายการสัญญา'!A179="","",'รายการสัญญา'!E179)</x:f>
      </x:c>
      <x:c r="D179" s="162" t="str">
        <x:f>IF('รายการสัญญา'!A179="","",'รายการสัญญา'!G179)</x:f>
      </x:c>
      <x:c r="E179" s="159" t="str">
        <x:f>IF('รายการสัญญา'!A179="","",'รายการสัญญา'!K179)</x:f>
      </x:c>
      <x:c r="F179" s="165" t="str">
        <x:f>IF(AND(F$5&gt;=$C179,F$5&lt;=$D179,$A179&lt;&gt;""),"●","")</x:f>
      </x:c>
      <x:c r="G179" s="165" t="str">
        <x:f>IF(AND(G$5&gt;=$C179,G$5&lt;=$D179,$A179&lt;&gt;""),"●","")</x:f>
      </x:c>
      <x:c r="H179" s="165" t="str">
        <x:f>IF(AND(H$5&gt;=$C179,H$5&lt;=$D179,$A179&lt;&gt;""),"●","")</x:f>
      </x:c>
      <x:c r="I179" s="165" t="str">
        <x:f>IF(AND(I$5&gt;=$C179,I$5&lt;=$D179,$A179&lt;&gt;""),"●","")</x:f>
      </x:c>
      <x:c r="J179" s="165" t="str">
        <x:f>IF(AND(J$5&gt;=$C179,J$5&lt;=$D179,$A179&lt;&gt;""),"●","")</x:f>
      </x:c>
      <x:c r="K179" s="165" t="str">
        <x:f>IF(AND(K$5&gt;=$C179,K$5&lt;=$D179,$A179&lt;&gt;""),"●","")</x:f>
      </x:c>
      <x:c r="L179" s="165" t="str">
        <x:f>IF(AND(L$5&gt;=$C179,L$5&lt;=$D179,$A179&lt;&gt;""),"●","")</x:f>
      </x:c>
      <x:c r="M179" s="165" t="str">
        <x:f>IF(AND(M$5&gt;=$C179,M$5&lt;=$D179,$A179&lt;&gt;""),"●","")</x:f>
      </x:c>
      <x:c r="N179" s="165" t="str">
        <x:f>IF(AND(N$5&gt;=$C179,N$5&lt;=$D179,$A179&lt;&gt;""),"●","")</x:f>
      </x:c>
      <x:c r="O179" s="165" t="str">
        <x:f>IF(AND(O$5&gt;=$C179,O$5&lt;=$D179,$A179&lt;&gt;""),"●","")</x:f>
      </x:c>
      <x:c r="P179" s="165" t="str">
        <x:f>IF(AND(P$5&gt;=$C179,P$5&lt;=$D179,$A179&lt;&gt;""),"●","")</x:f>
      </x:c>
      <x:c r="Q179" s="165" t="str">
        <x:f>IF(AND(Q$5&gt;=$C179,Q$5&lt;=$D179,$A179&lt;&gt;""),"●","")</x:f>
      </x:c>
      <x:c r="R179" s="165" t="str">
        <x:f>IF(AND(R$5&gt;=$C179,R$5&lt;=$D179,$A179&lt;&gt;""),"●","")</x:f>
      </x:c>
      <x:c r="S179" s="165" t="str">
        <x:f>IF(AND(S$5&gt;=$C179,S$5&lt;=$D179,$A179&lt;&gt;""),"●","")</x:f>
      </x:c>
      <x:c r="T179" s="165" t="str">
        <x:f>IF(AND(T$5&gt;=$C179,T$5&lt;=$D179,$A179&lt;&gt;""),"●","")</x:f>
      </x:c>
      <x:c r="U179" s="165" t="str">
        <x:f>IF(AND(U$5&gt;=$C179,U$5&lt;=$D179,$A179&lt;&gt;""),"●","")</x:f>
      </x:c>
      <x:c r="V179" s="165" t="str">
        <x:f>IF(AND(V$5&gt;=$C179,V$5&lt;=$D179,$A179&lt;&gt;""),"●","")</x:f>
      </x:c>
      <x:c r="W179" s="165" t="str">
        <x:f>IF(AND(W$5&gt;=$C179,W$5&lt;=$D179,$A179&lt;&gt;""),"●","")</x:f>
      </x:c>
      <x:c r="X179" s="165" t="str">
        <x:f>IF(AND(X$5&gt;=$C179,X$5&lt;=$D179,$A179&lt;&gt;""),"●","")</x:f>
      </x:c>
      <x:c r="Y179" s="165" t="str">
        <x:f>IF(AND(Y$5&gt;=$C179,Y$5&lt;=$D179,$A179&lt;&gt;""),"●","")</x:f>
      </x:c>
      <x:c r="Z179" s="165" t="str">
        <x:f>IF(AND(Z$5&gt;=$C179,Z$5&lt;=$D179,$A179&lt;&gt;""),"●","")</x:f>
      </x:c>
      <x:c r="AA179" s="165" t="str">
        <x:f>IF(AND(AA$5&gt;=$C179,AA$5&lt;=$D179,$A179&lt;&gt;""),"●","")</x:f>
      </x:c>
      <x:c r="AB179" s="165" t="str">
        <x:f>IF(AND(AB$5&gt;=$C179,AB$5&lt;=$D179,$A179&lt;&gt;""),"●","")</x:f>
      </x:c>
      <x:c r="AC179" s="165" t="str">
        <x:f>IF(AND(AC$5&gt;=$C179,AC$5&lt;=$D179,$A179&lt;&gt;""),"●","")</x:f>
      </x:c>
      <x:c r="AD179" s="165" t="str">
        <x:f>IF(AND(AD$5&gt;=$C179,AD$5&lt;=$D179,$A179&lt;&gt;""),"●","")</x:f>
      </x:c>
      <x:c r="AE179" s="165" t="str">
        <x:f>IF(AND(AE$5&gt;=$C179,AE$5&lt;=$D179,$A179&lt;&gt;""),"●","")</x:f>
      </x:c>
      <x:c r="AF179" s="165" t="str">
        <x:f>IF(AND(AF$5&gt;=$C179,AF$5&lt;=$D179,$A179&lt;&gt;""),"●","")</x:f>
      </x:c>
      <x:c r="AG179" s="165" t="str">
        <x:f>IF(AND(AG$5&gt;=$C179,AG$5&lt;=$D179,$A179&lt;&gt;""),"●","")</x:f>
      </x:c>
      <x:c r="AH179" s="165" t="str">
        <x:f>IF(AND(AH$5&gt;=$C179,AH$5&lt;=$D179,$A179&lt;&gt;""),"●","")</x:f>
      </x:c>
      <x:c r="AI179" s="165" t="str">
        <x:f>IF(AND(AI$5&gt;=$C179,AI$5&lt;=$D179,$A179&lt;&gt;""),"●","")</x:f>
      </x:c>
      <x:c r="AJ179" s="165" t="str">
        <x:f>IF(AND(AJ$5&gt;=$C179,AJ$5&lt;=$D179,$A179&lt;&gt;""),"●","")</x:f>
      </x:c>
      <x:c r="AK179" s="165" t="str">
        <x:f>IF(AND(AK$5&gt;=$C179,AK$5&lt;=$D179,$A179&lt;&gt;""),"●","")</x:f>
      </x:c>
      <x:c r="AL179" s="165" t="str">
        <x:f>IF(AND(AL$5&gt;=$C179,AL$5&lt;=$D179,$A179&lt;&gt;""),"●","")</x:f>
      </x:c>
      <x:c r="AM179" s="165" t="str">
        <x:f>IF(AND(AM$5&gt;=$C179,AM$5&lt;=$D179,$A179&lt;&gt;""),"●","")</x:f>
      </x:c>
      <x:c r="AN179" s="165" t="str">
        <x:f>IF(AND(AN$5&gt;=$C179,AN$5&lt;=$D179,$A179&lt;&gt;""),"●","")</x:f>
      </x:c>
      <x:c r="AO179" s="165" t="str">
        <x:f>IF(AND(AO$5&gt;=$C179,AO$5&lt;=$D179,$A179&lt;&gt;""),"●","")</x:f>
      </x:c>
      <x:c r="AP179" s="165" t="str">
        <x:f>IF(AND(AP$5&gt;=$C179,AP$5&lt;=$D179,$A179&lt;&gt;""),"●","")</x:f>
      </x:c>
      <x:c r="AQ179" s="165" t="str">
        <x:f>IF(AND(AQ$5&gt;=$C179,AQ$5&lt;=$D179,$A179&lt;&gt;""),"●","")</x:f>
      </x:c>
      <x:c r="AR179" s="165" t="str">
        <x:f>IF(AND(AR$5&gt;=$C179,AR$5&lt;=$D179,$A179&lt;&gt;""),"●","")</x:f>
      </x:c>
      <x:c r="AS179" s="165" t="str">
        <x:f>IF(AND(AS$5&gt;=$C179,AS$5&lt;=$D179,$A179&lt;&gt;""),"●","")</x:f>
      </x:c>
      <x:c r="AT179" s="165" t="str">
        <x:f>IF(AND(AT$5&gt;=$C179,AT$5&lt;=$D179,$A179&lt;&gt;""),"●","")</x:f>
      </x:c>
      <x:c r="AU179" s="165" t="str">
        <x:f>IF(AND(AU$5&gt;=$C179,AU$5&lt;=$D179,$A179&lt;&gt;""),"●","")</x:f>
      </x:c>
      <x:c r="AV179" s="165" t="str">
        <x:f>IF(AND(AV$5&gt;=$C179,AV$5&lt;=$D179,$A179&lt;&gt;""),"●","")</x:f>
      </x:c>
      <x:c r="AW179" s="165" t="str">
        <x:f>IF(AND(AW$5&gt;=$C179,AW$5&lt;=$D179,$A179&lt;&gt;""),"●","")</x:f>
      </x:c>
      <x:c r="AX179" s="165" t="str">
        <x:f>IF(AND(AX$5&gt;=$C179,AX$5&lt;=$D179,$A179&lt;&gt;""),"●","")</x:f>
      </x:c>
      <x:c r="AY179" s="165" t="str">
        <x:f>IF(AND(AY$5&gt;=$C179,AY$5&lt;=$D179,$A179&lt;&gt;""),"●","")</x:f>
      </x:c>
      <x:c r="AZ179" s="165" t="str">
        <x:f>IF(AND(AZ$5&gt;=$C179,AZ$5&lt;=$D179,$A179&lt;&gt;""),"●","")</x:f>
      </x:c>
      <x:c r="BA179" s="165" t="str">
        <x:f>IF(AND(BA$5&gt;=$C179,BA$5&lt;=$D179,$A179&lt;&gt;""),"●","")</x:f>
      </x:c>
      <x:c r="BB179" s="165" t="str">
        <x:f>IF(AND(BB$5&gt;=$C179,BB$5&lt;=$D179,$A179&lt;&gt;""),"●","")</x:f>
      </x:c>
      <x:c r="BC179" s="165" t="str">
        <x:f>IF(AND(BC$5&gt;=$C179,BC$5&lt;=$D179,$A179&lt;&gt;""),"●","")</x:f>
      </x:c>
      <x:c r="BD179" s="165" t="str">
        <x:f>IF(AND(BD$5&gt;=$C179,BD$5&lt;=$D179,$A179&lt;&gt;""),"●","")</x:f>
      </x:c>
      <x:c r="BE179" s="165" t="str">
        <x:f>IF(AND(BE$5&gt;=$C179,BE$5&lt;=$D179,$A179&lt;&gt;""),"●","")</x:f>
      </x:c>
      <x:c r="BF179" s="165" t="str">
        <x:f>IF(AND(BF$5&gt;=$C179,BF$5&lt;=$D179,$A179&lt;&gt;""),"●","")</x:f>
      </x:c>
      <x:c r="BG179" s="165" t="str">
        <x:f>IF(AND(BG$5&gt;=$C179,BG$5&lt;=$D179,$A179&lt;&gt;""),"●","")</x:f>
      </x:c>
      <x:c r="BH179" s="165" t="str">
        <x:f>IF(AND(BH$5&gt;=$C179,BH$5&lt;=$D179,$A179&lt;&gt;""),"●","")</x:f>
      </x:c>
      <x:c r="BI179" s="165" t="str">
        <x:f>IF(AND(BI$5&gt;=$C179,BI$5&lt;=$D179,$A179&lt;&gt;""),"●","")</x:f>
      </x:c>
      <x:c r="BJ179" s="165" t="str">
        <x:f>IF(AND(BJ$5&gt;=$C179,BJ$5&lt;=$D179,$A179&lt;&gt;""),"●","")</x:f>
      </x:c>
      <x:c r="BK179" s="165" t="str">
        <x:f>IF(AND(BK$5&gt;=$C179,BK$5&lt;=$D179,$A179&lt;&gt;""),"●","")</x:f>
      </x:c>
      <x:c r="BL179" s="165" t="str">
        <x:f>IF(AND(BL$5&gt;=$C179,BL$5&lt;=$D179,$A179&lt;&gt;""),"●","")</x:f>
      </x:c>
      <x:c r="BM179" s="165" t="str">
        <x:f>IF(AND(BM$5&gt;=$C179,BM$5&lt;=$D179,$A179&lt;&gt;""),"●","")</x:f>
      </x:c>
      <x:c r="BN179" s="165" t="str">
        <x:f>IF(AND(BN$5&gt;=$C179,BN$5&lt;=$D179,$A179&lt;&gt;""),"●","")</x:f>
      </x:c>
      <x:c r="BO179" s="165" t="str">
        <x:f>IF(AND(BO$5&gt;=$C179,BO$5&lt;=$D179,$A179&lt;&gt;""),"●","")</x:f>
      </x:c>
      <x:c r="BP179" s="165" t="str">
        <x:f>IF(AND(BP$5&gt;=$C179,BP$5&lt;=$D179,$A179&lt;&gt;""),"●","")</x:f>
      </x:c>
      <x:c r="BQ179" s="165" t="str">
        <x:f>IF(AND(BQ$5&gt;=$C179,BQ$5&lt;=$D179,$A179&lt;&gt;""),"●","")</x:f>
      </x:c>
      <x:c r="BR179" s="165" t="str">
        <x:f>IF(AND(BR$5&gt;=$C179,BR$5&lt;=$D179,$A179&lt;&gt;""),"●","")</x:f>
      </x:c>
      <x:c r="BS179" s="165" t="str">
        <x:f>IF(AND(BS$5&gt;=$C179,BS$5&lt;=$D179,$A179&lt;&gt;""),"●","")</x:f>
      </x:c>
      <x:c r="BT179" s="165" t="str">
        <x:f>IF(AND(BT$5&gt;=$C179,BT$5&lt;=$D179,$A179&lt;&gt;""),"●","")</x:f>
      </x:c>
      <x:c r="BU179" s="165" t="str">
        <x:f>IF(AND(BU$5&gt;=$C179,BU$5&lt;=$D179,$A179&lt;&gt;""),"●","")</x:f>
      </x:c>
      <x:c r="BV179" s="165" t="str">
        <x:f>IF(AND(BV$5&gt;=$C179,BV$5&lt;=$D179,$A179&lt;&gt;""),"●","")</x:f>
      </x:c>
      <x:c r="BW179" s="165" t="str">
        <x:f>IF(AND(BW$5&gt;=$C179,BW$5&lt;=$D179,$A179&lt;&gt;""),"●","")</x:f>
      </x:c>
    </x:row>
    <x:row r="180">
      <x:c r="A180" s="159" t="str">
        <x:f>IF('รายการสัญญา'!A180="","",'รายการสัญญา'!A180)</x:f>
      </x:c>
      <x:c r="B180" s="159" t="str">
        <x:f>IF('รายการสัญญา'!A180="","",'รายการสัญญา'!C180)</x:f>
      </x:c>
      <x:c r="C180" s="162" t="str">
        <x:f>IF('รายการสัญญา'!A180="","",'รายการสัญญา'!E180)</x:f>
      </x:c>
      <x:c r="D180" s="162" t="str">
        <x:f>IF('รายการสัญญา'!A180="","",'รายการสัญญา'!G180)</x:f>
      </x:c>
      <x:c r="E180" s="159" t="str">
        <x:f>IF('รายการสัญญา'!A180="","",'รายการสัญญา'!K180)</x:f>
      </x:c>
      <x:c r="F180" s="165" t="str">
        <x:f>IF(AND(F$5&gt;=$C180,F$5&lt;=$D180,$A180&lt;&gt;""),"●","")</x:f>
      </x:c>
      <x:c r="G180" s="165" t="str">
        <x:f>IF(AND(G$5&gt;=$C180,G$5&lt;=$D180,$A180&lt;&gt;""),"●","")</x:f>
      </x:c>
      <x:c r="H180" s="165" t="str">
        <x:f>IF(AND(H$5&gt;=$C180,H$5&lt;=$D180,$A180&lt;&gt;""),"●","")</x:f>
      </x:c>
      <x:c r="I180" s="165" t="str">
        <x:f>IF(AND(I$5&gt;=$C180,I$5&lt;=$D180,$A180&lt;&gt;""),"●","")</x:f>
      </x:c>
      <x:c r="J180" s="165" t="str">
        <x:f>IF(AND(J$5&gt;=$C180,J$5&lt;=$D180,$A180&lt;&gt;""),"●","")</x:f>
      </x:c>
      <x:c r="K180" s="165" t="str">
        <x:f>IF(AND(K$5&gt;=$C180,K$5&lt;=$D180,$A180&lt;&gt;""),"●","")</x:f>
      </x:c>
      <x:c r="L180" s="165" t="str">
        <x:f>IF(AND(L$5&gt;=$C180,L$5&lt;=$D180,$A180&lt;&gt;""),"●","")</x:f>
      </x:c>
      <x:c r="M180" s="165" t="str">
        <x:f>IF(AND(M$5&gt;=$C180,M$5&lt;=$D180,$A180&lt;&gt;""),"●","")</x:f>
      </x:c>
      <x:c r="N180" s="165" t="str">
        <x:f>IF(AND(N$5&gt;=$C180,N$5&lt;=$D180,$A180&lt;&gt;""),"●","")</x:f>
      </x:c>
      <x:c r="O180" s="165" t="str">
        <x:f>IF(AND(O$5&gt;=$C180,O$5&lt;=$D180,$A180&lt;&gt;""),"●","")</x:f>
      </x:c>
      <x:c r="P180" s="165" t="str">
        <x:f>IF(AND(P$5&gt;=$C180,P$5&lt;=$D180,$A180&lt;&gt;""),"●","")</x:f>
      </x:c>
      <x:c r="Q180" s="165" t="str">
        <x:f>IF(AND(Q$5&gt;=$C180,Q$5&lt;=$D180,$A180&lt;&gt;""),"●","")</x:f>
      </x:c>
      <x:c r="R180" s="165" t="str">
        <x:f>IF(AND(R$5&gt;=$C180,R$5&lt;=$D180,$A180&lt;&gt;""),"●","")</x:f>
      </x:c>
      <x:c r="S180" s="165" t="str">
        <x:f>IF(AND(S$5&gt;=$C180,S$5&lt;=$D180,$A180&lt;&gt;""),"●","")</x:f>
      </x:c>
      <x:c r="T180" s="165" t="str">
        <x:f>IF(AND(T$5&gt;=$C180,T$5&lt;=$D180,$A180&lt;&gt;""),"●","")</x:f>
      </x:c>
      <x:c r="U180" s="165" t="str">
        <x:f>IF(AND(U$5&gt;=$C180,U$5&lt;=$D180,$A180&lt;&gt;""),"●","")</x:f>
      </x:c>
      <x:c r="V180" s="165" t="str">
        <x:f>IF(AND(V$5&gt;=$C180,V$5&lt;=$D180,$A180&lt;&gt;""),"●","")</x:f>
      </x:c>
      <x:c r="W180" s="165" t="str">
        <x:f>IF(AND(W$5&gt;=$C180,W$5&lt;=$D180,$A180&lt;&gt;""),"●","")</x:f>
      </x:c>
      <x:c r="X180" s="165" t="str">
        <x:f>IF(AND(X$5&gt;=$C180,X$5&lt;=$D180,$A180&lt;&gt;""),"●","")</x:f>
      </x:c>
      <x:c r="Y180" s="165" t="str">
        <x:f>IF(AND(Y$5&gt;=$C180,Y$5&lt;=$D180,$A180&lt;&gt;""),"●","")</x:f>
      </x:c>
      <x:c r="Z180" s="165" t="str">
        <x:f>IF(AND(Z$5&gt;=$C180,Z$5&lt;=$D180,$A180&lt;&gt;""),"●","")</x:f>
      </x:c>
      <x:c r="AA180" s="165" t="str">
        <x:f>IF(AND(AA$5&gt;=$C180,AA$5&lt;=$D180,$A180&lt;&gt;""),"●","")</x:f>
      </x:c>
      <x:c r="AB180" s="165" t="str">
        <x:f>IF(AND(AB$5&gt;=$C180,AB$5&lt;=$D180,$A180&lt;&gt;""),"●","")</x:f>
      </x:c>
      <x:c r="AC180" s="165" t="str">
        <x:f>IF(AND(AC$5&gt;=$C180,AC$5&lt;=$D180,$A180&lt;&gt;""),"●","")</x:f>
      </x:c>
      <x:c r="AD180" s="165" t="str">
        <x:f>IF(AND(AD$5&gt;=$C180,AD$5&lt;=$D180,$A180&lt;&gt;""),"●","")</x:f>
      </x:c>
      <x:c r="AE180" s="165" t="str">
        <x:f>IF(AND(AE$5&gt;=$C180,AE$5&lt;=$D180,$A180&lt;&gt;""),"●","")</x:f>
      </x:c>
      <x:c r="AF180" s="165" t="str">
        <x:f>IF(AND(AF$5&gt;=$C180,AF$5&lt;=$D180,$A180&lt;&gt;""),"●","")</x:f>
      </x:c>
      <x:c r="AG180" s="165" t="str">
        <x:f>IF(AND(AG$5&gt;=$C180,AG$5&lt;=$D180,$A180&lt;&gt;""),"●","")</x:f>
      </x:c>
      <x:c r="AH180" s="165" t="str">
        <x:f>IF(AND(AH$5&gt;=$C180,AH$5&lt;=$D180,$A180&lt;&gt;""),"●","")</x:f>
      </x:c>
      <x:c r="AI180" s="165" t="str">
        <x:f>IF(AND(AI$5&gt;=$C180,AI$5&lt;=$D180,$A180&lt;&gt;""),"●","")</x:f>
      </x:c>
      <x:c r="AJ180" s="165" t="str">
        <x:f>IF(AND(AJ$5&gt;=$C180,AJ$5&lt;=$D180,$A180&lt;&gt;""),"●","")</x:f>
      </x:c>
      <x:c r="AK180" s="165" t="str">
        <x:f>IF(AND(AK$5&gt;=$C180,AK$5&lt;=$D180,$A180&lt;&gt;""),"●","")</x:f>
      </x:c>
      <x:c r="AL180" s="165" t="str">
        <x:f>IF(AND(AL$5&gt;=$C180,AL$5&lt;=$D180,$A180&lt;&gt;""),"●","")</x:f>
      </x:c>
      <x:c r="AM180" s="165" t="str">
        <x:f>IF(AND(AM$5&gt;=$C180,AM$5&lt;=$D180,$A180&lt;&gt;""),"●","")</x:f>
      </x:c>
      <x:c r="AN180" s="165" t="str">
        <x:f>IF(AND(AN$5&gt;=$C180,AN$5&lt;=$D180,$A180&lt;&gt;""),"●","")</x:f>
      </x:c>
      <x:c r="AO180" s="165" t="str">
        <x:f>IF(AND(AO$5&gt;=$C180,AO$5&lt;=$D180,$A180&lt;&gt;""),"●","")</x:f>
      </x:c>
      <x:c r="AP180" s="165" t="str">
        <x:f>IF(AND(AP$5&gt;=$C180,AP$5&lt;=$D180,$A180&lt;&gt;""),"●","")</x:f>
      </x:c>
      <x:c r="AQ180" s="165" t="str">
        <x:f>IF(AND(AQ$5&gt;=$C180,AQ$5&lt;=$D180,$A180&lt;&gt;""),"●","")</x:f>
      </x:c>
      <x:c r="AR180" s="165" t="str">
        <x:f>IF(AND(AR$5&gt;=$C180,AR$5&lt;=$D180,$A180&lt;&gt;""),"●","")</x:f>
      </x:c>
      <x:c r="AS180" s="165" t="str">
        <x:f>IF(AND(AS$5&gt;=$C180,AS$5&lt;=$D180,$A180&lt;&gt;""),"●","")</x:f>
      </x:c>
      <x:c r="AT180" s="165" t="str">
        <x:f>IF(AND(AT$5&gt;=$C180,AT$5&lt;=$D180,$A180&lt;&gt;""),"●","")</x:f>
      </x:c>
      <x:c r="AU180" s="165" t="str">
        <x:f>IF(AND(AU$5&gt;=$C180,AU$5&lt;=$D180,$A180&lt;&gt;""),"●","")</x:f>
      </x:c>
      <x:c r="AV180" s="165" t="str">
        <x:f>IF(AND(AV$5&gt;=$C180,AV$5&lt;=$D180,$A180&lt;&gt;""),"●","")</x:f>
      </x:c>
      <x:c r="AW180" s="165" t="str">
        <x:f>IF(AND(AW$5&gt;=$C180,AW$5&lt;=$D180,$A180&lt;&gt;""),"●","")</x:f>
      </x:c>
      <x:c r="AX180" s="165" t="str">
        <x:f>IF(AND(AX$5&gt;=$C180,AX$5&lt;=$D180,$A180&lt;&gt;""),"●","")</x:f>
      </x:c>
      <x:c r="AY180" s="165" t="str">
        <x:f>IF(AND(AY$5&gt;=$C180,AY$5&lt;=$D180,$A180&lt;&gt;""),"●","")</x:f>
      </x:c>
      <x:c r="AZ180" s="165" t="str">
        <x:f>IF(AND(AZ$5&gt;=$C180,AZ$5&lt;=$D180,$A180&lt;&gt;""),"●","")</x:f>
      </x:c>
      <x:c r="BA180" s="165" t="str">
        <x:f>IF(AND(BA$5&gt;=$C180,BA$5&lt;=$D180,$A180&lt;&gt;""),"●","")</x:f>
      </x:c>
      <x:c r="BB180" s="165" t="str">
        <x:f>IF(AND(BB$5&gt;=$C180,BB$5&lt;=$D180,$A180&lt;&gt;""),"●","")</x:f>
      </x:c>
      <x:c r="BC180" s="165" t="str">
        <x:f>IF(AND(BC$5&gt;=$C180,BC$5&lt;=$D180,$A180&lt;&gt;""),"●","")</x:f>
      </x:c>
      <x:c r="BD180" s="165" t="str">
        <x:f>IF(AND(BD$5&gt;=$C180,BD$5&lt;=$D180,$A180&lt;&gt;""),"●","")</x:f>
      </x:c>
      <x:c r="BE180" s="165" t="str">
        <x:f>IF(AND(BE$5&gt;=$C180,BE$5&lt;=$D180,$A180&lt;&gt;""),"●","")</x:f>
      </x:c>
      <x:c r="BF180" s="165" t="str">
        <x:f>IF(AND(BF$5&gt;=$C180,BF$5&lt;=$D180,$A180&lt;&gt;""),"●","")</x:f>
      </x:c>
      <x:c r="BG180" s="165" t="str">
        <x:f>IF(AND(BG$5&gt;=$C180,BG$5&lt;=$D180,$A180&lt;&gt;""),"●","")</x:f>
      </x:c>
      <x:c r="BH180" s="165" t="str">
        <x:f>IF(AND(BH$5&gt;=$C180,BH$5&lt;=$D180,$A180&lt;&gt;""),"●","")</x:f>
      </x:c>
      <x:c r="BI180" s="165" t="str">
        <x:f>IF(AND(BI$5&gt;=$C180,BI$5&lt;=$D180,$A180&lt;&gt;""),"●","")</x:f>
      </x:c>
      <x:c r="BJ180" s="165" t="str">
        <x:f>IF(AND(BJ$5&gt;=$C180,BJ$5&lt;=$D180,$A180&lt;&gt;""),"●","")</x:f>
      </x:c>
      <x:c r="BK180" s="165" t="str">
        <x:f>IF(AND(BK$5&gt;=$C180,BK$5&lt;=$D180,$A180&lt;&gt;""),"●","")</x:f>
      </x:c>
      <x:c r="BL180" s="165" t="str">
        <x:f>IF(AND(BL$5&gt;=$C180,BL$5&lt;=$D180,$A180&lt;&gt;""),"●","")</x:f>
      </x:c>
      <x:c r="BM180" s="165" t="str">
        <x:f>IF(AND(BM$5&gt;=$C180,BM$5&lt;=$D180,$A180&lt;&gt;""),"●","")</x:f>
      </x:c>
      <x:c r="BN180" s="165" t="str">
        <x:f>IF(AND(BN$5&gt;=$C180,BN$5&lt;=$D180,$A180&lt;&gt;""),"●","")</x:f>
      </x:c>
      <x:c r="BO180" s="165" t="str">
        <x:f>IF(AND(BO$5&gt;=$C180,BO$5&lt;=$D180,$A180&lt;&gt;""),"●","")</x:f>
      </x:c>
      <x:c r="BP180" s="165" t="str">
        <x:f>IF(AND(BP$5&gt;=$C180,BP$5&lt;=$D180,$A180&lt;&gt;""),"●","")</x:f>
      </x:c>
      <x:c r="BQ180" s="165" t="str">
        <x:f>IF(AND(BQ$5&gt;=$C180,BQ$5&lt;=$D180,$A180&lt;&gt;""),"●","")</x:f>
      </x:c>
      <x:c r="BR180" s="165" t="str">
        <x:f>IF(AND(BR$5&gt;=$C180,BR$5&lt;=$D180,$A180&lt;&gt;""),"●","")</x:f>
      </x:c>
      <x:c r="BS180" s="165" t="str">
        <x:f>IF(AND(BS$5&gt;=$C180,BS$5&lt;=$D180,$A180&lt;&gt;""),"●","")</x:f>
      </x:c>
      <x:c r="BT180" s="165" t="str">
        <x:f>IF(AND(BT$5&gt;=$C180,BT$5&lt;=$D180,$A180&lt;&gt;""),"●","")</x:f>
      </x:c>
      <x:c r="BU180" s="165" t="str">
        <x:f>IF(AND(BU$5&gt;=$C180,BU$5&lt;=$D180,$A180&lt;&gt;""),"●","")</x:f>
      </x:c>
      <x:c r="BV180" s="165" t="str">
        <x:f>IF(AND(BV$5&gt;=$C180,BV$5&lt;=$D180,$A180&lt;&gt;""),"●","")</x:f>
      </x:c>
      <x:c r="BW180" s="165" t="str">
        <x:f>IF(AND(BW$5&gt;=$C180,BW$5&lt;=$D180,$A180&lt;&gt;""),"●","")</x:f>
      </x:c>
    </x:row>
    <x:row r="181">
      <x:c r="A181" s="159" t="str">
        <x:f>IF('รายการสัญญา'!A181="","",'รายการสัญญา'!A181)</x:f>
      </x:c>
      <x:c r="B181" s="159" t="str">
        <x:f>IF('รายการสัญญา'!A181="","",'รายการสัญญา'!C181)</x:f>
      </x:c>
      <x:c r="C181" s="162" t="str">
        <x:f>IF('รายการสัญญา'!A181="","",'รายการสัญญา'!E181)</x:f>
      </x:c>
      <x:c r="D181" s="162" t="str">
        <x:f>IF('รายการสัญญา'!A181="","",'รายการสัญญา'!G181)</x:f>
      </x:c>
      <x:c r="E181" s="159" t="str">
        <x:f>IF('รายการสัญญา'!A181="","",'รายการสัญญา'!K181)</x:f>
      </x:c>
      <x:c r="F181" s="165" t="str">
        <x:f>IF(AND(F$5&gt;=$C181,F$5&lt;=$D181,$A181&lt;&gt;""),"●","")</x:f>
      </x:c>
      <x:c r="G181" s="165" t="str">
        <x:f>IF(AND(G$5&gt;=$C181,G$5&lt;=$D181,$A181&lt;&gt;""),"●","")</x:f>
      </x:c>
      <x:c r="H181" s="165" t="str">
        <x:f>IF(AND(H$5&gt;=$C181,H$5&lt;=$D181,$A181&lt;&gt;""),"●","")</x:f>
      </x:c>
      <x:c r="I181" s="165" t="str">
        <x:f>IF(AND(I$5&gt;=$C181,I$5&lt;=$D181,$A181&lt;&gt;""),"●","")</x:f>
      </x:c>
      <x:c r="J181" s="165" t="str">
        <x:f>IF(AND(J$5&gt;=$C181,J$5&lt;=$D181,$A181&lt;&gt;""),"●","")</x:f>
      </x:c>
      <x:c r="K181" s="165" t="str">
        <x:f>IF(AND(K$5&gt;=$C181,K$5&lt;=$D181,$A181&lt;&gt;""),"●","")</x:f>
      </x:c>
      <x:c r="L181" s="165" t="str">
        <x:f>IF(AND(L$5&gt;=$C181,L$5&lt;=$D181,$A181&lt;&gt;""),"●","")</x:f>
      </x:c>
      <x:c r="M181" s="165" t="str">
        <x:f>IF(AND(M$5&gt;=$C181,M$5&lt;=$D181,$A181&lt;&gt;""),"●","")</x:f>
      </x:c>
      <x:c r="N181" s="165" t="str">
        <x:f>IF(AND(N$5&gt;=$C181,N$5&lt;=$D181,$A181&lt;&gt;""),"●","")</x:f>
      </x:c>
      <x:c r="O181" s="165" t="str">
        <x:f>IF(AND(O$5&gt;=$C181,O$5&lt;=$D181,$A181&lt;&gt;""),"●","")</x:f>
      </x:c>
      <x:c r="P181" s="165" t="str">
        <x:f>IF(AND(P$5&gt;=$C181,P$5&lt;=$D181,$A181&lt;&gt;""),"●","")</x:f>
      </x:c>
      <x:c r="Q181" s="165" t="str">
        <x:f>IF(AND(Q$5&gt;=$C181,Q$5&lt;=$D181,$A181&lt;&gt;""),"●","")</x:f>
      </x:c>
      <x:c r="R181" s="165" t="str">
        <x:f>IF(AND(R$5&gt;=$C181,R$5&lt;=$D181,$A181&lt;&gt;""),"●","")</x:f>
      </x:c>
      <x:c r="S181" s="165" t="str">
        <x:f>IF(AND(S$5&gt;=$C181,S$5&lt;=$D181,$A181&lt;&gt;""),"●","")</x:f>
      </x:c>
      <x:c r="T181" s="165" t="str">
        <x:f>IF(AND(T$5&gt;=$C181,T$5&lt;=$D181,$A181&lt;&gt;""),"●","")</x:f>
      </x:c>
      <x:c r="U181" s="165" t="str">
        <x:f>IF(AND(U$5&gt;=$C181,U$5&lt;=$D181,$A181&lt;&gt;""),"●","")</x:f>
      </x:c>
      <x:c r="V181" s="165" t="str">
        <x:f>IF(AND(V$5&gt;=$C181,V$5&lt;=$D181,$A181&lt;&gt;""),"●","")</x:f>
      </x:c>
      <x:c r="W181" s="165" t="str">
        <x:f>IF(AND(W$5&gt;=$C181,W$5&lt;=$D181,$A181&lt;&gt;""),"●","")</x:f>
      </x:c>
      <x:c r="X181" s="165" t="str">
        <x:f>IF(AND(X$5&gt;=$C181,X$5&lt;=$D181,$A181&lt;&gt;""),"●","")</x:f>
      </x:c>
      <x:c r="Y181" s="165" t="str">
        <x:f>IF(AND(Y$5&gt;=$C181,Y$5&lt;=$D181,$A181&lt;&gt;""),"●","")</x:f>
      </x:c>
      <x:c r="Z181" s="165" t="str">
        <x:f>IF(AND(Z$5&gt;=$C181,Z$5&lt;=$D181,$A181&lt;&gt;""),"●","")</x:f>
      </x:c>
      <x:c r="AA181" s="165" t="str">
        <x:f>IF(AND(AA$5&gt;=$C181,AA$5&lt;=$D181,$A181&lt;&gt;""),"●","")</x:f>
      </x:c>
      <x:c r="AB181" s="165" t="str">
        <x:f>IF(AND(AB$5&gt;=$C181,AB$5&lt;=$D181,$A181&lt;&gt;""),"●","")</x:f>
      </x:c>
      <x:c r="AC181" s="165" t="str">
        <x:f>IF(AND(AC$5&gt;=$C181,AC$5&lt;=$D181,$A181&lt;&gt;""),"●","")</x:f>
      </x:c>
      <x:c r="AD181" s="165" t="str">
        <x:f>IF(AND(AD$5&gt;=$C181,AD$5&lt;=$D181,$A181&lt;&gt;""),"●","")</x:f>
      </x:c>
      <x:c r="AE181" s="165" t="str">
        <x:f>IF(AND(AE$5&gt;=$C181,AE$5&lt;=$D181,$A181&lt;&gt;""),"●","")</x:f>
      </x:c>
      <x:c r="AF181" s="165" t="str">
        <x:f>IF(AND(AF$5&gt;=$C181,AF$5&lt;=$D181,$A181&lt;&gt;""),"●","")</x:f>
      </x:c>
      <x:c r="AG181" s="165" t="str">
        <x:f>IF(AND(AG$5&gt;=$C181,AG$5&lt;=$D181,$A181&lt;&gt;""),"●","")</x:f>
      </x:c>
      <x:c r="AH181" s="165" t="str">
        <x:f>IF(AND(AH$5&gt;=$C181,AH$5&lt;=$D181,$A181&lt;&gt;""),"●","")</x:f>
      </x:c>
      <x:c r="AI181" s="165" t="str">
        <x:f>IF(AND(AI$5&gt;=$C181,AI$5&lt;=$D181,$A181&lt;&gt;""),"●","")</x:f>
      </x:c>
      <x:c r="AJ181" s="165" t="str">
        <x:f>IF(AND(AJ$5&gt;=$C181,AJ$5&lt;=$D181,$A181&lt;&gt;""),"●","")</x:f>
      </x:c>
      <x:c r="AK181" s="165" t="str">
        <x:f>IF(AND(AK$5&gt;=$C181,AK$5&lt;=$D181,$A181&lt;&gt;""),"●","")</x:f>
      </x:c>
      <x:c r="AL181" s="165" t="str">
        <x:f>IF(AND(AL$5&gt;=$C181,AL$5&lt;=$D181,$A181&lt;&gt;""),"●","")</x:f>
      </x:c>
      <x:c r="AM181" s="165" t="str">
        <x:f>IF(AND(AM$5&gt;=$C181,AM$5&lt;=$D181,$A181&lt;&gt;""),"●","")</x:f>
      </x:c>
      <x:c r="AN181" s="165" t="str">
        <x:f>IF(AND(AN$5&gt;=$C181,AN$5&lt;=$D181,$A181&lt;&gt;""),"●","")</x:f>
      </x:c>
      <x:c r="AO181" s="165" t="str">
        <x:f>IF(AND(AO$5&gt;=$C181,AO$5&lt;=$D181,$A181&lt;&gt;""),"●","")</x:f>
      </x:c>
      <x:c r="AP181" s="165" t="str">
        <x:f>IF(AND(AP$5&gt;=$C181,AP$5&lt;=$D181,$A181&lt;&gt;""),"●","")</x:f>
      </x:c>
      <x:c r="AQ181" s="165" t="str">
        <x:f>IF(AND(AQ$5&gt;=$C181,AQ$5&lt;=$D181,$A181&lt;&gt;""),"●","")</x:f>
      </x:c>
      <x:c r="AR181" s="165" t="str">
        <x:f>IF(AND(AR$5&gt;=$C181,AR$5&lt;=$D181,$A181&lt;&gt;""),"●","")</x:f>
      </x:c>
      <x:c r="AS181" s="165" t="str">
        <x:f>IF(AND(AS$5&gt;=$C181,AS$5&lt;=$D181,$A181&lt;&gt;""),"●","")</x:f>
      </x:c>
      <x:c r="AT181" s="165" t="str">
        <x:f>IF(AND(AT$5&gt;=$C181,AT$5&lt;=$D181,$A181&lt;&gt;""),"●","")</x:f>
      </x:c>
      <x:c r="AU181" s="165" t="str">
        <x:f>IF(AND(AU$5&gt;=$C181,AU$5&lt;=$D181,$A181&lt;&gt;""),"●","")</x:f>
      </x:c>
      <x:c r="AV181" s="165" t="str">
        <x:f>IF(AND(AV$5&gt;=$C181,AV$5&lt;=$D181,$A181&lt;&gt;""),"●","")</x:f>
      </x:c>
      <x:c r="AW181" s="165" t="str">
        <x:f>IF(AND(AW$5&gt;=$C181,AW$5&lt;=$D181,$A181&lt;&gt;""),"●","")</x:f>
      </x:c>
      <x:c r="AX181" s="165" t="str">
        <x:f>IF(AND(AX$5&gt;=$C181,AX$5&lt;=$D181,$A181&lt;&gt;""),"●","")</x:f>
      </x:c>
      <x:c r="AY181" s="165" t="str">
        <x:f>IF(AND(AY$5&gt;=$C181,AY$5&lt;=$D181,$A181&lt;&gt;""),"●","")</x:f>
      </x:c>
      <x:c r="AZ181" s="165" t="str">
        <x:f>IF(AND(AZ$5&gt;=$C181,AZ$5&lt;=$D181,$A181&lt;&gt;""),"●","")</x:f>
      </x:c>
      <x:c r="BA181" s="165" t="str">
        <x:f>IF(AND(BA$5&gt;=$C181,BA$5&lt;=$D181,$A181&lt;&gt;""),"●","")</x:f>
      </x:c>
      <x:c r="BB181" s="165" t="str">
        <x:f>IF(AND(BB$5&gt;=$C181,BB$5&lt;=$D181,$A181&lt;&gt;""),"●","")</x:f>
      </x:c>
      <x:c r="BC181" s="165" t="str">
        <x:f>IF(AND(BC$5&gt;=$C181,BC$5&lt;=$D181,$A181&lt;&gt;""),"●","")</x:f>
      </x:c>
      <x:c r="BD181" s="165" t="str">
        <x:f>IF(AND(BD$5&gt;=$C181,BD$5&lt;=$D181,$A181&lt;&gt;""),"●","")</x:f>
      </x:c>
      <x:c r="BE181" s="165" t="str">
        <x:f>IF(AND(BE$5&gt;=$C181,BE$5&lt;=$D181,$A181&lt;&gt;""),"●","")</x:f>
      </x:c>
      <x:c r="BF181" s="165" t="str">
        <x:f>IF(AND(BF$5&gt;=$C181,BF$5&lt;=$D181,$A181&lt;&gt;""),"●","")</x:f>
      </x:c>
      <x:c r="BG181" s="165" t="str">
        <x:f>IF(AND(BG$5&gt;=$C181,BG$5&lt;=$D181,$A181&lt;&gt;""),"●","")</x:f>
      </x:c>
      <x:c r="BH181" s="165" t="str">
        <x:f>IF(AND(BH$5&gt;=$C181,BH$5&lt;=$D181,$A181&lt;&gt;""),"●","")</x:f>
      </x:c>
      <x:c r="BI181" s="165" t="str">
        <x:f>IF(AND(BI$5&gt;=$C181,BI$5&lt;=$D181,$A181&lt;&gt;""),"●","")</x:f>
      </x:c>
      <x:c r="BJ181" s="165" t="str">
        <x:f>IF(AND(BJ$5&gt;=$C181,BJ$5&lt;=$D181,$A181&lt;&gt;""),"●","")</x:f>
      </x:c>
      <x:c r="BK181" s="165" t="str">
        <x:f>IF(AND(BK$5&gt;=$C181,BK$5&lt;=$D181,$A181&lt;&gt;""),"●","")</x:f>
      </x:c>
      <x:c r="BL181" s="165" t="str">
        <x:f>IF(AND(BL$5&gt;=$C181,BL$5&lt;=$D181,$A181&lt;&gt;""),"●","")</x:f>
      </x:c>
      <x:c r="BM181" s="165" t="str">
        <x:f>IF(AND(BM$5&gt;=$C181,BM$5&lt;=$D181,$A181&lt;&gt;""),"●","")</x:f>
      </x:c>
      <x:c r="BN181" s="165" t="str">
        <x:f>IF(AND(BN$5&gt;=$C181,BN$5&lt;=$D181,$A181&lt;&gt;""),"●","")</x:f>
      </x:c>
      <x:c r="BO181" s="165" t="str">
        <x:f>IF(AND(BO$5&gt;=$C181,BO$5&lt;=$D181,$A181&lt;&gt;""),"●","")</x:f>
      </x:c>
      <x:c r="BP181" s="165" t="str">
        <x:f>IF(AND(BP$5&gt;=$C181,BP$5&lt;=$D181,$A181&lt;&gt;""),"●","")</x:f>
      </x:c>
      <x:c r="BQ181" s="165" t="str">
        <x:f>IF(AND(BQ$5&gt;=$C181,BQ$5&lt;=$D181,$A181&lt;&gt;""),"●","")</x:f>
      </x:c>
      <x:c r="BR181" s="165" t="str">
        <x:f>IF(AND(BR$5&gt;=$C181,BR$5&lt;=$D181,$A181&lt;&gt;""),"●","")</x:f>
      </x:c>
      <x:c r="BS181" s="165" t="str">
        <x:f>IF(AND(BS$5&gt;=$C181,BS$5&lt;=$D181,$A181&lt;&gt;""),"●","")</x:f>
      </x:c>
      <x:c r="BT181" s="165" t="str">
        <x:f>IF(AND(BT$5&gt;=$C181,BT$5&lt;=$D181,$A181&lt;&gt;""),"●","")</x:f>
      </x:c>
      <x:c r="BU181" s="165" t="str">
        <x:f>IF(AND(BU$5&gt;=$C181,BU$5&lt;=$D181,$A181&lt;&gt;""),"●","")</x:f>
      </x:c>
      <x:c r="BV181" s="165" t="str">
        <x:f>IF(AND(BV$5&gt;=$C181,BV$5&lt;=$D181,$A181&lt;&gt;""),"●","")</x:f>
      </x:c>
      <x:c r="BW181" s="165" t="str">
        <x:f>IF(AND(BW$5&gt;=$C181,BW$5&lt;=$D181,$A181&lt;&gt;""),"●","")</x:f>
      </x:c>
    </x:row>
    <x:row r="182">
      <x:c r="A182" s="159" t="str">
        <x:f>IF('รายการสัญญา'!A182="","",'รายการสัญญา'!A182)</x:f>
      </x:c>
      <x:c r="B182" s="159" t="str">
        <x:f>IF('รายการสัญญา'!A182="","",'รายการสัญญา'!C182)</x:f>
      </x:c>
      <x:c r="C182" s="162" t="str">
        <x:f>IF('รายการสัญญา'!A182="","",'รายการสัญญา'!E182)</x:f>
      </x:c>
      <x:c r="D182" s="162" t="str">
        <x:f>IF('รายการสัญญา'!A182="","",'รายการสัญญา'!G182)</x:f>
      </x:c>
      <x:c r="E182" s="159" t="str">
        <x:f>IF('รายการสัญญา'!A182="","",'รายการสัญญา'!K182)</x:f>
      </x:c>
      <x:c r="F182" s="165" t="str">
        <x:f>IF(AND(F$5&gt;=$C182,F$5&lt;=$D182,$A182&lt;&gt;""),"●","")</x:f>
      </x:c>
      <x:c r="G182" s="165" t="str">
        <x:f>IF(AND(G$5&gt;=$C182,G$5&lt;=$D182,$A182&lt;&gt;""),"●","")</x:f>
      </x:c>
      <x:c r="H182" s="165" t="str">
        <x:f>IF(AND(H$5&gt;=$C182,H$5&lt;=$D182,$A182&lt;&gt;""),"●","")</x:f>
      </x:c>
      <x:c r="I182" s="165" t="str">
        <x:f>IF(AND(I$5&gt;=$C182,I$5&lt;=$D182,$A182&lt;&gt;""),"●","")</x:f>
      </x:c>
      <x:c r="J182" s="165" t="str">
        <x:f>IF(AND(J$5&gt;=$C182,J$5&lt;=$D182,$A182&lt;&gt;""),"●","")</x:f>
      </x:c>
      <x:c r="K182" s="165" t="str">
        <x:f>IF(AND(K$5&gt;=$C182,K$5&lt;=$D182,$A182&lt;&gt;""),"●","")</x:f>
      </x:c>
      <x:c r="L182" s="165" t="str">
        <x:f>IF(AND(L$5&gt;=$C182,L$5&lt;=$D182,$A182&lt;&gt;""),"●","")</x:f>
      </x:c>
      <x:c r="M182" s="165" t="str">
        <x:f>IF(AND(M$5&gt;=$C182,M$5&lt;=$D182,$A182&lt;&gt;""),"●","")</x:f>
      </x:c>
      <x:c r="N182" s="165" t="str">
        <x:f>IF(AND(N$5&gt;=$C182,N$5&lt;=$D182,$A182&lt;&gt;""),"●","")</x:f>
      </x:c>
      <x:c r="O182" s="165" t="str">
        <x:f>IF(AND(O$5&gt;=$C182,O$5&lt;=$D182,$A182&lt;&gt;""),"●","")</x:f>
      </x:c>
      <x:c r="P182" s="165" t="str">
        <x:f>IF(AND(P$5&gt;=$C182,P$5&lt;=$D182,$A182&lt;&gt;""),"●","")</x:f>
      </x:c>
      <x:c r="Q182" s="165" t="str">
        <x:f>IF(AND(Q$5&gt;=$C182,Q$5&lt;=$D182,$A182&lt;&gt;""),"●","")</x:f>
      </x:c>
      <x:c r="R182" s="165" t="str">
        <x:f>IF(AND(R$5&gt;=$C182,R$5&lt;=$D182,$A182&lt;&gt;""),"●","")</x:f>
      </x:c>
      <x:c r="S182" s="165" t="str">
        <x:f>IF(AND(S$5&gt;=$C182,S$5&lt;=$D182,$A182&lt;&gt;""),"●","")</x:f>
      </x:c>
      <x:c r="T182" s="165" t="str">
        <x:f>IF(AND(T$5&gt;=$C182,T$5&lt;=$D182,$A182&lt;&gt;""),"●","")</x:f>
      </x:c>
      <x:c r="U182" s="165" t="str">
        <x:f>IF(AND(U$5&gt;=$C182,U$5&lt;=$D182,$A182&lt;&gt;""),"●","")</x:f>
      </x:c>
      <x:c r="V182" s="165" t="str">
        <x:f>IF(AND(V$5&gt;=$C182,V$5&lt;=$D182,$A182&lt;&gt;""),"●","")</x:f>
      </x:c>
      <x:c r="W182" s="165" t="str">
        <x:f>IF(AND(W$5&gt;=$C182,W$5&lt;=$D182,$A182&lt;&gt;""),"●","")</x:f>
      </x:c>
      <x:c r="X182" s="165" t="str">
        <x:f>IF(AND(X$5&gt;=$C182,X$5&lt;=$D182,$A182&lt;&gt;""),"●","")</x:f>
      </x:c>
      <x:c r="Y182" s="165" t="str">
        <x:f>IF(AND(Y$5&gt;=$C182,Y$5&lt;=$D182,$A182&lt;&gt;""),"●","")</x:f>
      </x:c>
      <x:c r="Z182" s="165" t="str">
        <x:f>IF(AND(Z$5&gt;=$C182,Z$5&lt;=$D182,$A182&lt;&gt;""),"●","")</x:f>
      </x:c>
      <x:c r="AA182" s="165" t="str">
        <x:f>IF(AND(AA$5&gt;=$C182,AA$5&lt;=$D182,$A182&lt;&gt;""),"●","")</x:f>
      </x:c>
      <x:c r="AB182" s="165" t="str">
        <x:f>IF(AND(AB$5&gt;=$C182,AB$5&lt;=$D182,$A182&lt;&gt;""),"●","")</x:f>
      </x:c>
      <x:c r="AC182" s="165" t="str">
        <x:f>IF(AND(AC$5&gt;=$C182,AC$5&lt;=$D182,$A182&lt;&gt;""),"●","")</x:f>
      </x:c>
      <x:c r="AD182" s="165" t="str">
        <x:f>IF(AND(AD$5&gt;=$C182,AD$5&lt;=$D182,$A182&lt;&gt;""),"●","")</x:f>
      </x:c>
      <x:c r="AE182" s="165" t="str">
        <x:f>IF(AND(AE$5&gt;=$C182,AE$5&lt;=$D182,$A182&lt;&gt;""),"●","")</x:f>
      </x:c>
      <x:c r="AF182" s="165" t="str">
        <x:f>IF(AND(AF$5&gt;=$C182,AF$5&lt;=$D182,$A182&lt;&gt;""),"●","")</x:f>
      </x:c>
      <x:c r="AG182" s="165" t="str">
        <x:f>IF(AND(AG$5&gt;=$C182,AG$5&lt;=$D182,$A182&lt;&gt;""),"●","")</x:f>
      </x:c>
      <x:c r="AH182" s="165" t="str">
        <x:f>IF(AND(AH$5&gt;=$C182,AH$5&lt;=$D182,$A182&lt;&gt;""),"●","")</x:f>
      </x:c>
      <x:c r="AI182" s="165" t="str">
        <x:f>IF(AND(AI$5&gt;=$C182,AI$5&lt;=$D182,$A182&lt;&gt;""),"●","")</x:f>
      </x:c>
      <x:c r="AJ182" s="165" t="str">
        <x:f>IF(AND(AJ$5&gt;=$C182,AJ$5&lt;=$D182,$A182&lt;&gt;""),"●","")</x:f>
      </x:c>
      <x:c r="AK182" s="165" t="str">
        <x:f>IF(AND(AK$5&gt;=$C182,AK$5&lt;=$D182,$A182&lt;&gt;""),"●","")</x:f>
      </x:c>
      <x:c r="AL182" s="165" t="str">
        <x:f>IF(AND(AL$5&gt;=$C182,AL$5&lt;=$D182,$A182&lt;&gt;""),"●","")</x:f>
      </x:c>
      <x:c r="AM182" s="165" t="str">
        <x:f>IF(AND(AM$5&gt;=$C182,AM$5&lt;=$D182,$A182&lt;&gt;""),"●","")</x:f>
      </x:c>
      <x:c r="AN182" s="165" t="str">
        <x:f>IF(AND(AN$5&gt;=$C182,AN$5&lt;=$D182,$A182&lt;&gt;""),"●","")</x:f>
      </x:c>
      <x:c r="AO182" s="165" t="str">
        <x:f>IF(AND(AO$5&gt;=$C182,AO$5&lt;=$D182,$A182&lt;&gt;""),"●","")</x:f>
      </x:c>
      <x:c r="AP182" s="165" t="str">
        <x:f>IF(AND(AP$5&gt;=$C182,AP$5&lt;=$D182,$A182&lt;&gt;""),"●","")</x:f>
      </x:c>
      <x:c r="AQ182" s="165" t="str">
        <x:f>IF(AND(AQ$5&gt;=$C182,AQ$5&lt;=$D182,$A182&lt;&gt;""),"●","")</x:f>
      </x:c>
      <x:c r="AR182" s="165" t="str">
        <x:f>IF(AND(AR$5&gt;=$C182,AR$5&lt;=$D182,$A182&lt;&gt;""),"●","")</x:f>
      </x:c>
      <x:c r="AS182" s="165" t="str">
        <x:f>IF(AND(AS$5&gt;=$C182,AS$5&lt;=$D182,$A182&lt;&gt;""),"●","")</x:f>
      </x:c>
      <x:c r="AT182" s="165" t="str">
        <x:f>IF(AND(AT$5&gt;=$C182,AT$5&lt;=$D182,$A182&lt;&gt;""),"●","")</x:f>
      </x:c>
      <x:c r="AU182" s="165" t="str">
        <x:f>IF(AND(AU$5&gt;=$C182,AU$5&lt;=$D182,$A182&lt;&gt;""),"●","")</x:f>
      </x:c>
      <x:c r="AV182" s="165" t="str">
        <x:f>IF(AND(AV$5&gt;=$C182,AV$5&lt;=$D182,$A182&lt;&gt;""),"●","")</x:f>
      </x:c>
      <x:c r="AW182" s="165" t="str">
        <x:f>IF(AND(AW$5&gt;=$C182,AW$5&lt;=$D182,$A182&lt;&gt;""),"●","")</x:f>
      </x:c>
      <x:c r="AX182" s="165" t="str">
        <x:f>IF(AND(AX$5&gt;=$C182,AX$5&lt;=$D182,$A182&lt;&gt;""),"●","")</x:f>
      </x:c>
      <x:c r="AY182" s="165" t="str">
        <x:f>IF(AND(AY$5&gt;=$C182,AY$5&lt;=$D182,$A182&lt;&gt;""),"●","")</x:f>
      </x:c>
      <x:c r="AZ182" s="165" t="str">
        <x:f>IF(AND(AZ$5&gt;=$C182,AZ$5&lt;=$D182,$A182&lt;&gt;""),"●","")</x:f>
      </x:c>
      <x:c r="BA182" s="165" t="str">
        <x:f>IF(AND(BA$5&gt;=$C182,BA$5&lt;=$D182,$A182&lt;&gt;""),"●","")</x:f>
      </x:c>
      <x:c r="BB182" s="165" t="str">
        <x:f>IF(AND(BB$5&gt;=$C182,BB$5&lt;=$D182,$A182&lt;&gt;""),"●","")</x:f>
      </x:c>
      <x:c r="BC182" s="165" t="str">
        <x:f>IF(AND(BC$5&gt;=$C182,BC$5&lt;=$D182,$A182&lt;&gt;""),"●","")</x:f>
      </x:c>
      <x:c r="BD182" s="165" t="str">
        <x:f>IF(AND(BD$5&gt;=$C182,BD$5&lt;=$D182,$A182&lt;&gt;""),"●","")</x:f>
      </x:c>
      <x:c r="BE182" s="165" t="str">
        <x:f>IF(AND(BE$5&gt;=$C182,BE$5&lt;=$D182,$A182&lt;&gt;""),"●","")</x:f>
      </x:c>
      <x:c r="BF182" s="165" t="str">
        <x:f>IF(AND(BF$5&gt;=$C182,BF$5&lt;=$D182,$A182&lt;&gt;""),"●","")</x:f>
      </x:c>
      <x:c r="BG182" s="165" t="str">
        <x:f>IF(AND(BG$5&gt;=$C182,BG$5&lt;=$D182,$A182&lt;&gt;""),"●","")</x:f>
      </x:c>
      <x:c r="BH182" s="165" t="str">
        <x:f>IF(AND(BH$5&gt;=$C182,BH$5&lt;=$D182,$A182&lt;&gt;""),"●","")</x:f>
      </x:c>
      <x:c r="BI182" s="165" t="str">
        <x:f>IF(AND(BI$5&gt;=$C182,BI$5&lt;=$D182,$A182&lt;&gt;""),"●","")</x:f>
      </x:c>
      <x:c r="BJ182" s="165" t="str">
        <x:f>IF(AND(BJ$5&gt;=$C182,BJ$5&lt;=$D182,$A182&lt;&gt;""),"●","")</x:f>
      </x:c>
      <x:c r="BK182" s="165" t="str">
        <x:f>IF(AND(BK$5&gt;=$C182,BK$5&lt;=$D182,$A182&lt;&gt;""),"●","")</x:f>
      </x:c>
      <x:c r="BL182" s="165" t="str">
        <x:f>IF(AND(BL$5&gt;=$C182,BL$5&lt;=$D182,$A182&lt;&gt;""),"●","")</x:f>
      </x:c>
      <x:c r="BM182" s="165" t="str">
        <x:f>IF(AND(BM$5&gt;=$C182,BM$5&lt;=$D182,$A182&lt;&gt;""),"●","")</x:f>
      </x:c>
      <x:c r="BN182" s="165" t="str">
        <x:f>IF(AND(BN$5&gt;=$C182,BN$5&lt;=$D182,$A182&lt;&gt;""),"●","")</x:f>
      </x:c>
      <x:c r="BO182" s="165" t="str">
        <x:f>IF(AND(BO$5&gt;=$C182,BO$5&lt;=$D182,$A182&lt;&gt;""),"●","")</x:f>
      </x:c>
      <x:c r="BP182" s="165" t="str">
        <x:f>IF(AND(BP$5&gt;=$C182,BP$5&lt;=$D182,$A182&lt;&gt;""),"●","")</x:f>
      </x:c>
      <x:c r="BQ182" s="165" t="str">
        <x:f>IF(AND(BQ$5&gt;=$C182,BQ$5&lt;=$D182,$A182&lt;&gt;""),"●","")</x:f>
      </x:c>
      <x:c r="BR182" s="165" t="str">
        <x:f>IF(AND(BR$5&gt;=$C182,BR$5&lt;=$D182,$A182&lt;&gt;""),"●","")</x:f>
      </x:c>
      <x:c r="BS182" s="165" t="str">
        <x:f>IF(AND(BS$5&gt;=$C182,BS$5&lt;=$D182,$A182&lt;&gt;""),"●","")</x:f>
      </x:c>
      <x:c r="BT182" s="165" t="str">
        <x:f>IF(AND(BT$5&gt;=$C182,BT$5&lt;=$D182,$A182&lt;&gt;""),"●","")</x:f>
      </x:c>
      <x:c r="BU182" s="165" t="str">
        <x:f>IF(AND(BU$5&gt;=$C182,BU$5&lt;=$D182,$A182&lt;&gt;""),"●","")</x:f>
      </x:c>
      <x:c r="BV182" s="165" t="str">
        <x:f>IF(AND(BV$5&gt;=$C182,BV$5&lt;=$D182,$A182&lt;&gt;""),"●","")</x:f>
      </x:c>
      <x:c r="BW182" s="165" t="str">
        <x:f>IF(AND(BW$5&gt;=$C182,BW$5&lt;=$D182,$A182&lt;&gt;""),"●","")</x:f>
      </x:c>
    </x:row>
    <x:row r="183">
      <x:c r="A183" s="159" t="str">
        <x:f>IF('รายการสัญญา'!A183="","",'รายการสัญญา'!A183)</x:f>
      </x:c>
      <x:c r="B183" s="159" t="str">
        <x:f>IF('รายการสัญญา'!A183="","",'รายการสัญญา'!C183)</x:f>
      </x:c>
      <x:c r="C183" s="162" t="str">
        <x:f>IF('รายการสัญญา'!A183="","",'รายการสัญญา'!E183)</x:f>
      </x:c>
      <x:c r="D183" s="162" t="str">
        <x:f>IF('รายการสัญญา'!A183="","",'รายการสัญญา'!G183)</x:f>
      </x:c>
      <x:c r="E183" s="159" t="str">
        <x:f>IF('รายการสัญญา'!A183="","",'รายการสัญญา'!K183)</x:f>
      </x:c>
      <x:c r="F183" s="165" t="str">
        <x:f>IF(AND(F$5&gt;=$C183,F$5&lt;=$D183,$A183&lt;&gt;""),"●","")</x:f>
      </x:c>
      <x:c r="G183" s="165" t="str">
        <x:f>IF(AND(G$5&gt;=$C183,G$5&lt;=$D183,$A183&lt;&gt;""),"●","")</x:f>
      </x:c>
      <x:c r="H183" s="165" t="str">
        <x:f>IF(AND(H$5&gt;=$C183,H$5&lt;=$D183,$A183&lt;&gt;""),"●","")</x:f>
      </x:c>
      <x:c r="I183" s="165" t="str">
        <x:f>IF(AND(I$5&gt;=$C183,I$5&lt;=$D183,$A183&lt;&gt;""),"●","")</x:f>
      </x:c>
      <x:c r="J183" s="165" t="str">
        <x:f>IF(AND(J$5&gt;=$C183,J$5&lt;=$D183,$A183&lt;&gt;""),"●","")</x:f>
      </x:c>
      <x:c r="K183" s="165" t="str">
        <x:f>IF(AND(K$5&gt;=$C183,K$5&lt;=$D183,$A183&lt;&gt;""),"●","")</x:f>
      </x:c>
      <x:c r="L183" s="165" t="str">
        <x:f>IF(AND(L$5&gt;=$C183,L$5&lt;=$D183,$A183&lt;&gt;""),"●","")</x:f>
      </x:c>
      <x:c r="M183" s="165" t="str">
        <x:f>IF(AND(M$5&gt;=$C183,M$5&lt;=$D183,$A183&lt;&gt;""),"●","")</x:f>
      </x:c>
      <x:c r="N183" s="165" t="str">
        <x:f>IF(AND(N$5&gt;=$C183,N$5&lt;=$D183,$A183&lt;&gt;""),"●","")</x:f>
      </x:c>
      <x:c r="O183" s="165" t="str">
        <x:f>IF(AND(O$5&gt;=$C183,O$5&lt;=$D183,$A183&lt;&gt;""),"●","")</x:f>
      </x:c>
      <x:c r="P183" s="165" t="str">
        <x:f>IF(AND(P$5&gt;=$C183,P$5&lt;=$D183,$A183&lt;&gt;""),"●","")</x:f>
      </x:c>
      <x:c r="Q183" s="165" t="str">
        <x:f>IF(AND(Q$5&gt;=$C183,Q$5&lt;=$D183,$A183&lt;&gt;""),"●","")</x:f>
      </x:c>
      <x:c r="R183" s="165" t="str">
        <x:f>IF(AND(R$5&gt;=$C183,R$5&lt;=$D183,$A183&lt;&gt;""),"●","")</x:f>
      </x:c>
      <x:c r="S183" s="165" t="str">
        <x:f>IF(AND(S$5&gt;=$C183,S$5&lt;=$D183,$A183&lt;&gt;""),"●","")</x:f>
      </x:c>
      <x:c r="T183" s="165" t="str">
        <x:f>IF(AND(T$5&gt;=$C183,T$5&lt;=$D183,$A183&lt;&gt;""),"●","")</x:f>
      </x:c>
      <x:c r="U183" s="165" t="str">
        <x:f>IF(AND(U$5&gt;=$C183,U$5&lt;=$D183,$A183&lt;&gt;""),"●","")</x:f>
      </x:c>
      <x:c r="V183" s="165" t="str">
        <x:f>IF(AND(V$5&gt;=$C183,V$5&lt;=$D183,$A183&lt;&gt;""),"●","")</x:f>
      </x:c>
      <x:c r="W183" s="165" t="str">
        <x:f>IF(AND(W$5&gt;=$C183,W$5&lt;=$D183,$A183&lt;&gt;""),"●","")</x:f>
      </x:c>
      <x:c r="X183" s="165" t="str">
        <x:f>IF(AND(X$5&gt;=$C183,X$5&lt;=$D183,$A183&lt;&gt;""),"●","")</x:f>
      </x:c>
      <x:c r="Y183" s="165" t="str">
        <x:f>IF(AND(Y$5&gt;=$C183,Y$5&lt;=$D183,$A183&lt;&gt;""),"●","")</x:f>
      </x:c>
      <x:c r="Z183" s="165" t="str">
        <x:f>IF(AND(Z$5&gt;=$C183,Z$5&lt;=$D183,$A183&lt;&gt;""),"●","")</x:f>
      </x:c>
      <x:c r="AA183" s="165" t="str">
        <x:f>IF(AND(AA$5&gt;=$C183,AA$5&lt;=$D183,$A183&lt;&gt;""),"●","")</x:f>
      </x:c>
      <x:c r="AB183" s="165" t="str">
        <x:f>IF(AND(AB$5&gt;=$C183,AB$5&lt;=$D183,$A183&lt;&gt;""),"●","")</x:f>
      </x:c>
      <x:c r="AC183" s="165" t="str">
        <x:f>IF(AND(AC$5&gt;=$C183,AC$5&lt;=$D183,$A183&lt;&gt;""),"●","")</x:f>
      </x:c>
      <x:c r="AD183" s="165" t="str">
        <x:f>IF(AND(AD$5&gt;=$C183,AD$5&lt;=$D183,$A183&lt;&gt;""),"●","")</x:f>
      </x:c>
      <x:c r="AE183" s="165" t="str">
        <x:f>IF(AND(AE$5&gt;=$C183,AE$5&lt;=$D183,$A183&lt;&gt;""),"●","")</x:f>
      </x:c>
      <x:c r="AF183" s="165" t="str">
        <x:f>IF(AND(AF$5&gt;=$C183,AF$5&lt;=$D183,$A183&lt;&gt;""),"●","")</x:f>
      </x:c>
      <x:c r="AG183" s="165" t="str">
        <x:f>IF(AND(AG$5&gt;=$C183,AG$5&lt;=$D183,$A183&lt;&gt;""),"●","")</x:f>
      </x:c>
      <x:c r="AH183" s="165" t="str">
        <x:f>IF(AND(AH$5&gt;=$C183,AH$5&lt;=$D183,$A183&lt;&gt;""),"●","")</x:f>
      </x:c>
      <x:c r="AI183" s="165" t="str">
        <x:f>IF(AND(AI$5&gt;=$C183,AI$5&lt;=$D183,$A183&lt;&gt;""),"●","")</x:f>
      </x:c>
      <x:c r="AJ183" s="165" t="str">
        <x:f>IF(AND(AJ$5&gt;=$C183,AJ$5&lt;=$D183,$A183&lt;&gt;""),"●","")</x:f>
      </x:c>
      <x:c r="AK183" s="165" t="str">
        <x:f>IF(AND(AK$5&gt;=$C183,AK$5&lt;=$D183,$A183&lt;&gt;""),"●","")</x:f>
      </x:c>
      <x:c r="AL183" s="165" t="str">
        <x:f>IF(AND(AL$5&gt;=$C183,AL$5&lt;=$D183,$A183&lt;&gt;""),"●","")</x:f>
      </x:c>
      <x:c r="AM183" s="165" t="str">
        <x:f>IF(AND(AM$5&gt;=$C183,AM$5&lt;=$D183,$A183&lt;&gt;""),"●","")</x:f>
      </x:c>
      <x:c r="AN183" s="165" t="str">
        <x:f>IF(AND(AN$5&gt;=$C183,AN$5&lt;=$D183,$A183&lt;&gt;""),"●","")</x:f>
      </x:c>
      <x:c r="AO183" s="165" t="str">
        <x:f>IF(AND(AO$5&gt;=$C183,AO$5&lt;=$D183,$A183&lt;&gt;""),"●","")</x:f>
      </x:c>
      <x:c r="AP183" s="165" t="str">
        <x:f>IF(AND(AP$5&gt;=$C183,AP$5&lt;=$D183,$A183&lt;&gt;""),"●","")</x:f>
      </x:c>
      <x:c r="AQ183" s="165" t="str">
        <x:f>IF(AND(AQ$5&gt;=$C183,AQ$5&lt;=$D183,$A183&lt;&gt;""),"●","")</x:f>
      </x:c>
      <x:c r="AR183" s="165" t="str">
        <x:f>IF(AND(AR$5&gt;=$C183,AR$5&lt;=$D183,$A183&lt;&gt;""),"●","")</x:f>
      </x:c>
      <x:c r="AS183" s="165" t="str">
        <x:f>IF(AND(AS$5&gt;=$C183,AS$5&lt;=$D183,$A183&lt;&gt;""),"●","")</x:f>
      </x:c>
      <x:c r="AT183" s="165" t="str">
        <x:f>IF(AND(AT$5&gt;=$C183,AT$5&lt;=$D183,$A183&lt;&gt;""),"●","")</x:f>
      </x:c>
      <x:c r="AU183" s="165" t="str">
        <x:f>IF(AND(AU$5&gt;=$C183,AU$5&lt;=$D183,$A183&lt;&gt;""),"●","")</x:f>
      </x:c>
      <x:c r="AV183" s="165" t="str">
        <x:f>IF(AND(AV$5&gt;=$C183,AV$5&lt;=$D183,$A183&lt;&gt;""),"●","")</x:f>
      </x:c>
      <x:c r="AW183" s="165" t="str">
        <x:f>IF(AND(AW$5&gt;=$C183,AW$5&lt;=$D183,$A183&lt;&gt;""),"●","")</x:f>
      </x:c>
      <x:c r="AX183" s="165" t="str">
        <x:f>IF(AND(AX$5&gt;=$C183,AX$5&lt;=$D183,$A183&lt;&gt;""),"●","")</x:f>
      </x:c>
      <x:c r="AY183" s="165" t="str">
        <x:f>IF(AND(AY$5&gt;=$C183,AY$5&lt;=$D183,$A183&lt;&gt;""),"●","")</x:f>
      </x:c>
      <x:c r="AZ183" s="165" t="str">
        <x:f>IF(AND(AZ$5&gt;=$C183,AZ$5&lt;=$D183,$A183&lt;&gt;""),"●","")</x:f>
      </x:c>
      <x:c r="BA183" s="165" t="str">
        <x:f>IF(AND(BA$5&gt;=$C183,BA$5&lt;=$D183,$A183&lt;&gt;""),"●","")</x:f>
      </x:c>
      <x:c r="BB183" s="165" t="str">
        <x:f>IF(AND(BB$5&gt;=$C183,BB$5&lt;=$D183,$A183&lt;&gt;""),"●","")</x:f>
      </x:c>
      <x:c r="BC183" s="165" t="str">
        <x:f>IF(AND(BC$5&gt;=$C183,BC$5&lt;=$D183,$A183&lt;&gt;""),"●","")</x:f>
      </x:c>
      <x:c r="BD183" s="165" t="str">
        <x:f>IF(AND(BD$5&gt;=$C183,BD$5&lt;=$D183,$A183&lt;&gt;""),"●","")</x:f>
      </x:c>
      <x:c r="BE183" s="165" t="str">
        <x:f>IF(AND(BE$5&gt;=$C183,BE$5&lt;=$D183,$A183&lt;&gt;""),"●","")</x:f>
      </x:c>
      <x:c r="BF183" s="165" t="str">
        <x:f>IF(AND(BF$5&gt;=$C183,BF$5&lt;=$D183,$A183&lt;&gt;""),"●","")</x:f>
      </x:c>
      <x:c r="BG183" s="165" t="str">
        <x:f>IF(AND(BG$5&gt;=$C183,BG$5&lt;=$D183,$A183&lt;&gt;""),"●","")</x:f>
      </x:c>
      <x:c r="BH183" s="165" t="str">
        <x:f>IF(AND(BH$5&gt;=$C183,BH$5&lt;=$D183,$A183&lt;&gt;""),"●","")</x:f>
      </x:c>
      <x:c r="BI183" s="165" t="str">
        <x:f>IF(AND(BI$5&gt;=$C183,BI$5&lt;=$D183,$A183&lt;&gt;""),"●","")</x:f>
      </x:c>
      <x:c r="BJ183" s="165" t="str">
        <x:f>IF(AND(BJ$5&gt;=$C183,BJ$5&lt;=$D183,$A183&lt;&gt;""),"●","")</x:f>
      </x:c>
      <x:c r="BK183" s="165" t="str">
        <x:f>IF(AND(BK$5&gt;=$C183,BK$5&lt;=$D183,$A183&lt;&gt;""),"●","")</x:f>
      </x:c>
      <x:c r="BL183" s="165" t="str">
        <x:f>IF(AND(BL$5&gt;=$C183,BL$5&lt;=$D183,$A183&lt;&gt;""),"●","")</x:f>
      </x:c>
      <x:c r="BM183" s="165" t="str">
        <x:f>IF(AND(BM$5&gt;=$C183,BM$5&lt;=$D183,$A183&lt;&gt;""),"●","")</x:f>
      </x:c>
      <x:c r="BN183" s="165" t="str">
        <x:f>IF(AND(BN$5&gt;=$C183,BN$5&lt;=$D183,$A183&lt;&gt;""),"●","")</x:f>
      </x:c>
      <x:c r="BO183" s="165" t="str">
        <x:f>IF(AND(BO$5&gt;=$C183,BO$5&lt;=$D183,$A183&lt;&gt;""),"●","")</x:f>
      </x:c>
      <x:c r="BP183" s="165" t="str">
        <x:f>IF(AND(BP$5&gt;=$C183,BP$5&lt;=$D183,$A183&lt;&gt;""),"●","")</x:f>
      </x:c>
      <x:c r="BQ183" s="165" t="str">
        <x:f>IF(AND(BQ$5&gt;=$C183,BQ$5&lt;=$D183,$A183&lt;&gt;""),"●","")</x:f>
      </x:c>
      <x:c r="BR183" s="165" t="str">
        <x:f>IF(AND(BR$5&gt;=$C183,BR$5&lt;=$D183,$A183&lt;&gt;""),"●","")</x:f>
      </x:c>
      <x:c r="BS183" s="165" t="str">
        <x:f>IF(AND(BS$5&gt;=$C183,BS$5&lt;=$D183,$A183&lt;&gt;""),"●","")</x:f>
      </x:c>
      <x:c r="BT183" s="165" t="str">
        <x:f>IF(AND(BT$5&gt;=$C183,BT$5&lt;=$D183,$A183&lt;&gt;""),"●","")</x:f>
      </x:c>
      <x:c r="BU183" s="165" t="str">
        <x:f>IF(AND(BU$5&gt;=$C183,BU$5&lt;=$D183,$A183&lt;&gt;""),"●","")</x:f>
      </x:c>
      <x:c r="BV183" s="165" t="str">
        <x:f>IF(AND(BV$5&gt;=$C183,BV$5&lt;=$D183,$A183&lt;&gt;""),"●","")</x:f>
      </x:c>
      <x:c r="BW183" s="165" t="str">
        <x:f>IF(AND(BW$5&gt;=$C183,BW$5&lt;=$D183,$A183&lt;&gt;""),"●","")</x:f>
      </x:c>
    </x:row>
    <x:row r="184">
      <x:c r="A184" s="159" t="str">
        <x:f>IF('รายการสัญญา'!A184="","",'รายการสัญญา'!A184)</x:f>
      </x:c>
      <x:c r="B184" s="159" t="str">
        <x:f>IF('รายการสัญญา'!A184="","",'รายการสัญญา'!C184)</x:f>
      </x:c>
      <x:c r="C184" s="162" t="str">
        <x:f>IF('รายการสัญญา'!A184="","",'รายการสัญญา'!E184)</x:f>
      </x:c>
      <x:c r="D184" s="162" t="str">
        <x:f>IF('รายการสัญญา'!A184="","",'รายการสัญญา'!G184)</x:f>
      </x:c>
      <x:c r="E184" s="159" t="str">
        <x:f>IF('รายการสัญญา'!A184="","",'รายการสัญญา'!K184)</x:f>
      </x:c>
      <x:c r="F184" s="165" t="str">
        <x:f>IF(AND(F$5&gt;=$C184,F$5&lt;=$D184,$A184&lt;&gt;""),"●","")</x:f>
      </x:c>
      <x:c r="G184" s="165" t="str">
        <x:f>IF(AND(G$5&gt;=$C184,G$5&lt;=$D184,$A184&lt;&gt;""),"●","")</x:f>
      </x:c>
      <x:c r="H184" s="165" t="str">
        <x:f>IF(AND(H$5&gt;=$C184,H$5&lt;=$D184,$A184&lt;&gt;""),"●","")</x:f>
      </x:c>
      <x:c r="I184" s="165" t="str">
        <x:f>IF(AND(I$5&gt;=$C184,I$5&lt;=$D184,$A184&lt;&gt;""),"●","")</x:f>
      </x:c>
      <x:c r="J184" s="165" t="str">
        <x:f>IF(AND(J$5&gt;=$C184,J$5&lt;=$D184,$A184&lt;&gt;""),"●","")</x:f>
      </x:c>
      <x:c r="K184" s="165" t="str">
        <x:f>IF(AND(K$5&gt;=$C184,K$5&lt;=$D184,$A184&lt;&gt;""),"●","")</x:f>
      </x:c>
      <x:c r="L184" s="165" t="str">
        <x:f>IF(AND(L$5&gt;=$C184,L$5&lt;=$D184,$A184&lt;&gt;""),"●","")</x:f>
      </x:c>
      <x:c r="M184" s="165" t="str">
        <x:f>IF(AND(M$5&gt;=$C184,M$5&lt;=$D184,$A184&lt;&gt;""),"●","")</x:f>
      </x:c>
      <x:c r="N184" s="165" t="str">
        <x:f>IF(AND(N$5&gt;=$C184,N$5&lt;=$D184,$A184&lt;&gt;""),"●","")</x:f>
      </x:c>
      <x:c r="O184" s="165" t="str">
        <x:f>IF(AND(O$5&gt;=$C184,O$5&lt;=$D184,$A184&lt;&gt;""),"●","")</x:f>
      </x:c>
      <x:c r="P184" s="165" t="str">
        <x:f>IF(AND(P$5&gt;=$C184,P$5&lt;=$D184,$A184&lt;&gt;""),"●","")</x:f>
      </x:c>
      <x:c r="Q184" s="165" t="str">
        <x:f>IF(AND(Q$5&gt;=$C184,Q$5&lt;=$D184,$A184&lt;&gt;""),"●","")</x:f>
      </x:c>
      <x:c r="R184" s="165" t="str">
        <x:f>IF(AND(R$5&gt;=$C184,R$5&lt;=$D184,$A184&lt;&gt;""),"●","")</x:f>
      </x:c>
      <x:c r="S184" s="165" t="str">
        <x:f>IF(AND(S$5&gt;=$C184,S$5&lt;=$D184,$A184&lt;&gt;""),"●","")</x:f>
      </x:c>
      <x:c r="T184" s="165" t="str">
        <x:f>IF(AND(T$5&gt;=$C184,T$5&lt;=$D184,$A184&lt;&gt;""),"●","")</x:f>
      </x:c>
      <x:c r="U184" s="165" t="str">
        <x:f>IF(AND(U$5&gt;=$C184,U$5&lt;=$D184,$A184&lt;&gt;""),"●","")</x:f>
      </x:c>
      <x:c r="V184" s="165" t="str">
        <x:f>IF(AND(V$5&gt;=$C184,V$5&lt;=$D184,$A184&lt;&gt;""),"●","")</x:f>
      </x:c>
      <x:c r="W184" s="165" t="str">
        <x:f>IF(AND(W$5&gt;=$C184,W$5&lt;=$D184,$A184&lt;&gt;""),"●","")</x:f>
      </x:c>
      <x:c r="X184" s="165" t="str">
        <x:f>IF(AND(X$5&gt;=$C184,X$5&lt;=$D184,$A184&lt;&gt;""),"●","")</x:f>
      </x:c>
      <x:c r="Y184" s="165" t="str">
        <x:f>IF(AND(Y$5&gt;=$C184,Y$5&lt;=$D184,$A184&lt;&gt;""),"●","")</x:f>
      </x:c>
      <x:c r="Z184" s="165" t="str">
        <x:f>IF(AND(Z$5&gt;=$C184,Z$5&lt;=$D184,$A184&lt;&gt;""),"●","")</x:f>
      </x:c>
      <x:c r="AA184" s="165" t="str">
        <x:f>IF(AND(AA$5&gt;=$C184,AA$5&lt;=$D184,$A184&lt;&gt;""),"●","")</x:f>
      </x:c>
      <x:c r="AB184" s="165" t="str">
        <x:f>IF(AND(AB$5&gt;=$C184,AB$5&lt;=$D184,$A184&lt;&gt;""),"●","")</x:f>
      </x:c>
      <x:c r="AC184" s="165" t="str">
        <x:f>IF(AND(AC$5&gt;=$C184,AC$5&lt;=$D184,$A184&lt;&gt;""),"●","")</x:f>
      </x:c>
      <x:c r="AD184" s="165" t="str">
        <x:f>IF(AND(AD$5&gt;=$C184,AD$5&lt;=$D184,$A184&lt;&gt;""),"●","")</x:f>
      </x:c>
      <x:c r="AE184" s="165" t="str">
        <x:f>IF(AND(AE$5&gt;=$C184,AE$5&lt;=$D184,$A184&lt;&gt;""),"●","")</x:f>
      </x:c>
      <x:c r="AF184" s="165" t="str">
        <x:f>IF(AND(AF$5&gt;=$C184,AF$5&lt;=$D184,$A184&lt;&gt;""),"●","")</x:f>
      </x:c>
      <x:c r="AG184" s="165" t="str">
        <x:f>IF(AND(AG$5&gt;=$C184,AG$5&lt;=$D184,$A184&lt;&gt;""),"●","")</x:f>
      </x:c>
      <x:c r="AH184" s="165" t="str">
        <x:f>IF(AND(AH$5&gt;=$C184,AH$5&lt;=$D184,$A184&lt;&gt;""),"●","")</x:f>
      </x:c>
      <x:c r="AI184" s="165" t="str">
        <x:f>IF(AND(AI$5&gt;=$C184,AI$5&lt;=$D184,$A184&lt;&gt;""),"●","")</x:f>
      </x:c>
      <x:c r="AJ184" s="165" t="str">
        <x:f>IF(AND(AJ$5&gt;=$C184,AJ$5&lt;=$D184,$A184&lt;&gt;""),"●","")</x:f>
      </x:c>
      <x:c r="AK184" s="165" t="str">
        <x:f>IF(AND(AK$5&gt;=$C184,AK$5&lt;=$D184,$A184&lt;&gt;""),"●","")</x:f>
      </x:c>
      <x:c r="AL184" s="165" t="str">
        <x:f>IF(AND(AL$5&gt;=$C184,AL$5&lt;=$D184,$A184&lt;&gt;""),"●","")</x:f>
      </x:c>
      <x:c r="AM184" s="165" t="str">
        <x:f>IF(AND(AM$5&gt;=$C184,AM$5&lt;=$D184,$A184&lt;&gt;""),"●","")</x:f>
      </x:c>
      <x:c r="AN184" s="165" t="str">
        <x:f>IF(AND(AN$5&gt;=$C184,AN$5&lt;=$D184,$A184&lt;&gt;""),"●","")</x:f>
      </x:c>
      <x:c r="AO184" s="165" t="str">
        <x:f>IF(AND(AO$5&gt;=$C184,AO$5&lt;=$D184,$A184&lt;&gt;""),"●","")</x:f>
      </x:c>
      <x:c r="AP184" s="165" t="str">
        <x:f>IF(AND(AP$5&gt;=$C184,AP$5&lt;=$D184,$A184&lt;&gt;""),"●","")</x:f>
      </x:c>
      <x:c r="AQ184" s="165" t="str">
        <x:f>IF(AND(AQ$5&gt;=$C184,AQ$5&lt;=$D184,$A184&lt;&gt;""),"●","")</x:f>
      </x:c>
      <x:c r="AR184" s="165" t="str">
        <x:f>IF(AND(AR$5&gt;=$C184,AR$5&lt;=$D184,$A184&lt;&gt;""),"●","")</x:f>
      </x:c>
      <x:c r="AS184" s="165" t="str">
        <x:f>IF(AND(AS$5&gt;=$C184,AS$5&lt;=$D184,$A184&lt;&gt;""),"●","")</x:f>
      </x:c>
      <x:c r="AT184" s="165" t="str">
        <x:f>IF(AND(AT$5&gt;=$C184,AT$5&lt;=$D184,$A184&lt;&gt;""),"●","")</x:f>
      </x:c>
      <x:c r="AU184" s="165" t="str">
        <x:f>IF(AND(AU$5&gt;=$C184,AU$5&lt;=$D184,$A184&lt;&gt;""),"●","")</x:f>
      </x:c>
      <x:c r="AV184" s="165" t="str">
        <x:f>IF(AND(AV$5&gt;=$C184,AV$5&lt;=$D184,$A184&lt;&gt;""),"●","")</x:f>
      </x:c>
      <x:c r="AW184" s="165" t="str">
        <x:f>IF(AND(AW$5&gt;=$C184,AW$5&lt;=$D184,$A184&lt;&gt;""),"●","")</x:f>
      </x:c>
      <x:c r="AX184" s="165" t="str">
        <x:f>IF(AND(AX$5&gt;=$C184,AX$5&lt;=$D184,$A184&lt;&gt;""),"●","")</x:f>
      </x:c>
      <x:c r="AY184" s="165" t="str">
        <x:f>IF(AND(AY$5&gt;=$C184,AY$5&lt;=$D184,$A184&lt;&gt;""),"●","")</x:f>
      </x:c>
      <x:c r="AZ184" s="165" t="str">
        <x:f>IF(AND(AZ$5&gt;=$C184,AZ$5&lt;=$D184,$A184&lt;&gt;""),"●","")</x:f>
      </x:c>
      <x:c r="BA184" s="165" t="str">
        <x:f>IF(AND(BA$5&gt;=$C184,BA$5&lt;=$D184,$A184&lt;&gt;""),"●","")</x:f>
      </x:c>
      <x:c r="BB184" s="165" t="str">
        <x:f>IF(AND(BB$5&gt;=$C184,BB$5&lt;=$D184,$A184&lt;&gt;""),"●","")</x:f>
      </x:c>
      <x:c r="BC184" s="165" t="str">
        <x:f>IF(AND(BC$5&gt;=$C184,BC$5&lt;=$D184,$A184&lt;&gt;""),"●","")</x:f>
      </x:c>
      <x:c r="BD184" s="165" t="str">
        <x:f>IF(AND(BD$5&gt;=$C184,BD$5&lt;=$D184,$A184&lt;&gt;""),"●","")</x:f>
      </x:c>
      <x:c r="BE184" s="165" t="str">
        <x:f>IF(AND(BE$5&gt;=$C184,BE$5&lt;=$D184,$A184&lt;&gt;""),"●","")</x:f>
      </x:c>
      <x:c r="BF184" s="165" t="str">
        <x:f>IF(AND(BF$5&gt;=$C184,BF$5&lt;=$D184,$A184&lt;&gt;""),"●","")</x:f>
      </x:c>
      <x:c r="BG184" s="165" t="str">
        <x:f>IF(AND(BG$5&gt;=$C184,BG$5&lt;=$D184,$A184&lt;&gt;""),"●","")</x:f>
      </x:c>
      <x:c r="BH184" s="165" t="str">
        <x:f>IF(AND(BH$5&gt;=$C184,BH$5&lt;=$D184,$A184&lt;&gt;""),"●","")</x:f>
      </x:c>
      <x:c r="BI184" s="165" t="str">
        <x:f>IF(AND(BI$5&gt;=$C184,BI$5&lt;=$D184,$A184&lt;&gt;""),"●","")</x:f>
      </x:c>
      <x:c r="BJ184" s="165" t="str">
        <x:f>IF(AND(BJ$5&gt;=$C184,BJ$5&lt;=$D184,$A184&lt;&gt;""),"●","")</x:f>
      </x:c>
      <x:c r="BK184" s="165" t="str">
        <x:f>IF(AND(BK$5&gt;=$C184,BK$5&lt;=$D184,$A184&lt;&gt;""),"●","")</x:f>
      </x:c>
      <x:c r="BL184" s="165" t="str">
        <x:f>IF(AND(BL$5&gt;=$C184,BL$5&lt;=$D184,$A184&lt;&gt;""),"●","")</x:f>
      </x:c>
      <x:c r="BM184" s="165" t="str">
        <x:f>IF(AND(BM$5&gt;=$C184,BM$5&lt;=$D184,$A184&lt;&gt;""),"●","")</x:f>
      </x:c>
      <x:c r="BN184" s="165" t="str">
        <x:f>IF(AND(BN$5&gt;=$C184,BN$5&lt;=$D184,$A184&lt;&gt;""),"●","")</x:f>
      </x:c>
      <x:c r="BO184" s="165" t="str">
        <x:f>IF(AND(BO$5&gt;=$C184,BO$5&lt;=$D184,$A184&lt;&gt;""),"●","")</x:f>
      </x:c>
      <x:c r="BP184" s="165" t="str">
        <x:f>IF(AND(BP$5&gt;=$C184,BP$5&lt;=$D184,$A184&lt;&gt;""),"●","")</x:f>
      </x:c>
      <x:c r="BQ184" s="165" t="str">
        <x:f>IF(AND(BQ$5&gt;=$C184,BQ$5&lt;=$D184,$A184&lt;&gt;""),"●","")</x:f>
      </x:c>
      <x:c r="BR184" s="165" t="str">
        <x:f>IF(AND(BR$5&gt;=$C184,BR$5&lt;=$D184,$A184&lt;&gt;""),"●","")</x:f>
      </x:c>
      <x:c r="BS184" s="165" t="str">
        <x:f>IF(AND(BS$5&gt;=$C184,BS$5&lt;=$D184,$A184&lt;&gt;""),"●","")</x:f>
      </x:c>
      <x:c r="BT184" s="165" t="str">
        <x:f>IF(AND(BT$5&gt;=$C184,BT$5&lt;=$D184,$A184&lt;&gt;""),"●","")</x:f>
      </x:c>
      <x:c r="BU184" s="165" t="str">
        <x:f>IF(AND(BU$5&gt;=$C184,BU$5&lt;=$D184,$A184&lt;&gt;""),"●","")</x:f>
      </x:c>
      <x:c r="BV184" s="165" t="str">
        <x:f>IF(AND(BV$5&gt;=$C184,BV$5&lt;=$D184,$A184&lt;&gt;""),"●","")</x:f>
      </x:c>
      <x:c r="BW184" s="165" t="str">
        <x:f>IF(AND(BW$5&gt;=$C184,BW$5&lt;=$D184,$A184&lt;&gt;""),"●","")</x:f>
      </x:c>
    </x:row>
    <x:row r="185">
      <x:c r="A185" s="159" t="str">
        <x:f>IF('รายการสัญญา'!A185="","",'รายการสัญญา'!A185)</x:f>
      </x:c>
      <x:c r="B185" s="159" t="str">
        <x:f>IF('รายการสัญญา'!A185="","",'รายการสัญญา'!C185)</x:f>
      </x:c>
      <x:c r="C185" s="162" t="str">
        <x:f>IF('รายการสัญญา'!A185="","",'รายการสัญญา'!E185)</x:f>
      </x:c>
      <x:c r="D185" s="162" t="str">
        <x:f>IF('รายการสัญญา'!A185="","",'รายการสัญญา'!G185)</x:f>
      </x:c>
      <x:c r="E185" s="159" t="str">
        <x:f>IF('รายการสัญญา'!A185="","",'รายการสัญญา'!K185)</x:f>
      </x:c>
      <x:c r="F185" s="165" t="str">
        <x:f>IF(AND(F$5&gt;=$C185,F$5&lt;=$D185,$A185&lt;&gt;""),"●","")</x:f>
      </x:c>
      <x:c r="G185" s="165" t="str">
        <x:f>IF(AND(G$5&gt;=$C185,G$5&lt;=$D185,$A185&lt;&gt;""),"●","")</x:f>
      </x:c>
      <x:c r="H185" s="165" t="str">
        <x:f>IF(AND(H$5&gt;=$C185,H$5&lt;=$D185,$A185&lt;&gt;""),"●","")</x:f>
      </x:c>
      <x:c r="I185" s="165" t="str">
        <x:f>IF(AND(I$5&gt;=$C185,I$5&lt;=$D185,$A185&lt;&gt;""),"●","")</x:f>
      </x:c>
      <x:c r="J185" s="165" t="str">
        <x:f>IF(AND(J$5&gt;=$C185,J$5&lt;=$D185,$A185&lt;&gt;""),"●","")</x:f>
      </x:c>
      <x:c r="K185" s="165" t="str">
        <x:f>IF(AND(K$5&gt;=$C185,K$5&lt;=$D185,$A185&lt;&gt;""),"●","")</x:f>
      </x:c>
      <x:c r="L185" s="165" t="str">
        <x:f>IF(AND(L$5&gt;=$C185,L$5&lt;=$D185,$A185&lt;&gt;""),"●","")</x:f>
      </x:c>
      <x:c r="M185" s="165" t="str">
        <x:f>IF(AND(M$5&gt;=$C185,M$5&lt;=$D185,$A185&lt;&gt;""),"●","")</x:f>
      </x:c>
      <x:c r="N185" s="165" t="str">
        <x:f>IF(AND(N$5&gt;=$C185,N$5&lt;=$D185,$A185&lt;&gt;""),"●","")</x:f>
      </x:c>
      <x:c r="O185" s="165" t="str">
        <x:f>IF(AND(O$5&gt;=$C185,O$5&lt;=$D185,$A185&lt;&gt;""),"●","")</x:f>
      </x:c>
      <x:c r="P185" s="165" t="str">
        <x:f>IF(AND(P$5&gt;=$C185,P$5&lt;=$D185,$A185&lt;&gt;""),"●","")</x:f>
      </x:c>
      <x:c r="Q185" s="165" t="str">
        <x:f>IF(AND(Q$5&gt;=$C185,Q$5&lt;=$D185,$A185&lt;&gt;""),"●","")</x:f>
      </x:c>
      <x:c r="R185" s="165" t="str">
        <x:f>IF(AND(R$5&gt;=$C185,R$5&lt;=$D185,$A185&lt;&gt;""),"●","")</x:f>
      </x:c>
      <x:c r="S185" s="165" t="str">
        <x:f>IF(AND(S$5&gt;=$C185,S$5&lt;=$D185,$A185&lt;&gt;""),"●","")</x:f>
      </x:c>
      <x:c r="T185" s="165" t="str">
        <x:f>IF(AND(T$5&gt;=$C185,T$5&lt;=$D185,$A185&lt;&gt;""),"●","")</x:f>
      </x:c>
      <x:c r="U185" s="165" t="str">
        <x:f>IF(AND(U$5&gt;=$C185,U$5&lt;=$D185,$A185&lt;&gt;""),"●","")</x:f>
      </x:c>
      <x:c r="V185" s="165" t="str">
        <x:f>IF(AND(V$5&gt;=$C185,V$5&lt;=$D185,$A185&lt;&gt;""),"●","")</x:f>
      </x:c>
      <x:c r="W185" s="165" t="str">
        <x:f>IF(AND(W$5&gt;=$C185,W$5&lt;=$D185,$A185&lt;&gt;""),"●","")</x:f>
      </x:c>
      <x:c r="X185" s="165" t="str">
        <x:f>IF(AND(X$5&gt;=$C185,X$5&lt;=$D185,$A185&lt;&gt;""),"●","")</x:f>
      </x:c>
      <x:c r="Y185" s="165" t="str">
        <x:f>IF(AND(Y$5&gt;=$C185,Y$5&lt;=$D185,$A185&lt;&gt;""),"●","")</x:f>
      </x:c>
      <x:c r="Z185" s="165" t="str">
        <x:f>IF(AND(Z$5&gt;=$C185,Z$5&lt;=$D185,$A185&lt;&gt;""),"●","")</x:f>
      </x:c>
      <x:c r="AA185" s="165" t="str">
        <x:f>IF(AND(AA$5&gt;=$C185,AA$5&lt;=$D185,$A185&lt;&gt;""),"●","")</x:f>
      </x:c>
      <x:c r="AB185" s="165" t="str">
        <x:f>IF(AND(AB$5&gt;=$C185,AB$5&lt;=$D185,$A185&lt;&gt;""),"●","")</x:f>
      </x:c>
      <x:c r="AC185" s="165" t="str">
        <x:f>IF(AND(AC$5&gt;=$C185,AC$5&lt;=$D185,$A185&lt;&gt;""),"●","")</x:f>
      </x:c>
      <x:c r="AD185" s="165" t="str">
        <x:f>IF(AND(AD$5&gt;=$C185,AD$5&lt;=$D185,$A185&lt;&gt;""),"●","")</x:f>
      </x:c>
      <x:c r="AE185" s="165" t="str">
        <x:f>IF(AND(AE$5&gt;=$C185,AE$5&lt;=$D185,$A185&lt;&gt;""),"●","")</x:f>
      </x:c>
      <x:c r="AF185" s="165" t="str">
        <x:f>IF(AND(AF$5&gt;=$C185,AF$5&lt;=$D185,$A185&lt;&gt;""),"●","")</x:f>
      </x:c>
      <x:c r="AG185" s="165" t="str">
        <x:f>IF(AND(AG$5&gt;=$C185,AG$5&lt;=$D185,$A185&lt;&gt;""),"●","")</x:f>
      </x:c>
      <x:c r="AH185" s="165" t="str">
        <x:f>IF(AND(AH$5&gt;=$C185,AH$5&lt;=$D185,$A185&lt;&gt;""),"●","")</x:f>
      </x:c>
      <x:c r="AI185" s="165" t="str">
        <x:f>IF(AND(AI$5&gt;=$C185,AI$5&lt;=$D185,$A185&lt;&gt;""),"●","")</x:f>
      </x:c>
      <x:c r="AJ185" s="165" t="str">
        <x:f>IF(AND(AJ$5&gt;=$C185,AJ$5&lt;=$D185,$A185&lt;&gt;""),"●","")</x:f>
      </x:c>
      <x:c r="AK185" s="165" t="str">
        <x:f>IF(AND(AK$5&gt;=$C185,AK$5&lt;=$D185,$A185&lt;&gt;""),"●","")</x:f>
      </x:c>
      <x:c r="AL185" s="165" t="str">
        <x:f>IF(AND(AL$5&gt;=$C185,AL$5&lt;=$D185,$A185&lt;&gt;""),"●","")</x:f>
      </x:c>
      <x:c r="AM185" s="165" t="str">
        <x:f>IF(AND(AM$5&gt;=$C185,AM$5&lt;=$D185,$A185&lt;&gt;""),"●","")</x:f>
      </x:c>
      <x:c r="AN185" s="165" t="str">
        <x:f>IF(AND(AN$5&gt;=$C185,AN$5&lt;=$D185,$A185&lt;&gt;""),"●","")</x:f>
      </x:c>
      <x:c r="AO185" s="165" t="str">
        <x:f>IF(AND(AO$5&gt;=$C185,AO$5&lt;=$D185,$A185&lt;&gt;""),"●","")</x:f>
      </x:c>
      <x:c r="AP185" s="165" t="str">
        <x:f>IF(AND(AP$5&gt;=$C185,AP$5&lt;=$D185,$A185&lt;&gt;""),"●","")</x:f>
      </x:c>
      <x:c r="AQ185" s="165" t="str">
        <x:f>IF(AND(AQ$5&gt;=$C185,AQ$5&lt;=$D185,$A185&lt;&gt;""),"●","")</x:f>
      </x:c>
      <x:c r="AR185" s="165" t="str">
        <x:f>IF(AND(AR$5&gt;=$C185,AR$5&lt;=$D185,$A185&lt;&gt;""),"●","")</x:f>
      </x:c>
      <x:c r="AS185" s="165" t="str">
        <x:f>IF(AND(AS$5&gt;=$C185,AS$5&lt;=$D185,$A185&lt;&gt;""),"●","")</x:f>
      </x:c>
      <x:c r="AT185" s="165" t="str">
        <x:f>IF(AND(AT$5&gt;=$C185,AT$5&lt;=$D185,$A185&lt;&gt;""),"●","")</x:f>
      </x:c>
      <x:c r="AU185" s="165" t="str">
        <x:f>IF(AND(AU$5&gt;=$C185,AU$5&lt;=$D185,$A185&lt;&gt;""),"●","")</x:f>
      </x:c>
      <x:c r="AV185" s="165" t="str">
        <x:f>IF(AND(AV$5&gt;=$C185,AV$5&lt;=$D185,$A185&lt;&gt;""),"●","")</x:f>
      </x:c>
      <x:c r="AW185" s="165" t="str">
        <x:f>IF(AND(AW$5&gt;=$C185,AW$5&lt;=$D185,$A185&lt;&gt;""),"●","")</x:f>
      </x:c>
      <x:c r="AX185" s="165" t="str">
        <x:f>IF(AND(AX$5&gt;=$C185,AX$5&lt;=$D185,$A185&lt;&gt;""),"●","")</x:f>
      </x:c>
      <x:c r="AY185" s="165" t="str">
        <x:f>IF(AND(AY$5&gt;=$C185,AY$5&lt;=$D185,$A185&lt;&gt;""),"●","")</x:f>
      </x:c>
      <x:c r="AZ185" s="165" t="str">
        <x:f>IF(AND(AZ$5&gt;=$C185,AZ$5&lt;=$D185,$A185&lt;&gt;""),"●","")</x:f>
      </x:c>
      <x:c r="BA185" s="165" t="str">
        <x:f>IF(AND(BA$5&gt;=$C185,BA$5&lt;=$D185,$A185&lt;&gt;""),"●","")</x:f>
      </x:c>
      <x:c r="BB185" s="165" t="str">
        <x:f>IF(AND(BB$5&gt;=$C185,BB$5&lt;=$D185,$A185&lt;&gt;""),"●","")</x:f>
      </x:c>
      <x:c r="BC185" s="165" t="str">
        <x:f>IF(AND(BC$5&gt;=$C185,BC$5&lt;=$D185,$A185&lt;&gt;""),"●","")</x:f>
      </x:c>
      <x:c r="BD185" s="165" t="str">
        <x:f>IF(AND(BD$5&gt;=$C185,BD$5&lt;=$D185,$A185&lt;&gt;""),"●","")</x:f>
      </x:c>
      <x:c r="BE185" s="165" t="str">
        <x:f>IF(AND(BE$5&gt;=$C185,BE$5&lt;=$D185,$A185&lt;&gt;""),"●","")</x:f>
      </x:c>
      <x:c r="BF185" s="165" t="str">
        <x:f>IF(AND(BF$5&gt;=$C185,BF$5&lt;=$D185,$A185&lt;&gt;""),"●","")</x:f>
      </x:c>
      <x:c r="BG185" s="165" t="str">
        <x:f>IF(AND(BG$5&gt;=$C185,BG$5&lt;=$D185,$A185&lt;&gt;""),"●","")</x:f>
      </x:c>
      <x:c r="BH185" s="165" t="str">
        <x:f>IF(AND(BH$5&gt;=$C185,BH$5&lt;=$D185,$A185&lt;&gt;""),"●","")</x:f>
      </x:c>
      <x:c r="BI185" s="165" t="str">
        <x:f>IF(AND(BI$5&gt;=$C185,BI$5&lt;=$D185,$A185&lt;&gt;""),"●","")</x:f>
      </x:c>
      <x:c r="BJ185" s="165" t="str">
        <x:f>IF(AND(BJ$5&gt;=$C185,BJ$5&lt;=$D185,$A185&lt;&gt;""),"●","")</x:f>
      </x:c>
      <x:c r="BK185" s="165" t="str">
        <x:f>IF(AND(BK$5&gt;=$C185,BK$5&lt;=$D185,$A185&lt;&gt;""),"●","")</x:f>
      </x:c>
      <x:c r="BL185" s="165" t="str">
        <x:f>IF(AND(BL$5&gt;=$C185,BL$5&lt;=$D185,$A185&lt;&gt;""),"●","")</x:f>
      </x:c>
      <x:c r="BM185" s="165" t="str">
        <x:f>IF(AND(BM$5&gt;=$C185,BM$5&lt;=$D185,$A185&lt;&gt;""),"●","")</x:f>
      </x:c>
      <x:c r="BN185" s="165" t="str">
        <x:f>IF(AND(BN$5&gt;=$C185,BN$5&lt;=$D185,$A185&lt;&gt;""),"●","")</x:f>
      </x:c>
      <x:c r="BO185" s="165" t="str">
        <x:f>IF(AND(BO$5&gt;=$C185,BO$5&lt;=$D185,$A185&lt;&gt;""),"●","")</x:f>
      </x:c>
      <x:c r="BP185" s="165" t="str">
        <x:f>IF(AND(BP$5&gt;=$C185,BP$5&lt;=$D185,$A185&lt;&gt;""),"●","")</x:f>
      </x:c>
      <x:c r="BQ185" s="165" t="str">
        <x:f>IF(AND(BQ$5&gt;=$C185,BQ$5&lt;=$D185,$A185&lt;&gt;""),"●","")</x:f>
      </x:c>
      <x:c r="BR185" s="165" t="str">
        <x:f>IF(AND(BR$5&gt;=$C185,BR$5&lt;=$D185,$A185&lt;&gt;""),"●","")</x:f>
      </x:c>
      <x:c r="BS185" s="165" t="str">
        <x:f>IF(AND(BS$5&gt;=$C185,BS$5&lt;=$D185,$A185&lt;&gt;""),"●","")</x:f>
      </x:c>
      <x:c r="BT185" s="165" t="str">
        <x:f>IF(AND(BT$5&gt;=$C185,BT$5&lt;=$D185,$A185&lt;&gt;""),"●","")</x:f>
      </x:c>
      <x:c r="BU185" s="165" t="str">
        <x:f>IF(AND(BU$5&gt;=$C185,BU$5&lt;=$D185,$A185&lt;&gt;""),"●","")</x:f>
      </x:c>
      <x:c r="BV185" s="165" t="str">
        <x:f>IF(AND(BV$5&gt;=$C185,BV$5&lt;=$D185,$A185&lt;&gt;""),"●","")</x:f>
      </x:c>
      <x:c r="BW185" s="165" t="str">
        <x:f>IF(AND(BW$5&gt;=$C185,BW$5&lt;=$D185,$A185&lt;&gt;""),"●","")</x:f>
      </x:c>
    </x:row>
    <x:row r="186">
      <x:c r="A186" s="159" t="str">
        <x:f>IF('รายการสัญญา'!A186="","",'รายการสัญญา'!A186)</x:f>
      </x:c>
      <x:c r="B186" s="159" t="str">
        <x:f>IF('รายการสัญญา'!A186="","",'รายการสัญญา'!C186)</x:f>
      </x:c>
      <x:c r="C186" s="162" t="str">
        <x:f>IF('รายการสัญญา'!A186="","",'รายการสัญญา'!E186)</x:f>
      </x:c>
      <x:c r="D186" s="162" t="str">
        <x:f>IF('รายการสัญญา'!A186="","",'รายการสัญญา'!G186)</x:f>
      </x:c>
      <x:c r="E186" s="159" t="str">
        <x:f>IF('รายการสัญญา'!A186="","",'รายการสัญญา'!K186)</x:f>
      </x:c>
      <x:c r="F186" s="165" t="str">
        <x:f>IF(AND(F$5&gt;=$C186,F$5&lt;=$D186,$A186&lt;&gt;""),"●","")</x:f>
      </x:c>
      <x:c r="G186" s="165" t="str">
        <x:f>IF(AND(G$5&gt;=$C186,G$5&lt;=$D186,$A186&lt;&gt;""),"●","")</x:f>
      </x:c>
      <x:c r="H186" s="165" t="str">
        <x:f>IF(AND(H$5&gt;=$C186,H$5&lt;=$D186,$A186&lt;&gt;""),"●","")</x:f>
      </x:c>
      <x:c r="I186" s="165" t="str">
        <x:f>IF(AND(I$5&gt;=$C186,I$5&lt;=$D186,$A186&lt;&gt;""),"●","")</x:f>
      </x:c>
      <x:c r="J186" s="165" t="str">
        <x:f>IF(AND(J$5&gt;=$C186,J$5&lt;=$D186,$A186&lt;&gt;""),"●","")</x:f>
      </x:c>
      <x:c r="K186" s="165" t="str">
        <x:f>IF(AND(K$5&gt;=$C186,K$5&lt;=$D186,$A186&lt;&gt;""),"●","")</x:f>
      </x:c>
      <x:c r="L186" s="165" t="str">
        <x:f>IF(AND(L$5&gt;=$C186,L$5&lt;=$D186,$A186&lt;&gt;""),"●","")</x:f>
      </x:c>
      <x:c r="M186" s="165" t="str">
        <x:f>IF(AND(M$5&gt;=$C186,M$5&lt;=$D186,$A186&lt;&gt;""),"●","")</x:f>
      </x:c>
      <x:c r="N186" s="165" t="str">
        <x:f>IF(AND(N$5&gt;=$C186,N$5&lt;=$D186,$A186&lt;&gt;""),"●","")</x:f>
      </x:c>
      <x:c r="O186" s="165" t="str">
        <x:f>IF(AND(O$5&gt;=$C186,O$5&lt;=$D186,$A186&lt;&gt;""),"●","")</x:f>
      </x:c>
      <x:c r="P186" s="165" t="str">
        <x:f>IF(AND(P$5&gt;=$C186,P$5&lt;=$D186,$A186&lt;&gt;""),"●","")</x:f>
      </x:c>
      <x:c r="Q186" s="165" t="str">
        <x:f>IF(AND(Q$5&gt;=$C186,Q$5&lt;=$D186,$A186&lt;&gt;""),"●","")</x:f>
      </x:c>
      <x:c r="R186" s="165" t="str">
        <x:f>IF(AND(R$5&gt;=$C186,R$5&lt;=$D186,$A186&lt;&gt;""),"●","")</x:f>
      </x:c>
      <x:c r="S186" s="165" t="str">
        <x:f>IF(AND(S$5&gt;=$C186,S$5&lt;=$D186,$A186&lt;&gt;""),"●","")</x:f>
      </x:c>
      <x:c r="T186" s="165" t="str">
        <x:f>IF(AND(T$5&gt;=$C186,T$5&lt;=$D186,$A186&lt;&gt;""),"●","")</x:f>
      </x:c>
      <x:c r="U186" s="165" t="str">
        <x:f>IF(AND(U$5&gt;=$C186,U$5&lt;=$D186,$A186&lt;&gt;""),"●","")</x:f>
      </x:c>
      <x:c r="V186" s="165" t="str">
        <x:f>IF(AND(V$5&gt;=$C186,V$5&lt;=$D186,$A186&lt;&gt;""),"●","")</x:f>
      </x:c>
      <x:c r="W186" s="165" t="str">
        <x:f>IF(AND(W$5&gt;=$C186,W$5&lt;=$D186,$A186&lt;&gt;""),"●","")</x:f>
      </x:c>
      <x:c r="X186" s="165" t="str">
        <x:f>IF(AND(X$5&gt;=$C186,X$5&lt;=$D186,$A186&lt;&gt;""),"●","")</x:f>
      </x:c>
      <x:c r="Y186" s="165" t="str">
        <x:f>IF(AND(Y$5&gt;=$C186,Y$5&lt;=$D186,$A186&lt;&gt;""),"●","")</x:f>
      </x:c>
      <x:c r="Z186" s="165" t="str">
        <x:f>IF(AND(Z$5&gt;=$C186,Z$5&lt;=$D186,$A186&lt;&gt;""),"●","")</x:f>
      </x:c>
      <x:c r="AA186" s="165" t="str">
        <x:f>IF(AND(AA$5&gt;=$C186,AA$5&lt;=$D186,$A186&lt;&gt;""),"●","")</x:f>
      </x:c>
      <x:c r="AB186" s="165" t="str">
        <x:f>IF(AND(AB$5&gt;=$C186,AB$5&lt;=$D186,$A186&lt;&gt;""),"●","")</x:f>
      </x:c>
      <x:c r="AC186" s="165" t="str">
        <x:f>IF(AND(AC$5&gt;=$C186,AC$5&lt;=$D186,$A186&lt;&gt;""),"●","")</x:f>
      </x:c>
      <x:c r="AD186" s="165" t="str">
        <x:f>IF(AND(AD$5&gt;=$C186,AD$5&lt;=$D186,$A186&lt;&gt;""),"●","")</x:f>
      </x:c>
      <x:c r="AE186" s="165" t="str">
        <x:f>IF(AND(AE$5&gt;=$C186,AE$5&lt;=$D186,$A186&lt;&gt;""),"●","")</x:f>
      </x:c>
      <x:c r="AF186" s="165" t="str">
        <x:f>IF(AND(AF$5&gt;=$C186,AF$5&lt;=$D186,$A186&lt;&gt;""),"●","")</x:f>
      </x:c>
      <x:c r="AG186" s="165" t="str">
        <x:f>IF(AND(AG$5&gt;=$C186,AG$5&lt;=$D186,$A186&lt;&gt;""),"●","")</x:f>
      </x:c>
      <x:c r="AH186" s="165" t="str">
        <x:f>IF(AND(AH$5&gt;=$C186,AH$5&lt;=$D186,$A186&lt;&gt;""),"●","")</x:f>
      </x:c>
      <x:c r="AI186" s="165" t="str">
        <x:f>IF(AND(AI$5&gt;=$C186,AI$5&lt;=$D186,$A186&lt;&gt;""),"●","")</x:f>
      </x:c>
      <x:c r="AJ186" s="165" t="str">
        <x:f>IF(AND(AJ$5&gt;=$C186,AJ$5&lt;=$D186,$A186&lt;&gt;""),"●","")</x:f>
      </x:c>
      <x:c r="AK186" s="165" t="str">
        <x:f>IF(AND(AK$5&gt;=$C186,AK$5&lt;=$D186,$A186&lt;&gt;""),"●","")</x:f>
      </x:c>
      <x:c r="AL186" s="165" t="str">
        <x:f>IF(AND(AL$5&gt;=$C186,AL$5&lt;=$D186,$A186&lt;&gt;""),"●","")</x:f>
      </x:c>
      <x:c r="AM186" s="165" t="str">
        <x:f>IF(AND(AM$5&gt;=$C186,AM$5&lt;=$D186,$A186&lt;&gt;""),"●","")</x:f>
      </x:c>
      <x:c r="AN186" s="165" t="str">
        <x:f>IF(AND(AN$5&gt;=$C186,AN$5&lt;=$D186,$A186&lt;&gt;""),"●","")</x:f>
      </x:c>
      <x:c r="AO186" s="165" t="str">
        <x:f>IF(AND(AO$5&gt;=$C186,AO$5&lt;=$D186,$A186&lt;&gt;""),"●","")</x:f>
      </x:c>
      <x:c r="AP186" s="165" t="str">
        <x:f>IF(AND(AP$5&gt;=$C186,AP$5&lt;=$D186,$A186&lt;&gt;""),"●","")</x:f>
      </x:c>
      <x:c r="AQ186" s="165" t="str">
        <x:f>IF(AND(AQ$5&gt;=$C186,AQ$5&lt;=$D186,$A186&lt;&gt;""),"●","")</x:f>
      </x:c>
      <x:c r="AR186" s="165" t="str">
        <x:f>IF(AND(AR$5&gt;=$C186,AR$5&lt;=$D186,$A186&lt;&gt;""),"●","")</x:f>
      </x:c>
      <x:c r="AS186" s="165" t="str">
        <x:f>IF(AND(AS$5&gt;=$C186,AS$5&lt;=$D186,$A186&lt;&gt;""),"●","")</x:f>
      </x:c>
      <x:c r="AT186" s="165" t="str">
        <x:f>IF(AND(AT$5&gt;=$C186,AT$5&lt;=$D186,$A186&lt;&gt;""),"●","")</x:f>
      </x:c>
      <x:c r="AU186" s="165" t="str">
        <x:f>IF(AND(AU$5&gt;=$C186,AU$5&lt;=$D186,$A186&lt;&gt;""),"●","")</x:f>
      </x:c>
      <x:c r="AV186" s="165" t="str">
        <x:f>IF(AND(AV$5&gt;=$C186,AV$5&lt;=$D186,$A186&lt;&gt;""),"●","")</x:f>
      </x:c>
      <x:c r="AW186" s="165" t="str">
        <x:f>IF(AND(AW$5&gt;=$C186,AW$5&lt;=$D186,$A186&lt;&gt;""),"●","")</x:f>
      </x:c>
      <x:c r="AX186" s="165" t="str">
        <x:f>IF(AND(AX$5&gt;=$C186,AX$5&lt;=$D186,$A186&lt;&gt;""),"●","")</x:f>
      </x:c>
      <x:c r="AY186" s="165" t="str">
        <x:f>IF(AND(AY$5&gt;=$C186,AY$5&lt;=$D186,$A186&lt;&gt;""),"●","")</x:f>
      </x:c>
      <x:c r="AZ186" s="165" t="str">
        <x:f>IF(AND(AZ$5&gt;=$C186,AZ$5&lt;=$D186,$A186&lt;&gt;""),"●","")</x:f>
      </x:c>
      <x:c r="BA186" s="165" t="str">
        <x:f>IF(AND(BA$5&gt;=$C186,BA$5&lt;=$D186,$A186&lt;&gt;""),"●","")</x:f>
      </x:c>
      <x:c r="BB186" s="165" t="str">
        <x:f>IF(AND(BB$5&gt;=$C186,BB$5&lt;=$D186,$A186&lt;&gt;""),"●","")</x:f>
      </x:c>
      <x:c r="BC186" s="165" t="str">
        <x:f>IF(AND(BC$5&gt;=$C186,BC$5&lt;=$D186,$A186&lt;&gt;""),"●","")</x:f>
      </x:c>
      <x:c r="BD186" s="165" t="str">
        <x:f>IF(AND(BD$5&gt;=$C186,BD$5&lt;=$D186,$A186&lt;&gt;""),"●","")</x:f>
      </x:c>
      <x:c r="BE186" s="165" t="str">
        <x:f>IF(AND(BE$5&gt;=$C186,BE$5&lt;=$D186,$A186&lt;&gt;""),"●","")</x:f>
      </x:c>
      <x:c r="BF186" s="165" t="str">
        <x:f>IF(AND(BF$5&gt;=$C186,BF$5&lt;=$D186,$A186&lt;&gt;""),"●","")</x:f>
      </x:c>
      <x:c r="BG186" s="165" t="str">
        <x:f>IF(AND(BG$5&gt;=$C186,BG$5&lt;=$D186,$A186&lt;&gt;""),"●","")</x:f>
      </x:c>
      <x:c r="BH186" s="165" t="str">
        <x:f>IF(AND(BH$5&gt;=$C186,BH$5&lt;=$D186,$A186&lt;&gt;""),"●","")</x:f>
      </x:c>
      <x:c r="BI186" s="165" t="str">
        <x:f>IF(AND(BI$5&gt;=$C186,BI$5&lt;=$D186,$A186&lt;&gt;""),"●","")</x:f>
      </x:c>
      <x:c r="BJ186" s="165" t="str">
        <x:f>IF(AND(BJ$5&gt;=$C186,BJ$5&lt;=$D186,$A186&lt;&gt;""),"●","")</x:f>
      </x:c>
      <x:c r="BK186" s="165" t="str">
        <x:f>IF(AND(BK$5&gt;=$C186,BK$5&lt;=$D186,$A186&lt;&gt;""),"●","")</x:f>
      </x:c>
      <x:c r="BL186" s="165" t="str">
        <x:f>IF(AND(BL$5&gt;=$C186,BL$5&lt;=$D186,$A186&lt;&gt;""),"●","")</x:f>
      </x:c>
      <x:c r="BM186" s="165" t="str">
        <x:f>IF(AND(BM$5&gt;=$C186,BM$5&lt;=$D186,$A186&lt;&gt;""),"●","")</x:f>
      </x:c>
      <x:c r="BN186" s="165" t="str">
        <x:f>IF(AND(BN$5&gt;=$C186,BN$5&lt;=$D186,$A186&lt;&gt;""),"●","")</x:f>
      </x:c>
      <x:c r="BO186" s="165" t="str">
        <x:f>IF(AND(BO$5&gt;=$C186,BO$5&lt;=$D186,$A186&lt;&gt;""),"●","")</x:f>
      </x:c>
      <x:c r="BP186" s="165" t="str">
        <x:f>IF(AND(BP$5&gt;=$C186,BP$5&lt;=$D186,$A186&lt;&gt;""),"●","")</x:f>
      </x:c>
      <x:c r="BQ186" s="165" t="str">
        <x:f>IF(AND(BQ$5&gt;=$C186,BQ$5&lt;=$D186,$A186&lt;&gt;""),"●","")</x:f>
      </x:c>
      <x:c r="BR186" s="165" t="str">
        <x:f>IF(AND(BR$5&gt;=$C186,BR$5&lt;=$D186,$A186&lt;&gt;""),"●","")</x:f>
      </x:c>
      <x:c r="BS186" s="165" t="str">
        <x:f>IF(AND(BS$5&gt;=$C186,BS$5&lt;=$D186,$A186&lt;&gt;""),"●","")</x:f>
      </x:c>
      <x:c r="BT186" s="165" t="str">
        <x:f>IF(AND(BT$5&gt;=$C186,BT$5&lt;=$D186,$A186&lt;&gt;""),"●","")</x:f>
      </x:c>
      <x:c r="BU186" s="165" t="str">
        <x:f>IF(AND(BU$5&gt;=$C186,BU$5&lt;=$D186,$A186&lt;&gt;""),"●","")</x:f>
      </x:c>
      <x:c r="BV186" s="165" t="str">
        <x:f>IF(AND(BV$5&gt;=$C186,BV$5&lt;=$D186,$A186&lt;&gt;""),"●","")</x:f>
      </x:c>
      <x:c r="BW186" s="165" t="str">
        <x:f>IF(AND(BW$5&gt;=$C186,BW$5&lt;=$D186,$A186&lt;&gt;""),"●","")</x:f>
      </x:c>
    </x:row>
    <x:row r="187">
      <x:c r="A187" s="159" t="str">
        <x:f>IF('รายการสัญญา'!A187="","",'รายการสัญญา'!A187)</x:f>
      </x:c>
      <x:c r="B187" s="159" t="str">
        <x:f>IF('รายการสัญญา'!A187="","",'รายการสัญญา'!C187)</x:f>
      </x:c>
      <x:c r="C187" s="162" t="str">
        <x:f>IF('รายการสัญญา'!A187="","",'รายการสัญญา'!E187)</x:f>
      </x:c>
      <x:c r="D187" s="162" t="str">
        <x:f>IF('รายการสัญญา'!A187="","",'รายการสัญญา'!G187)</x:f>
      </x:c>
      <x:c r="E187" s="159" t="str">
        <x:f>IF('รายการสัญญา'!A187="","",'รายการสัญญา'!K187)</x:f>
      </x:c>
      <x:c r="F187" s="165" t="str">
        <x:f>IF(AND(F$5&gt;=$C187,F$5&lt;=$D187,$A187&lt;&gt;""),"●","")</x:f>
      </x:c>
      <x:c r="G187" s="165" t="str">
        <x:f>IF(AND(G$5&gt;=$C187,G$5&lt;=$D187,$A187&lt;&gt;""),"●","")</x:f>
      </x:c>
      <x:c r="H187" s="165" t="str">
        <x:f>IF(AND(H$5&gt;=$C187,H$5&lt;=$D187,$A187&lt;&gt;""),"●","")</x:f>
      </x:c>
      <x:c r="I187" s="165" t="str">
        <x:f>IF(AND(I$5&gt;=$C187,I$5&lt;=$D187,$A187&lt;&gt;""),"●","")</x:f>
      </x:c>
      <x:c r="J187" s="165" t="str">
        <x:f>IF(AND(J$5&gt;=$C187,J$5&lt;=$D187,$A187&lt;&gt;""),"●","")</x:f>
      </x:c>
      <x:c r="K187" s="165" t="str">
        <x:f>IF(AND(K$5&gt;=$C187,K$5&lt;=$D187,$A187&lt;&gt;""),"●","")</x:f>
      </x:c>
      <x:c r="L187" s="165" t="str">
        <x:f>IF(AND(L$5&gt;=$C187,L$5&lt;=$D187,$A187&lt;&gt;""),"●","")</x:f>
      </x:c>
      <x:c r="M187" s="165" t="str">
        <x:f>IF(AND(M$5&gt;=$C187,M$5&lt;=$D187,$A187&lt;&gt;""),"●","")</x:f>
      </x:c>
      <x:c r="N187" s="165" t="str">
        <x:f>IF(AND(N$5&gt;=$C187,N$5&lt;=$D187,$A187&lt;&gt;""),"●","")</x:f>
      </x:c>
      <x:c r="O187" s="165" t="str">
        <x:f>IF(AND(O$5&gt;=$C187,O$5&lt;=$D187,$A187&lt;&gt;""),"●","")</x:f>
      </x:c>
      <x:c r="P187" s="165" t="str">
        <x:f>IF(AND(P$5&gt;=$C187,P$5&lt;=$D187,$A187&lt;&gt;""),"●","")</x:f>
      </x:c>
      <x:c r="Q187" s="165" t="str">
        <x:f>IF(AND(Q$5&gt;=$C187,Q$5&lt;=$D187,$A187&lt;&gt;""),"●","")</x:f>
      </x:c>
      <x:c r="R187" s="165" t="str">
        <x:f>IF(AND(R$5&gt;=$C187,R$5&lt;=$D187,$A187&lt;&gt;""),"●","")</x:f>
      </x:c>
      <x:c r="S187" s="165" t="str">
        <x:f>IF(AND(S$5&gt;=$C187,S$5&lt;=$D187,$A187&lt;&gt;""),"●","")</x:f>
      </x:c>
      <x:c r="T187" s="165" t="str">
        <x:f>IF(AND(T$5&gt;=$C187,T$5&lt;=$D187,$A187&lt;&gt;""),"●","")</x:f>
      </x:c>
      <x:c r="U187" s="165" t="str">
        <x:f>IF(AND(U$5&gt;=$C187,U$5&lt;=$D187,$A187&lt;&gt;""),"●","")</x:f>
      </x:c>
      <x:c r="V187" s="165" t="str">
        <x:f>IF(AND(V$5&gt;=$C187,V$5&lt;=$D187,$A187&lt;&gt;""),"●","")</x:f>
      </x:c>
      <x:c r="W187" s="165" t="str">
        <x:f>IF(AND(W$5&gt;=$C187,W$5&lt;=$D187,$A187&lt;&gt;""),"●","")</x:f>
      </x:c>
      <x:c r="X187" s="165" t="str">
        <x:f>IF(AND(X$5&gt;=$C187,X$5&lt;=$D187,$A187&lt;&gt;""),"●","")</x:f>
      </x:c>
      <x:c r="Y187" s="165" t="str">
        <x:f>IF(AND(Y$5&gt;=$C187,Y$5&lt;=$D187,$A187&lt;&gt;""),"●","")</x:f>
      </x:c>
      <x:c r="Z187" s="165" t="str">
        <x:f>IF(AND(Z$5&gt;=$C187,Z$5&lt;=$D187,$A187&lt;&gt;""),"●","")</x:f>
      </x:c>
      <x:c r="AA187" s="165" t="str">
        <x:f>IF(AND(AA$5&gt;=$C187,AA$5&lt;=$D187,$A187&lt;&gt;""),"●","")</x:f>
      </x:c>
      <x:c r="AB187" s="165" t="str">
        <x:f>IF(AND(AB$5&gt;=$C187,AB$5&lt;=$D187,$A187&lt;&gt;""),"●","")</x:f>
      </x:c>
      <x:c r="AC187" s="165" t="str">
        <x:f>IF(AND(AC$5&gt;=$C187,AC$5&lt;=$D187,$A187&lt;&gt;""),"●","")</x:f>
      </x:c>
      <x:c r="AD187" s="165" t="str">
        <x:f>IF(AND(AD$5&gt;=$C187,AD$5&lt;=$D187,$A187&lt;&gt;""),"●","")</x:f>
      </x:c>
      <x:c r="AE187" s="165" t="str">
        <x:f>IF(AND(AE$5&gt;=$C187,AE$5&lt;=$D187,$A187&lt;&gt;""),"●","")</x:f>
      </x:c>
      <x:c r="AF187" s="165" t="str">
        <x:f>IF(AND(AF$5&gt;=$C187,AF$5&lt;=$D187,$A187&lt;&gt;""),"●","")</x:f>
      </x:c>
      <x:c r="AG187" s="165" t="str">
        <x:f>IF(AND(AG$5&gt;=$C187,AG$5&lt;=$D187,$A187&lt;&gt;""),"●","")</x:f>
      </x:c>
      <x:c r="AH187" s="165" t="str">
        <x:f>IF(AND(AH$5&gt;=$C187,AH$5&lt;=$D187,$A187&lt;&gt;""),"●","")</x:f>
      </x:c>
      <x:c r="AI187" s="165" t="str">
        <x:f>IF(AND(AI$5&gt;=$C187,AI$5&lt;=$D187,$A187&lt;&gt;""),"●","")</x:f>
      </x:c>
      <x:c r="AJ187" s="165" t="str">
        <x:f>IF(AND(AJ$5&gt;=$C187,AJ$5&lt;=$D187,$A187&lt;&gt;""),"●","")</x:f>
      </x:c>
      <x:c r="AK187" s="165" t="str">
        <x:f>IF(AND(AK$5&gt;=$C187,AK$5&lt;=$D187,$A187&lt;&gt;""),"●","")</x:f>
      </x:c>
      <x:c r="AL187" s="165" t="str">
        <x:f>IF(AND(AL$5&gt;=$C187,AL$5&lt;=$D187,$A187&lt;&gt;""),"●","")</x:f>
      </x:c>
      <x:c r="AM187" s="165" t="str">
        <x:f>IF(AND(AM$5&gt;=$C187,AM$5&lt;=$D187,$A187&lt;&gt;""),"●","")</x:f>
      </x:c>
      <x:c r="AN187" s="165" t="str">
        <x:f>IF(AND(AN$5&gt;=$C187,AN$5&lt;=$D187,$A187&lt;&gt;""),"●","")</x:f>
      </x:c>
      <x:c r="AO187" s="165" t="str">
        <x:f>IF(AND(AO$5&gt;=$C187,AO$5&lt;=$D187,$A187&lt;&gt;""),"●","")</x:f>
      </x:c>
      <x:c r="AP187" s="165" t="str">
        <x:f>IF(AND(AP$5&gt;=$C187,AP$5&lt;=$D187,$A187&lt;&gt;""),"●","")</x:f>
      </x:c>
      <x:c r="AQ187" s="165" t="str">
        <x:f>IF(AND(AQ$5&gt;=$C187,AQ$5&lt;=$D187,$A187&lt;&gt;""),"●","")</x:f>
      </x:c>
      <x:c r="AR187" s="165" t="str">
        <x:f>IF(AND(AR$5&gt;=$C187,AR$5&lt;=$D187,$A187&lt;&gt;""),"●","")</x:f>
      </x:c>
      <x:c r="AS187" s="165" t="str">
        <x:f>IF(AND(AS$5&gt;=$C187,AS$5&lt;=$D187,$A187&lt;&gt;""),"●","")</x:f>
      </x:c>
      <x:c r="AT187" s="165" t="str">
        <x:f>IF(AND(AT$5&gt;=$C187,AT$5&lt;=$D187,$A187&lt;&gt;""),"●","")</x:f>
      </x:c>
      <x:c r="AU187" s="165" t="str">
        <x:f>IF(AND(AU$5&gt;=$C187,AU$5&lt;=$D187,$A187&lt;&gt;""),"●","")</x:f>
      </x:c>
      <x:c r="AV187" s="165" t="str">
        <x:f>IF(AND(AV$5&gt;=$C187,AV$5&lt;=$D187,$A187&lt;&gt;""),"●","")</x:f>
      </x:c>
      <x:c r="AW187" s="165" t="str">
        <x:f>IF(AND(AW$5&gt;=$C187,AW$5&lt;=$D187,$A187&lt;&gt;""),"●","")</x:f>
      </x:c>
      <x:c r="AX187" s="165" t="str">
        <x:f>IF(AND(AX$5&gt;=$C187,AX$5&lt;=$D187,$A187&lt;&gt;""),"●","")</x:f>
      </x:c>
      <x:c r="AY187" s="165" t="str">
        <x:f>IF(AND(AY$5&gt;=$C187,AY$5&lt;=$D187,$A187&lt;&gt;""),"●","")</x:f>
      </x:c>
      <x:c r="AZ187" s="165" t="str">
        <x:f>IF(AND(AZ$5&gt;=$C187,AZ$5&lt;=$D187,$A187&lt;&gt;""),"●","")</x:f>
      </x:c>
      <x:c r="BA187" s="165" t="str">
        <x:f>IF(AND(BA$5&gt;=$C187,BA$5&lt;=$D187,$A187&lt;&gt;""),"●","")</x:f>
      </x:c>
      <x:c r="BB187" s="165" t="str">
        <x:f>IF(AND(BB$5&gt;=$C187,BB$5&lt;=$D187,$A187&lt;&gt;""),"●","")</x:f>
      </x:c>
      <x:c r="BC187" s="165" t="str">
        <x:f>IF(AND(BC$5&gt;=$C187,BC$5&lt;=$D187,$A187&lt;&gt;""),"●","")</x:f>
      </x:c>
      <x:c r="BD187" s="165" t="str">
        <x:f>IF(AND(BD$5&gt;=$C187,BD$5&lt;=$D187,$A187&lt;&gt;""),"●","")</x:f>
      </x:c>
      <x:c r="BE187" s="165" t="str">
        <x:f>IF(AND(BE$5&gt;=$C187,BE$5&lt;=$D187,$A187&lt;&gt;""),"●","")</x:f>
      </x:c>
      <x:c r="BF187" s="165" t="str">
        <x:f>IF(AND(BF$5&gt;=$C187,BF$5&lt;=$D187,$A187&lt;&gt;""),"●","")</x:f>
      </x:c>
      <x:c r="BG187" s="165" t="str">
        <x:f>IF(AND(BG$5&gt;=$C187,BG$5&lt;=$D187,$A187&lt;&gt;""),"●","")</x:f>
      </x:c>
      <x:c r="BH187" s="165" t="str">
        <x:f>IF(AND(BH$5&gt;=$C187,BH$5&lt;=$D187,$A187&lt;&gt;""),"●","")</x:f>
      </x:c>
      <x:c r="BI187" s="165" t="str">
        <x:f>IF(AND(BI$5&gt;=$C187,BI$5&lt;=$D187,$A187&lt;&gt;""),"●","")</x:f>
      </x:c>
      <x:c r="BJ187" s="165" t="str">
        <x:f>IF(AND(BJ$5&gt;=$C187,BJ$5&lt;=$D187,$A187&lt;&gt;""),"●","")</x:f>
      </x:c>
      <x:c r="BK187" s="165" t="str">
        <x:f>IF(AND(BK$5&gt;=$C187,BK$5&lt;=$D187,$A187&lt;&gt;""),"●","")</x:f>
      </x:c>
      <x:c r="BL187" s="165" t="str">
        <x:f>IF(AND(BL$5&gt;=$C187,BL$5&lt;=$D187,$A187&lt;&gt;""),"●","")</x:f>
      </x:c>
      <x:c r="BM187" s="165" t="str">
        <x:f>IF(AND(BM$5&gt;=$C187,BM$5&lt;=$D187,$A187&lt;&gt;""),"●","")</x:f>
      </x:c>
      <x:c r="BN187" s="165" t="str">
        <x:f>IF(AND(BN$5&gt;=$C187,BN$5&lt;=$D187,$A187&lt;&gt;""),"●","")</x:f>
      </x:c>
      <x:c r="BO187" s="165" t="str">
        <x:f>IF(AND(BO$5&gt;=$C187,BO$5&lt;=$D187,$A187&lt;&gt;""),"●","")</x:f>
      </x:c>
      <x:c r="BP187" s="165" t="str">
        <x:f>IF(AND(BP$5&gt;=$C187,BP$5&lt;=$D187,$A187&lt;&gt;""),"●","")</x:f>
      </x:c>
      <x:c r="BQ187" s="165" t="str">
        <x:f>IF(AND(BQ$5&gt;=$C187,BQ$5&lt;=$D187,$A187&lt;&gt;""),"●","")</x:f>
      </x:c>
      <x:c r="BR187" s="165" t="str">
        <x:f>IF(AND(BR$5&gt;=$C187,BR$5&lt;=$D187,$A187&lt;&gt;""),"●","")</x:f>
      </x:c>
      <x:c r="BS187" s="165" t="str">
        <x:f>IF(AND(BS$5&gt;=$C187,BS$5&lt;=$D187,$A187&lt;&gt;""),"●","")</x:f>
      </x:c>
      <x:c r="BT187" s="165" t="str">
        <x:f>IF(AND(BT$5&gt;=$C187,BT$5&lt;=$D187,$A187&lt;&gt;""),"●","")</x:f>
      </x:c>
      <x:c r="BU187" s="165" t="str">
        <x:f>IF(AND(BU$5&gt;=$C187,BU$5&lt;=$D187,$A187&lt;&gt;""),"●","")</x:f>
      </x:c>
      <x:c r="BV187" s="165" t="str">
        <x:f>IF(AND(BV$5&gt;=$C187,BV$5&lt;=$D187,$A187&lt;&gt;""),"●","")</x:f>
      </x:c>
      <x:c r="BW187" s="165" t="str">
        <x:f>IF(AND(BW$5&gt;=$C187,BW$5&lt;=$D187,$A187&lt;&gt;""),"●","")</x:f>
      </x:c>
    </x:row>
    <x:row r="188">
      <x:c r="A188" s="159" t="str">
        <x:f>IF('รายการสัญญา'!A188="","",'รายการสัญญา'!A188)</x:f>
      </x:c>
      <x:c r="B188" s="159" t="str">
        <x:f>IF('รายการสัญญา'!A188="","",'รายการสัญญา'!C188)</x:f>
      </x:c>
      <x:c r="C188" s="162" t="str">
        <x:f>IF('รายการสัญญา'!A188="","",'รายการสัญญา'!E188)</x:f>
      </x:c>
      <x:c r="D188" s="162" t="str">
        <x:f>IF('รายการสัญญา'!A188="","",'รายการสัญญา'!G188)</x:f>
      </x:c>
      <x:c r="E188" s="159" t="str">
        <x:f>IF('รายการสัญญา'!A188="","",'รายการสัญญา'!K188)</x:f>
      </x:c>
      <x:c r="F188" s="165" t="str">
        <x:f>IF(AND(F$5&gt;=$C188,F$5&lt;=$D188,$A188&lt;&gt;""),"●","")</x:f>
      </x:c>
      <x:c r="G188" s="165" t="str">
        <x:f>IF(AND(G$5&gt;=$C188,G$5&lt;=$D188,$A188&lt;&gt;""),"●","")</x:f>
      </x:c>
      <x:c r="H188" s="165" t="str">
        <x:f>IF(AND(H$5&gt;=$C188,H$5&lt;=$D188,$A188&lt;&gt;""),"●","")</x:f>
      </x:c>
      <x:c r="I188" s="165" t="str">
        <x:f>IF(AND(I$5&gt;=$C188,I$5&lt;=$D188,$A188&lt;&gt;""),"●","")</x:f>
      </x:c>
      <x:c r="J188" s="165" t="str">
        <x:f>IF(AND(J$5&gt;=$C188,J$5&lt;=$D188,$A188&lt;&gt;""),"●","")</x:f>
      </x:c>
      <x:c r="K188" s="165" t="str">
        <x:f>IF(AND(K$5&gt;=$C188,K$5&lt;=$D188,$A188&lt;&gt;""),"●","")</x:f>
      </x:c>
      <x:c r="L188" s="165" t="str">
        <x:f>IF(AND(L$5&gt;=$C188,L$5&lt;=$D188,$A188&lt;&gt;""),"●","")</x:f>
      </x:c>
      <x:c r="M188" s="165" t="str">
        <x:f>IF(AND(M$5&gt;=$C188,M$5&lt;=$D188,$A188&lt;&gt;""),"●","")</x:f>
      </x:c>
      <x:c r="N188" s="165" t="str">
        <x:f>IF(AND(N$5&gt;=$C188,N$5&lt;=$D188,$A188&lt;&gt;""),"●","")</x:f>
      </x:c>
      <x:c r="O188" s="165" t="str">
        <x:f>IF(AND(O$5&gt;=$C188,O$5&lt;=$D188,$A188&lt;&gt;""),"●","")</x:f>
      </x:c>
      <x:c r="P188" s="165" t="str">
        <x:f>IF(AND(P$5&gt;=$C188,P$5&lt;=$D188,$A188&lt;&gt;""),"●","")</x:f>
      </x:c>
      <x:c r="Q188" s="165" t="str">
        <x:f>IF(AND(Q$5&gt;=$C188,Q$5&lt;=$D188,$A188&lt;&gt;""),"●","")</x:f>
      </x:c>
      <x:c r="R188" s="165" t="str">
        <x:f>IF(AND(R$5&gt;=$C188,R$5&lt;=$D188,$A188&lt;&gt;""),"●","")</x:f>
      </x:c>
      <x:c r="S188" s="165" t="str">
        <x:f>IF(AND(S$5&gt;=$C188,S$5&lt;=$D188,$A188&lt;&gt;""),"●","")</x:f>
      </x:c>
      <x:c r="T188" s="165" t="str">
        <x:f>IF(AND(T$5&gt;=$C188,T$5&lt;=$D188,$A188&lt;&gt;""),"●","")</x:f>
      </x:c>
      <x:c r="U188" s="165" t="str">
        <x:f>IF(AND(U$5&gt;=$C188,U$5&lt;=$D188,$A188&lt;&gt;""),"●","")</x:f>
      </x:c>
      <x:c r="V188" s="165" t="str">
        <x:f>IF(AND(V$5&gt;=$C188,V$5&lt;=$D188,$A188&lt;&gt;""),"●","")</x:f>
      </x:c>
      <x:c r="W188" s="165" t="str">
        <x:f>IF(AND(W$5&gt;=$C188,W$5&lt;=$D188,$A188&lt;&gt;""),"●","")</x:f>
      </x:c>
      <x:c r="X188" s="165" t="str">
        <x:f>IF(AND(X$5&gt;=$C188,X$5&lt;=$D188,$A188&lt;&gt;""),"●","")</x:f>
      </x:c>
      <x:c r="Y188" s="165" t="str">
        <x:f>IF(AND(Y$5&gt;=$C188,Y$5&lt;=$D188,$A188&lt;&gt;""),"●","")</x:f>
      </x:c>
      <x:c r="Z188" s="165" t="str">
        <x:f>IF(AND(Z$5&gt;=$C188,Z$5&lt;=$D188,$A188&lt;&gt;""),"●","")</x:f>
      </x:c>
      <x:c r="AA188" s="165" t="str">
        <x:f>IF(AND(AA$5&gt;=$C188,AA$5&lt;=$D188,$A188&lt;&gt;""),"●","")</x:f>
      </x:c>
      <x:c r="AB188" s="165" t="str">
        <x:f>IF(AND(AB$5&gt;=$C188,AB$5&lt;=$D188,$A188&lt;&gt;""),"●","")</x:f>
      </x:c>
      <x:c r="AC188" s="165" t="str">
        <x:f>IF(AND(AC$5&gt;=$C188,AC$5&lt;=$D188,$A188&lt;&gt;""),"●","")</x:f>
      </x:c>
      <x:c r="AD188" s="165" t="str">
        <x:f>IF(AND(AD$5&gt;=$C188,AD$5&lt;=$D188,$A188&lt;&gt;""),"●","")</x:f>
      </x:c>
      <x:c r="AE188" s="165" t="str">
        <x:f>IF(AND(AE$5&gt;=$C188,AE$5&lt;=$D188,$A188&lt;&gt;""),"●","")</x:f>
      </x:c>
      <x:c r="AF188" s="165" t="str">
        <x:f>IF(AND(AF$5&gt;=$C188,AF$5&lt;=$D188,$A188&lt;&gt;""),"●","")</x:f>
      </x:c>
      <x:c r="AG188" s="165" t="str">
        <x:f>IF(AND(AG$5&gt;=$C188,AG$5&lt;=$D188,$A188&lt;&gt;""),"●","")</x:f>
      </x:c>
      <x:c r="AH188" s="165" t="str">
        <x:f>IF(AND(AH$5&gt;=$C188,AH$5&lt;=$D188,$A188&lt;&gt;""),"●","")</x:f>
      </x:c>
      <x:c r="AI188" s="165" t="str">
        <x:f>IF(AND(AI$5&gt;=$C188,AI$5&lt;=$D188,$A188&lt;&gt;""),"●","")</x:f>
      </x:c>
      <x:c r="AJ188" s="165" t="str">
        <x:f>IF(AND(AJ$5&gt;=$C188,AJ$5&lt;=$D188,$A188&lt;&gt;""),"●","")</x:f>
      </x:c>
      <x:c r="AK188" s="165" t="str">
        <x:f>IF(AND(AK$5&gt;=$C188,AK$5&lt;=$D188,$A188&lt;&gt;""),"●","")</x:f>
      </x:c>
      <x:c r="AL188" s="165" t="str">
        <x:f>IF(AND(AL$5&gt;=$C188,AL$5&lt;=$D188,$A188&lt;&gt;""),"●","")</x:f>
      </x:c>
      <x:c r="AM188" s="165" t="str">
        <x:f>IF(AND(AM$5&gt;=$C188,AM$5&lt;=$D188,$A188&lt;&gt;""),"●","")</x:f>
      </x:c>
      <x:c r="AN188" s="165" t="str">
        <x:f>IF(AND(AN$5&gt;=$C188,AN$5&lt;=$D188,$A188&lt;&gt;""),"●","")</x:f>
      </x:c>
      <x:c r="AO188" s="165" t="str">
        <x:f>IF(AND(AO$5&gt;=$C188,AO$5&lt;=$D188,$A188&lt;&gt;""),"●","")</x:f>
      </x:c>
      <x:c r="AP188" s="165" t="str">
        <x:f>IF(AND(AP$5&gt;=$C188,AP$5&lt;=$D188,$A188&lt;&gt;""),"●","")</x:f>
      </x:c>
      <x:c r="AQ188" s="165" t="str">
        <x:f>IF(AND(AQ$5&gt;=$C188,AQ$5&lt;=$D188,$A188&lt;&gt;""),"●","")</x:f>
      </x:c>
      <x:c r="AR188" s="165" t="str">
        <x:f>IF(AND(AR$5&gt;=$C188,AR$5&lt;=$D188,$A188&lt;&gt;""),"●","")</x:f>
      </x:c>
      <x:c r="AS188" s="165" t="str">
        <x:f>IF(AND(AS$5&gt;=$C188,AS$5&lt;=$D188,$A188&lt;&gt;""),"●","")</x:f>
      </x:c>
      <x:c r="AT188" s="165" t="str">
        <x:f>IF(AND(AT$5&gt;=$C188,AT$5&lt;=$D188,$A188&lt;&gt;""),"●","")</x:f>
      </x:c>
      <x:c r="AU188" s="165" t="str">
        <x:f>IF(AND(AU$5&gt;=$C188,AU$5&lt;=$D188,$A188&lt;&gt;""),"●","")</x:f>
      </x:c>
      <x:c r="AV188" s="165" t="str">
        <x:f>IF(AND(AV$5&gt;=$C188,AV$5&lt;=$D188,$A188&lt;&gt;""),"●","")</x:f>
      </x:c>
      <x:c r="AW188" s="165" t="str">
        <x:f>IF(AND(AW$5&gt;=$C188,AW$5&lt;=$D188,$A188&lt;&gt;""),"●","")</x:f>
      </x:c>
      <x:c r="AX188" s="165" t="str">
        <x:f>IF(AND(AX$5&gt;=$C188,AX$5&lt;=$D188,$A188&lt;&gt;""),"●","")</x:f>
      </x:c>
      <x:c r="AY188" s="165" t="str">
        <x:f>IF(AND(AY$5&gt;=$C188,AY$5&lt;=$D188,$A188&lt;&gt;""),"●","")</x:f>
      </x:c>
      <x:c r="AZ188" s="165" t="str">
        <x:f>IF(AND(AZ$5&gt;=$C188,AZ$5&lt;=$D188,$A188&lt;&gt;""),"●","")</x:f>
      </x:c>
      <x:c r="BA188" s="165" t="str">
        <x:f>IF(AND(BA$5&gt;=$C188,BA$5&lt;=$D188,$A188&lt;&gt;""),"●","")</x:f>
      </x:c>
      <x:c r="BB188" s="165" t="str">
        <x:f>IF(AND(BB$5&gt;=$C188,BB$5&lt;=$D188,$A188&lt;&gt;""),"●","")</x:f>
      </x:c>
      <x:c r="BC188" s="165" t="str">
        <x:f>IF(AND(BC$5&gt;=$C188,BC$5&lt;=$D188,$A188&lt;&gt;""),"●","")</x:f>
      </x:c>
      <x:c r="BD188" s="165" t="str">
        <x:f>IF(AND(BD$5&gt;=$C188,BD$5&lt;=$D188,$A188&lt;&gt;""),"●","")</x:f>
      </x:c>
      <x:c r="BE188" s="165" t="str">
        <x:f>IF(AND(BE$5&gt;=$C188,BE$5&lt;=$D188,$A188&lt;&gt;""),"●","")</x:f>
      </x:c>
      <x:c r="BF188" s="165" t="str">
        <x:f>IF(AND(BF$5&gt;=$C188,BF$5&lt;=$D188,$A188&lt;&gt;""),"●","")</x:f>
      </x:c>
      <x:c r="BG188" s="165" t="str">
        <x:f>IF(AND(BG$5&gt;=$C188,BG$5&lt;=$D188,$A188&lt;&gt;""),"●","")</x:f>
      </x:c>
      <x:c r="BH188" s="165" t="str">
        <x:f>IF(AND(BH$5&gt;=$C188,BH$5&lt;=$D188,$A188&lt;&gt;""),"●","")</x:f>
      </x:c>
      <x:c r="BI188" s="165" t="str">
        <x:f>IF(AND(BI$5&gt;=$C188,BI$5&lt;=$D188,$A188&lt;&gt;""),"●","")</x:f>
      </x:c>
      <x:c r="BJ188" s="165" t="str">
        <x:f>IF(AND(BJ$5&gt;=$C188,BJ$5&lt;=$D188,$A188&lt;&gt;""),"●","")</x:f>
      </x:c>
      <x:c r="BK188" s="165" t="str">
        <x:f>IF(AND(BK$5&gt;=$C188,BK$5&lt;=$D188,$A188&lt;&gt;""),"●","")</x:f>
      </x:c>
      <x:c r="BL188" s="165" t="str">
        <x:f>IF(AND(BL$5&gt;=$C188,BL$5&lt;=$D188,$A188&lt;&gt;""),"●","")</x:f>
      </x:c>
      <x:c r="BM188" s="165" t="str">
        <x:f>IF(AND(BM$5&gt;=$C188,BM$5&lt;=$D188,$A188&lt;&gt;""),"●","")</x:f>
      </x:c>
      <x:c r="BN188" s="165" t="str">
        <x:f>IF(AND(BN$5&gt;=$C188,BN$5&lt;=$D188,$A188&lt;&gt;""),"●","")</x:f>
      </x:c>
      <x:c r="BO188" s="165" t="str">
        <x:f>IF(AND(BO$5&gt;=$C188,BO$5&lt;=$D188,$A188&lt;&gt;""),"●","")</x:f>
      </x:c>
      <x:c r="BP188" s="165" t="str">
        <x:f>IF(AND(BP$5&gt;=$C188,BP$5&lt;=$D188,$A188&lt;&gt;""),"●","")</x:f>
      </x:c>
      <x:c r="BQ188" s="165" t="str">
        <x:f>IF(AND(BQ$5&gt;=$C188,BQ$5&lt;=$D188,$A188&lt;&gt;""),"●","")</x:f>
      </x:c>
      <x:c r="BR188" s="165" t="str">
        <x:f>IF(AND(BR$5&gt;=$C188,BR$5&lt;=$D188,$A188&lt;&gt;""),"●","")</x:f>
      </x:c>
      <x:c r="BS188" s="165" t="str">
        <x:f>IF(AND(BS$5&gt;=$C188,BS$5&lt;=$D188,$A188&lt;&gt;""),"●","")</x:f>
      </x:c>
      <x:c r="BT188" s="165" t="str">
        <x:f>IF(AND(BT$5&gt;=$C188,BT$5&lt;=$D188,$A188&lt;&gt;""),"●","")</x:f>
      </x:c>
      <x:c r="BU188" s="165" t="str">
        <x:f>IF(AND(BU$5&gt;=$C188,BU$5&lt;=$D188,$A188&lt;&gt;""),"●","")</x:f>
      </x:c>
      <x:c r="BV188" s="165" t="str">
        <x:f>IF(AND(BV$5&gt;=$C188,BV$5&lt;=$D188,$A188&lt;&gt;""),"●","")</x:f>
      </x:c>
      <x:c r="BW188" s="165" t="str">
        <x:f>IF(AND(BW$5&gt;=$C188,BW$5&lt;=$D188,$A188&lt;&gt;""),"●","")</x:f>
      </x:c>
    </x:row>
    <x:row r="189">
      <x:c r="A189" s="159" t="str">
        <x:f>IF('รายการสัญญา'!A189="","",'รายการสัญญา'!A189)</x:f>
      </x:c>
      <x:c r="B189" s="159" t="str">
        <x:f>IF('รายการสัญญา'!A189="","",'รายการสัญญา'!C189)</x:f>
      </x:c>
      <x:c r="C189" s="162" t="str">
        <x:f>IF('รายการสัญญา'!A189="","",'รายการสัญญา'!E189)</x:f>
      </x:c>
      <x:c r="D189" s="162" t="str">
        <x:f>IF('รายการสัญญา'!A189="","",'รายการสัญญา'!G189)</x:f>
      </x:c>
      <x:c r="E189" s="159" t="str">
        <x:f>IF('รายการสัญญา'!A189="","",'รายการสัญญา'!K189)</x:f>
      </x:c>
      <x:c r="F189" s="165" t="str">
        <x:f>IF(AND(F$5&gt;=$C189,F$5&lt;=$D189,$A189&lt;&gt;""),"●","")</x:f>
      </x:c>
      <x:c r="G189" s="165" t="str">
        <x:f>IF(AND(G$5&gt;=$C189,G$5&lt;=$D189,$A189&lt;&gt;""),"●","")</x:f>
      </x:c>
      <x:c r="H189" s="165" t="str">
        <x:f>IF(AND(H$5&gt;=$C189,H$5&lt;=$D189,$A189&lt;&gt;""),"●","")</x:f>
      </x:c>
      <x:c r="I189" s="165" t="str">
        <x:f>IF(AND(I$5&gt;=$C189,I$5&lt;=$D189,$A189&lt;&gt;""),"●","")</x:f>
      </x:c>
      <x:c r="J189" s="165" t="str">
        <x:f>IF(AND(J$5&gt;=$C189,J$5&lt;=$D189,$A189&lt;&gt;""),"●","")</x:f>
      </x:c>
      <x:c r="K189" s="165" t="str">
        <x:f>IF(AND(K$5&gt;=$C189,K$5&lt;=$D189,$A189&lt;&gt;""),"●","")</x:f>
      </x:c>
      <x:c r="L189" s="165" t="str">
        <x:f>IF(AND(L$5&gt;=$C189,L$5&lt;=$D189,$A189&lt;&gt;""),"●","")</x:f>
      </x:c>
      <x:c r="M189" s="165" t="str">
        <x:f>IF(AND(M$5&gt;=$C189,M$5&lt;=$D189,$A189&lt;&gt;""),"●","")</x:f>
      </x:c>
      <x:c r="N189" s="165" t="str">
        <x:f>IF(AND(N$5&gt;=$C189,N$5&lt;=$D189,$A189&lt;&gt;""),"●","")</x:f>
      </x:c>
      <x:c r="O189" s="165" t="str">
        <x:f>IF(AND(O$5&gt;=$C189,O$5&lt;=$D189,$A189&lt;&gt;""),"●","")</x:f>
      </x:c>
      <x:c r="P189" s="165" t="str">
        <x:f>IF(AND(P$5&gt;=$C189,P$5&lt;=$D189,$A189&lt;&gt;""),"●","")</x:f>
      </x:c>
      <x:c r="Q189" s="165" t="str">
        <x:f>IF(AND(Q$5&gt;=$C189,Q$5&lt;=$D189,$A189&lt;&gt;""),"●","")</x:f>
      </x:c>
      <x:c r="R189" s="165" t="str">
        <x:f>IF(AND(R$5&gt;=$C189,R$5&lt;=$D189,$A189&lt;&gt;""),"●","")</x:f>
      </x:c>
      <x:c r="S189" s="165" t="str">
        <x:f>IF(AND(S$5&gt;=$C189,S$5&lt;=$D189,$A189&lt;&gt;""),"●","")</x:f>
      </x:c>
      <x:c r="T189" s="165" t="str">
        <x:f>IF(AND(T$5&gt;=$C189,T$5&lt;=$D189,$A189&lt;&gt;""),"●","")</x:f>
      </x:c>
      <x:c r="U189" s="165" t="str">
        <x:f>IF(AND(U$5&gt;=$C189,U$5&lt;=$D189,$A189&lt;&gt;""),"●","")</x:f>
      </x:c>
      <x:c r="V189" s="165" t="str">
        <x:f>IF(AND(V$5&gt;=$C189,V$5&lt;=$D189,$A189&lt;&gt;""),"●","")</x:f>
      </x:c>
      <x:c r="W189" s="165" t="str">
        <x:f>IF(AND(W$5&gt;=$C189,W$5&lt;=$D189,$A189&lt;&gt;""),"●","")</x:f>
      </x:c>
      <x:c r="X189" s="165" t="str">
        <x:f>IF(AND(X$5&gt;=$C189,X$5&lt;=$D189,$A189&lt;&gt;""),"●","")</x:f>
      </x:c>
      <x:c r="Y189" s="165" t="str">
        <x:f>IF(AND(Y$5&gt;=$C189,Y$5&lt;=$D189,$A189&lt;&gt;""),"●","")</x:f>
      </x:c>
      <x:c r="Z189" s="165" t="str">
        <x:f>IF(AND(Z$5&gt;=$C189,Z$5&lt;=$D189,$A189&lt;&gt;""),"●","")</x:f>
      </x:c>
      <x:c r="AA189" s="165" t="str">
        <x:f>IF(AND(AA$5&gt;=$C189,AA$5&lt;=$D189,$A189&lt;&gt;""),"●","")</x:f>
      </x:c>
      <x:c r="AB189" s="165" t="str">
        <x:f>IF(AND(AB$5&gt;=$C189,AB$5&lt;=$D189,$A189&lt;&gt;""),"●","")</x:f>
      </x:c>
      <x:c r="AC189" s="165" t="str">
        <x:f>IF(AND(AC$5&gt;=$C189,AC$5&lt;=$D189,$A189&lt;&gt;""),"●","")</x:f>
      </x:c>
      <x:c r="AD189" s="165" t="str">
        <x:f>IF(AND(AD$5&gt;=$C189,AD$5&lt;=$D189,$A189&lt;&gt;""),"●","")</x:f>
      </x:c>
      <x:c r="AE189" s="165" t="str">
        <x:f>IF(AND(AE$5&gt;=$C189,AE$5&lt;=$D189,$A189&lt;&gt;""),"●","")</x:f>
      </x:c>
      <x:c r="AF189" s="165" t="str">
        <x:f>IF(AND(AF$5&gt;=$C189,AF$5&lt;=$D189,$A189&lt;&gt;""),"●","")</x:f>
      </x:c>
      <x:c r="AG189" s="165" t="str">
        <x:f>IF(AND(AG$5&gt;=$C189,AG$5&lt;=$D189,$A189&lt;&gt;""),"●","")</x:f>
      </x:c>
      <x:c r="AH189" s="165" t="str">
        <x:f>IF(AND(AH$5&gt;=$C189,AH$5&lt;=$D189,$A189&lt;&gt;""),"●","")</x:f>
      </x:c>
      <x:c r="AI189" s="165" t="str">
        <x:f>IF(AND(AI$5&gt;=$C189,AI$5&lt;=$D189,$A189&lt;&gt;""),"●","")</x:f>
      </x:c>
      <x:c r="AJ189" s="165" t="str">
        <x:f>IF(AND(AJ$5&gt;=$C189,AJ$5&lt;=$D189,$A189&lt;&gt;""),"●","")</x:f>
      </x:c>
      <x:c r="AK189" s="165" t="str">
        <x:f>IF(AND(AK$5&gt;=$C189,AK$5&lt;=$D189,$A189&lt;&gt;""),"●","")</x:f>
      </x:c>
      <x:c r="AL189" s="165" t="str">
        <x:f>IF(AND(AL$5&gt;=$C189,AL$5&lt;=$D189,$A189&lt;&gt;""),"●","")</x:f>
      </x:c>
      <x:c r="AM189" s="165" t="str">
        <x:f>IF(AND(AM$5&gt;=$C189,AM$5&lt;=$D189,$A189&lt;&gt;""),"●","")</x:f>
      </x:c>
      <x:c r="AN189" s="165" t="str">
        <x:f>IF(AND(AN$5&gt;=$C189,AN$5&lt;=$D189,$A189&lt;&gt;""),"●","")</x:f>
      </x:c>
      <x:c r="AO189" s="165" t="str">
        <x:f>IF(AND(AO$5&gt;=$C189,AO$5&lt;=$D189,$A189&lt;&gt;""),"●","")</x:f>
      </x:c>
      <x:c r="AP189" s="165" t="str">
        <x:f>IF(AND(AP$5&gt;=$C189,AP$5&lt;=$D189,$A189&lt;&gt;""),"●","")</x:f>
      </x:c>
      <x:c r="AQ189" s="165" t="str">
        <x:f>IF(AND(AQ$5&gt;=$C189,AQ$5&lt;=$D189,$A189&lt;&gt;""),"●","")</x:f>
      </x:c>
      <x:c r="AR189" s="165" t="str">
        <x:f>IF(AND(AR$5&gt;=$C189,AR$5&lt;=$D189,$A189&lt;&gt;""),"●","")</x:f>
      </x:c>
      <x:c r="AS189" s="165" t="str">
        <x:f>IF(AND(AS$5&gt;=$C189,AS$5&lt;=$D189,$A189&lt;&gt;""),"●","")</x:f>
      </x:c>
      <x:c r="AT189" s="165" t="str">
        <x:f>IF(AND(AT$5&gt;=$C189,AT$5&lt;=$D189,$A189&lt;&gt;""),"●","")</x:f>
      </x:c>
      <x:c r="AU189" s="165" t="str">
        <x:f>IF(AND(AU$5&gt;=$C189,AU$5&lt;=$D189,$A189&lt;&gt;""),"●","")</x:f>
      </x:c>
      <x:c r="AV189" s="165" t="str">
        <x:f>IF(AND(AV$5&gt;=$C189,AV$5&lt;=$D189,$A189&lt;&gt;""),"●","")</x:f>
      </x:c>
      <x:c r="AW189" s="165" t="str">
        <x:f>IF(AND(AW$5&gt;=$C189,AW$5&lt;=$D189,$A189&lt;&gt;""),"●","")</x:f>
      </x:c>
      <x:c r="AX189" s="165" t="str">
        <x:f>IF(AND(AX$5&gt;=$C189,AX$5&lt;=$D189,$A189&lt;&gt;""),"●","")</x:f>
      </x:c>
      <x:c r="AY189" s="165" t="str">
        <x:f>IF(AND(AY$5&gt;=$C189,AY$5&lt;=$D189,$A189&lt;&gt;""),"●","")</x:f>
      </x:c>
      <x:c r="AZ189" s="165" t="str">
        <x:f>IF(AND(AZ$5&gt;=$C189,AZ$5&lt;=$D189,$A189&lt;&gt;""),"●","")</x:f>
      </x:c>
      <x:c r="BA189" s="165" t="str">
        <x:f>IF(AND(BA$5&gt;=$C189,BA$5&lt;=$D189,$A189&lt;&gt;""),"●","")</x:f>
      </x:c>
      <x:c r="BB189" s="165" t="str">
        <x:f>IF(AND(BB$5&gt;=$C189,BB$5&lt;=$D189,$A189&lt;&gt;""),"●","")</x:f>
      </x:c>
      <x:c r="BC189" s="165" t="str">
        <x:f>IF(AND(BC$5&gt;=$C189,BC$5&lt;=$D189,$A189&lt;&gt;""),"●","")</x:f>
      </x:c>
      <x:c r="BD189" s="165" t="str">
        <x:f>IF(AND(BD$5&gt;=$C189,BD$5&lt;=$D189,$A189&lt;&gt;""),"●","")</x:f>
      </x:c>
      <x:c r="BE189" s="165" t="str">
        <x:f>IF(AND(BE$5&gt;=$C189,BE$5&lt;=$D189,$A189&lt;&gt;""),"●","")</x:f>
      </x:c>
      <x:c r="BF189" s="165" t="str">
        <x:f>IF(AND(BF$5&gt;=$C189,BF$5&lt;=$D189,$A189&lt;&gt;""),"●","")</x:f>
      </x:c>
      <x:c r="BG189" s="165" t="str">
        <x:f>IF(AND(BG$5&gt;=$C189,BG$5&lt;=$D189,$A189&lt;&gt;""),"●","")</x:f>
      </x:c>
      <x:c r="BH189" s="165" t="str">
        <x:f>IF(AND(BH$5&gt;=$C189,BH$5&lt;=$D189,$A189&lt;&gt;""),"●","")</x:f>
      </x:c>
      <x:c r="BI189" s="165" t="str">
        <x:f>IF(AND(BI$5&gt;=$C189,BI$5&lt;=$D189,$A189&lt;&gt;""),"●","")</x:f>
      </x:c>
      <x:c r="BJ189" s="165" t="str">
        <x:f>IF(AND(BJ$5&gt;=$C189,BJ$5&lt;=$D189,$A189&lt;&gt;""),"●","")</x:f>
      </x:c>
      <x:c r="BK189" s="165" t="str">
        <x:f>IF(AND(BK$5&gt;=$C189,BK$5&lt;=$D189,$A189&lt;&gt;""),"●","")</x:f>
      </x:c>
      <x:c r="BL189" s="165" t="str">
        <x:f>IF(AND(BL$5&gt;=$C189,BL$5&lt;=$D189,$A189&lt;&gt;""),"●","")</x:f>
      </x:c>
      <x:c r="BM189" s="165" t="str">
        <x:f>IF(AND(BM$5&gt;=$C189,BM$5&lt;=$D189,$A189&lt;&gt;""),"●","")</x:f>
      </x:c>
      <x:c r="BN189" s="165" t="str">
        <x:f>IF(AND(BN$5&gt;=$C189,BN$5&lt;=$D189,$A189&lt;&gt;""),"●","")</x:f>
      </x:c>
      <x:c r="BO189" s="165" t="str">
        <x:f>IF(AND(BO$5&gt;=$C189,BO$5&lt;=$D189,$A189&lt;&gt;""),"●","")</x:f>
      </x:c>
      <x:c r="BP189" s="165" t="str">
        <x:f>IF(AND(BP$5&gt;=$C189,BP$5&lt;=$D189,$A189&lt;&gt;""),"●","")</x:f>
      </x:c>
      <x:c r="BQ189" s="165" t="str">
        <x:f>IF(AND(BQ$5&gt;=$C189,BQ$5&lt;=$D189,$A189&lt;&gt;""),"●","")</x:f>
      </x:c>
      <x:c r="BR189" s="165" t="str">
        <x:f>IF(AND(BR$5&gt;=$C189,BR$5&lt;=$D189,$A189&lt;&gt;""),"●","")</x:f>
      </x:c>
      <x:c r="BS189" s="165" t="str">
        <x:f>IF(AND(BS$5&gt;=$C189,BS$5&lt;=$D189,$A189&lt;&gt;""),"●","")</x:f>
      </x:c>
      <x:c r="BT189" s="165" t="str">
        <x:f>IF(AND(BT$5&gt;=$C189,BT$5&lt;=$D189,$A189&lt;&gt;""),"●","")</x:f>
      </x:c>
      <x:c r="BU189" s="165" t="str">
        <x:f>IF(AND(BU$5&gt;=$C189,BU$5&lt;=$D189,$A189&lt;&gt;""),"●","")</x:f>
      </x:c>
      <x:c r="BV189" s="165" t="str">
        <x:f>IF(AND(BV$5&gt;=$C189,BV$5&lt;=$D189,$A189&lt;&gt;""),"●","")</x:f>
      </x:c>
      <x:c r="BW189" s="165" t="str">
        <x:f>IF(AND(BW$5&gt;=$C189,BW$5&lt;=$D189,$A189&lt;&gt;""),"●","")</x:f>
      </x:c>
    </x:row>
    <x:row r="190">
      <x:c r="A190" s="159" t="str">
        <x:f>IF('รายการสัญญา'!A190="","",'รายการสัญญา'!A190)</x:f>
      </x:c>
      <x:c r="B190" s="159" t="str">
        <x:f>IF('รายการสัญญา'!A190="","",'รายการสัญญา'!C190)</x:f>
      </x:c>
      <x:c r="C190" s="162" t="str">
        <x:f>IF('รายการสัญญา'!A190="","",'รายการสัญญา'!E190)</x:f>
      </x:c>
      <x:c r="D190" s="162" t="str">
        <x:f>IF('รายการสัญญา'!A190="","",'รายการสัญญา'!G190)</x:f>
      </x:c>
      <x:c r="E190" s="159" t="str">
        <x:f>IF('รายการสัญญา'!A190="","",'รายการสัญญา'!K190)</x:f>
      </x:c>
      <x:c r="F190" s="165" t="str">
        <x:f>IF(AND(F$5&gt;=$C190,F$5&lt;=$D190,$A190&lt;&gt;""),"●","")</x:f>
      </x:c>
      <x:c r="G190" s="165" t="str">
        <x:f>IF(AND(G$5&gt;=$C190,G$5&lt;=$D190,$A190&lt;&gt;""),"●","")</x:f>
      </x:c>
      <x:c r="H190" s="165" t="str">
        <x:f>IF(AND(H$5&gt;=$C190,H$5&lt;=$D190,$A190&lt;&gt;""),"●","")</x:f>
      </x:c>
      <x:c r="I190" s="165" t="str">
        <x:f>IF(AND(I$5&gt;=$C190,I$5&lt;=$D190,$A190&lt;&gt;""),"●","")</x:f>
      </x:c>
      <x:c r="J190" s="165" t="str">
        <x:f>IF(AND(J$5&gt;=$C190,J$5&lt;=$D190,$A190&lt;&gt;""),"●","")</x:f>
      </x:c>
      <x:c r="K190" s="165" t="str">
        <x:f>IF(AND(K$5&gt;=$C190,K$5&lt;=$D190,$A190&lt;&gt;""),"●","")</x:f>
      </x:c>
      <x:c r="L190" s="165" t="str">
        <x:f>IF(AND(L$5&gt;=$C190,L$5&lt;=$D190,$A190&lt;&gt;""),"●","")</x:f>
      </x:c>
      <x:c r="M190" s="165" t="str">
        <x:f>IF(AND(M$5&gt;=$C190,M$5&lt;=$D190,$A190&lt;&gt;""),"●","")</x:f>
      </x:c>
      <x:c r="N190" s="165" t="str">
        <x:f>IF(AND(N$5&gt;=$C190,N$5&lt;=$D190,$A190&lt;&gt;""),"●","")</x:f>
      </x:c>
      <x:c r="O190" s="165" t="str">
        <x:f>IF(AND(O$5&gt;=$C190,O$5&lt;=$D190,$A190&lt;&gt;""),"●","")</x:f>
      </x:c>
      <x:c r="P190" s="165" t="str">
        <x:f>IF(AND(P$5&gt;=$C190,P$5&lt;=$D190,$A190&lt;&gt;""),"●","")</x:f>
      </x:c>
      <x:c r="Q190" s="165" t="str">
        <x:f>IF(AND(Q$5&gt;=$C190,Q$5&lt;=$D190,$A190&lt;&gt;""),"●","")</x:f>
      </x:c>
      <x:c r="R190" s="165" t="str">
        <x:f>IF(AND(R$5&gt;=$C190,R$5&lt;=$D190,$A190&lt;&gt;""),"●","")</x:f>
      </x:c>
      <x:c r="S190" s="165" t="str">
        <x:f>IF(AND(S$5&gt;=$C190,S$5&lt;=$D190,$A190&lt;&gt;""),"●","")</x:f>
      </x:c>
      <x:c r="T190" s="165" t="str">
        <x:f>IF(AND(T$5&gt;=$C190,T$5&lt;=$D190,$A190&lt;&gt;""),"●","")</x:f>
      </x:c>
      <x:c r="U190" s="165" t="str">
        <x:f>IF(AND(U$5&gt;=$C190,U$5&lt;=$D190,$A190&lt;&gt;""),"●","")</x:f>
      </x:c>
      <x:c r="V190" s="165" t="str">
        <x:f>IF(AND(V$5&gt;=$C190,V$5&lt;=$D190,$A190&lt;&gt;""),"●","")</x:f>
      </x:c>
      <x:c r="W190" s="165" t="str">
        <x:f>IF(AND(W$5&gt;=$C190,W$5&lt;=$D190,$A190&lt;&gt;""),"●","")</x:f>
      </x:c>
      <x:c r="X190" s="165" t="str">
        <x:f>IF(AND(X$5&gt;=$C190,X$5&lt;=$D190,$A190&lt;&gt;""),"●","")</x:f>
      </x:c>
      <x:c r="Y190" s="165" t="str">
        <x:f>IF(AND(Y$5&gt;=$C190,Y$5&lt;=$D190,$A190&lt;&gt;""),"●","")</x:f>
      </x:c>
      <x:c r="Z190" s="165" t="str">
        <x:f>IF(AND(Z$5&gt;=$C190,Z$5&lt;=$D190,$A190&lt;&gt;""),"●","")</x:f>
      </x:c>
      <x:c r="AA190" s="165" t="str">
        <x:f>IF(AND(AA$5&gt;=$C190,AA$5&lt;=$D190,$A190&lt;&gt;""),"●","")</x:f>
      </x:c>
      <x:c r="AB190" s="165" t="str">
        <x:f>IF(AND(AB$5&gt;=$C190,AB$5&lt;=$D190,$A190&lt;&gt;""),"●","")</x:f>
      </x:c>
      <x:c r="AC190" s="165" t="str">
        <x:f>IF(AND(AC$5&gt;=$C190,AC$5&lt;=$D190,$A190&lt;&gt;""),"●","")</x:f>
      </x:c>
      <x:c r="AD190" s="165" t="str">
        <x:f>IF(AND(AD$5&gt;=$C190,AD$5&lt;=$D190,$A190&lt;&gt;""),"●","")</x:f>
      </x:c>
      <x:c r="AE190" s="165" t="str">
        <x:f>IF(AND(AE$5&gt;=$C190,AE$5&lt;=$D190,$A190&lt;&gt;""),"●","")</x:f>
      </x:c>
      <x:c r="AF190" s="165" t="str">
        <x:f>IF(AND(AF$5&gt;=$C190,AF$5&lt;=$D190,$A190&lt;&gt;""),"●","")</x:f>
      </x:c>
      <x:c r="AG190" s="165" t="str">
        <x:f>IF(AND(AG$5&gt;=$C190,AG$5&lt;=$D190,$A190&lt;&gt;""),"●","")</x:f>
      </x:c>
      <x:c r="AH190" s="165" t="str">
        <x:f>IF(AND(AH$5&gt;=$C190,AH$5&lt;=$D190,$A190&lt;&gt;""),"●","")</x:f>
      </x:c>
      <x:c r="AI190" s="165" t="str">
        <x:f>IF(AND(AI$5&gt;=$C190,AI$5&lt;=$D190,$A190&lt;&gt;""),"●","")</x:f>
      </x:c>
      <x:c r="AJ190" s="165" t="str">
        <x:f>IF(AND(AJ$5&gt;=$C190,AJ$5&lt;=$D190,$A190&lt;&gt;""),"●","")</x:f>
      </x:c>
      <x:c r="AK190" s="165" t="str">
        <x:f>IF(AND(AK$5&gt;=$C190,AK$5&lt;=$D190,$A190&lt;&gt;""),"●","")</x:f>
      </x:c>
      <x:c r="AL190" s="165" t="str">
        <x:f>IF(AND(AL$5&gt;=$C190,AL$5&lt;=$D190,$A190&lt;&gt;""),"●","")</x:f>
      </x:c>
      <x:c r="AM190" s="165" t="str">
        <x:f>IF(AND(AM$5&gt;=$C190,AM$5&lt;=$D190,$A190&lt;&gt;""),"●","")</x:f>
      </x:c>
      <x:c r="AN190" s="165" t="str">
        <x:f>IF(AND(AN$5&gt;=$C190,AN$5&lt;=$D190,$A190&lt;&gt;""),"●","")</x:f>
      </x:c>
      <x:c r="AO190" s="165" t="str">
        <x:f>IF(AND(AO$5&gt;=$C190,AO$5&lt;=$D190,$A190&lt;&gt;""),"●","")</x:f>
      </x:c>
      <x:c r="AP190" s="165" t="str">
        <x:f>IF(AND(AP$5&gt;=$C190,AP$5&lt;=$D190,$A190&lt;&gt;""),"●","")</x:f>
      </x:c>
      <x:c r="AQ190" s="165" t="str">
        <x:f>IF(AND(AQ$5&gt;=$C190,AQ$5&lt;=$D190,$A190&lt;&gt;""),"●","")</x:f>
      </x:c>
      <x:c r="AR190" s="165" t="str">
        <x:f>IF(AND(AR$5&gt;=$C190,AR$5&lt;=$D190,$A190&lt;&gt;""),"●","")</x:f>
      </x:c>
      <x:c r="AS190" s="165" t="str">
        <x:f>IF(AND(AS$5&gt;=$C190,AS$5&lt;=$D190,$A190&lt;&gt;""),"●","")</x:f>
      </x:c>
      <x:c r="AT190" s="165" t="str">
        <x:f>IF(AND(AT$5&gt;=$C190,AT$5&lt;=$D190,$A190&lt;&gt;""),"●","")</x:f>
      </x:c>
      <x:c r="AU190" s="165" t="str">
        <x:f>IF(AND(AU$5&gt;=$C190,AU$5&lt;=$D190,$A190&lt;&gt;""),"●","")</x:f>
      </x:c>
      <x:c r="AV190" s="165" t="str">
        <x:f>IF(AND(AV$5&gt;=$C190,AV$5&lt;=$D190,$A190&lt;&gt;""),"●","")</x:f>
      </x:c>
      <x:c r="AW190" s="165" t="str">
        <x:f>IF(AND(AW$5&gt;=$C190,AW$5&lt;=$D190,$A190&lt;&gt;""),"●","")</x:f>
      </x:c>
      <x:c r="AX190" s="165" t="str">
        <x:f>IF(AND(AX$5&gt;=$C190,AX$5&lt;=$D190,$A190&lt;&gt;""),"●","")</x:f>
      </x:c>
      <x:c r="AY190" s="165" t="str">
        <x:f>IF(AND(AY$5&gt;=$C190,AY$5&lt;=$D190,$A190&lt;&gt;""),"●","")</x:f>
      </x:c>
      <x:c r="AZ190" s="165" t="str">
        <x:f>IF(AND(AZ$5&gt;=$C190,AZ$5&lt;=$D190,$A190&lt;&gt;""),"●","")</x:f>
      </x:c>
      <x:c r="BA190" s="165" t="str">
        <x:f>IF(AND(BA$5&gt;=$C190,BA$5&lt;=$D190,$A190&lt;&gt;""),"●","")</x:f>
      </x:c>
      <x:c r="BB190" s="165" t="str">
        <x:f>IF(AND(BB$5&gt;=$C190,BB$5&lt;=$D190,$A190&lt;&gt;""),"●","")</x:f>
      </x:c>
      <x:c r="BC190" s="165" t="str">
        <x:f>IF(AND(BC$5&gt;=$C190,BC$5&lt;=$D190,$A190&lt;&gt;""),"●","")</x:f>
      </x:c>
      <x:c r="BD190" s="165" t="str">
        <x:f>IF(AND(BD$5&gt;=$C190,BD$5&lt;=$D190,$A190&lt;&gt;""),"●","")</x:f>
      </x:c>
      <x:c r="BE190" s="165" t="str">
        <x:f>IF(AND(BE$5&gt;=$C190,BE$5&lt;=$D190,$A190&lt;&gt;""),"●","")</x:f>
      </x:c>
      <x:c r="BF190" s="165" t="str">
        <x:f>IF(AND(BF$5&gt;=$C190,BF$5&lt;=$D190,$A190&lt;&gt;""),"●","")</x:f>
      </x:c>
      <x:c r="BG190" s="165" t="str">
        <x:f>IF(AND(BG$5&gt;=$C190,BG$5&lt;=$D190,$A190&lt;&gt;""),"●","")</x:f>
      </x:c>
      <x:c r="BH190" s="165" t="str">
        <x:f>IF(AND(BH$5&gt;=$C190,BH$5&lt;=$D190,$A190&lt;&gt;""),"●","")</x:f>
      </x:c>
      <x:c r="BI190" s="165" t="str">
        <x:f>IF(AND(BI$5&gt;=$C190,BI$5&lt;=$D190,$A190&lt;&gt;""),"●","")</x:f>
      </x:c>
      <x:c r="BJ190" s="165" t="str">
        <x:f>IF(AND(BJ$5&gt;=$C190,BJ$5&lt;=$D190,$A190&lt;&gt;""),"●","")</x:f>
      </x:c>
      <x:c r="BK190" s="165" t="str">
        <x:f>IF(AND(BK$5&gt;=$C190,BK$5&lt;=$D190,$A190&lt;&gt;""),"●","")</x:f>
      </x:c>
      <x:c r="BL190" s="165" t="str">
        <x:f>IF(AND(BL$5&gt;=$C190,BL$5&lt;=$D190,$A190&lt;&gt;""),"●","")</x:f>
      </x:c>
      <x:c r="BM190" s="165" t="str">
        <x:f>IF(AND(BM$5&gt;=$C190,BM$5&lt;=$D190,$A190&lt;&gt;""),"●","")</x:f>
      </x:c>
      <x:c r="BN190" s="165" t="str">
        <x:f>IF(AND(BN$5&gt;=$C190,BN$5&lt;=$D190,$A190&lt;&gt;""),"●","")</x:f>
      </x:c>
      <x:c r="BO190" s="165" t="str">
        <x:f>IF(AND(BO$5&gt;=$C190,BO$5&lt;=$D190,$A190&lt;&gt;""),"●","")</x:f>
      </x:c>
      <x:c r="BP190" s="165" t="str">
        <x:f>IF(AND(BP$5&gt;=$C190,BP$5&lt;=$D190,$A190&lt;&gt;""),"●","")</x:f>
      </x:c>
      <x:c r="BQ190" s="165" t="str">
        <x:f>IF(AND(BQ$5&gt;=$C190,BQ$5&lt;=$D190,$A190&lt;&gt;""),"●","")</x:f>
      </x:c>
      <x:c r="BR190" s="165" t="str">
        <x:f>IF(AND(BR$5&gt;=$C190,BR$5&lt;=$D190,$A190&lt;&gt;""),"●","")</x:f>
      </x:c>
      <x:c r="BS190" s="165" t="str">
        <x:f>IF(AND(BS$5&gt;=$C190,BS$5&lt;=$D190,$A190&lt;&gt;""),"●","")</x:f>
      </x:c>
      <x:c r="BT190" s="165" t="str">
        <x:f>IF(AND(BT$5&gt;=$C190,BT$5&lt;=$D190,$A190&lt;&gt;""),"●","")</x:f>
      </x:c>
      <x:c r="BU190" s="165" t="str">
        <x:f>IF(AND(BU$5&gt;=$C190,BU$5&lt;=$D190,$A190&lt;&gt;""),"●","")</x:f>
      </x:c>
      <x:c r="BV190" s="165" t="str">
        <x:f>IF(AND(BV$5&gt;=$C190,BV$5&lt;=$D190,$A190&lt;&gt;""),"●","")</x:f>
      </x:c>
      <x:c r="BW190" s="165" t="str">
        <x:f>IF(AND(BW$5&gt;=$C190,BW$5&lt;=$D190,$A190&lt;&gt;""),"●","")</x:f>
      </x:c>
    </x:row>
    <x:row r="191">
      <x:c r="A191" s="159" t="str">
        <x:f>IF('รายการสัญญา'!A191="","",'รายการสัญญา'!A191)</x:f>
      </x:c>
      <x:c r="B191" s="159" t="str">
        <x:f>IF('รายการสัญญา'!A191="","",'รายการสัญญา'!C191)</x:f>
      </x:c>
      <x:c r="C191" s="162" t="str">
        <x:f>IF('รายการสัญญา'!A191="","",'รายการสัญญา'!E191)</x:f>
      </x:c>
      <x:c r="D191" s="162" t="str">
        <x:f>IF('รายการสัญญา'!A191="","",'รายการสัญญา'!G191)</x:f>
      </x:c>
      <x:c r="E191" s="159" t="str">
        <x:f>IF('รายการสัญญา'!A191="","",'รายการสัญญา'!K191)</x:f>
      </x:c>
      <x:c r="F191" s="165" t="str">
        <x:f>IF(AND(F$5&gt;=$C191,F$5&lt;=$D191,$A191&lt;&gt;""),"●","")</x:f>
      </x:c>
      <x:c r="G191" s="165" t="str">
        <x:f>IF(AND(G$5&gt;=$C191,G$5&lt;=$D191,$A191&lt;&gt;""),"●","")</x:f>
      </x:c>
      <x:c r="H191" s="165" t="str">
        <x:f>IF(AND(H$5&gt;=$C191,H$5&lt;=$D191,$A191&lt;&gt;""),"●","")</x:f>
      </x:c>
      <x:c r="I191" s="165" t="str">
        <x:f>IF(AND(I$5&gt;=$C191,I$5&lt;=$D191,$A191&lt;&gt;""),"●","")</x:f>
      </x:c>
      <x:c r="J191" s="165" t="str">
        <x:f>IF(AND(J$5&gt;=$C191,J$5&lt;=$D191,$A191&lt;&gt;""),"●","")</x:f>
      </x:c>
      <x:c r="K191" s="165" t="str">
        <x:f>IF(AND(K$5&gt;=$C191,K$5&lt;=$D191,$A191&lt;&gt;""),"●","")</x:f>
      </x:c>
      <x:c r="L191" s="165" t="str">
        <x:f>IF(AND(L$5&gt;=$C191,L$5&lt;=$D191,$A191&lt;&gt;""),"●","")</x:f>
      </x:c>
      <x:c r="M191" s="165" t="str">
        <x:f>IF(AND(M$5&gt;=$C191,M$5&lt;=$D191,$A191&lt;&gt;""),"●","")</x:f>
      </x:c>
      <x:c r="N191" s="165" t="str">
        <x:f>IF(AND(N$5&gt;=$C191,N$5&lt;=$D191,$A191&lt;&gt;""),"●","")</x:f>
      </x:c>
      <x:c r="O191" s="165" t="str">
        <x:f>IF(AND(O$5&gt;=$C191,O$5&lt;=$D191,$A191&lt;&gt;""),"●","")</x:f>
      </x:c>
      <x:c r="P191" s="165" t="str">
        <x:f>IF(AND(P$5&gt;=$C191,P$5&lt;=$D191,$A191&lt;&gt;""),"●","")</x:f>
      </x:c>
      <x:c r="Q191" s="165" t="str">
        <x:f>IF(AND(Q$5&gt;=$C191,Q$5&lt;=$D191,$A191&lt;&gt;""),"●","")</x:f>
      </x:c>
      <x:c r="R191" s="165" t="str">
        <x:f>IF(AND(R$5&gt;=$C191,R$5&lt;=$D191,$A191&lt;&gt;""),"●","")</x:f>
      </x:c>
      <x:c r="S191" s="165" t="str">
        <x:f>IF(AND(S$5&gt;=$C191,S$5&lt;=$D191,$A191&lt;&gt;""),"●","")</x:f>
      </x:c>
      <x:c r="T191" s="165" t="str">
        <x:f>IF(AND(T$5&gt;=$C191,T$5&lt;=$D191,$A191&lt;&gt;""),"●","")</x:f>
      </x:c>
      <x:c r="U191" s="165" t="str">
        <x:f>IF(AND(U$5&gt;=$C191,U$5&lt;=$D191,$A191&lt;&gt;""),"●","")</x:f>
      </x:c>
      <x:c r="V191" s="165" t="str">
        <x:f>IF(AND(V$5&gt;=$C191,V$5&lt;=$D191,$A191&lt;&gt;""),"●","")</x:f>
      </x:c>
      <x:c r="W191" s="165" t="str">
        <x:f>IF(AND(W$5&gt;=$C191,W$5&lt;=$D191,$A191&lt;&gt;""),"●","")</x:f>
      </x:c>
      <x:c r="X191" s="165" t="str">
        <x:f>IF(AND(X$5&gt;=$C191,X$5&lt;=$D191,$A191&lt;&gt;""),"●","")</x:f>
      </x:c>
      <x:c r="Y191" s="165" t="str">
        <x:f>IF(AND(Y$5&gt;=$C191,Y$5&lt;=$D191,$A191&lt;&gt;""),"●","")</x:f>
      </x:c>
      <x:c r="Z191" s="165" t="str">
        <x:f>IF(AND(Z$5&gt;=$C191,Z$5&lt;=$D191,$A191&lt;&gt;""),"●","")</x:f>
      </x:c>
      <x:c r="AA191" s="165" t="str">
        <x:f>IF(AND(AA$5&gt;=$C191,AA$5&lt;=$D191,$A191&lt;&gt;""),"●","")</x:f>
      </x:c>
      <x:c r="AB191" s="165" t="str">
        <x:f>IF(AND(AB$5&gt;=$C191,AB$5&lt;=$D191,$A191&lt;&gt;""),"●","")</x:f>
      </x:c>
      <x:c r="AC191" s="165" t="str">
        <x:f>IF(AND(AC$5&gt;=$C191,AC$5&lt;=$D191,$A191&lt;&gt;""),"●","")</x:f>
      </x:c>
      <x:c r="AD191" s="165" t="str">
        <x:f>IF(AND(AD$5&gt;=$C191,AD$5&lt;=$D191,$A191&lt;&gt;""),"●","")</x:f>
      </x:c>
      <x:c r="AE191" s="165" t="str">
        <x:f>IF(AND(AE$5&gt;=$C191,AE$5&lt;=$D191,$A191&lt;&gt;""),"●","")</x:f>
      </x:c>
      <x:c r="AF191" s="165" t="str">
        <x:f>IF(AND(AF$5&gt;=$C191,AF$5&lt;=$D191,$A191&lt;&gt;""),"●","")</x:f>
      </x:c>
      <x:c r="AG191" s="165" t="str">
        <x:f>IF(AND(AG$5&gt;=$C191,AG$5&lt;=$D191,$A191&lt;&gt;""),"●","")</x:f>
      </x:c>
      <x:c r="AH191" s="165" t="str">
        <x:f>IF(AND(AH$5&gt;=$C191,AH$5&lt;=$D191,$A191&lt;&gt;""),"●","")</x:f>
      </x:c>
      <x:c r="AI191" s="165" t="str">
        <x:f>IF(AND(AI$5&gt;=$C191,AI$5&lt;=$D191,$A191&lt;&gt;""),"●","")</x:f>
      </x:c>
      <x:c r="AJ191" s="165" t="str">
        <x:f>IF(AND(AJ$5&gt;=$C191,AJ$5&lt;=$D191,$A191&lt;&gt;""),"●","")</x:f>
      </x:c>
      <x:c r="AK191" s="165" t="str">
        <x:f>IF(AND(AK$5&gt;=$C191,AK$5&lt;=$D191,$A191&lt;&gt;""),"●","")</x:f>
      </x:c>
      <x:c r="AL191" s="165" t="str">
        <x:f>IF(AND(AL$5&gt;=$C191,AL$5&lt;=$D191,$A191&lt;&gt;""),"●","")</x:f>
      </x:c>
      <x:c r="AM191" s="165" t="str">
        <x:f>IF(AND(AM$5&gt;=$C191,AM$5&lt;=$D191,$A191&lt;&gt;""),"●","")</x:f>
      </x:c>
      <x:c r="AN191" s="165" t="str">
        <x:f>IF(AND(AN$5&gt;=$C191,AN$5&lt;=$D191,$A191&lt;&gt;""),"●","")</x:f>
      </x:c>
      <x:c r="AO191" s="165" t="str">
        <x:f>IF(AND(AO$5&gt;=$C191,AO$5&lt;=$D191,$A191&lt;&gt;""),"●","")</x:f>
      </x:c>
      <x:c r="AP191" s="165" t="str">
        <x:f>IF(AND(AP$5&gt;=$C191,AP$5&lt;=$D191,$A191&lt;&gt;""),"●","")</x:f>
      </x:c>
      <x:c r="AQ191" s="165" t="str">
        <x:f>IF(AND(AQ$5&gt;=$C191,AQ$5&lt;=$D191,$A191&lt;&gt;""),"●","")</x:f>
      </x:c>
      <x:c r="AR191" s="165" t="str">
        <x:f>IF(AND(AR$5&gt;=$C191,AR$5&lt;=$D191,$A191&lt;&gt;""),"●","")</x:f>
      </x:c>
      <x:c r="AS191" s="165" t="str">
        <x:f>IF(AND(AS$5&gt;=$C191,AS$5&lt;=$D191,$A191&lt;&gt;""),"●","")</x:f>
      </x:c>
      <x:c r="AT191" s="165" t="str">
        <x:f>IF(AND(AT$5&gt;=$C191,AT$5&lt;=$D191,$A191&lt;&gt;""),"●","")</x:f>
      </x:c>
      <x:c r="AU191" s="165" t="str">
        <x:f>IF(AND(AU$5&gt;=$C191,AU$5&lt;=$D191,$A191&lt;&gt;""),"●","")</x:f>
      </x:c>
      <x:c r="AV191" s="165" t="str">
        <x:f>IF(AND(AV$5&gt;=$C191,AV$5&lt;=$D191,$A191&lt;&gt;""),"●","")</x:f>
      </x:c>
      <x:c r="AW191" s="165" t="str">
        <x:f>IF(AND(AW$5&gt;=$C191,AW$5&lt;=$D191,$A191&lt;&gt;""),"●","")</x:f>
      </x:c>
      <x:c r="AX191" s="165" t="str">
        <x:f>IF(AND(AX$5&gt;=$C191,AX$5&lt;=$D191,$A191&lt;&gt;""),"●","")</x:f>
      </x:c>
      <x:c r="AY191" s="165" t="str">
        <x:f>IF(AND(AY$5&gt;=$C191,AY$5&lt;=$D191,$A191&lt;&gt;""),"●","")</x:f>
      </x:c>
      <x:c r="AZ191" s="165" t="str">
        <x:f>IF(AND(AZ$5&gt;=$C191,AZ$5&lt;=$D191,$A191&lt;&gt;""),"●","")</x:f>
      </x:c>
      <x:c r="BA191" s="165" t="str">
        <x:f>IF(AND(BA$5&gt;=$C191,BA$5&lt;=$D191,$A191&lt;&gt;""),"●","")</x:f>
      </x:c>
      <x:c r="BB191" s="165" t="str">
        <x:f>IF(AND(BB$5&gt;=$C191,BB$5&lt;=$D191,$A191&lt;&gt;""),"●","")</x:f>
      </x:c>
      <x:c r="BC191" s="165" t="str">
        <x:f>IF(AND(BC$5&gt;=$C191,BC$5&lt;=$D191,$A191&lt;&gt;""),"●","")</x:f>
      </x:c>
      <x:c r="BD191" s="165" t="str">
        <x:f>IF(AND(BD$5&gt;=$C191,BD$5&lt;=$D191,$A191&lt;&gt;""),"●","")</x:f>
      </x:c>
      <x:c r="BE191" s="165" t="str">
        <x:f>IF(AND(BE$5&gt;=$C191,BE$5&lt;=$D191,$A191&lt;&gt;""),"●","")</x:f>
      </x:c>
      <x:c r="BF191" s="165" t="str">
        <x:f>IF(AND(BF$5&gt;=$C191,BF$5&lt;=$D191,$A191&lt;&gt;""),"●","")</x:f>
      </x:c>
      <x:c r="BG191" s="165" t="str">
        <x:f>IF(AND(BG$5&gt;=$C191,BG$5&lt;=$D191,$A191&lt;&gt;""),"●","")</x:f>
      </x:c>
      <x:c r="BH191" s="165" t="str">
        <x:f>IF(AND(BH$5&gt;=$C191,BH$5&lt;=$D191,$A191&lt;&gt;""),"●","")</x:f>
      </x:c>
      <x:c r="BI191" s="165" t="str">
        <x:f>IF(AND(BI$5&gt;=$C191,BI$5&lt;=$D191,$A191&lt;&gt;""),"●","")</x:f>
      </x:c>
      <x:c r="BJ191" s="165" t="str">
        <x:f>IF(AND(BJ$5&gt;=$C191,BJ$5&lt;=$D191,$A191&lt;&gt;""),"●","")</x:f>
      </x:c>
      <x:c r="BK191" s="165" t="str">
        <x:f>IF(AND(BK$5&gt;=$C191,BK$5&lt;=$D191,$A191&lt;&gt;""),"●","")</x:f>
      </x:c>
      <x:c r="BL191" s="165" t="str">
        <x:f>IF(AND(BL$5&gt;=$C191,BL$5&lt;=$D191,$A191&lt;&gt;""),"●","")</x:f>
      </x:c>
      <x:c r="BM191" s="165" t="str">
        <x:f>IF(AND(BM$5&gt;=$C191,BM$5&lt;=$D191,$A191&lt;&gt;""),"●","")</x:f>
      </x:c>
      <x:c r="BN191" s="165" t="str">
        <x:f>IF(AND(BN$5&gt;=$C191,BN$5&lt;=$D191,$A191&lt;&gt;""),"●","")</x:f>
      </x:c>
      <x:c r="BO191" s="165" t="str">
        <x:f>IF(AND(BO$5&gt;=$C191,BO$5&lt;=$D191,$A191&lt;&gt;""),"●","")</x:f>
      </x:c>
      <x:c r="BP191" s="165" t="str">
        <x:f>IF(AND(BP$5&gt;=$C191,BP$5&lt;=$D191,$A191&lt;&gt;""),"●","")</x:f>
      </x:c>
      <x:c r="BQ191" s="165" t="str">
        <x:f>IF(AND(BQ$5&gt;=$C191,BQ$5&lt;=$D191,$A191&lt;&gt;""),"●","")</x:f>
      </x:c>
      <x:c r="BR191" s="165" t="str">
        <x:f>IF(AND(BR$5&gt;=$C191,BR$5&lt;=$D191,$A191&lt;&gt;""),"●","")</x:f>
      </x:c>
      <x:c r="BS191" s="165" t="str">
        <x:f>IF(AND(BS$5&gt;=$C191,BS$5&lt;=$D191,$A191&lt;&gt;""),"●","")</x:f>
      </x:c>
      <x:c r="BT191" s="165" t="str">
        <x:f>IF(AND(BT$5&gt;=$C191,BT$5&lt;=$D191,$A191&lt;&gt;""),"●","")</x:f>
      </x:c>
      <x:c r="BU191" s="165" t="str">
        <x:f>IF(AND(BU$5&gt;=$C191,BU$5&lt;=$D191,$A191&lt;&gt;""),"●","")</x:f>
      </x:c>
      <x:c r="BV191" s="165" t="str">
        <x:f>IF(AND(BV$5&gt;=$C191,BV$5&lt;=$D191,$A191&lt;&gt;""),"●","")</x:f>
      </x:c>
      <x:c r="BW191" s="165" t="str">
        <x:f>IF(AND(BW$5&gt;=$C191,BW$5&lt;=$D191,$A191&lt;&gt;""),"●","")</x:f>
      </x:c>
    </x:row>
    <x:row r="192">
      <x:c r="A192" s="159" t="str">
        <x:f>IF('รายการสัญญา'!A192="","",'รายการสัญญา'!A192)</x:f>
      </x:c>
      <x:c r="B192" s="159" t="str">
        <x:f>IF('รายการสัญญา'!A192="","",'รายการสัญญา'!C192)</x:f>
      </x:c>
      <x:c r="C192" s="162" t="str">
        <x:f>IF('รายการสัญญา'!A192="","",'รายการสัญญา'!E192)</x:f>
      </x:c>
      <x:c r="D192" s="162" t="str">
        <x:f>IF('รายการสัญญา'!A192="","",'รายการสัญญา'!G192)</x:f>
      </x:c>
      <x:c r="E192" s="159" t="str">
        <x:f>IF('รายการสัญญา'!A192="","",'รายการสัญญา'!K192)</x:f>
      </x:c>
      <x:c r="F192" s="165" t="str">
        <x:f>IF(AND(F$5&gt;=$C192,F$5&lt;=$D192,$A192&lt;&gt;""),"●","")</x:f>
      </x:c>
      <x:c r="G192" s="165" t="str">
        <x:f>IF(AND(G$5&gt;=$C192,G$5&lt;=$D192,$A192&lt;&gt;""),"●","")</x:f>
      </x:c>
      <x:c r="H192" s="165" t="str">
        <x:f>IF(AND(H$5&gt;=$C192,H$5&lt;=$D192,$A192&lt;&gt;""),"●","")</x:f>
      </x:c>
      <x:c r="I192" s="165" t="str">
        <x:f>IF(AND(I$5&gt;=$C192,I$5&lt;=$D192,$A192&lt;&gt;""),"●","")</x:f>
      </x:c>
      <x:c r="J192" s="165" t="str">
        <x:f>IF(AND(J$5&gt;=$C192,J$5&lt;=$D192,$A192&lt;&gt;""),"●","")</x:f>
      </x:c>
      <x:c r="K192" s="165" t="str">
        <x:f>IF(AND(K$5&gt;=$C192,K$5&lt;=$D192,$A192&lt;&gt;""),"●","")</x:f>
      </x:c>
      <x:c r="L192" s="165" t="str">
        <x:f>IF(AND(L$5&gt;=$C192,L$5&lt;=$D192,$A192&lt;&gt;""),"●","")</x:f>
      </x:c>
      <x:c r="M192" s="165" t="str">
        <x:f>IF(AND(M$5&gt;=$C192,M$5&lt;=$D192,$A192&lt;&gt;""),"●","")</x:f>
      </x:c>
      <x:c r="N192" s="165" t="str">
        <x:f>IF(AND(N$5&gt;=$C192,N$5&lt;=$D192,$A192&lt;&gt;""),"●","")</x:f>
      </x:c>
      <x:c r="O192" s="165" t="str">
        <x:f>IF(AND(O$5&gt;=$C192,O$5&lt;=$D192,$A192&lt;&gt;""),"●","")</x:f>
      </x:c>
      <x:c r="P192" s="165" t="str">
        <x:f>IF(AND(P$5&gt;=$C192,P$5&lt;=$D192,$A192&lt;&gt;""),"●","")</x:f>
      </x:c>
      <x:c r="Q192" s="165" t="str">
        <x:f>IF(AND(Q$5&gt;=$C192,Q$5&lt;=$D192,$A192&lt;&gt;""),"●","")</x:f>
      </x:c>
      <x:c r="R192" s="165" t="str">
        <x:f>IF(AND(R$5&gt;=$C192,R$5&lt;=$D192,$A192&lt;&gt;""),"●","")</x:f>
      </x:c>
      <x:c r="S192" s="165" t="str">
        <x:f>IF(AND(S$5&gt;=$C192,S$5&lt;=$D192,$A192&lt;&gt;""),"●","")</x:f>
      </x:c>
      <x:c r="T192" s="165" t="str">
        <x:f>IF(AND(T$5&gt;=$C192,T$5&lt;=$D192,$A192&lt;&gt;""),"●","")</x:f>
      </x:c>
      <x:c r="U192" s="165" t="str">
        <x:f>IF(AND(U$5&gt;=$C192,U$5&lt;=$D192,$A192&lt;&gt;""),"●","")</x:f>
      </x:c>
      <x:c r="V192" s="165" t="str">
        <x:f>IF(AND(V$5&gt;=$C192,V$5&lt;=$D192,$A192&lt;&gt;""),"●","")</x:f>
      </x:c>
      <x:c r="W192" s="165" t="str">
        <x:f>IF(AND(W$5&gt;=$C192,W$5&lt;=$D192,$A192&lt;&gt;""),"●","")</x:f>
      </x:c>
      <x:c r="X192" s="165" t="str">
        <x:f>IF(AND(X$5&gt;=$C192,X$5&lt;=$D192,$A192&lt;&gt;""),"●","")</x:f>
      </x:c>
      <x:c r="Y192" s="165" t="str">
        <x:f>IF(AND(Y$5&gt;=$C192,Y$5&lt;=$D192,$A192&lt;&gt;""),"●","")</x:f>
      </x:c>
      <x:c r="Z192" s="165" t="str">
        <x:f>IF(AND(Z$5&gt;=$C192,Z$5&lt;=$D192,$A192&lt;&gt;""),"●","")</x:f>
      </x:c>
      <x:c r="AA192" s="165" t="str">
        <x:f>IF(AND(AA$5&gt;=$C192,AA$5&lt;=$D192,$A192&lt;&gt;""),"●","")</x:f>
      </x:c>
      <x:c r="AB192" s="165" t="str">
        <x:f>IF(AND(AB$5&gt;=$C192,AB$5&lt;=$D192,$A192&lt;&gt;""),"●","")</x:f>
      </x:c>
      <x:c r="AC192" s="165" t="str">
        <x:f>IF(AND(AC$5&gt;=$C192,AC$5&lt;=$D192,$A192&lt;&gt;""),"●","")</x:f>
      </x:c>
      <x:c r="AD192" s="165" t="str">
        <x:f>IF(AND(AD$5&gt;=$C192,AD$5&lt;=$D192,$A192&lt;&gt;""),"●","")</x:f>
      </x:c>
      <x:c r="AE192" s="165" t="str">
        <x:f>IF(AND(AE$5&gt;=$C192,AE$5&lt;=$D192,$A192&lt;&gt;""),"●","")</x:f>
      </x:c>
      <x:c r="AF192" s="165" t="str">
        <x:f>IF(AND(AF$5&gt;=$C192,AF$5&lt;=$D192,$A192&lt;&gt;""),"●","")</x:f>
      </x:c>
      <x:c r="AG192" s="165" t="str">
        <x:f>IF(AND(AG$5&gt;=$C192,AG$5&lt;=$D192,$A192&lt;&gt;""),"●","")</x:f>
      </x:c>
      <x:c r="AH192" s="165" t="str">
        <x:f>IF(AND(AH$5&gt;=$C192,AH$5&lt;=$D192,$A192&lt;&gt;""),"●","")</x:f>
      </x:c>
      <x:c r="AI192" s="165" t="str">
        <x:f>IF(AND(AI$5&gt;=$C192,AI$5&lt;=$D192,$A192&lt;&gt;""),"●","")</x:f>
      </x:c>
      <x:c r="AJ192" s="165" t="str">
        <x:f>IF(AND(AJ$5&gt;=$C192,AJ$5&lt;=$D192,$A192&lt;&gt;""),"●","")</x:f>
      </x:c>
      <x:c r="AK192" s="165" t="str">
        <x:f>IF(AND(AK$5&gt;=$C192,AK$5&lt;=$D192,$A192&lt;&gt;""),"●","")</x:f>
      </x:c>
      <x:c r="AL192" s="165" t="str">
        <x:f>IF(AND(AL$5&gt;=$C192,AL$5&lt;=$D192,$A192&lt;&gt;""),"●","")</x:f>
      </x:c>
      <x:c r="AM192" s="165" t="str">
        <x:f>IF(AND(AM$5&gt;=$C192,AM$5&lt;=$D192,$A192&lt;&gt;""),"●","")</x:f>
      </x:c>
      <x:c r="AN192" s="165" t="str">
        <x:f>IF(AND(AN$5&gt;=$C192,AN$5&lt;=$D192,$A192&lt;&gt;""),"●","")</x:f>
      </x:c>
      <x:c r="AO192" s="165" t="str">
        <x:f>IF(AND(AO$5&gt;=$C192,AO$5&lt;=$D192,$A192&lt;&gt;""),"●","")</x:f>
      </x:c>
      <x:c r="AP192" s="165" t="str">
        <x:f>IF(AND(AP$5&gt;=$C192,AP$5&lt;=$D192,$A192&lt;&gt;""),"●","")</x:f>
      </x:c>
      <x:c r="AQ192" s="165" t="str">
        <x:f>IF(AND(AQ$5&gt;=$C192,AQ$5&lt;=$D192,$A192&lt;&gt;""),"●","")</x:f>
      </x:c>
      <x:c r="AR192" s="165" t="str">
        <x:f>IF(AND(AR$5&gt;=$C192,AR$5&lt;=$D192,$A192&lt;&gt;""),"●","")</x:f>
      </x:c>
      <x:c r="AS192" s="165" t="str">
        <x:f>IF(AND(AS$5&gt;=$C192,AS$5&lt;=$D192,$A192&lt;&gt;""),"●","")</x:f>
      </x:c>
      <x:c r="AT192" s="165" t="str">
        <x:f>IF(AND(AT$5&gt;=$C192,AT$5&lt;=$D192,$A192&lt;&gt;""),"●","")</x:f>
      </x:c>
      <x:c r="AU192" s="165" t="str">
        <x:f>IF(AND(AU$5&gt;=$C192,AU$5&lt;=$D192,$A192&lt;&gt;""),"●","")</x:f>
      </x:c>
      <x:c r="AV192" s="165" t="str">
        <x:f>IF(AND(AV$5&gt;=$C192,AV$5&lt;=$D192,$A192&lt;&gt;""),"●","")</x:f>
      </x:c>
      <x:c r="AW192" s="165" t="str">
        <x:f>IF(AND(AW$5&gt;=$C192,AW$5&lt;=$D192,$A192&lt;&gt;""),"●","")</x:f>
      </x:c>
      <x:c r="AX192" s="165" t="str">
        <x:f>IF(AND(AX$5&gt;=$C192,AX$5&lt;=$D192,$A192&lt;&gt;""),"●","")</x:f>
      </x:c>
      <x:c r="AY192" s="165" t="str">
        <x:f>IF(AND(AY$5&gt;=$C192,AY$5&lt;=$D192,$A192&lt;&gt;""),"●","")</x:f>
      </x:c>
      <x:c r="AZ192" s="165" t="str">
        <x:f>IF(AND(AZ$5&gt;=$C192,AZ$5&lt;=$D192,$A192&lt;&gt;""),"●","")</x:f>
      </x:c>
      <x:c r="BA192" s="165" t="str">
        <x:f>IF(AND(BA$5&gt;=$C192,BA$5&lt;=$D192,$A192&lt;&gt;""),"●","")</x:f>
      </x:c>
      <x:c r="BB192" s="165" t="str">
        <x:f>IF(AND(BB$5&gt;=$C192,BB$5&lt;=$D192,$A192&lt;&gt;""),"●","")</x:f>
      </x:c>
      <x:c r="BC192" s="165" t="str">
        <x:f>IF(AND(BC$5&gt;=$C192,BC$5&lt;=$D192,$A192&lt;&gt;""),"●","")</x:f>
      </x:c>
      <x:c r="BD192" s="165" t="str">
        <x:f>IF(AND(BD$5&gt;=$C192,BD$5&lt;=$D192,$A192&lt;&gt;""),"●","")</x:f>
      </x:c>
      <x:c r="BE192" s="165" t="str">
        <x:f>IF(AND(BE$5&gt;=$C192,BE$5&lt;=$D192,$A192&lt;&gt;""),"●","")</x:f>
      </x:c>
      <x:c r="BF192" s="165" t="str">
        <x:f>IF(AND(BF$5&gt;=$C192,BF$5&lt;=$D192,$A192&lt;&gt;""),"●","")</x:f>
      </x:c>
      <x:c r="BG192" s="165" t="str">
        <x:f>IF(AND(BG$5&gt;=$C192,BG$5&lt;=$D192,$A192&lt;&gt;""),"●","")</x:f>
      </x:c>
      <x:c r="BH192" s="165" t="str">
        <x:f>IF(AND(BH$5&gt;=$C192,BH$5&lt;=$D192,$A192&lt;&gt;""),"●","")</x:f>
      </x:c>
      <x:c r="BI192" s="165" t="str">
        <x:f>IF(AND(BI$5&gt;=$C192,BI$5&lt;=$D192,$A192&lt;&gt;""),"●","")</x:f>
      </x:c>
      <x:c r="BJ192" s="165" t="str">
        <x:f>IF(AND(BJ$5&gt;=$C192,BJ$5&lt;=$D192,$A192&lt;&gt;""),"●","")</x:f>
      </x:c>
      <x:c r="BK192" s="165" t="str">
        <x:f>IF(AND(BK$5&gt;=$C192,BK$5&lt;=$D192,$A192&lt;&gt;""),"●","")</x:f>
      </x:c>
      <x:c r="BL192" s="165" t="str">
        <x:f>IF(AND(BL$5&gt;=$C192,BL$5&lt;=$D192,$A192&lt;&gt;""),"●","")</x:f>
      </x:c>
      <x:c r="BM192" s="165" t="str">
        <x:f>IF(AND(BM$5&gt;=$C192,BM$5&lt;=$D192,$A192&lt;&gt;""),"●","")</x:f>
      </x:c>
      <x:c r="BN192" s="165" t="str">
        <x:f>IF(AND(BN$5&gt;=$C192,BN$5&lt;=$D192,$A192&lt;&gt;""),"●","")</x:f>
      </x:c>
      <x:c r="BO192" s="165" t="str">
        <x:f>IF(AND(BO$5&gt;=$C192,BO$5&lt;=$D192,$A192&lt;&gt;""),"●","")</x:f>
      </x:c>
      <x:c r="BP192" s="165" t="str">
        <x:f>IF(AND(BP$5&gt;=$C192,BP$5&lt;=$D192,$A192&lt;&gt;""),"●","")</x:f>
      </x:c>
      <x:c r="BQ192" s="165" t="str">
        <x:f>IF(AND(BQ$5&gt;=$C192,BQ$5&lt;=$D192,$A192&lt;&gt;""),"●","")</x:f>
      </x:c>
      <x:c r="BR192" s="165" t="str">
        <x:f>IF(AND(BR$5&gt;=$C192,BR$5&lt;=$D192,$A192&lt;&gt;""),"●","")</x:f>
      </x:c>
      <x:c r="BS192" s="165" t="str">
        <x:f>IF(AND(BS$5&gt;=$C192,BS$5&lt;=$D192,$A192&lt;&gt;""),"●","")</x:f>
      </x:c>
      <x:c r="BT192" s="165" t="str">
        <x:f>IF(AND(BT$5&gt;=$C192,BT$5&lt;=$D192,$A192&lt;&gt;""),"●","")</x:f>
      </x:c>
      <x:c r="BU192" s="165" t="str">
        <x:f>IF(AND(BU$5&gt;=$C192,BU$5&lt;=$D192,$A192&lt;&gt;""),"●","")</x:f>
      </x:c>
      <x:c r="BV192" s="165" t="str">
        <x:f>IF(AND(BV$5&gt;=$C192,BV$5&lt;=$D192,$A192&lt;&gt;""),"●","")</x:f>
      </x:c>
      <x:c r="BW192" s="165" t="str">
        <x:f>IF(AND(BW$5&gt;=$C192,BW$5&lt;=$D192,$A192&lt;&gt;""),"●","")</x:f>
      </x:c>
    </x:row>
    <x:row r="193">
      <x:c r="A193" s="159" t="str">
        <x:f>IF('รายการสัญญา'!A193="","",'รายการสัญญา'!A193)</x:f>
      </x:c>
      <x:c r="B193" s="159" t="str">
        <x:f>IF('รายการสัญญา'!A193="","",'รายการสัญญา'!C193)</x:f>
      </x:c>
      <x:c r="C193" s="162" t="str">
        <x:f>IF('รายการสัญญา'!A193="","",'รายการสัญญา'!E193)</x:f>
      </x:c>
      <x:c r="D193" s="162" t="str">
        <x:f>IF('รายการสัญญา'!A193="","",'รายการสัญญา'!G193)</x:f>
      </x:c>
      <x:c r="E193" s="159" t="str">
        <x:f>IF('รายการสัญญา'!A193="","",'รายการสัญญา'!K193)</x:f>
      </x:c>
      <x:c r="F193" s="165" t="str">
        <x:f>IF(AND(F$5&gt;=$C193,F$5&lt;=$D193,$A193&lt;&gt;""),"●","")</x:f>
      </x:c>
      <x:c r="G193" s="165" t="str">
        <x:f>IF(AND(G$5&gt;=$C193,G$5&lt;=$D193,$A193&lt;&gt;""),"●","")</x:f>
      </x:c>
      <x:c r="H193" s="165" t="str">
        <x:f>IF(AND(H$5&gt;=$C193,H$5&lt;=$D193,$A193&lt;&gt;""),"●","")</x:f>
      </x:c>
      <x:c r="I193" s="165" t="str">
        <x:f>IF(AND(I$5&gt;=$C193,I$5&lt;=$D193,$A193&lt;&gt;""),"●","")</x:f>
      </x:c>
      <x:c r="J193" s="165" t="str">
        <x:f>IF(AND(J$5&gt;=$C193,J$5&lt;=$D193,$A193&lt;&gt;""),"●","")</x:f>
      </x:c>
      <x:c r="K193" s="165" t="str">
        <x:f>IF(AND(K$5&gt;=$C193,K$5&lt;=$D193,$A193&lt;&gt;""),"●","")</x:f>
      </x:c>
      <x:c r="L193" s="165" t="str">
        <x:f>IF(AND(L$5&gt;=$C193,L$5&lt;=$D193,$A193&lt;&gt;""),"●","")</x:f>
      </x:c>
      <x:c r="M193" s="165" t="str">
        <x:f>IF(AND(M$5&gt;=$C193,M$5&lt;=$D193,$A193&lt;&gt;""),"●","")</x:f>
      </x:c>
      <x:c r="N193" s="165" t="str">
        <x:f>IF(AND(N$5&gt;=$C193,N$5&lt;=$D193,$A193&lt;&gt;""),"●","")</x:f>
      </x:c>
      <x:c r="O193" s="165" t="str">
        <x:f>IF(AND(O$5&gt;=$C193,O$5&lt;=$D193,$A193&lt;&gt;""),"●","")</x:f>
      </x:c>
      <x:c r="P193" s="165" t="str">
        <x:f>IF(AND(P$5&gt;=$C193,P$5&lt;=$D193,$A193&lt;&gt;""),"●","")</x:f>
      </x:c>
      <x:c r="Q193" s="165" t="str">
        <x:f>IF(AND(Q$5&gt;=$C193,Q$5&lt;=$D193,$A193&lt;&gt;""),"●","")</x:f>
      </x:c>
      <x:c r="R193" s="165" t="str">
        <x:f>IF(AND(R$5&gt;=$C193,R$5&lt;=$D193,$A193&lt;&gt;""),"●","")</x:f>
      </x:c>
      <x:c r="S193" s="165" t="str">
        <x:f>IF(AND(S$5&gt;=$C193,S$5&lt;=$D193,$A193&lt;&gt;""),"●","")</x:f>
      </x:c>
      <x:c r="T193" s="165" t="str">
        <x:f>IF(AND(T$5&gt;=$C193,T$5&lt;=$D193,$A193&lt;&gt;""),"●","")</x:f>
      </x:c>
      <x:c r="U193" s="165" t="str">
        <x:f>IF(AND(U$5&gt;=$C193,U$5&lt;=$D193,$A193&lt;&gt;""),"●","")</x:f>
      </x:c>
      <x:c r="V193" s="165" t="str">
        <x:f>IF(AND(V$5&gt;=$C193,V$5&lt;=$D193,$A193&lt;&gt;""),"●","")</x:f>
      </x:c>
      <x:c r="W193" s="165" t="str">
        <x:f>IF(AND(W$5&gt;=$C193,W$5&lt;=$D193,$A193&lt;&gt;""),"●","")</x:f>
      </x:c>
      <x:c r="X193" s="165" t="str">
        <x:f>IF(AND(X$5&gt;=$C193,X$5&lt;=$D193,$A193&lt;&gt;""),"●","")</x:f>
      </x:c>
      <x:c r="Y193" s="165" t="str">
        <x:f>IF(AND(Y$5&gt;=$C193,Y$5&lt;=$D193,$A193&lt;&gt;""),"●","")</x:f>
      </x:c>
      <x:c r="Z193" s="165" t="str">
        <x:f>IF(AND(Z$5&gt;=$C193,Z$5&lt;=$D193,$A193&lt;&gt;""),"●","")</x:f>
      </x:c>
      <x:c r="AA193" s="165" t="str">
        <x:f>IF(AND(AA$5&gt;=$C193,AA$5&lt;=$D193,$A193&lt;&gt;""),"●","")</x:f>
      </x:c>
      <x:c r="AB193" s="165" t="str">
        <x:f>IF(AND(AB$5&gt;=$C193,AB$5&lt;=$D193,$A193&lt;&gt;""),"●","")</x:f>
      </x:c>
      <x:c r="AC193" s="165" t="str">
        <x:f>IF(AND(AC$5&gt;=$C193,AC$5&lt;=$D193,$A193&lt;&gt;""),"●","")</x:f>
      </x:c>
      <x:c r="AD193" s="165" t="str">
        <x:f>IF(AND(AD$5&gt;=$C193,AD$5&lt;=$D193,$A193&lt;&gt;""),"●","")</x:f>
      </x:c>
      <x:c r="AE193" s="165" t="str">
        <x:f>IF(AND(AE$5&gt;=$C193,AE$5&lt;=$D193,$A193&lt;&gt;""),"●","")</x:f>
      </x:c>
      <x:c r="AF193" s="165" t="str">
        <x:f>IF(AND(AF$5&gt;=$C193,AF$5&lt;=$D193,$A193&lt;&gt;""),"●","")</x:f>
      </x:c>
      <x:c r="AG193" s="165" t="str">
        <x:f>IF(AND(AG$5&gt;=$C193,AG$5&lt;=$D193,$A193&lt;&gt;""),"●","")</x:f>
      </x:c>
      <x:c r="AH193" s="165" t="str">
        <x:f>IF(AND(AH$5&gt;=$C193,AH$5&lt;=$D193,$A193&lt;&gt;""),"●","")</x:f>
      </x:c>
      <x:c r="AI193" s="165" t="str">
        <x:f>IF(AND(AI$5&gt;=$C193,AI$5&lt;=$D193,$A193&lt;&gt;""),"●","")</x:f>
      </x:c>
      <x:c r="AJ193" s="165" t="str">
        <x:f>IF(AND(AJ$5&gt;=$C193,AJ$5&lt;=$D193,$A193&lt;&gt;""),"●","")</x:f>
      </x:c>
      <x:c r="AK193" s="165" t="str">
        <x:f>IF(AND(AK$5&gt;=$C193,AK$5&lt;=$D193,$A193&lt;&gt;""),"●","")</x:f>
      </x:c>
      <x:c r="AL193" s="165" t="str">
        <x:f>IF(AND(AL$5&gt;=$C193,AL$5&lt;=$D193,$A193&lt;&gt;""),"●","")</x:f>
      </x:c>
      <x:c r="AM193" s="165" t="str">
        <x:f>IF(AND(AM$5&gt;=$C193,AM$5&lt;=$D193,$A193&lt;&gt;""),"●","")</x:f>
      </x:c>
      <x:c r="AN193" s="165" t="str">
        <x:f>IF(AND(AN$5&gt;=$C193,AN$5&lt;=$D193,$A193&lt;&gt;""),"●","")</x:f>
      </x:c>
      <x:c r="AO193" s="165" t="str">
        <x:f>IF(AND(AO$5&gt;=$C193,AO$5&lt;=$D193,$A193&lt;&gt;""),"●","")</x:f>
      </x:c>
      <x:c r="AP193" s="165" t="str">
        <x:f>IF(AND(AP$5&gt;=$C193,AP$5&lt;=$D193,$A193&lt;&gt;""),"●","")</x:f>
      </x:c>
      <x:c r="AQ193" s="165" t="str">
        <x:f>IF(AND(AQ$5&gt;=$C193,AQ$5&lt;=$D193,$A193&lt;&gt;""),"●","")</x:f>
      </x:c>
      <x:c r="AR193" s="165" t="str">
        <x:f>IF(AND(AR$5&gt;=$C193,AR$5&lt;=$D193,$A193&lt;&gt;""),"●","")</x:f>
      </x:c>
      <x:c r="AS193" s="165" t="str">
        <x:f>IF(AND(AS$5&gt;=$C193,AS$5&lt;=$D193,$A193&lt;&gt;""),"●","")</x:f>
      </x:c>
      <x:c r="AT193" s="165" t="str">
        <x:f>IF(AND(AT$5&gt;=$C193,AT$5&lt;=$D193,$A193&lt;&gt;""),"●","")</x:f>
      </x:c>
      <x:c r="AU193" s="165" t="str">
        <x:f>IF(AND(AU$5&gt;=$C193,AU$5&lt;=$D193,$A193&lt;&gt;""),"●","")</x:f>
      </x:c>
      <x:c r="AV193" s="165" t="str">
        <x:f>IF(AND(AV$5&gt;=$C193,AV$5&lt;=$D193,$A193&lt;&gt;""),"●","")</x:f>
      </x:c>
      <x:c r="AW193" s="165" t="str">
        <x:f>IF(AND(AW$5&gt;=$C193,AW$5&lt;=$D193,$A193&lt;&gt;""),"●","")</x:f>
      </x:c>
      <x:c r="AX193" s="165" t="str">
        <x:f>IF(AND(AX$5&gt;=$C193,AX$5&lt;=$D193,$A193&lt;&gt;""),"●","")</x:f>
      </x:c>
      <x:c r="AY193" s="165" t="str">
        <x:f>IF(AND(AY$5&gt;=$C193,AY$5&lt;=$D193,$A193&lt;&gt;""),"●","")</x:f>
      </x:c>
      <x:c r="AZ193" s="165" t="str">
        <x:f>IF(AND(AZ$5&gt;=$C193,AZ$5&lt;=$D193,$A193&lt;&gt;""),"●","")</x:f>
      </x:c>
      <x:c r="BA193" s="165" t="str">
        <x:f>IF(AND(BA$5&gt;=$C193,BA$5&lt;=$D193,$A193&lt;&gt;""),"●","")</x:f>
      </x:c>
      <x:c r="BB193" s="165" t="str">
        <x:f>IF(AND(BB$5&gt;=$C193,BB$5&lt;=$D193,$A193&lt;&gt;""),"●","")</x:f>
      </x:c>
      <x:c r="BC193" s="165" t="str">
        <x:f>IF(AND(BC$5&gt;=$C193,BC$5&lt;=$D193,$A193&lt;&gt;""),"●","")</x:f>
      </x:c>
      <x:c r="BD193" s="165" t="str">
        <x:f>IF(AND(BD$5&gt;=$C193,BD$5&lt;=$D193,$A193&lt;&gt;""),"●","")</x:f>
      </x:c>
      <x:c r="BE193" s="165" t="str">
        <x:f>IF(AND(BE$5&gt;=$C193,BE$5&lt;=$D193,$A193&lt;&gt;""),"●","")</x:f>
      </x:c>
      <x:c r="BF193" s="165" t="str">
        <x:f>IF(AND(BF$5&gt;=$C193,BF$5&lt;=$D193,$A193&lt;&gt;""),"●","")</x:f>
      </x:c>
      <x:c r="BG193" s="165" t="str">
        <x:f>IF(AND(BG$5&gt;=$C193,BG$5&lt;=$D193,$A193&lt;&gt;""),"●","")</x:f>
      </x:c>
      <x:c r="BH193" s="165" t="str">
        <x:f>IF(AND(BH$5&gt;=$C193,BH$5&lt;=$D193,$A193&lt;&gt;""),"●","")</x:f>
      </x:c>
      <x:c r="BI193" s="165" t="str">
        <x:f>IF(AND(BI$5&gt;=$C193,BI$5&lt;=$D193,$A193&lt;&gt;""),"●","")</x:f>
      </x:c>
      <x:c r="BJ193" s="165" t="str">
        <x:f>IF(AND(BJ$5&gt;=$C193,BJ$5&lt;=$D193,$A193&lt;&gt;""),"●","")</x:f>
      </x:c>
      <x:c r="BK193" s="165" t="str">
        <x:f>IF(AND(BK$5&gt;=$C193,BK$5&lt;=$D193,$A193&lt;&gt;""),"●","")</x:f>
      </x:c>
      <x:c r="BL193" s="165" t="str">
        <x:f>IF(AND(BL$5&gt;=$C193,BL$5&lt;=$D193,$A193&lt;&gt;""),"●","")</x:f>
      </x:c>
      <x:c r="BM193" s="165" t="str">
        <x:f>IF(AND(BM$5&gt;=$C193,BM$5&lt;=$D193,$A193&lt;&gt;""),"●","")</x:f>
      </x:c>
      <x:c r="BN193" s="165" t="str">
        <x:f>IF(AND(BN$5&gt;=$C193,BN$5&lt;=$D193,$A193&lt;&gt;""),"●","")</x:f>
      </x:c>
      <x:c r="BO193" s="165" t="str">
        <x:f>IF(AND(BO$5&gt;=$C193,BO$5&lt;=$D193,$A193&lt;&gt;""),"●","")</x:f>
      </x:c>
      <x:c r="BP193" s="165" t="str">
        <x:f>IF(AND(BP$5&gt;=$C193,BP$5&lt;=$D193,$A193&lt;&gt;""),"●","")</x:f>
      </x:c>
      <x:c r="BQ193" s="165" t="str">
        <x:f>IF(AND(BQ$5&gt;=$C193,BQ$5&lt;=$D193,$A193&lt;&gt;""),"●","")</x:f>
      </x:c>
      <x:c r="BR193" s="165" t="str">
        <x:f>IF(AND(BR$5&gt;=$C193,BR$5&lt;=$D193,$A193&lt;&gt;""),"●","")</x:f>
      </x:c>
      <x:c r="BS193" s="165" t="str">
        <x:f>IF(AND(BS$5&gt;=$C193,BS$5&lt;=$D193,$A193&lt;&gt;""),"●","")</x:f>
      </x:c>
      <x:c r="BT193" s="165" t="str">
        <x:f>IF(AND(BT$5&gt;=$C193,BT$5&lt;=$D193,$A193&lt;&gt;""),"●","")</x:f>
      </x:c>
      <x:c r="BU193" s="165" t="str">
        <x:f>IF(AND(BU$5&gt;=$C193,BU$5&lt;=$D193,$A193&lt;&gt;""),"●","")</x:f>
      </x:c>
      <x:c r="BV193" s="165" t="str">
        <x:f>IF(AND(BV$5&gt;=$C193,BV$5&lt;=$D193,$A193&lt;&gt;""),"●","")</x:f>
      </x:c>
      <x:c r="BW193" s="165" t="str">
        <x:f>IF(AND(BW$5&gt;=$C193,BW$5&lt;=$D193,$A193&lt;&gt;""),"●","")</x:f>
      </x:c>
    </x:row>
    <x:row r="194">
      <x:c r="A194" s="159" t="str">
        <x:f>IF('รายการสัญญา'!A194="","",'รายการสัญญา'!A194)</x:f>
      </x:c>
      <x:c r="B194" s="159" t="str">
        <x:f>IF('รายการสัญญา'!A194="","",'รายการสัญญา'!C194)</x:f>
      </x:c>
      <x:c r="C194" s="162" t="str">
        <x:f>IF('รายการสัญญา'!A194="","",'รายการสัญญา'!E194)</x:f>
      </x:c>
      <x:c r="D194" s="162" t="str">
        <x:f>IF('รายการสัญญา'!A194="","",'รายการสัญญา'!G194)</x:f>
      </x:c>
      <x:c r="E194" s="159" t="str">
        <x:f>IF('รายการสัญญา'!A194="","",'รายการสัญญา'!K194)</x:f>
      </x:c>
      <x:c r="F194" s="165" t="str">
        <x:f>IF(AND(F$5&gt;=$C194,F$5&lt;=$D194,$A194&lt;&gt;""),"●","")</x:f>
      </x:c>
      <x:c r="G194" s="165" t="str">
        <x:f>IF(AND(G$5&gt;=$C194,G$5&lt;=$D194,$A194&lt;&gt;""),"●","")</x:f>
      </x:c>
      <x:c r="H194" s="165" t="str">
        <x:f>IF(AND(H$5&gt;=$C194,H$5&lt;=$D194,$A194&lt;&gt;""),"●","")</x:f>
      </x:c>
      <x:c r="I194" s="165" t="str">
        <x:f>IF(AND(I$5&gt;=$C194,I$5&lt;=$D194,$A194&lt;&gt;""),"●","")</x:f>
      </x:c>
      <x:c r="J194" s="165" t="str">
        <x:f>IF(AND(J$5&gt;=$C194,J$5&lt;=$D194,$A194&lt;&gt;""),"●","")</x:f>
      </x:c>
      <x:c r="K194" s="165" t="str">
        <x:f>IF(AND(K$5&gt;=$C194,K$5&lt;=$D194,$A194&lt;&gt;""),"●","")</x:f>
      </x:c>
      <x:c r="L194" s="165" t="str">
        <x:f>IF(AND(L$5&gt;=$C194,L$5&lt;=$D194,$A194&lt;&gt;""),"●","")</x:f>
      </x:c>
      <x:c r="M194" s="165" t="str">
        <x:f>IF(AND(M$5&gt;=$C194,M$5&lt;=$D194,$A194&lt;&gt;""),"●","")</x:f>
      </x:c>
      <x:c r="N194" s="165" t="str">
        <x:f>IF(AND(N$5&gt;=$C194,N$5&lt;=$D194,$A194&lt;&gt;""),"●","")</x:f>
      </x:c>
      <x:c r="O194" s="165" t="str">
        <x:f>IF(AND(O$5&gt;=$C194,O$5&lt;=$D194,$A194&lt;&gt;""),"●","")</x:f>
      </x:c>
      <x:c r="P194" s="165" t="str">
        <x:f>IF(AND(P$5&gt;=$C194,P$5&lt;=$D194,$A194&lt;&gt;""),"●","")</x:f>
      </x:c>
      <x:c r="Q194" s="165" t="str">
        <x:f>IF(AND(Q$5&gt;=$C194,Q$5&lt;=$D194,$A194&lt;&gt;""),"●","")</x:f>
      </x:c>
      <x:c r="R194" s="165" t="str">
        <x:f>IF(AND(R$5&gt;=$C194,R$5&lt;=$D194,$A194&lt;&gt;""),"●","")</x:f>
      </x:c>
      <x:c r="S194" s="165" t="str">
        <x:f>IF(AND(S$5&gt;=$C194,S$5&lt;=$D194,$A194&lt;&gt;""),"●","")</x:f>
      </x:c>
      <x:c r="T194" s="165" t="str">
        <x:f>IF(AND(T$5&gt;=$C194,T$5&lt;=$D194,$A194&lt;&gt;""),"●","")</x:f>
      </x:c>
      <x:c r="U194" s="165" t="str">
        <x:f>IF(AND(U$5&gt;=$C194,U$5&lt;=$D194,$A194&lt;&gt;""),"●","")</x:f>
      </x:c>
      <x:c r="V194" s="165" t="str">
        <x:f>IF(AND(V$5&gt;=$C194,V$5&lt;=$D194,$A194&lt;&gt;""),"●","")</x:f>
      </x:c>
      <x:c r="W194" s="165" t="str">
        <x:f>IF(AND(W$5&gt;=$C194,W$5&lt;=$D194,$A194&lt;&gt;""),"●","")</x:f>
      </x:c>
      <x:c r="X194" s="165" t="str">
        <x:f>IF(AND(X$5&gt;=$C194,X$5&lt;=$D194,$A194&lt;&gt;""),"●","")</x:f>
      </x:c>
      <x:c r="Y194" s="165" t="str">
        <x:f>IF(AND(Y$5&gt;=$C194,Y$5&lt;=$D194,$A194&lt;&gt;""),"●","")</x:f>
      </x:c>
      <x:c r="Z194" s="165" t="str">
        <x:f>IF(AND(Z$5&gt;=$C194,Z$5&lt;=$D194,$A194&lt;&gt;""),"●","")</x:f>
      </x:c>
      <x:c r="AA194" s="165" t="str">
        <x:f>IF(AND(AA$5&gt;=$C194,AA$5&lt;=$D194,$A194&lt;&gt;""),"●","")</x:f>
      </x:c>
      <x:c r="AB194" s="165" t="str">
        <x:f>IF(AND(AB$5&gt;=$C194,AB$5&lt;=$D194,$A194&lt;&gt;""),"●","")</x:f>
      </x:c>
      <x:c r="AC194" s="165" t="str">
        <x:f>IF(AND(AC$5&gt;=$C194,AC$5&lt;=$D194,$A194&lt;&gt;""),"●","")</x:f>
      </x:c>
      <x:c r="AD194" s="165" t="str">
        <x:f>IF(AND(AD$5&gt;=$C194,AD$5&lt;=$D194,$A194&lt;&gt;""),"●","")</x:f>
      </x:c>
      <x:c r="AE194" s="165" t="str">
        <x:f>IF(AND(AE$5&gt;=$C194,AE$5&lt;=$D194,$A194&lt;&gt;""),"●","")</x:f>
      </x:c>
      <x:c r="AF194" s="165" t="str">
        <x:f>IF(AND(AF$5&gt;=$C194,AF$5&lt;=$D194,$A194&lt;&gt;""),"●","")</x:f>
      </x:c>
      <x:c r="AG194" s="165" t="str">
        <x:f>IF(AND(AG$5&gt;=$C194,AG$5&lt;=$D194,$A194&lt;&gt;""),"●","")</x:f>
      </x:c>
      <x:c r="AH194" s="165" t="str">
        <x:f>IF(AND(AH$5&gt;=$C194,AH$5&lt;=$D194,$A194&lt;&gt;""),"●","")</x:f>
      </x:c>
      <x:c r="AI194" s="165" t="str">
        <x:f>IF(AND(AI$5&gt;=$C194,AI$5&lt;=$D194,$A194&lt;&gt;""),"●","")</x:f>
      </x:c>
      <x:c r="AJ194" s="165" t="str">
        <x:f>IF(AND(AJ$5&gt;=$C194,AJ$5&lt;=$D194,$A194&lt;&gt;""),"●","")</x:f>
      </x:c>
      <x:c r="AK194" s="165" t="str">
        <x:f>IF(AND(AK$5&gt;=$C194,AK$5&lt;=$D194,$A194&lt;&gt;""),"●","")</x:f>
      </x:c>
      <x:c r="AL194" s="165" t="str">
        <x:f>IF(AND(AL$5&gt;=$C194,AL$5&lt;=$D194,$A194&lt;&gt;""),"●","")</x:f>
      </x:c>
      <x:c r="AM194" s="165" t="str">
        <x:f>IF(AND(AM$5&gt;=$C194,AM$5&lt;=$D194,$A194&lt;&gt;""),"●","")</x:f>
      </x:c>
      <x:c r="AN194" s="165" t="str">
        <x:f>IF(AND(AN$5&gt;=$C194,AN$5&lt;=$D194,$A194&lt;&gt;""),"●","")</x:f>
      </x:c>
      <x:c r="AO194" s="165" t="str">
        <x:f>IF(AND(AO$5&gt;=$C194,AO$5&lt;=$D194,$A194&lt;&gt;""),"●","")</x:f>
      </x:c>
      <x:c r="AP194" s="165" t="str">
        <x:f>IF(AND(AP$5&gt;=$C194,AP$5&lt;=$D194,$A194&lt;&gt;""),"●","")</x:f>
      </x:c>
      <x:c r="AQ194" s="165" t="str">
        <x:f>IF(AND(AQ$5&gt;=$C194,AQ$5&lt;=$D194,$A194&lt;&gt;""),"●","")</x:f>
      </x:c>
      <x:c r="AR194" s="165" t="str">
        <x:f>IF(AND(AR$5&gt;=$C194,AR$5&lt;=$D194,$A194&lt;&gt;""),"●","")</x:f>
      </x:c>
      <x:c r="AS194" s="165" t="str">
        <x:f>IF(AND(AS$5&gt;=$C194,AS$5&lt;=$D194,$A194&lt;&gt;""),"●","")</x:f>
      </x:c>
      <x:c r="AT194" s="165" t="str">
        <x:f>IF(AND(AT$5&gt;=$C194,AT$5&lt;=$D194,$A194&lt;&gt;""),"●","")</x:f>
      </x:c>
      <x:c r="AU194" s="165" t="str">
        <x:f>IF(AND(AU$5&gt;=$C194,AU$5&lt;=$D194,$A194&lt;&gt;""),"●","")</x:f>
      </x:c>
      <x:c r="AV194" s="165" t="str">
        <x:f>IF(AND(AV$5&gt;=$C194,AV$5&lt;=$D194,$A194&lt;&gt;""),"●","")</x:f>
      </x:c>
      <x:c r="AW194" s="165" t="str">
        <x:f>IF(AND(AW$5&gt;=$C194,AW$5&lt;=$D194,$A194&lt;&gt;""),"●","")</x:f>
      </x:c>
      <x:c r="AX194" s="165" t="str">
        <x:f>IF(AND(AX$5&gt;=$C194,AX$5&lt;=$D194,$A194&lt;&gt;""),"●","")</x:f>
      </x:c>
      <x:c r="AY194" s="165" t="str">
        <x:f>IF(AND(AY$5&gt;=$C194,AY$5&lt;=$D194,$A194&lt;&gt;""),"●","")</x:f>
      </x:c>
      <x:c r="AZ194" s="165" t="str">
        <x:f>IF(AND(AZ$5&gt;=$C194,AZ$5&lt;=$D194,$A194&lt;&gt;""),"●","")</x:f>
      </x:c>
      <x:c r="BA194" s="165" t="str">
        <x:f>IF(AND(BA$5&gt;=$C194,BA$5&lt;=$D194,$A194&lt;&gt;""),"●","")</x:f>
      </x:c>
      <x:c r="BB194" s="165" t="str">
        <x:f>IF(AND(BB$5&gt;=$C194,BB$5&lt;=$D194,$A194&lt;&gt;""),"●","")</x:f>
      </x:c>
      <x:c r="BC194" s="165" t="str">
        <x:f>IF(AND(BC$5&gt;=$C194,BC$5&lt;=$D194,$A194&lt;&gt;""),"●","")</x:f>
      </x:c>
      <x:c r="BD194" s="165" t="str">
        <x:f>IF(AND(BD$5&gt;=$C194,BD$5&lt;=$D194,$A194&lt;&gt;""),"●","")</x:f>
      </x:c>
      <x:c r="BE194" s="165" t="str">
        <x:f>IF(AND(BE$5&gt;=$C194,BE$5&lt;=$D194,$A194&lt;&gt;""),"●","")</x:f>
      </x:c>
      <x:c r="BF194" s="165" t="str">
        <x:f>IF(AND(BF$5&gt;=$C194,BF$5&lt;=$D194,$A194&lt;&gt;""),"●","")</x:f>
      </x:c>
      <x:c r="BG194" s="165" t="str">
        <x:f>IF(AND(BG$5&gt;=$C194,BG$5&lt;=$D194,$A194&lt;&gt;""),"●","")</x:f>
      </x:c>
      <x:c r="BH194" s="165" t="str">
        <x:f>IF(AND(BH$5&gt;=$C194,BH$5&lt;=$D194,$A194&lt;&gt;""),"●","")</x:f>
      </x:c>
      <x:c r="BI194" s="165" t="str">
        <x:f>IF(AND(BI$5&gt;=$C194,BI$5&lt;=$D194,$A194&lt;&gt;""),"●","")</x:f>
      </x:c>
      <x:c r="BJ194" s="165" t="str">
        <x:f>IF(AND(BJ$5&gt;=$C194,BJ$5&lt;=$D194,$A194&lt;&gt;""),"●","")</x:f>
      </x:c>
      <x:c r="BK194" s="165" t="str">
        <x:f>IF(AND(BK$5&gt;=$C194,BK$5&lt;=$D194,$A194&lt;&gt;""),"●","")</x:f>
      </x:c>
      <x:c r="BL194" s="165" t="str">
        <x:f>IF(AND(BL$5&gt;=$C194,BL$5&lt;=$D194,$A194&lt;&gt;""),"●","")</x:f>
      </x:c>
      <x:c r="BM194" s="165" t="str">
        <x:f>IF(AND(BM$5&gt;=$C194,BM$5&lt;=$D194,$A194&lt;&gt;""),"●","")</x:f>
      </x:c>
      <x:c r="BN194" s="165" t="str">
        <x:f>IF(AND(BN$5&gt;=$C194,BN$5&lt;=$D194,$A194&lt;&gt;""),"●","")</x:f>
      </x:c>
      <x:c r="BO194" s="165" t="str">
        <x:f>IF(AND(BO$5&gt;=$C194,BO$5&lt;=$D194,$A194&lt;&gt;""),"●","")</x:f>
      </x:c>
      <x:c r="BP194" s="165" t="str">
        <x:f>IF(AND(BP$5&gt;=$C194,BP$5&lt;=$D194,$A194&lt;&gt;""),"●","")</x:f>
      </x:c>
      <x:c r="BQ194" s="165" t="str">
        <x:f>IF(AND(BQ$5&gt;=$C194,BQ$5&lt;=$D194,$A194&lt;&gt;""),"●","")</x:f>
      </x:c>
      <x:c r="BR194" s="165" t="str">
        <x:f>IF(AND(BR$5&gt;=$C194,BR$5&lt;=$D194,$A194&lt;&gt;""),"●","")</x:f>
      </x:c>
      <x:c r="BS194" s="165" t="str">
        <x:f>IF(AND(BS$5&gt;=$C194,BS$5&lt;=$D194,$A194&lt;&gt;""),"●","")</x:f>
      </x:c>
      <x:c r="BT194" s="165" t="str">
        <x:f>IF(AND(BT$5&gt;=$C194,BT$5&lt;=$D194,$A194&lt;&gt;""),"●","")</x:f>
      </x:c>
      <x:c r="BU194" s="165" t="str">
        <x:f>IF(AND(BU$5&gt;=$C194,BU$5&lt;=$D194,$A194&lt;&gt;""),"●","")</x:f>
      </x:c>
      <x:c r="BV194" s="165" t="str">
        <x:f>IF(AND(BV$5&gt;=$C194,BV$5&lt;=$D194,$A194&lt;&gt;""),"●","")</x:f>
      </x:c>
      <x:c r="BW194" s="165" t="str">
        <x:f>IF(AND(BW$5&gt;=$C194,BW$5&lt;=$D194,$A194&lt;&gt;""),"●","")</x:f>
      </x:c>
    </x:row>
    <x:row r="195">
      <x:c r="A195" s="159" t="str">
        <x:f>IF('รายการสัญญา'!A195="","",'รายการสัญญา'!A195)</x:f>
      </x:c>
      <x:c r="B195" s="159" t="str">
        <x:f>IF('รายการสัญญา'!A195="","",'รายการสัญญา'!C195)</x:f>
      </x:c>
      <x:c r="C195" s="162" t="str">
        <x:f>IF('รายการสัญญา'!A195="","",'รายการสัญญา'!E195)</x:f>
      </x:c>
      <x:c r="D195" s="162" t="str">
        <x:f>IF('รายการสัญญา'!A195="","",'รายการสัญญา'!G195)</x:f>
      </x:c>
      <x:c r="E195" s="159" t="str">
        <x:f>IF('รายการสัญญา'!A195="","",'รายการสัญญา'!K195)</x:f>
      </x:c>
      <x:c r="F195" s="165" t="str">
        <x:f>IF(AND(F$5&gt;=$C195,F$5&lt;=$D195,$A195&lt;&gt;""),"●","")</x:f>
      </x:c>
      <x:c r="G195" s="165" t="str">
        <x:f>IF(AND(G$5&gt;=$C195,G$5&lt;=$D195,$A195&lt;&gt;""),"●","")</x:f>
      </x:c>
      <x:c r="H195" s="165" t="str">
        <x:f>IF(AND(H$5&gt;=$C195,H$5&lt;=$D195,$A195&lt;&gt;""),"●","")</x:f>
      </x:c>
      <x:c r="I195" s="165" t="str">
        <x:f>IF(AND(I$5&gt;=$C195,I$5&lt;=$D195,$A195&lt;&gt;""),"●","")</x:f>
      </x:c>
      <x:c r="J195" s="165" t="str">
        <x:f>IF(AND(J$5&gt;=$C195,J$5&lt;=$D195,$A195&lt;&gt;""),"●","")</x:f>
      </x:c>
      <x:c r="K195" s="165" t="str">
        <x:f>IF(AND(K$5&gt;=$C195,K$5&lt;=$D195,$A195&lt;&gt;""),"●","")</x:f>
      </x:c>
      <x:c r="L195" s="165" t="str">
        <x:f>IF(AND(L$5&gt;=$C195,L$5&lt;=$D195,$A195&lt;&gt;""),"●","")</x:f>
      </x:c>
      <x:c r="M195" s="165" t="str">
        <x:f>IF(AND(M$5&gt;=$C195,M$5&lt;=$D195,$A195&lt;&gt;""),"●","")</x:f>
      </x:c>
      <x:c r="N195" s="165" t="str">
        <x:f>IF(AND(N$5&gt;=$C195,N$5&lt;=$D195,$A195&lt;&gt;""),"●","")</x:f>
      </x:c>
      <x:c r="O195" s="165" t="str">
        <x:f>IF(AND(O$5&gt;=$C195,O$5&lt;=$D195,$A195&lt;&gt;""),"●","")</x:f>
      </x:c>
      <x:c r="P195" s="165" t="str">
        <x:f>IF(AND(P$5&gt;=$C195,P$5&lt;=$D195,$A195&lt;&gt;""),"●","")</x:f>
      </x:c>
      <x:c r="Q195" s="165" t="str">
        <x:f>IF(AND(Q$5&gt;=$C195,Q$5&lt;=$D195,$A195&lt;&gt;""),"●","")</x:f>
      </x:c>
      <x:c r="R195" s="165" t="str">
        <x:f>IF(AND(R$5&gt;=$C195,R$5&lt;=$D195,$A195&lt;&gt;""),"●","")</x:f>
      </x:c>
      <x:c r="S195" s="165" t="str">
        <x:f>IF(AND(S$5&gt;=$C195,S$5&lt;=$D195,$A195&lt;&gt;""),"●","")</x:f>
      </x:c>
      <x:c r="T195" s="165" t="str">
        <x:f>IF(AND(T$5&gt;=$C195,T$5&lt;=$D195,$A195&lt;&gt;""),"●","")</x:f>
      </x:c>
      <x:c r="U195" s="165" t="str">
        <x:f>IF(AND(U$5&gt;=$C195,U$5&lt;=$D195,$A195&lt;&gt;""),"●","")</x:f>
      </x:c>
      <x:c r="V195" s="165" t="str">
        <x:f>IF(AND(V$5&gt;=$C195,V$5&lt;=$D195,$A195&lt;&gt;""),"●","")</x:f>
      </x:c>
      <x:c r="W195" s="165" t="str">
        <x:f>IF(AND(W$5&gt;=$C195,W$5&lt;=$D195,$A195&lt;&gt;""),"●","")</x:f>
      </x:c>
      <x:c r="X195" s="165" t="str">
        <x:f>IF(AND(X$5&gt;=$C195,X$5&lt;=$D195,$A195&lt;&gt;""),"●","")</x:f>
      </x:c>
      <x:c r="Y195" s="165" t="str">
        <x:f>IF(AND(Y$5&gt;=$C195,Y$5&lt;=$D195,$A195&lt;&gt;""),"●","")</x:f>
      </x:c>
      <x:c r="Z195" s="165" t="str">
        <x:f>IF(AND(Z$5&gt;=$C195,Z$5&lt;=$D195,$A195&lt;&gt;""),"●","")</x:f>
      </x:c>
      <x:c r="AA195" s="165" t="str">
        <x:f>IF(AND(AA$5&gt;=$C195,AA$5&lt;=$D195,$A195&lt;&gt;""),"●","")</x:f>
      </x:c>
      <x:c r="AB195" s="165" t="str">
        <x:f>IF(AND(AB$5&gt;=$C195,AB$5&lt;=$D195,$A195&lt;&gt;""),"●","")</x:f>
      </x:c>
      <x:c r="AC195" s="165" t="str">
        <x:f>IF(AND(AC$5&gt;=$C195,AC$5&lt;=$D195,$A195&lt;&gt;""),"●","")</x:f>
      </x:c>
      <x:c r="AD195" s="165" t="str">
        <x:f>IF(AND(AD$5&gt;=$C195,AD$5&lt;=$D195,$A195&lt;&gt;""),"●","")</x:f>
      </x:c>
      <x:c r="AE195" s="165" t="str">
        <x:f>IF(AND(AE$5&gt;=$C195,AE$5&lt;=$D195,$A195&lt;&gt;""),"●","")</x:f>
      </x:c>
      <x:c r="AF195" s="165" t="str">
        <x:f>IF(AND(AF$5&gt;=$C195,AF$5&lt;=$D195,$A195&lt;&gt;""),"●","")</x:f>
      </x:c>
      <x:c r="AG195" s="165" t="str">
        <x:f>IF(AND(AG$5&gt;=$C195,AG$5&lt;=$D195,$A195&lt;&gt;""),"●","")</x:f>
      </x:c>
      <x:c r="AH195" s="165" t="str">
        <x:f>IF(AND(AH$5&gt;=$C195,AH$5&lt;=$D195,$A195&lt;&gt;""),"●","")</x:f>
      </x:c>
      <x:c r="AI195" s="165" t="str">
        <x:f>IF(AND(AI$5&gt;=$C195,AI$5&lt;=$D195,$A195&lt;&gt;""),"●","")</x:f>
      </x:c>
      <x:c r="AJ195" s="165" t="str">
        <x:f>IF(AND(AJ$5&gt;=$C195,AJ$5&lt;=$D195,$A195&lt;&gt;""),"●","")</x:f>
      </x:c>
      <x:c r="AK195" s="165" t="str">
        <x:f>IF(AND(AK$5&gt;=$C195,AK$5&lt;=$D195,$A195&lt;&gt;""),"●","")</x:f>
      </x:c>
      <x:c r="AL195" s="165" t="str">
        <x:f>IF(AND(AL$5&gt;=$C195,AL$5&lt;=$D195,$A195&lt;&gt;""),"●","")</x:f>
      </x:c>
      <x:c r="AM195" s="165" t="str">
        <x:f>IF(AND(AM$5&gt;=$C195,AM$5&lt;=$D195,$A195&lt;&gt;""),"●","")</x:f>
      </x:c>
      <x:c r="AN195" s="165" t="str">
        <x:f>IF(AND(AN$5&gt;=$C195,AN$5&lt;=$D195,$A195&lt;&gt;""),"●","")</x:f>
      </x:c>
      <x:c r="AO195" s="165" t="str">
        <x:f>IF(AND(AO$5&gt;=$C195,AO$5&lt;=$D195,$A195&lt;&gt;""),"●","")</x:f>
      </x:c>
      <x:c r="AP195" s="165" t="str">
        <x:f>IF(AND(AP$5&gt;=$C195,AP$5&lt;=$D195,$A195&lt;&gt;""),"●","")</x:f>
      </x:c>
      <x:c r="AQ195" s="165" t="str">
        <x:f>IF(AND(AQ$5&gt;=$C195,AQ$5&lt;=$D195,$A195&lt;&gt;""),"●","")</x:f>
      </x:c>
      <x:c r="AR195" s="165" t="str">
        <x:f>IF(AND(AR$5&gt;=$C195,AR$5&lt;=$D195,$A195&lt;&gt;""),"●","")</x:f>
      </x:c>
      <x:c r="AS195" s="165" t="str">
        <x:f>IF(AND(AS$5&gt;=$C195,AS$5&lt;=$D195,$A195&lt;&gt;""),"●","")</x:f>
      </x:c>
      <x:c r="AT195" s="165" t="str">
        <x:f>IF(AND(AT$5&gt;=$C195,AT$5&lt;=$D195,$A195&lt;&gt;""),"●","")</x:f>
      </x:c>
      <x:c r="AU195" s="165" t="str">
        <x:f>IF(AND(AU$5&gt;=$C195,AU$5&lt;=$D195,$A195&lt;&gt;""),"●","")</x:f>
      </x:c>
      <x:c r="AV195" s="165" t="str">
        <x:f>IF(AND(AV$5&gt;=$C195,AV$5&lt;=$D195,$A195&lt;&gt;""),"●","")</x:f>
      </x:c>
      <x:c r="AW195" s="165" t="str">
        <x:f>IF(AND(AW$5&gt;=$C195,AW$5&lt;=$D195,$A195&lt;&gt;""),"●","")</x:f>
      </x:c>
      <x:c r="AX195" s="165" t="str">
        <x:f>IF(AND(AX$5&gt;=$C195,AX$5&lt;=$D195,$A195&lt;&gt;""),"●","")</x:f>
      </x:c>
      <x:c r="AY195" s="165" t="str">
        <x:f>IF(AND(AY$5&gt;=$C195,AY$5&lt;=$D195,$A195&lt;&gt;""),"●","")</x:f>
      </x:c>
      <x:c r="AZ195" s="165" t="str">
        <x:f>IF(AND(AZ$5&gt;=$C195,AZ$5&lt;=$D195,$A195&lt;&gt;""),"●","")</x:f>
      </x:c>
      <x:c r="BA195" s="165" t="str">
        <x:f>IF(AND(BA$5&gt;=$C195,BA$5&lt;=$D195,$A195&lt;&gt;""),"●","")</x:f>
      </x:c>
      <x:c r="BB195" s="165" t="str">
        <x:f>IF(AND(BB$5&gt;=$C195,BB$5&lt;=$D195,$A195&lt;&gt;""),"●","")</x:f>
      </x:c>
      <x:c r="BC195" s="165" t="str">
        <x:f>IF(AND(BC$5&gt;=$C195,BC$5&lt;=$D195,$A195&lt;&gt;""),"●","")</x:f>
      </x:c>
      <x:c r="BD195" s="165" t="str">
        <x:f>IF(AND(BD$5&gt;=$C195,BD$5&lt;=$D195,$A195&lt;&gt;""),"●","")</x:f>
      </x:c>
      <x:c r="BE195" s="165" t="str">
        <x:f>IF(AND(BE$5&gt;=$C195,BE$5&lt;=$D195,$A195&lt;&gt;""),"●","")</x:f>
      </x:c>
      <x:c r="BF195" s="165" t="str">
        <x:f>IF(AND(BF$5&gt;=$C195,BF$5&lt;=$D195,$A195&lt;&gt;""),"●","")</x:f>
      </x:c>
      <x:c r="BG195" s="165" t="str">
        <x:f>IF(AND(BG$5&gt;=$C195,BG$5&lt;=$D195,$A195&lt;&gt;""),"●","")</x:f>
      </x:c>
      <x:c r="BH195" s="165" t="str">
        <x:f>IF(AND(BH$5&gt;=$C195,BH$5&lt;=$D195,$A195&lt;&gt;""),"●","")</x:f>
      </x:c>
      <x:c r="BI195" s="165" t="str">
        <x:f>IF(AND(BI$5&gt;=$C195,BI$5&lt;=$D195,$A195&lt;&gt;""),"●","")</x:f>
      </x:c>
      <x:c r="BJ195" s="165" t="str">
        <x:f>IF(AND(BJ$5&gt;=$C195,BJ$5&lt;=$D195,$A195&lt;&gt;""),"●","")</x:f>
      </x:c>
      <x:c r="BK195" s="165" t="str">
        <x:f>IF(AND(BK$5&gt;=$C195,BK$5&lt;=$D195,$A195&lt;&gt;""),"●","")</x:f>
      </x:c>
      <x:c r="BL195" s="165" t="str">
        <x:f>IF(AND(BL$5&gt;=$C195,BL$5&lt;=$D195,$A195&lt;&gt;""),"●","")</x:f>
      </x:c>
      <x:c r="BM195" s="165" t="str">
        <x:f>IF(AND(BM$5&gt;=$C195,BM$5&lt;=$D195,$A195&lt;&gt;""),"●","")</x:f>
      </x:c>
      <x:c r="BN195" s="165" t="str">
        <x:f>IF(AND(BN$5&gt;=$C195,BN$5&lt;=$D195,$A195&lt;&gt;""),"●","")</x:f>
      </x:c>
      <x:c r="BO195" s="165" t="str">
        <x:f>IF(AND(BO$5&gt;=$C195,BO$5&lt;=$D195,$A195&lt;&gt;""),"●","")</x:f>
      </x:c>
      <x:c r="BP195" s="165" t="str">
        <x:f>IF(AND(BP$5&gt;=$C195,BP$5&lt;=$D195,$A195&lt;&gt;""),"●","")</x:f>
      </x:c>
      <x:c r="BQ195" s="165" t="str">
        <x:f>IF(AND(BQ$5&gt;=$C195,BQ$5&lt;=$D195,$A195&lt;&gt;""),"●","")</x:f>
      </x:c>
      <x:c r="BR195" s="165" t="str">
        <x:f>IF(AND(BR$5&gt;=$C195,BR$5&lt;=$D195,$A195&lt;&gt;""),"●","")</x:f>
      </x:c>
      <x:c r="BS195" s="165" t="str">
        <x:f>IF(AND(BS$5&gt;=$C195,BS$5&lt;=$D195,$A195&lt;&gt;""),"●","")</x:f>
      </x:c>
      <x:c r="BT195" s="165" t="str">
        <x:f>IF(AND(BT$5&gt;=$C195,BT$5&lt;=$D195,$A195&lt;&gt;""),"●","")</x:f>
      </x:c>
      <x:c r="BU195" s="165" t="str">
        <x:f>IF(AND(BU$5&gt;=$C195,BU$5&lt;=$D195,$A195&lt;&gt;""),"●","")</x:f>
      </x:c>
      <x:c r="BV195" s="165" t="str">
        <x:f>IF(AND(BV$5&gt;=$C195,BV$5&lt;=$D195,$A195&lt;&gt;""),"●","")</x:f>
      </x:c>
      <x:c r="BW195" s="165" t="str">
        <x:f>IF(AND(BW$5&gt;=$C195,BW$5&lt;=$D195,$A195&lt;&gt;""),"●","")</x:f>
      </x:c>
    </x:row>
    <x:row r="196">
      <x:c r="A196" s="159" t="str">
        <x:f>IF('รายการสัญญา'!A196="","",'รายการสัญญา'!A196)</x:f>
      </x:c>
      <x:c r="B196" s="159" t="str">
        <x:f>IF('รายการสัญญา'!A196="","",'รายการสัญญา'!C196)</x:f>
      </x:c>
      <x:c r="C196" s="162" t="str">
        <x:f>IF('รายการสัญญา'!A196="","",'รายการสัญญา'!E196)</x:f>
      </x:c>
      <x:c r="D196" s="162" t="str">
        <x:f>IF('รายการสัญญา'!A196="","",'รายการสัญญา'!G196)</x:f>
      </x:c>
      <x:c r="E196" s="159" t="str">
        <x:f>IF('รายการสัญญา'!A196="","",'รายการสัญญา'!K196)</x:f>
      </x:c>
      <x:c r="F196" s="165" t="str">
        <x:f>IF(AND(F$5&gt;=$C196,F$5&lt;=$D196,$A196&lt;&gt;""),"●","")</x:f>
      </x:c>
      <x:c r="G196" s="165" t="str">
        <x:f>IF(AND(G$5&gt;=$C196,G$5&lt;=$D196,$A196&lt;&gt;""),"●","")</x:f>
      </x:c>
      <x:c r="H196" s="165" t="str">
        <x:f>IF(AND(H$5&gt;=$C196,H$5&lt;=$D196,$A196&lt;&gt;""),"●","")</x:f>
      </x:c>
      <x:c r="I196" s="165" t="str">
        <x:f>IF(AND(I$5&gt;=$C196,I$5&lt;=$D196,$A196&lt;&gt;""),"●","")</x:f>
      </x:c>
      <x:c r="J196" s="165" t="str">
        <x:f>IF(AND(J$5&gt;=$C196,J$5&lt;=$D196,$A196&lt;&gt;""),"●","")</x:f>
      </x:c>
      <x:c r="K196" s="165" t="str">
        <x:f>IF(AND(K$5&gt;=$C196,K$5&lt;=$D196,$A196&lt;&gt;""),"●","")</x:f>
      </x:c>
      <x:c r="L196" s="165" t="str">
        <x:f>IF(AND(L$5&gt;=$C196,L$5&lt;=$D196,$A196&lt;&gt;""),"●","")</x:f>
      </x:c>
      <x:c r="M196" s="165" t="str">
        <x:f>IF(AND(M$5&gt;=$C196,M$5&lt;=$D196,$A196&lt;&gt;""),"●","")</x:f>
      </x:c>
      <x:c r="N196" s="165" t="str">
        <x:f>IF(AND(N$5&gt;=$C196,N$5&lt;=$D196,$A196&lt;&gt;""),"●","")</x:f>
      </x:c>
      <x:c r="O196" s="165" t="str">
        <x:f>IF(AND(O$5&gt;=$C196,O$5&lt;=$D196,$A196&lt;&gt;""),"●","")</x:f>
      </x:c>
      <x:c r="P196" s="165" t="str">
        <x:f>IF(AND(P$5&gt;=$C196,P$5&lt;=$D196,$A196&lt;&gt;""),"●","")</x:f>
      </x:c>
      <x:c r="Q196" s="165" t="str">
        <x:f>IF(AND(Q$5&gt;=$C196,Q$5&lt;=$D196,$A196&lt;&gt;""),"●","")</x:f>
      </x:c>
      <x:c r="R196" s="165" t="str">
        <x:f>IF(AND(R$5&gt;=$C196,R$5&lt;=$D196,$A196&lt;&gt;""),"●","")</x:f>
      </x:c>
      <x:c r="S196" s="165" t="str">
        <x:f>IF(AND(S$5&gt;=$C196,S$5&lt;=$D196,$A196&lt;&gt;""),"●","")</x:f>
      </x:c>
      <x:c r="T196" s="165" t="str">
        <x:f>IF(AND(T$5&gt;=$C196,T$5&lt;=$D196,$A196&lt;&gt;""),"●","")</x:f>
      </x:c>
      <x:c r="U196" s="165" t="str">
        <x:f>IF(AND(U$5&gt;=$C196,U$5&lt;=$D196,$A196&lt;&gt;""),"●","")</x:f>
      </x:c>
      <x:c r="V196" s="165" t="str">
        <x:f>IF(AND(V$5&gt;=$C196,V$5&lt;=$D196,$A196&lt;&gt;""),"●","")</x:f>
      </x:c>
      <x:c r="W196" s="165" t="str">
        <x:f>IF(AND(W$5&gt;=$C196,W$5&lt;=$D196,$A196&lt;&gt;""),"●","")</x:f>
      </x:c>
      <x:c r="X196" s="165" t="str">
        <x:f>IF(AND(X$5&gt;=$C196,X$5&lt;=$D196,$A196&lt;&gt;""),"●","")</x:f>
      </x:c>
      <x:c r="Y196" s="165" t="str">
        <x:f>IF(AND(Y$5&gt;=$C196,Y$5&lt;=$D196,$A196&lt;&gt;""),"●","")</x:f>
      </x:c>
      <x:c r="Z196" s="165" t="str">
        <x:f>IF(AND(Z$5&gt;=$C196,Z$5&lt;=$D196,$A196&lt;&gt;""),"●","")</x:f>
      </x:c>
      <x:c r="AA196" s="165" t="str">
        <x:f>IF(AND(AA$5&gt;=$C196,AA$5&lt;=$D196,$A196&lt;&gt;""),"●","")</x:f>
      </x:c>
      <x:c r="AB196" s="165" t="str">
        <x:f>IF(AND(AB$5&gt;=$C196,AB$5&lt;=$D196,$A196&lt;&gt;""),"●","")</x:f>
      </x:c>
      <x:c r="AC196" s="165" t="str">
        <x:f>IF(AND(AC$5&gt;=$C196,AC$5&lt;=$D196,$A196&lt;&gt;""),"●","")</x:f>
      </x:c>
      <x:c r="AD196" s="165" t="str">
        <x:f>IF(AND(AD$5&gt;=$C196,AD$5&lt;=$D196,$A196&lt;&gt;""),"●","")</x:f>
      </x:c>
      <x:c r="AE196" s="165" t="str">
        <x:f>IF(AND(AE$5&gt;=$C196,AE$5&lt;=$D196,$A196&lt;&gt;""),"●","")</x:f>
      </x:c>
      <x:c r="AF196" s="165" t="str">
        <x:f>IF(AND(AF$5&gt;=$C196,AF$5&lt;=$D196,$A196&lt;&gt;""),"●","")</x:f>
      </x:c>
      <x:c r="AG196" s="165" t="str">
        <x:f>IF(AND(AG$5&gt;=$C196,AG$5&lt;=$D196,$A196&lt;&gt;""),"●","")</x:f>
      </x:c>
      <x:c r="AH196" s="165" t="str">
        <x:f>IF(AND(AH$5&gt;=$C196,AH$5&lt;=$D196,$A196&lt;&gt;""),"●","")</x:f>
      </x:c>
      <x:c r="AI196" s="165" t="str">
        <x:f>IF(AND(AI$5&gt;=$C196,AI$5&lt;=$D196,$A196&lt;&gt;""),"●","")</x:f>
      </x:c>
      <x:c r="AJ196" s="165" t="str">
        <x:f>IF(AND(AJ$5&gt;=$C196,AJ$5&lt;=$D196,$A196&lt;&gt;""),"●","")</x:f>
      </x:c>
      <x:c r="AK196" s="165" t="str">
        <x:f>IF(AND(AK$5&gt;=$C196,AK$5&lt;=$D196,$A196&lt;&gt;""),"●","")</x:f>
      </x:c>
      <x:c r="AL196" s="165" t="str">
        <x:f>IF(AND(AL$5&gt;=$C196,AL$5&lt;=$D196,$A196&lt;&gt;""),"●","")</x:f>
      </x:c>
      <x:c r="AM196" s="165" t="str">
        <x:f>IF(AND(AM$5&gt;=$C196,AM$5&lt;=$D196,$A196&lt;&gt;""),"●","")</x:f>
      </x:c>
      <x:c r="AN196" s="165" t="str">
        <x:f>IF(AND(AN$5&gt;=$C196,AN$5&lt;=$D196,$A196&lt;&gt;""),"●","")</x:f>
      </x:c>
      <x:c r="AO196" s="165" t="str">
        <x:f>IF(AND(AO$5&gt;=$C196,AO$5&lt;=$D196,$A196&lt;&gt;""),"●","")</x:f>
      </x:c>
      <x:c r="AP196" s="165" t="str">
        <x:f>IF(AND(AP$5&gt;=$C196,AP$5&lt;=$D196,$A196&lt;&gt;""),"●","")</x:f>
      </x:c>
      <x:c r="AQ196" s="165" t="str">
        <x:f>IF(AND(AQ$5&gt;=$C196,AQ$5&lt;=$D196,$A196&lt;&gt;""),"●","")</x:f>
      </x:c>
      <x:c r="AR196" s="165" t="str">
        <x:f>IF(AND(AR$5&gt;=$C196,AR$5&lt;=$D196,$A196&lt;&gt;""),"●","")</x:f>
      </x:c>
      <x:c r="AS196" s="165" t="str">
        <x:f>IF(AND(AS$5&gt;=$C196,AS$5&lt;=$D196,$A196&lt;&gt;""),"●","")</x:f>
      </x:c>
      <x:c r="AT196" s="165" t="str">
        <x:f>IF(AND(AT$5&gt;=$C196,AT$5&lt;=$D196,$A196&lt;&gt;""),"●","")</x:f>
      </x:c>
      <x:c r="AU196" s="165" t="str">
        <x:f>IF(AND(AU$5&gt;=$C196,AU$5&lt;=$D196,$A196&lt;&gt;""),"●","")</x:f>
      </x:c>
      <x:c r="AV196" s="165" t="str">
        <x:f>IF(AND(AV$5&gt;=$C196,AV$5&lt;=$D196,$A196&lt;&gt;""),"●","")</x:f>
      </x:c>
      <x:c r="AW196" s="165" t="str">
        <x:f>IF(AND(AW$5&gt;=$C196,AW$5&lt;=$D196,$A196&lt;&gt;""),"●","")</x:f>
      </x:c>
      <x:c r="AX196" s="165" t="str">
        <x:f>IF(AND(AX$5&gt;=$C196,AX$5&lt;=$D196,$A196&lt;&gt;""),"●","")</x:f>
      </x:c>
      <x:c r="AY196" s="165" t="str">
        <x:f>IF(AND(AY$5&gt;=$C196,AY$5&lt;=$D196,$A196&lt;&gt;""),"●","")</x:f>
      </x:c>
      <x:c r="AZ196" s="165" t="str">
        <x:f>IF(AND(AZ$5&gt;=$C196,AZ$5&lt;=$D196,$A196&lt;&gt;""),"●","")</x:f>
      </x:c>
      <x:c r="BA196" s="165" t="str">
        <x:f>IF(AND(BA$5&gt;=$C196,BA$5&lt;=$D196,$A196&lt;&gt;""),"●","")</x:f>
      </x:c>
      <x:c r="BB196" s="165" t="str">
        <x:f>IF(AND(BB$5&gt;=$C196,BB$5&lt;=$D196,$A196&lt;&gt;""),"●","")</x:f>
      </x:c>
      <x:c r="BC196" s="165" t="str">
        <x:f>IF(AND(BC$5&gt;=$C196,BC$5&lt;=$D196,$A196&lt;&gt;""),"●","")</x:f>
      </x:c>
      <x:c r="BD196" s="165" t="str">
        <x:f>IF(AND(BD$5&gt;=$C196,BD$5&lt;=$D196,$A196&lt;&gt;""),"●","")</x:f>
      </x:c>
      <x:c r="BE196" s="165" t="str">
        <x:f>IF(AND(BE$5&gt;=$C196,BE$5&lt;=$D196,$A196&lt;&gt;""),"●","")</x:f>
      </x:c>
      <x:c r="BF196" s="165" t="str">
        <x:f>IF(AND(BF$5&gt;=$C196,BF$5&lt;=$D196,$A196&lt;&gt;""),"●","")</x:f>
      </x:c>
      <x:c r="BG196" s="165" t="str">
        <x:f>IF(AND(BG$5&gt;=$C196,BG$5&lt;=$D196,$A196&lt;&gt;""),"●","")</x:f>
      </x:c>
      <x:c r="BH196" s="165" t="str">
        <x:f>IF(AND(BH$5&gt;=$C196,BH$5&lt;=$D196,$A196&lt;&gt;""),"●","")</x:f>
      </x:c>
      <x:c r="BI196" s="165" t="str">
        <x:f>IF(AND(BI$5&gt;=$C196,BI$5&lt;=$D196,$A196&lt;&gt;""),"●","")</x:f>
      </x:c>
      <x:c r="BJ196" s="165" t="str">
        <x:f>IF(AND(BJ$5&gt;=$C196,BJ$5&lt;=$D196,$A196&lt;&gt;""),"●","")</x:f>
      </x:c>
      <x:c r="BK196" s="165" t="str">
        <x:f>IF(AND(BK$5&gt;=$C196,BK$5&lt;=$D196,$A196&lt;&gt;""),"●","")</x:f>
      </x:c>
      <x:c r="BL196" s="165" t="str">
        <x:f>IF(AND(BL$5&gt;=$C196,BL$5&lt;=$D196,$A196&lt;&gt;""),"●","")</x:f>
      </x:c>
      <x:c r="BM196" s="165" t="str">
        <x:f>IF(AND(BM$5&gt;=$C196,BM$5&lt;=$D196,$A196&lt;&gt;""),"●","")</x:f>
      </x:c>
      <x:c r="BN196" s="165" t="str">
        <x:f>IF(AND(BN$5&gt;=$C196,BN$5&lt;=$D196,$A196&lt;&gt;""),"●","")</x:f>
      </x:c>
      <x:c r="BO196" s="165" t="str">
        <x:f>IF(AND(BO$5&gt;=$C196,BO$5&lt;=$D196,$A196&lt;&gt;""),"●","")</x:f>
      </x:c>
      <x:c r="BP196" s="165" t="str">
        <x:f>IF(AND(BP$5&gt;=$C196,BP$5&lt;=$D196,$A196&lt;&gt;""),"●","")</x:f>
      </x:c>
      <x:c r="BQ196" s="165" t="str">
        <x:f>IF(AND(BQ$5&gt;=$C196,BQ$5&lt;=$D196,$A196&lt;&gt;""),"●","")</x:f>
      </x:c>
      <x:c r="BR196" s="165" t="str">
        <x:f>IF(AND(BR$5&gt;=$C196,BR$5&lt;=$D196,$A196&lt;&gt;""),"●","")</x:f>
      </x:c>
      <x:c r="BS196" s="165" t="str">
        <x:f>IF(AND(BS$5&gt;=$C196,BS$5&lt;=$D196,$A196&lt;&gt;""),"●","")</x:f>
      </x:c>
      <x:c r="BT196" s="165" t="str">
        <x:f>IF(AND(BT$5&gt;=$C196,BT$5&lt;=$D196,$A196&lt;&gt;""),"●","")</x:f>
      </x:c>
      <x:c r="BU196" s="165" t="str">
        <x:f>IF(AND(BU$5&gt;=$C196,BU$5&lt;=$D196,$A196&lt;&gt;""),"●","")</x:f>
      </x:c>
      <x:c r="BV196" s="165" t="str">
        <x:f>IF(AND(BV$5&gt;=$C196,BV$5&lt;=$D196,$A196&lt;&gt;""),"●","")</x:f>
      </x:c>
      <x:c r="BW196" s="165" t="str">
        <x:f>IF(AND(BW$5&gt;=$C196,BW$5&lt;=$D196,$A196&lt;&gt;""),"●","")</x:f>
      </x:c>
    </x:row>
    <x:row r="197">
      <x:c r="A197" s="159" t="str">
        <x:f>IF('รายการสัญญา'!A197="","",'รายการสัญญา'!A197)</x:f>
      </x:c>
      <x:c r="B197" s="159" t="str">
        <x:f>IF('รายการสัญญา'!A197="","",'รายการสัญญา'!C197)</x:f>
      </x:c>
      <x:c r="C197" s="162" t="str">
        <x:f>IF('รายการสัญญา'!A197="","",'รายการสัญญา'!E197)</x:f>
      </x:c>
      <x:c r="D197" s="162" t="str">
        <x:f>IF('รายการสัญญา'!A197="","",'รายการสัญญา'!G197)</x:f>
      </x:c>
      <x:c r="E197" s="159" t="str">
        <x:f>IF('รายการสัญญา'!A197="","",'รายการสัญญา'!K197)</x:f>
      </x:c>
      <x:c r="F197" s="165" t="str">
        <x:f>IF(AND(F$5&gt;=$C197,F$5&lt;=$D197,$A197&lt;&gt;""),"●","")</x:f>
      </x:c>
      <x:c r="G197" s="165" t="str">
        <x:f>IF(AND(G$5&gt;=$C197,G$5&lt;=$D197,$A197&lt;&gt;""),"●","")</x:f>
      </x:c>
      <x:c r="H197" s="165" t="str">
        <x:f>IF(AND(H$5&gt;=$C197,H$5&lt;=$D197,$A197&lt;&gt;""),"●","")</x:f>
      </x:c>
      <x:c r="I197" s="165" t="str">
        <x:f>IF(AND(I$5&gt;=$C197,I$5&lt;=$D197,$A197&lt;&gt;""),"●","")</x:f>
      </x:c>
      <x:c r="J197" s="165" t="str">
        <x:f>IF(AND(J$5&gt;=$C197,J$5&lt;=$D197,$A197&lt;&gt;""),"●","")</x:f>
      </x:c>
      <x:c r="K197" s="165" t="str">
        <x:f>IF(AND(K$5&gt;=$C197,K$5&lt;=$D197,$A197&lt;&gt;""),"●","")</x:f>
      </x:c>
      <x:c r="L197" s="165" t="str">
        <x:f>IF(AND(L$5&gt;=$C197,L$5&lt;=$D197,$A197&lt;&gt;""),"●","")</x:f>
      </x:c>
      <x:c r="M197" s="165" t="str">
        <x:f>IF(AND(M$5&gt;=$C197,M$5&lt;=$D197,$A197&lt;&gt;""),"●","")</x:f>
      </x:c>
      <x:c r="N197" s="165" t="str">
        <x:f>IF(AND(N$5&gt;=$C197,N$5&lt;=$D197,$A197&lt;&gt;""),"●","")</x:f>
      </x:c>
      <x:c r="O197" s="165" t="str">
        <x:f>IF(AND(O$5&gt;=$C197,O$5&lt;=$D197,$A197&lt;&gt;""),"●","")</x:f>
      </x:c>
      <x:c r="P197" s="165" t="str">
        <x:f>IF(AND(P$5&gt;=$C197,P$5&lt;=$D197,$A197&lt;&gt;""),"●","")</x:f>
      </x:c>
      <x:c r="Q197" s="165" t="str">
        <x:f>IF(AND(Q$5&gt;=$C197,Q$5&lt;=$D197,$A197&lt;&gt;""),"●","")</x:f>
      </x:c>
      <x:c r="R197" s="165" t="str">
        <x:f>IF(AND(R$5&gt;=$C197,R$5&lt;=$D197,$A197&lt;&gt;""),"●","")</x:f>
      </x:c>
      <x:c r="S197" s="165" t="str">
        <x:f>IF(AND(S$5&gt;=$C197,S$5&lt;=$D197,$A197&lt;&gt;""),"●","")</x:f>
      </x:c>
      <x:c r="T197" s="165" t="str">
        <x:f>IF(AND(T$5&gt;=$C197,T$5&lt;=$D197,$A197&lt;&gt;""),"●","")</x:f>
      </x:c>
      <x:c r="U197" s="165" t="str">
        <x:f>IF(AND(U$5&gt;=$C197,U$5&lt;=$D197,$A197&lt;&gt;""),"●","")</x:f>
      </x:c>
      <x:c r="V197" s="165" t="str">
        <x:f>IF(AND(V$5&gt;=$C197,V$5&lt;=$D197,$A197&lt;&gt;""),"●","")</x:f>
      </x:c>
      <x:c r="W197" s="165" t="str">
        <x:f>IF(AND(W$5&gt;=$C197,W$5&lt;=$D197,$A197&lt;&gt;""),"●","")</x:f>
      </x:c>
      <x:c r="X197" s="165" t="str">
        <x:f>IF(AND(X$5&gt;=$C197,X$5&lt;=$D197,$A197&lt;&gt;""),"●","")</x:f>
      </x:c>
      <x:c r="Y197" s="165" t="str">
        <x:f>IF(AND(Y$5&gt;=$C197,Y$5&lt;=$D197,$A197&lt;&gt;""),"●","")</x:f>
      </x:c>
      <x:c r="Z197" s="165" t="str">
        <x:f>IF(AND(Z$5&gt;=$C197,Z$5&lt;=$D197,$A197&lt;&gt;""),"●","")</x:f>
      </x:c>
      <x:c r="AA197" s="165" t="str">
        <x:f>IF(AND(AA$5&gt;=$C197,AA$5&lt;=$D197,$A197&lt;&gt;""),"●","")</x:f>
      </x:c>
      <x:c r="AB197" s="165" t="str">
        <x:f>IF(AND(AB$5&gt;=$C197,AB$5&lt;=$D197,$A197&lt;&gt;""),"●","")</x:f>
      </x:c>
      <x:c r="AC197" s="165" t="str">
        <x:f>IF(AND(AC$5&gt;=$C197,AC$5&lt;=$D197,$A197&lt;&gt;""),"●","")</x:f>
      </x:c>
      <x:c r="AD197" s="165" t="str">
        <x:f>IF(AND(AD$5&gt;=$C197,AD$5&lt;=$D197,$A197&lt;&gt;""),"●","")</x:f>
      </x:c>
      <x:c r="AE197" s="165" t="str">
        <x:f>IF(AND(AE$5&gt;=$C197,AE$5&lt;=$D197,$A197&lt;&gt;""),"●","")</x:f>
      </x:c>
      <x:c r="AF197" s="165" t="str">
        <x:f>IF(AND(AF$5&gt;=$C197,AF$5&lt;=$D197,$A197&lt;&gt;""),"●","")</x:f>
      </x:c>
      <x:c r="AG197" s="165" t="str">
        <x:f>IF(AND(AG$5&gt;=$C197,AG$5&lt;=$D197,$A197&lt;&gt;""),"●","")</x:f>
      </x:c>
      <x:c r="AH197" s="165" t="str">
        <x:f>IF(AND(AH$5&gt;=$C197,AH$5&lt;=$D197,$A197&lt;&gt;""),"●","")</x:f>
      </x:c>
      <x:c r="AI197" s="165" t="str">
        <x:f>IF(AND(AI$5&gt;=$C197,AI$5&lt;=$D197,$A197&lt;&gt;""),"●","")</x:f>
      </x:c>
      <x:c r="AJ197" s="165" t="str">
        <x:f>IF(AND(AJ$5&gt;=$C197,AJ$5&lt;=$D197,$A197&lt;&gt;""),"●","")</x:f>
      </x:c>
      <x:c r="AK197" s="165" t="str">
        <x:f>IF(AND(AK$5&gt;=$C197,AK$5&lt;=$D197,$A197&lt;&gt;""),"●","")</x:f>
      </x:c>
      <x:c r="AL197" s="165" t="str">
        <x:f>IF(AND(AL$5&gt;=$C197,AL$5&lt;=$D197,$A197&lt;&gt;""),"●","")</x:f>
      </x:c>
      <x:c r="AM197" s="165" t="str">
        <x:f>IF(AND(AM$5&gt;=$C197,AM$5&lt;=$D197,$A197&lt;&gt;""),"●","")</x:f>
      </x:c>
      <x:c r="AN197" s="165" t="str">
        <x:f>IF(AND(AN$5&gt;=$C197,AN$5&lt;=$D197,$A197&lt;&gt;""),"●","")</x:f>
      </x:c>
      <x:c r="AO197" s="165" t="str">
        <x:f>IF(AND(AO$5&gt;=$C197,AO$5&lt;=$D197,$A197&lt;&gt;""),"●","")</x:f>
      </x:c>
      <x:c r="AP197" s="165" t="str">
        <x:f>IF(AND(AP$5&gt;=$C197,AP$5&lt;=$D197,$A197&lt;&gt;""),"●","")</x:f>
      </x:c>
      <x:c r="AQ197" s="165" t="str">
        <x:f>IF(AND(AQ$5&gt;=$C197,AQ$5&lt;=$D197,$A197&lt;&gt;""),"●","")</x:f>
      </x:c>
      <x:c r="AR197" s="165" t="str">
        <x:f>IF(AND(AR$5&gt;=$C197,AR$5&lt;=$D197,$A197&lt;&gt;""),"●","")</x:f>
      </x:c>
      <x:c r="AS197" s="165" t="str">
        <x:f>IF(AND(AS$5&gt;=$C197,AS$5&lt;=$D197,$A197&lt;&gt;""),"●","")</x:f>
      </x:c>
      <x:c r="AT197" s="165" t="str">
        <x:f>IF(AND(AT$5&gt;=$C197,AT$5&lt;=$D197,$A197&lt;&gt;""),"●","")</x:f>
      </x:c>
      <x:c r="AU197" s="165" t="str">
        <x:f>IF(AND(AU$5&gt;=$C197,AU$5&lt;=$D197,$A197&lt;&gt;""),"●","")</x:f>
      </x:c>
      <x:c r="AV197" s="165" t="str">
        <x:f>IF(AND(AV$5&gt;=$C197,AV$5&lt;=$D197,$A197&lt;&gt;""),"●","")</x:f>
      </x:c>
      <x:c r="AW197" s="165" t="str">
        <x:f>IF(AND(AW$5&gt;=$C197,AW$5&lt;=$D197,$A197&lt;&gt;""),"●","")</x:f>
      </x:c>
      <x:c r="AX197" s="165" t="str">
        <x:f>IF(AND(AX$5&gt;=$C197,AX$5&lt;=$D197,$A197&lt;&gt;""),"●","")</x:f>
      </x:c>
      <x:c r="AY197" s="165" t="str">
        <x:f>IF(AND(AY$5&gt;=$C197,AY$5&lt;=$D197,$A197&lt;&gt;""),"●","")</x:f>
      </x:c>
      <x:c r="AZ197" s="165" t="str">
        <x:f>IF(AND(AZ$5&gt;=$C197,AZ$5&lt;=$D197,$A197&lt;&gt;""),"●","")</x:f>
      </x:c>
      <x:c r="BA197" s="165" t="str">
        <x:f>IF(AND(BA$5&gt;=$C197,BA$5&lt;=$D197,$A197&lt;&gt;""),"●","")</x:f>
      </x:c>
      <x:c r="BB197" s="165" t="str">
        <x:f>IF(AND(BB$5&gt;=$C197,BB$5&lt;=$D197,$A197&lt;&gt;""),"●","")</x:f>
      </x:c>
      <x:c r="BC197" s="165" t="str">
        <x:f>IF(AND(BC$5&gt;=$C197,BC$5&lt;=$D197,$A197&lt;&gt;""),"●","")</x:f>
      </x:c>
      <x:c r="BD197" s="165" t="str">
        <x:f>IF(AND(BD$5&gt;=$C197,BD$5&lt;=$D197,$A197&lt;&gt;""),"●","")</x:f>
      </x:c>
      <x:c r="BE197" s="165" t="str">
        <x:f>IF(AND(BE$5&gt;=$C197,BE$5&lt;=$D197,$A197&lt;&gt;""),"●","")</x:f>
      </x:c>
      <x:c r="BF197" s="165" t="str">
        <x:f>IF(AND(BF$5&gt;=$C197,BF$5&lt;=$D197,$A197&lt;&gt;""),"●","")</x:f>
      </x:c>
      <x:c r="BG197" s="165" t="str">
        <x:f>IF(AND(BG$5&gt;=$C197,BG$5&lt;=$D197,$A197&lt;&gt;""),"●","")</x:f>
      </x:c>
      <x:c r="BH197" s="165" t="str">
        <x:f>IF(AND(BH$5&gt;=$C197,BH$5&lt;=$D197,$A197&lt;&gt;""),"●","")</x:f>
      </x:c>
      <x:c r="BI197" s="165" t="str">
        <x:f>IF(AND(BI$5&gt;=$C197,BI$5&lt;=$D197,$A197&lt;&gt;""),"●","")</x:f>
      </x:c>
      <x:c r="BJ197" s="165" t="str">
        <x:f>IF(AND(BJ$5&gt;=$C197,BJ$5&lt;=$D197,$A197&lt;&gt;""),"●","")</x:f>
      </x:c>
      <x:c r="BK197" s="165" t="str">
        <x:f>IF(AND(BK$5&gt;=$C197,BK$5&lt;=$D197,$A197&lt;&gt;""),"●","")</x:f>
      </x:c>
      <x:c r="BL197" s="165" t="str">
        <x:f>IF(AND(BL$5&gt;=$C197,BL$5&lt;=$D197,$A197&lt;&gt;""),"●","")</x:f>
      </x:c>
      <x:c r="BM197" s="165" t="str">
        <x:f>IF(AND(BM$5&gt;=$C197,BM$5&lt;=$D197,$A197&lt;&gt;""),"●","")</x:f>
      </x:c>
      <x:c r="BN197" s="165" t="str">
        <x:f>IF(AND(BN$5&gt;=$C197,BN$5&lt;=$D197,$A197&lt;&gt;""),"●","")</x:f>
      </x:c>
      <x:c r="BO197" s="165" t="str">
        <x:f>IF(AND(BO$5&gt;=$C197,BO$5&lt;=$D197,$A197&lt;&gt;""),"●","")</x:f>
      </x:c>
      <x:c r="BP197" s="165" t="str">
        <x:f>IF(AND(BP$5&gt;=$C197,BP$5&lt;=$D197,$A197&lt;&gt;""),"●","")</x:f>
      </x:c>
      <x:c r="BQ197" s="165" t="str">
        <x:f>IF(AND(BQ$5&gt;=$C197,BQ$5&lt;=$D197,$A197&lt;&gt;""),"●","")</x:f>
      </x:c>
      <x:c r="BR197" s="165" t="str">
        <x:f>IF(AND(BR$5&gt;=$C197,BR$5&lt;=$D197,$A197&lt;&gt;""),"●","")</x:f>
      </x:c>
      <x:c r="BS197" s="165" t="str">
        <x:f>IF(AND(BS$5&gt;=$C197,BS$5&lt;=$D197,$A197&lt;&gt;""),"●","")</x:f>
      </x:c>
      <x:c r="BT197" s="165" t="str">
        <x:f>IF(AND(BT$5&gt;=$C197,BT$5&lt;=$D197,$A197&lt;&gt;""),"●","")</x:f>
      </x:c>
      <x:c r="BU197" s="165" t="str">
        <x:f>IF(AND(BU$5&gt;=$C197,BU$5&lt;=$D197,$A197&lt;&gt;""),"●","")</x:f>
      </x:c>
      <x:c r="BV197" s="165" t="str">
        <x:f>IF(AND(BV$5&gt;=$C197,BV$5&lt;=$D197,$A197&lt;&gt;""),"●","")</x:f>
      </x:c>
      <x:c r="BW197" s="165" t="str">
        <x:f>IF(AND(BW$5&gt;=$C197,BW$5&lt;=$D197,$A197&lt;&gt;""),"●","")</x:f>
      </x:c>
    </x:row>
    <x:row r="198">
      <x:c r="A198" s="159" t="str">
        <x:f>IF('รายการสัญญา'!A198="","",'รายการสัญญา'!A198)</x:f>
      </x:c>
      <x:c r="B198" s="159" t="str">
        <x:f>IF('รายการสัญญา'!A198="","",'รายการสัญญา'!C198)</x:f>
      </x:c>
      <x:c r="C198" s="162" t="str">
        <x:f>IF('รายการสัญญา'!A198="","",'รายการสัญญา'!E198)</x:f>
      </x:c>
      <x:c r="D198" s="162" t="str">
        <x:f>IF('รายการสัญญา'!A198="","",'รายการสัญญา'!G198)</x:f>
      </x:c>
      <x:c r="E198" s="159" t="str">
        <x:f>IF('รายการสัญญา'!A198="","",'รายการสัญญา'!K198)</x:f>
      </x:c>
      <x:c r="F198" s="165" t="str">
        <x:f>IF(AND(F$5&gt;=$C198,F$5&lt;=$D198,$A198&lt;&gt;""),"●","")</x:f>
      </x:c>
      <x:c r="G198" s="165" t="str">
        <x:f>IF(AND(G$5&gt;=$C198,G$5&lt;=$D198,$A198&lt;&gt;""),"●","")</x:f>
      </x:c>
      <x:c r="H198" s="165" t="str">
        <x:f>IF(AND(H$5&gt;=$C198,H$5&lt;=$D198,$A198&lt;&gt;""),"●","")</x:f>
      </x:c>
      <x:c r="I198" s="165" t="str">
        <x:f>IF(AND(I$5&gt;=$C198,I$5&lt;=$D198,$A198&lt;&gt;""),"●","")</x:f>
      </x:c>
      <x:c r="J198" s="165" t="str">
        <x:f>IF(AND(J$5&gt;=$C198,J$5&lt;=$D198,$A198&lt;&gt;""),"●","")</x:f>
      </x:c>
      <x:c r="K198" s="165" t="str">
        <x:f>IF(AND(K$5&gt;=$C198,K$5&lt;=$D198,$A198&lt;&gt;""),"●","")</x:f>
      </x:c>
      <x:c r="L198" s="165" t="str">
        <x:f>IF(AND(L$5&gt;=$C198,L$5&lt;=$D198,$A198&lt;&gt;""),"●","")</x:f>
      </x:c>
      <x:c r="M198" s="165" t="str">
        <x:f>IF(AND(M$5&gt;=$C198,M$5&lt;=$D198,$A198&lt;&gt;""),"●","")</x:f>
      </x:c>
      <x:c r="N198" s="165" t="str">
        <x:f>IF(AND(N$5&gt;=$C198,N$5&lt;=$D198,$A198&lt;&gt;""),"●","")</x:f>
      </x:c>
      <x:c r="O198" s="165" t="str">
        <x:f>IF(AND(O$5&gt;=$C198,O$5&lt;=$D198,$A198&lt;&gt;""),"●","")</x:f>
      </x:c>
      <x:c r="P198" s="165" t="str">
        <x:f>IF(AND(P$5&gt;=$C198,P$5&lt;=$D198,$A198&lt;&gt;""),"●","")</x:f>
      </x:c>
      <x:c r="Q198" s="165" t="str">
        <x:f>IF(AND(Q$5&gt;=$C198,Q$5&lt;=$D198,$A198&lt;&gt;""),"●","")</x:f>
      </x:c>
      <x:c r="R198" s="165" t="str">
        <x:f>IF(AND(R$5&gt;=$C198,R$5&lt;=$D198,$A198&lt;&gt;""),"●","")</x:f>
      </x:c>
      <x:c r="S198" s="165" t="str">
        <x:f>IF(AND(S$5&gt;=$C198,S$5&lt;=$D198,$A198&lt;&gt;""),"●","")</x:f>
      </x:c>
      <x:c r="T198" s="165" t="str">
        <x:f>IF(AND(T$5&gt;=$C198,T$5&lt;=$D198,$A198&lt;&gt;""),"●","")</x:f>
      </x:c>
      <x:c r="U198" s="165" t="str">
        <x:f>IF(AND(U$5&gt;=$C198,U$5&lt;=$D198,$A198&lt;&gt;""),"●","")</x:f>
      </x:c>
      <x:c r="V198" s="165" t="str">
        <x:f>IF(AND(V$5&gt;=$C198,V$5&lt;=$D198,$A198&lt;&gt;""),"●","")</x:f>
      </x:c>
      <x:c r="W198" s="165" t="str">
        <x:f>IF(AND(W$5&gt;=$C198,W$5&lt;=$D198,$A198&lt;&gt;""),"●","")</x:f>
      </x:c>
      <x:c r="X198" s="165" t="str">
        <x:f>IF(AND(X$5&gt;=$C198,X$5&lt;=$D198,$A198&lt;&gt;""),"●","")</x:f>
      </x:c>
      <x:c r="Y198" s="165" t="str">
        <x:f>IF(AND(Y$5&gt;=$C198,Y$5&lt;=$D198,$A198&lt;&gt;""),"●","")</x:f>
      </x:c>
      <x:c r="Z198" s="165" t="str">
        <x:f>IF(AND(Z$5&gt;=$C198,Z$5&lt;=$D198,$A198&lt;&gt;""),"●","")</x:f>
      </x:c>
      <x:c r="AA198" s="165" t="str">
        <x:f>IF(AND(AA$5&gt;=$C198,AA$5&lt;=$D198,$A198&lt;&gt;""),"●","")</x:f>
      </x:c>
      <x:c r="AB198" s="165" t="str">
        <x:f>IF(AND(AB$5&gt;=$C198,AB$5&lt;=$D198,$A198&lt;&gt;""),"●","")</x:f>
      </x:c>
      <x:c r="AC198" s="165" t="str">
        <x:f>IF(AND(AC$5&gt;=$C198,AC$5&lt;=$D198,$A198&lt;&gt;""),"●","")</x:f>
      </x:c>
      <x:c r="AD198" s="165" t="str">
        <x:f>IF(AND(AD$5&gt;=$C198,AD$5&lt;=$D198,$A198&lt;&gt;""),"●","")</x:f>
      </x:c>
      <x:c r="AE198" s="165" t="str">
        <x:f>IF(AND(AE$5&gt;=$C198,AE$5&lt;=$D198,$A198&lt;&gt;""),"●","")</x:f>
      </x:c>
      <x:c r="AF198" s="165" t="str">
        <x:f>IF(AND(AF$5&gt;=$C198,AF$5&lt;=$D198,$A198&lt;&gt;""),"●","")</x:f>
      </x:c>
      <x:c r="AG198" s="165" t="str">
        <x:f>IF(AND(AG$5&gt;=$C198,AG$5&lt;=$D198,$A198&lt;&gt;""),"●","")</x:f>
      </x:c>
      <x:c r="AH198" s="165" t="str">
        <x:f>IF(AND(AH$5&gt;=$C198,AH$5&lt;=$D198,$A198&lt;&gt;""),"●","")</x:f>
      </x:c>
      <x:c r="AI198" s="165" t="str">
        <x:f>IF(AND(AI$5&gt;=$C198,AI$5&lt;=$D198,$A198&lt;&gt;""),"●","")</x:f>
      </x:c>
      <x:c r="AJ198" s="165" t="str">
        <x:f>IF(AND(AJ$5&gt;=$C198,AJ$5&lt;=$D198,$A198&lt;&gt;""),"●","")</x:f>
      </x:c>
      <x:c r="AK198" s="165" t="str">
        <x:f>IF(AND(AK$5&gt;=$C198,AK$5&lt;=$D198,$A198&lt;&gt;""),"●","")</x:f>
      </x:c>
      <x:c r="AL198" s="165" t="str">
        <x:f>IF(AND(AL$5&gt;=$C198,AL$5&lt;=$D198,$A198&lt;&gt;""),"●","")</x:f>
      </x:c>
      <x:c r="AM198" s="165" t="str">
        <x:f>IF(AND(AM$5&gt;=$C198,AM$5&lt;=$D198,$A198&lt;&gt;""),"●","")</x:f>
      </x:c>
      <x:c r="AN198" s="165" t="str">
        <x:f>IF(AND(AN$5&gt;=$C198,AN$5&lt;=$D198,$A198&lt;&gt;""),"●","")</x:f>
      </x:c>
      <x:c r="AO198" s="165" t="str">
        <x:f>IF(AND(AO$5&gt;=$C198,AO$5&lt;=$D198,$A198&lt;&gt;""),"●","")</x:f>
      </x:c>
      <x:c r="AP198" s="165" t="str">
        <x:f>IF(AND(AP$5&gt;=$C198,AP$5&lt;=$D198,$A198&lt;&gt;""),"●","")</x:f>
      </x:c>
      <x:c r="AQ198" s="165" t="str">
        <x:f>IF(AND(AQ$5&gt;=$C198,AQ$5&lt;=$D198,$A198&lt;&gt;""),"●","")</x:f>
      </x:c>
      <x:c r="AR198" s="165" t="str">
        <x:f>IF(AND(AR$5&gt;=$C198,AR$5&lt;=$D198,$A198&lt;&gt;""),"●","")</x:f>
      </x:c>
      <x:c r="AS198" s="165" t="str">
        <x:f>IF(AND(AS$5&gt;=$C198,AS$5&lt;=$D198,$A198&lt;&gt;""),"●","")</x:f>
      </x:c>
      <x:c r="AT198" s="165" t="str">
        <x:f>IF(AND(AT$5&gt;=$C198,AT$5&lt;=$D198,$A198&lt;&gt;""),"●","")</x:f>
      </x:c>
      <x:c r="AU198" s="165" t="str">
        <x:f>IF(AND(AU$5&gt;=$C198,AU$5&lt;=$D198,$A198&lt;&gt;""),"●","")</x:f>
      </x:c>
      <x:c r="AV198" s="165" t="str">
        <x:f>IF(AND(AV$5&gt;=$C198,AV$5&lt;=$D198,$A198&lt;&gt;""),"●","")</x:f>
      </x:c>
      <x:c r="AW198" s="165" t="str">
        <x:f>IF(AND(AW$5&gt;=$C198,AW$5&lt;=$D198,$A198&lt;&gt;""),"●","")</x:f>
      </x:c>
      <x:c r="AX198" s="165" t="str">
        <x:f>IF(AND(AX$5&gt;=$C198,AX$5&lt;=$D198,$A198&lt;&gt;""),"●","")</x:f>
      </x:c>
      <x:c r="AY198" s="165" t="str">
        <x:f>IF(AND(AY$5&gt;=$C198,AY$5&lt;=$D198,$A198&lt;&gt;""),"●","")</x:f>
      </x:c>
      <x:c r="AZ198" s="165" t="str">
        <x:f>IF(AND(AZ$5&gt;=$C198,AZ$5&lt;=$D198,$A198&lt;&gt;""),"●","")</x:f>
      </x:c>
      <x:c r="BA198" s="165" t="str">
        <x:f>IF(AND(BA$5&gt;=$C198,BA$5&lt;=$D198,$A198&lt;&gt;""),"●","")</x:f>
      </x:c>
      <x:c r="BB198" s="165" t="str">
        <x:f>IF(AND(BB$5&gt;=$C198,BB$5&lt;=$D198,$A198&lt;&gt;""),"●","")</x:f>
      </x:c>
      <x:c r="BC198" s="165" t="str">
        <x:f>IF(AND(BC$5&gt;=$C198,BC$5&lt;=$D198,$A198&lt;&gt;""),"●","")</x:f>
      </x:c>
      <x:c r="BD198" s="165" t="str">
        <x:f>IF(AND(BD$5&gt;=$C198,BD$5&lt;=$D198,$A198&lt;&gt;""),"●","")</x:f>
      </x:c>
      <x:c r="BE198" s="165" t="str">
        <x:f>IF(AND(BE$5&gt;=$C198,BE$5&lt;=$D198,$A198&lt;&gt;""),"●","")</x:f>
      </x:c>
      <x:c r="BF198" s="165" t="str">
        <x:f>IF(AND(BF$5&gt;=$C198,BF$5&lt;=$D198,$A198&lt;&gt;""),"●","")</x:f>
      </x:c>
      <x:c r="BG198" s="165" t="str">
        <x:f>IF(AND(BG$5&gt;=$C198,BG$5&lt;=$D198,$A198&lt;&gt;""),"●","")</x:f>
      </x:c>
      <x:c r="BH198" s="165" t="str">
        <x:f>IF(AND(BH$5&gt;=$C198,BH$5&lt;=$D198,$A198&lt;&gt;""),"●","")</x:f>
      </x:c>
      <x:c r="BI198" s="165" t="str">
        <x:f>IF(AND(BI$5&gt;=$C198,BI$5&lt;=$D198,$A198&lt;&gt;""),"●","")</x:f>
      </x:c>
      <x:c r="BJ198" s="165" t="str">
        <x:f>IF(AND(BJ$5&gt;=$C198,BJ$5&lt;=$D198,$A198&lt;&gt;""),"●","")</x:f>
      </x:c>
      <x:c r="BK198" s="165" t="str">
        <x:f>IF(AND(BK$5&gt;=$C198,BK$5&lt;=$D198,$A198&lt;&gt;""),"●","")</x:f>
      </x:c>
      <x:c r="BL198" s="165" t="str">
        <x:f>IF(AND(BL$5&gt;=$C198,BL$5&lt;=$D198,$A198&lt;&gt;""),"●","")</x:f>
      </x:c>
      <x:c r="BM198" s="165" t="str">
        <x:f>IF(AND(BM$5&gt;=$C198,BM$5&lt;=$D198,$A198&lt;&gt;""),"●","")</x:f>
      </x:c>
      <x:c r="BN198" s="165" t="str">
        <x:f>IF(AND(BN$5&gt;=$C198,BN$5&lt;=$D198,$A198&lt;&gt;""),"●","")</x:f>
      </x:c>
      <x:c r="BO198" s="165" t="str">
        <x:f>IF(AND(BO$5&gt;=$C198,BO$5&lt;=$D198,$A198&lt;&gt;""),"●","")</x:f>
      </x:c>
      <x:c r="BP198" s="165" t="str">
        <x:f>IF(AND(BP$5&gt;=$C198,BP$5&lt;=$D198,$A198&lt;&gt;""),"●","")</x:f>
      </x:c>
      <x:c r="BQ198" s="165" t="str">
        <x:f>IF(AND(BQ$5&gt;=$C198,BQ$5&lt;=$D198,$A198&lt;&gt;""),"●","")</x:f>
      </x:c>
      <x:c r="BR198" s="165" t="str">
        <x:f>IF(AND(BR$5&gt;=$C198,BR$5&lt;=$D198,$A198&lt;&gt;""),"●","")</x:f>
      </x:c>
      <x:c r="BS198" s="165" t="str">
        <x:f>IF(AND(BS$5&gt;=$C198,BS$5&lt;=$D198,$A198&lt;&gt;""),"●","")</x:f>
      </x:c>
      <x:c r="BT198" s="165" t="str">
        <x:f>IF(AND(BT$5&gt;=$C198,BT$5&lt;=$D198,$A198&lt;&gt;""),"●","")</x:f>
      </x:c>
      <x:c r="BU198" s="165" t="str">
        <x:f>IF(AND(BU$5&gt;=$C198,BU$5&lt;=$D198,$A198&lt;&gt;""),"●","")</x:f>
      </x:c>
      <x:c r="BV198" s="165" t="str">
        <x:f>IF(AND(BV$5&gt;=$C198,BV$5&lt;=$D198,$A198&lt;&gt;""),"●","")</x:f>
      </x:c>
      <x:c r="BW198" s="165" t="str">
        <x:f>IF(AND(BW$5&gt;=$C198,BW$5&lt;=$D198,$A198&lt;&gt;""),"●","")</x:f>
      </x:c>
    </x:row>
    <x:row r="199">
      <x:c r="A199" s="159" t="str">
        <x:f>IF('รายการสัญญา'!A199="","",'รายการสัญญา'!A199)</x:f>
      </x:c>
      <x:c r="B199" s="159" t="str">
        <x:f>IF('รายการสัญญา'!A199="","",'รายการสัญญา'!C199)</x:f>
      </x:c>
      <x:c r="C199" s="162" t="str">
        <x:f>IF('รายการสัญญา'!A199="","",'รายการสัญญา'!E199)</x:f>
      </x:c>
      <x:c r="D199" s="162" t="str">
        <x:f>IF('รายการสัญญา'!A199="","",'รายการสัญญา'!G199)</x:f>
      </x:c>
      <x:c r="E199" s="159" t="str">
        <x:f>IF('รายการสัญญา'!A199="","",'รายการสัญญา'!K199)</x:f>
      </x:c>
      <x:c r="F199" s="165" t="str">
        <x:f>IF(AND(F$5&gt;=$C199,F$5&lt;=$D199,$A199&lt;&gt;""),"●","")</x:f>
      </x:c>
      <x:c r="G199" s="165" t="str">
        <x:f>IF(AND(G$5&gt;=$C199,G$5&lt;=$D199,$A199&lt;&gt;""),"●","")</x:f>
      </x:c>
      <x:c r="H199" s="165" t="str">
        <x:f>IF(AND(H$5&gt;=$C199,H$5&lt;=$D199,$A199&lt;&gt;""),"●","")</x:f>
      </x:c>
      <x:c r="I199" s="165" t="str">
        <x:f>IF(AND(I$5&gt;=$C199,I$5&lt;=$D199,$A199&lt;&gt;""),"●","")</x:f>
      </x:c>
      <x:c r="J199" s="165" t="str">
        <x:f>IF(AND(J$5&gt;=$C199,J$5&lt;=$D199,$A199&lt;&gt;""),"●","")</x:f>
      </x:c>
      <x:c r="K199" s="165" t="str">
        <x:f>IF(AND(K$5&gt;=$C199,K$5&lt;=$D199,$A199&lt;&gt;""),"●","")</x:f>
      </x:c>
      <x:c r="L199" s="165" t="str">
        <x:f>IF(AND(L$5&gt;=$C199,L$5&lt;=$D199,$A199&lt;&gt;""),"●","")</x:f>
      </x:c>
      <x:c r="M199" s="165" t="str">
        <x:f>IF(AND(M$5&gt;=$C199,M$5&lt;=$D199,$A199&lt;&gt;""),"●","")</x:f>
      </x:c>
      <x:c r="N199" s="165" t="str">
        <x:f>IF(AND(N$5&gt;=$C199,N$5&lt;=$D199,$A199&lt;&gt;""),"●","")</x:f>
      </x:c>
      <x:c r="O199" s="165" t="str">
        <x:f>IF(AND(O$5&gt;=$C199,O$5&lt;=$D199,$A199&lt;&gt;""),"●","")</x:f>
      </x:c>
      <x:c r="P199" s="165" t="str">
        <x:f>IF(AND(P$5&gt;=$C199,P$5&lt;=$D199,$A199&lt;&gt;""),"●","")</x:f>
      </x:c>
      <x:c r="Q199" s="165" t="str">
        <x:f>IF(AND(Q$5&gt;=$C199,Q$5&lt;=$D199,$A199&lt;&gt;""),"●","")</x:f>
      </x:c>
      <x:c r="R199" s="165" t="str">
        <x:f>IF(AND(R$5&gt;=$C199,R$5&lt;=$D199,$A199&lt;&gt;""),"●","")</x:f>
      </x:c>
      <x:c r="S199" s="165" t="str">
        <x:f>IF(AND(S$5&gt;=$C199,S$5&lt;=$D199,$A199&lt;&gt;""),"●","")</x:f>
      </x:c>
      <x:c r="T199" s="165" t="str">
        <x:f>IF(AND(T$5&gt;=$C199,T$5&lt;=$D199,$A199&lt;&gt;""),"●","")</x:f>
      </x:c>
      <x:c r="U199" s="165" t="str">
        <x:f>IF(AND(U$5&gt;=$C199,U$5&lt;=$D199,$A199&lt;&gt;""),"●","")</x:f>
      </x:c>
      <x:c r="V199" s="165" t="str">
        <x:f>IF(AND(V$5&gt;=$C199,V$5&lt;=$D199,$A199&lt;&gt;""),"●","")</x:f>
      </x:c>
      <x:c r="W199" s="165" t="str">
        <x:f>IF(AND(W$5&gt;=$C199,W$5&lt;=$D199,$A199&lt;&gt;""),"●","")</x:f>
      </x:c>
      <x:c r="X199" s="165" t="str">
        <x:f>IF(AND(X$5&gt;=$C199,X$5&lt;=$D199,$A199&lt;&gt;""),"●","")</x:f>
      </x:c>
      <x:c r="Y199" s="165" t="str">
        <x:f>IF(AND(Y$5&gt;=$C199,Y$5&lt;=$D199,$A199&lt;&gt;""),"●","")</x:f>
      </x:c>
      <x:c r="Z199" s="165" t="str">
        <x:f>IF(AND(Z$5&gt;=$C199,Z$5&lt;=$D199,$A199&lt;&gt;""),"●","")</x:f>
      </x:c>
      <x:c r="AA199" s="165" t="str">
        <x:f>IF(AND(AA$5&gt;=$C199,AA$5&lt;=$D199,$A199&lt;&gt;""),"●","")</x:f>
      </x:c>
      <x:c r="AB199" s="165" t="str">
        <x:f>IF(AND(AB$5&gt;=$C199,AB$5&lt;=$D199,$A199&lt;&gt;""),"●","")</x:f>
      </x:c>
      <x:c r="AC199" s="165" t="str">
        <x:f>IF(AND(AC$5&gt;=$C199,AC$5&lt;=$D199,$A199&lt;&gt;""),"●","")</x:f>
      </x:c>
      <x:c r="AD199" s="165" t="str">
        <x:f>IF(AND(AD$5&gt;=$C199,AD$5&lt;=$D199,$A199&lt;&gt;""),"●","")</x:f>
      </x:c>
      <x:c r="AE199" s="165" t="str">
        <x:f>IF(AND(AE$5&gt;=$C199,AE$5&lt;=$D199,$A199&lt;&gt;""),"●","")</x:f>
      </x:c>
      <x:c r="AF199" s="165" t="str">
        <x:f>IF(AND(AF$5&gt;=$C199,AF$5&lt;=$D199,$A199&lt;&gt;""),"●","")</x:f>
      </x:c>
      <x:c r="AG199" s="165" t="str">
        <x:f>IF(AND(AG$5&gt;=$C199,AG$5&lt;=$D199,$A199&lt;&gt;""),"●","")</x:f>
      </x:c>
      <x:c r="AH199" s="165" t="str">
        <x:f>IF(AND(AH$5&gt;=$C199,AH$5&lt;=$D199,$A199&lt;&gt;""),"●","")</x:f>
      </x:c>
      <x:c r="AI199" s="165" t="str">
        <x:f>IF(AND(AI$5&gt;=$C199,AI$5&lt;=$D199,$A199&lt;&gt;""),"●","")</x:f>
      </x:c>
      <x:c r="AJ199" s="165" t="str">
        <x:f>IF(AND(AJ$5&gt;=$C199,AJ$5&lt;=$D199,$A199&lt;&gt;""),"●","")</x:f>
      </x:c>
      <x:c r="AK199" s="165" t="str">
        <x:f>IF(AND(AK$5&gt;=$C199,AK$5&lt;=$D199,$A199&lt;&gt;""),"●","")</x:f>
      </x:c>
      <x:c r="AL199" s="165" t="str">
        <x:f>IF(AND(AL$5&gt;=$C199,AL$5&lt;=$D199,$A199&lt;&gt;""),"●","")</x:f>
      </x:c>
      <x:c r="AM199" s="165" t="str">
        <x:f>IF(AND(AM$5&gt;=$C199,AM$5&lt;=$D199,$A199&lt;&gt;""),"●","")</x:f>
      </x:c>
      <x:c r="AN199" s="165" t="str">
        <x:f>IF(AND(AN$5&gt;=$C199,AN$5&lt;=$D199,$A199&lt;&gt;""),"●","")</x:f>
      </x:c>
      <x:c r="AO199" s="165" t="str">
        <x:f>IF(AND(AO$5&gt;=$C199,AO$5&lt;=$D199,$A199&lt;&gt;""),"●","")</x:f>
      </x:c>
      <x:c r="AP199" s="165" t="str">
        <x:f>IF(AND(AP$5&gt;=$C199,AP$5&lt;=$D199,$A199&lt;&gt;""),"●","")</x:f>
      </x:c>
      <x:c r="AQ199" s="165" t="str">
        <x:f>IF(AND(AQ$5&gt;=$C199,AQ$5&lt;=$D199,$A199&lt;&gt;""),"●","")</x:f>
      </x:c>
      <x:c r="AR199" s="165" t="str">
        <x:f>IF(AND(AR$5&gt;=$C199,AR$5&lt;=$D199,$A199&lt;&gt;""),"●","")</x:f>
      </x:c>
      <x:c r="AS199" s="165" t="str">
        <x:f>IF(AND(AS$5&gt;=$C199,AS$5&lt;=$D199,$A199&lt;&gt;""),"●","")</x:f>
      </x:c>
      <x:c r="AT199" s="165" t="str">
        <x:f>IF(AND(AT$5&gt;=$C199,AT$5&lt;=$D199,$A199&lt;&gt;""),"●","")</x:f>
      </x:c>
      <x:c r="AU199" s="165" t="str">
        <x:f>IF(AND(AU$5&gt;=$C199,AU$5&lt;=$D199,$A199&lt;&gt;""),"●","")</x:f>
      </x:c>
      <x:c r="AV199" s="165" t="str">
        <x:f>IF(AND(AV$5&gt;=$C199,AV$5&lt;=$D199,$A199&lt;&gt;""),"●","")</x:f>
      </x:c>
      <x:c r="AW199" s="165" t="str">
        <x:f>IF(AND(AW$5&gt;=$C199,AW$5&lt;=$D199,$A199&lt;&gt;""),"●","")</x:f>
      </x:c>
      <x:c r="AX199" s="165" t="str">
        <x:f>IF(AND(AX$5&gt;=$C199,AX$5&lt;=$D199,$A199&lt;&gt;""),"●","")</x:f>
      </x:c>
      <x:c r="AY199" s="165" t="str">
        <x:f>IF(AND(AY$5&gt;=$C199,AY$5&lt;=$D199,$A199&lt;&gt;""),"●","")</x:f>
      </x:c>
      <x:c r="AZ199" s="165" t="str">
        <x:f>IF(AND(AZ$5&gt;=$C199,AZ$5&lt;=$D199,$A199&lt;&gt;""),"●","")</x:f>
      </x:c>
      <x:c r="BA199" s="165" t="str">
        <x:f>IF(AND(BA$5&gt;=$C199,BA$5&lt;=$D199,$A199&lt;&gt;""),"●","")</x:f>
      </x:c>
      <x:c r="BB199" s="165" t="str">
        <x:f>IF(AND(BB$5&gt;=$C199,BB$5&lt;=$D199,$A199&lt;&gt;""),"●","")</x:f>
      </x:c>
      <x:c r="BC199" s="165" t="str">
        <x:f>IF(AND(BC$5&gt;=$C199,BC$5&lt;=$D199,$A199&lt;&gt;""),"●","")</x:f>
      </x:c>
      <x:c r="BD199" s="165" t="str">
        <x:f>IF(AND(BD$5&gt;=$C199,BD$5&lt;=$D199,$A199&lt;&gt;""),"●","")</x:f>
      </x:c>
      <x:c r="BE199" s="165" t="str">
        <x:f>IF(AND(BE$5&gt;=$C199,BE$5&lt;=$D199,$A199&lt;&gt;""),"●","")</x:f>
      </x:c>
      <x:c r="BF199" s="165" t="str">
        <x:f>IF(AND(BF$5&gt;=$C199,BF$5&lt;=$D199,$A199&lt;&gt;""),"●","")</x:f>
      </x:c>
      <x:c r="BG199" s="165" t="str">
        <x:f>IF(AND(BG$5&gt;=$C199,BG$5&lt;=$D199,$A199&lt;&gt;""),"●","")</x:f>
      </x:c>
      <x:c r="BH199" s="165" t="str">
        <x:f>IF(AND(BH$5&gt;=$C199,BH$5&lt;=$D199,$A199&lt;&gt;""),"●","")</x:f>
      </x:c>
      <x:c r="BI199" s="165" t="str">
        <x:f>IF(AND(BI$5&gt;=$C199,BI$5&lt;=$D199,$A199&lt;&gt;""),"●","")</x:f>
      </x:c>
      <x:c r="BJ199" s="165" t="str">
        <x:f>IF(AND(BJ$5&gt;=$C199,BJ$5&lt;=$D199,$A199&lt;&gt;""),"●","")</x:f>
      </x:c>
      <x:c r="BK199" s="165" t="str">
        <x:f>IF(AND(BK$5&gt;=$C199,BK$5&lt;=$D199,$A199&lt;&gt;""),"●","")</x:f>
      </x:c>
      <x:c r="BL199" s="165" t="str">
        <x:f>IF(AND(BL$5&gt;=$C199,BL$5&lt;=$D199,$A199&lt;&gt;""),"●","")</x:f>
      </x:c>
      <x:c r="BM199" s="165" t="str">
        <x:f>IF(AND(BM$5&gt;=$C199,BM$5&lt;=$D199,$A199&lt;&gt;""),"●","")</x:f>
      </x:c>
      <x:c r="BN199" s="165" t="str">
        <x:f>IF(AND(BN$5&gt;=$C199,BN$5&lt;=$D199,$A199&lt;&gt;""),"●","")</x:f>
      </x:c>
      <x:c r="BO199" s="165" t="str">
        <x:f>IF(AND(BO$5&gt;=$C199,BO$5&lt;=$D199,$A199&lt;&gt;""),"●","")</x:f>
      </x:c>
      <x:c r="BP199" s="165" t="str">
        <x:f>IF(AND(BP$5&gt;=$C199,BP$5&lt;=$D199,$A199&lt;&gt;""),"●","")</x:f>
      </x:c>
      <x:c r="BQ199" s="165" t="str">
        <x:f>IF(AND(BQ$5&gt;=$C199,BQ$5&lt;=$D199,$A199&lt;&gt;""),"●","")</x:f>
      </x:c>
      <x:c r="BR199" s="165" t="str">
        <x:f>IF(AND(BR$5&gt;=$C199,BR$5&lt;=$D199,$A199&lt;&gt;""),"●","")</x:f>
      </x:c>
      <x:c r="BS199" s="165" t="str">
        <x:f>IF(AND(BS$5&gt;=$C199,BS$5&lt;=$D199,$A199&lt;&gt;""),"●","")</x:f>
      </x:c>
      <x:c r="BT199" s="165" t="str">
        <x:f>IF(AND(BT$5&gt;=$C199,BT$5&lt;=$D199,$A199&lt;&gt;""),"●","")</x:f>
      </x:c>
      <x:c r="BU199" s="165" t="str">
        <x:f>IF(AND(BU$5&gt;=$C199,BU$5&lt;=$D199,$A199&lt;&gt;""),"●","")</x:f>
      </x:c>
      <x:c r="BV199" s="165" t="str">
        <x:f>IF(AND(BV$5&gt;=$C199,BV$5&lt;=$D199,$A199&lt;&gt;""),"●","")</x:f>
      </x:c>
      <x:c r="BW199" s="165" t="str">
        <x:f>IF(AND(BW$5&gt;=$C199,BW$5&lt;=$D199,$A199&lt;&gt;""),"●","")</x:f>
      </x:c>
    </x:row>
    <x:row r="200">
      <x:c r="A200" s="159" t="str">
        <x:f>IF('รายการสัญญา'!A200="","",'รายการสัญญา'!A200)</x:f>
      </x:c>
      <x:c r="B200" s="159" t="str">
        <x:f>IF('รายการสัญญา'!A200="","",'รายการสัญญา'!C200)</x:f>
      </x:c>
      <x:c r="C200" s="162" t="str">
        <x:f>IF('รายการสัญญา'!A200="","",'รายการสัญญา'!E200)</x:f>
      </x:c>
      <x:c r="D200" s="162" t="str">
        <x:f>IF('รายการสัญญา'!A200="","",'รายการสัญญา'!G200)</x:f>
      </x:c>
      <x:c r="E200" s="159" t="str">
        <x:f>IF('รายการสัญญา'!A200="","",'รายการสัญญา'!K200)</x:f>
      </x:c>
      <x:c r="F200" s="165" t="str">
        <x:f>IF(AND(F$5&gt;=$C200,F$5&lt;=$D200,$A200&lt;&gt;""),"●","")</x:f>
      </x:c>
      <x:c r="G200" s="165" t="str">
        <x:f>IF(AND(G$5&gt;=$C200,G$5&lt;=$D200,$A200&lt;&gt;""),"●","")</x:f>
      </x:c>
      <x:c r="H200" s="165" t="str">
        <x:f>IF(AND(H$5&gt;=$C200,H$5&lt;=$D200,$A200&lt;&gt;""),"●","")</x:f>
      </x:c>
      <x:c r="I200" s="165" t="str">
        <x:f>IF(AND(I$5&gt;=$C200,I$5&lt;=$D200,$A200&lt;&gt;""),"●","")</x:f>
      </x:c>
      <x:c r="J200" s="165" t="str">
        <x:f>IF(AND(J$5&gt;=$C200,J$5&lt;=$D200,$A200&lt;&gt;""),"●","")</x:f>
      </x:c>
      <x:c r="K200" s="165" t="str">
        <x:f>IF(AND(K$5&gt;=$C200,K$5&lt;=$D200,$A200&lt;&gt;""),"●","")</x:f>
      </x:c>
      <x:c r="L200" s="165" t="str">
        <x:f>IF(AND(L$5&gt;=$C200,L$5&lt;=$D200,$A200&lt;&gt;""),"●","")</x:f>
      </x:c>
      <x:c r="M200" s="165" t="str">
        <x:f>IF(AND(M$5&gt;=$C200,M$5&lt;=$D200,$A200&lt;&gt;""),"●","")</x:f>
      </x:c>
      <x:c r="N200" s="165" t="str">
        <x:f>IF(AND(N$5&gt;=$C200,N$5&lt;=$D200,$A200&lt;&gt;""),"●","")</x:f>
      </x:c>
      <x:c r="O200" s="165" t="str">
        <x:f>IF(AND(O$5&gt;=$C200,O$5&lt;=$D200,$A200&lt;&gt;""),"●","")</x:f>
      </x:c>
      <x:c r="P200" s="165" t="str">
        <x:f>IF(AND(P$5&gt;=$C200,P$5&lt;=$D200,$A200&lt;&gt;""),"●","")</x:f>
      </x:c>
      <x:c r="Q200" s="165" t="str">
        <x:f>IF(AND(Q$5&gt;=$C200,Q$5&lt;=$D200,$A200&lt;&gt;""),"●","")</x:f>
      </x:c>
      <x:c r="R200" s="165" t="str">
        <x:f>IF(AND(R$5&gt;=$C200,R$5&lt;=$D200,$A200&lt;&gt;""),"●","")</x:f>
      </x:c>
      <x:c r="S200" s="165" t="str">
        <x:f>IF(AND(S$5&gt;=$C200,S$5&lt;=$D200,$A200&lt;&gt;""),"●","")</x:f>
      </x:c>
      <x:c r="T200" s="165" t="str">
        <x:f>IF(AND(T$5&gt;=$C200,T$5&lt;=$D200,$A200&lt;&gt;""),"●","")</x:f>
      </x:c>
      <x:c r="U200" s="165" t="str">
        <x:f>IF(AND(U$5&gt;=$C200,U$5&lt;=$D200,$A200&lt;&gt;""),"●","")</x:f>
      </x:c>
      <x:c r="V200" s="165" t="str">
        <x:f>IF(AND(V$5&gt;=$C200,V$5&lt;=$D200,$A200&lt;&gt;""),"●","")</x:f>
      </x:c>
      <x:c r="W200" s="165" t="str">
        <x:f>IF(AND(W$5&gt;=$C200,W$5&lt;=$D200,$A200&lt;&gt;""),"●","")</x:f>
      </x:c>
      <x:c r="X200" s="165" t="str">
        <x:f>IF(AND(X$5&gt;=$C200,X$5&lt;=$D200,$A200&lt;&gt;""),"●","")</x:f>
      </x:c>
      <x:c r="Y200" s="165" t="str">
        <x:f>IF(AND(Y$5&gt;=$C200,Y$5&lt;=$D200,$A200&lt;&gt;""),"●","")</x:f>
      </x:c>
      <x:c r="Z200" s="165" t="str">
        <x:f>IF(AND(Z$5&gt;=$C200,Z$5&lt;=$D200,$A200&lt;&gt;""),"●","")</x:f>
      </x:c>
      <x:c r="AA200" s="165" t="str">
        <x:f>IF(AND(AA$5&gt;=$C200,AA$5&lt;=$D200,$A200&lt;&gt;""),"●","")</x:f>
      </x:c>
      <x:c r="AB200" s="165" t="str">
        <x:f>IF(AND(AB$5&gt;=$C200,AB$5&lt;=$D200,$A200&lt;&gt;""),"●","")</x:f>
      </x:c>
      <x:c r="AC200" s="165" t="str">
        <x:f>IF(AND(AC$5&gt;=$C200,AC$5&lt;=$D200,$A200&lt;&gt;""),"●","")</x:f>
      </x:c>
      <x:c r="AD200" s="165" t="str">
        <x:f>IF(AND(AD$5&gt;=$C200,AD$5&lt;=$D200,$A200&lt;&gt;""),"●","")</x:f>
      </x:c>
      <x:c r="AE200" s="165" t="str">
        <x:f>IF(AND(AE$5&gt;=$C200,AE$5&lt;=$D200,$A200&lt;&gt;""),"●","")</x:f>
      </x:c>
      <x:c r="AF200" s="165" t="str">
        <x:f>IF(AND(AF$5&gt;=$C200,AF$5&lt;=$D200,$A200&lt;&gt;""),"●","")</x:f>
      </x:c>
      <x:c r="AG200" s="165" t="str">
        <x:f>IF(AND(AG$5&gt;=$C200,AG$5&lt;=$D200,$A200&lt;&gt;""),"●","")</x:f>
      </x:c>
      <x:c r="AH200" s="165" t="str">
        <x:f>IF(AND(AH$5&gt;=$C200,AH$5&lt;=$D200,$A200&lt;&gt;""),"●","")</x:f>
      </x:c>
      <x:c r="AI200" s="165" t="str">
        <x:f>IF(AND(AI$5&gt;=$C200,AI$5&lt;=$D200,$A200&lt;&gt;""),"●","")</x:f>
      </x:c>
      <x:c r="AJ200" s="165" t="str">
        <x:f>IF(AND(AJ$5&gt;=$C200,AJ$5&lt;=$D200,$A200&lt;&gt;""),"●","")</x:f>
      </x:c>
      <x:c r="AK200" s="165" t="str">
        <x:f>IF(AND(AK$5&gt;=$C200,AK$5&lt;=$D200,$A200&lt;&gt;""),"●","")</x:f>
      </x:c>
      <x:c r="AL200" s="165" t="str">
        <x:f>IF(AND(AL$5&gt;=$C200,AL$5&lt;=$D200,$A200&lt;&gt;""),"●","")</x:f>
      </x:c>
      <x:c r="AM200" s="165" t="str">
        <x:f>IF(AND(AM$5&gt;=$C200,AM$5&lt;=$D200,$A200&lt;&gt;""),"●","")</x:f>
      </x:c>
      <x:c r="AN200" s="165" t="str">
        <x:f>IF(AND(AN$5&gt;=$C200,AN$5&lt;=$D200,$A200&lt;&gt;""),"●","")</x:f>
      </x:c>
      <x:c r="AO200" s="165" t="str">
        <x:f>IF(AND(AO$5&gt;=$C200,AO$5&lt;=$D200,$A200&lt;&gt;""),"●","")</x:f>
      </x:c>
      <x:c r="AP200" s="165" t="str">
        <x:f>IF(AND(AP$5&gt;=$C200,AP$5&lt;=$D200,$A200&lt;&gt;""),"●","")</x:f>
      </x:c>
      <x:c r="AQ200" s="165" t="str">
        <x:f>IF(AND(AQ$5&gt;=$C200,AQ$5&lt;=$D200,$A200&lt;&gt;""),"●","")</x:f>
      </x:c>
      <x:c r="AR200" s="165" t="str">
        <x:f>IF(AND(AR$5&gt;=$C200,AR$5&lt;=$D200,$A200&lt;&gt;""),"●","")</x:f>
      </x:c>
      <x:c r="AS200" s="165" t="str">
        <x:f>IF(AND(AS$5&gt;=$C200,AS$5&lt;=$D200,$A200&lt;&gt;""),"●","")</x:f>
      </x:c>
      <x:c r="AT200" s="165" t="str">
        <x:f>IF(AND(AT$5&gt;=$C200,AT$5&lt;=$D200,$A200&lt;&gt;""),"●","")</x:f>
      </x:c>
      <x:c r="AU200" s="165" t="str">
        <x:f>IF(AND(AU$5&gt;=$C200,AU$5&lt;=$D200,$A200&lt;&gt;""),"●","")</x:f>
      </x:c>
      <x:c r="AV200" s="165" t="str">
        <x:f>IF(AND(AV$5&gt;=$C200,AV$5&lt;=$D200,$A200&lt;&gt;""),"●","")</x:f>
      </x:c>
      <x:c r="AW200" s="165" t="str">
        <x:f>IF(AND(AW$5&gt;=$C200,AW$5&lt;=$D200,$A200&lt;&gt;""),"●","")</x:f>
      </x:c>
      <x:c r="AX200" s="165" t="str">
        <x:f>IF(AND(AX$5&gt;=$C200,AX$5&lt;=$D200,$A200&lt;&gt;""),"●","")</x:f>
      </x:c>
      <x:c r="AY200" s="165" t="str">
        <x:f>IF(AND(AY$5&gt;=$C200,AY$5&lt;=$D200,$A200&lt;&gt;""),"●","")</x:f>
      </x:c>
      <x:c r="AZ200" s="165" t="str">
        <x:f>IF(AND(AZ$5&gt;=$C200,AZ$5&lt;=$D200,$A200&lt;&gt;""),"●","")</x:f>
      </x:c>
      <x:c r="BA200" s="165" t="str">
        <x:f>IF(AND(BA$5&gt;=$C200,BA$5&lt;=$D200,$A200&lt;&gt;""),"●","")</x:f>
      </x:c>
      <x:c r="BB200" s="165" t="str">
        <x:f>IF(AND(BB$5&gt;=$C200,BB$5&lt;=$D200,$A200&lt;&gt;""),"●","")</x:f>
      </x:c>
      <x:c r="BC200" s="165" t="str">
        <x:f>IF(AND(BC$5&gt;=$C200,BC$5&lt;=$D200,$A200&lt;&gt;""),"●","")</x:f>
      </x:c>
      <x:c r="BD200" s="165" t="str">
        <x:f>IF(AND(BD$5&gt;=$C200,BD$5&lt;=$D200,$A200&lt;&gt;""),"●","")</x:f>
      </x:c>
      <x:c r="BE200" s="165" t="str">
        <x:f>IF(AND(BE$5&gt;=$C200,BE$5&lt;=$D200,$A200&lt;&gt;""),"●","")</x:f>
      </x:c>
      <x:c r="BF200" s="165" t="str">
        <x:f>IF(AND(BF$5&gt;=$C200,BF$5&lt;=$D200,$A200&lt;&gt;""),"●","")</x:f>
      </x:c>
      <x:c r="BG200" s="165" t="str">
        <x:f>IF(AND(BG$5&gt;=$C200,BG$5&lt;=$D200,$A200&lt;&gt;""),"●","")</x:f>
      </x:c>
      <x:c r="BH200" s="165" t="str">
        <x:f>IF(AND(BH$5&gt;=$C200,BH$5&lt;=$D200,$A200&lt;&gt;""),"●","")</x:f>
      </x:c>
      <x:c r="BI200" s="165" t="str">
        <x:f>IF(AND(BI$5&gt;=$C200,BI$5&lt;=$D200,$A200&lt;&gt;""),"●","")</x:f>
      </x:c>
      <x:c r="BJ200" s="165" t="str">
        <x:f>IF(AND(BJ$5&gt;=$C200,BJ$5&lt;=$D200,$A200&lt;&gt;""),"●","")</x:f>
      </x:c>
      <x:c r="BK200" s="165" t="str">
        <x:f>IF(AND(BK$5&gt;=$C200,BK$5&lt;=$D200,$A200&lt;&gt;""),"●","")</x:f>
      </x:c>
      <x:c r="BL200" s="165" t="str">
        <x:f>IF(AND(BL$5&gt;=$C200,BL$5&lt;=$D200,$A200&lt;&gt;""),"●","")</x:f>
      </x:c>
      <x:c r="BM200" s="165" t="str">
        <x:f>IF(AND(BM$5&gt;=$C200,BM$5&lt;=$D200,$A200&lt;&gt;""),"●","")</x:f>
      </x:c>
      <x:c r="BN200" s="165" t="str">
        <x:f>IF(AND(BN$5&gt;=$C200,BN$5&lt;=$D200,$A200&lt;&gt;""),"●","")</x:f>
      </x:c>
      <x:c r="BO200" s="165" t="str">
        <x:f>IF(AND(BO$5&gt;=$C200,BO$5&lt;=$D200,$A200&lt;&gt;""),"●","")</x:f>
      </x:c>
      <x:c r="BP200" s="165" t="str">
        <x:f>IF(AND(BP$5&gt;=$C200,BP$5&lt;=$D200,$A200&lt;&gt;""),"●","")</x:f>
      </x:c>
      <x:c r="BQ200" s="165" t="str">
        <x:f>IF(AND(BQ$5&gt;=$C200,BQ$5&lt;=$D200,$A200&lt;&gt;""),"●","")</x:f>
      </x:c>
      <x:c r="BR200" s="165" t="str">
        <x:f>IF(AND(BR$5&gt;=$C200,BR$5&lt;=$D200,$A200&lt;&gt;""),"●","")</x:f>
      </x:c>
      <x:c r="BS200" s="165" t="str">
        <x:f>IF(AND(BS$5&gt;=$C200,BS$5&lt;=$D200,$A200&lt;&gt;""),"●","")</x:f>
      </x:c>
      <x:c r="BT200" s="165" t="str">
        <x:f>IF(AND(BT$5&gt;=$C200,BT$5&lt;=$D200,$A200&lt;&gt;""),"●","")</x:f>
      </x:c>
      <x:c r="BU200" s="165" t="str">
        <x:f>IF(AND(BU$5&gt;=$C200,BU$5&lt;=$D200,$A200&lt;&gt;""),"●","")</x:f>
      </x:c>
      <x:c r="BV200" s="165" t="str">
        <x:f>IF(AND(BV$5&gt;=$C200,BV$5&lt;=$D200,$A200&lt;&gt;""),"●","")</x:f>
      </x:c>
      <x:c r="BW200" s="165" t="str">
        <x:f>IF(AND(BW$5&gt;=$C200,BW$5&lt;=$D200,$A200&lt;&gt;""),"●","")</x:f>
      </x:c>
    </x:row>
    <x:row r="201">
      <x:c r="A201" s="159" t="str">
        <x:f>IF('รายการสัญญา'!A201="","",'รายการสัญญา'!A201)</x:f>
      </x:c>
      <x:c r="B201" s="159" t="str">
        <x:f>IF('รายการสัญญา'!A201="","",'รายการสัญญา'!C201)</x:f>
      </x:c>
      <x:c r="C201" s="162" t="str">
        <x:f>IF('รายการสัญญา'!A201="","",'รายการสัญญา'!E201)</x:f>
      </x:c>
      <x:c r="D201" s="162" t="str">
        <x:f>IF('รายการสัญญา'!A201="","",'รายการสัญญา'!G201)</x:f>
      </x:c>
      <x:c r="E201" s="159" t="str">
        <x:f>IF('รายการสัญญา'!A201="","",'รายการสัญญา'!K201)</x:f>
      </x:c>
      <x:c r="F201" s="165" t="str">
        <x:f>IF(AND(F$5&gt;=$C201,F$5&lt;=$D201,$A201&lt;&gt;""),"●","")</x:f>
      </x:c>
      <x:c r="G201" s="165" t="str">
        <x:f>IF(AND(G$5&gt;=$C201,G$5&lt;=$D201,$A201&lt;&gt;""),"●","")</x:f>
      </x:c>
      <x:c r="H201" s="165" t="str">
        <x:f>IF(AND(H$5&gt;=$C201,H$5&lt;=$D201,$A201&lt;&gt;""),"●","")</x:f>
      </x:c>
      <x:c r="I201" s="165" t="str">
        <x:f>IF(AND(I$5&gt;=$C201,I$5&lt;=$D201,$A201&lt;&gt;""),"●","")</x:f>
      </x:c>
      <x:c r="J201" s="165" t="str">
        <x:f>IF(AND(J$5&gt;=$C201,J$5&lt;=$D201,$A201&lt;&gt;""),"●","")</x:f>
      </x:c>
      <x:c r="K201" s="165" t="str">
        <x:f>IF(AND(K$5&gt;=$C201,K$5&lt;=$D201,$A201&lt;&gt;""),"●","")</x:f>
      </x:c>
      <x:c r="L201" s="165" t="str">
        <x:f>IF(AND(L$5&gt;=$C201,L$5&lt;=$D201,$A201&lt;&gt;""),"●","")</x:f>
      </x:c>
      <x:c r="M201" s="165" t="str">
        <x:f>IF(AND(M$5&gt;=$C201,M$5&lt;=$D201,$A201&lt;&gt;""),"●","")</x:f>
      </x:c>
      <x:c r="N201" s="165" t="str">
        <x:f>IF(AND(N$5&gt;=$C201,N$5&lt;=$D201,$A201&lt;&gt;""),"●","")</x:f>
      </x:c>
      <x:c r="O201" s="165" t="str">
        <x:f>IF(AND(O$5&gt;=$C201,O$5&lt;=$D201,$A201&lt;&gt;""),"●","")</x:f>
      </x:c>
      <x:c r="P201" s="165" t="str">
        <x:f>IF(AND(P$5&gt;=$C201,P$5&lt;=$D201,$A201&lt;&gt;""),"●","")</x:f>
      </x:c>
      <x:c r="Q201" s="165" t="str">
        <x:f>IF(AND(Q$5&gt;=$C201,Q$5&lt;=$D201,$A201&lt;&gt;""),"●","")</x:f>
      </x:c>
      <x:c r="R201" s="165" t="str">
        <x:f>IF(AND(R$5&gt;=$C201,R$5&lt;=$D201,$A201&lt;&gt;""),"●","")</x:f>
      </x:c>
      <x:c r="S201" s="165" t="str">
        <x:f>IF(AND(S$5&gt;=$C201,S$5&lt;=$D201,$A201&lt;&gt;""),"●","")</x:f>
      </x:c>
      <x:c r="T201" s="165" t="str">
        <x:f>IF(AND(T$5&gt;=$C201,T$5&lt;=$D201,$A201&lt;&gt;""),"●","")</x:f>
      </x:c>
      <x:c r="U201" s="165" t="str">
        <x:f>IF(AND(U$5&gt;=$C201,U$5&lt;=$D201,$A201&lt;&gt;""),"●","")</x:f>
      </x:c>
      <x:c r="V201" s="165" t="str">
        <x:f>IF(AND(V$5&gt;=$C201,V$5&lt;=$D201,$A201&lt;&gt;""),"●","")</x:f>
      </x:c>
      <x:c r="W201" s="165" t="str">
        <x:f>IF(AND(W$5&gt;=$C201,W$5&lt;=$D201,$A201&lt;&gt;""),"●","")</x:f>
      </x:c>
      <x:c r="X201" s="165" t="str">
        <x:f>IF(AND(X$5&gt;=$C201,X$5&lt;=$D201,$A201&lt;&gt;""),"●","")</x:f>
      </x:c>
      <x:c r="Y201" s="165" t="str">
        <x:f>IF(AND(Y$5&gt;=$C201,Y$5&lt;=$D201,$A201&lt;&gt;""),"●","")</x:f>
      </x:c>
      <x:c r="Z201" s="165" t="str">
        <x:f>IF(AND(Z$5&gt;=$C201,Z$5&lt;=$D201,$A201&lt;&gt;""),"●","")</x:f>
      </x:c>
      <x:c r="AA201" s="165" t="str">
        <x:f>IF(AND(AA$5&gt;=$C201,AA$5&lt;=$D201,$A201&lt;&gt;""),"●","")</x:f>
      </x:c>
      <x:c r="AB201" s="165" t="str">
        <x:f>IF(AND(AB$5&gt;=$C201,AB$5&lt;=$D201,$A201&lt;&gt;""),"●","")</x:f>
      </x:c>
      <x:c r="AC201" s="165" t="str">
        <x:f>IF(AND(AC$5&gt;=$C201,AC$5&lt;=$D201,$A201&lt;&gt;""),"●","")</x:f>
      </x:c>
      <x:c r="AD201" s="165" t="str">
        <x:f>IF(AND(AD$5&gt;=$C201,AD$5&lt;=$D201,$A201&lt;&gt;""),"●","")</x:f>
      </x:c>
      <x:c r="AE201" s="165" t="str">
        <x:f>IF(AND(AE$5&gt;=$C201,AE$5&lt;=$D201,$A201&lt;&gt;""),"●","")</x:f>
      </x:c>
      <x:c r="AF201" s="165" t="str">
        <x:f>IF(AND(AF$5&gt;=$C201,AF$5&lt;=$D201,$A201&lt;&gt;""),"●","")</x:f>
      </x:c>
      <x:c r="AG201" s="165" t="str">
        <x:f>IF(AND(AG$5&gt;=$C201,AG$5&lt;=$D201,$A201&lt;&gt;""),"●","")</x:f>
      </x:c>
      <x:c r="AH201" s="165" t="str">
        <x:f>IF(AND(AH$5&gt;=$C201,AH$5&lt;=$D201,$A201&lt;&gt;""),"●","")</x:f>
      </x:c>
      <x:c r="AI201" s="165" t="str">
        <x:f>IF(AND(AI$5&gt;=$C201,AI$5&lt;=$D201,$A201&lt;&gt;""),"●","")</x:f>
      </x:c>
      <x:c r="AJ201" s="165" t="str">
        <x:f>IF(AND(AJ$5&gt;=$C201,AJ$5&lt;=$D201,$A201&lt;&gt;""),"●","")</x:f>
      </x:c>
      <x:c r="AK201" s="165" t="str">
        <x:f>IF(AND(AK$5&gt;=$C201,AK$5&lt;=$D201,$A201&lt;&gt;""),"●","")</x:f>
      </x:c>
      <x:c r="AL201" s="165" t="str">
        <x:f>IF(AND(AL$5&gt;=$C201,AL$5&lt;=$D201,$A201&lt;&gt;""),"●","")</x:f>
      </x:c>
      <x:c r="AM201" s="165" t="str">
        <x:f>IF(AND(AM$5&gt;=$C201,AM$5&lt;=$D201,$A201&lt;&gt;""),"●","")</x:f>
      </x:c>
      <x:c r="AN201" s="165" t="str">
        <x:f>IF(AND(AN$5&gt;=$C201,AN$5&lt;=$D201,$A201&lt;&gt;""),"●","")</x:f>
      </x:c>
      <x:c r="AO201" s="165" t="str">
        <x:f>IF(AND(AO$5&gt;=$C201,AO$5&lt;=$D201,$A201&lt;&gt;""),"●","")</x:f>
      </x:c>
      <x:c r="AP201" s="165" t="str">
        <x:f>IF(AND(AP$5&gt;=$C201,AP$5&lt;=$D201,$A201&lt;&gt;""),"●","")</x:f>
      </x:c>
      <x:c r="AQ201" s="165" t="str">
        <x:f>IF(AND(AQ$5&gt;=$C201,AQ$5&lt;=$D201,$A201&lt;&gt;""),"●","")</x:f>
      </x:c>
      <x:c r="AR201" s="165" t="str">
        <x:f>IF(AND(AR$5&gt;=$C201,AR$5&lt;=$D201,$A201&lt;&gt;""),"●","")</x:f>
      </x:c>
      <x:c r="AS201" s="165" t="str">
        <x:f>IF(AND(AS$5&gt;=$C201,AS$5&lt;=$D201,$A201&lt;&gt;""),"●","")</x:f>
      </x:c>
      <x:c r="AT201" s="165" t="str">
        <x:f>IF(AND(AT$5&gt;=$C201,AT$5&lt;=$D201,$A201&lt;&gt;""),"●","")</x:f>
      </x:c>
      <x:c r="AU201" s="165" t="str">
        <x:f>IF(AND(AU$5&gt;=$C201,AU$5&lt;=$D201,$A201&lt;&gt;""),"●","")</x:f>
      </x:c>
      <x:c r="AV201" s="165" t="str">
        <x:f>IF(AND(AV$5&gt;=$C201,AV$5&lt;=$D201,$A201&lt;&gt;""),"●","")</x:f>
      </x:c>
      <x:c r="AW201" s="165" t="str">
        <x:f>IF(AND(AW$5&gt;=$C201,AW$5&lt;=$D201,$A201&lt;&gt;""),"●","")</x:f>
      </x:c>
      <x:c r="AX201" s="165" t="str">
        <x:f>IF(AND(AX$5&gt;=$C201,AX$5&lt;=$D201,$A201&lt;&gt;""),"●","")</x:f>
      </x:c>
      <x:c r="AY201" s="165" t="str">
        <x:f>IF(AND(AY$5&gt;=$C201,AY$5&lt;=$D201,$A201&lt;&gt;""),"●","")</x:f>
      </x:c>
      <x:c r="AZ201" s="165" t="str">
        <x:f>IF(AND(AZ$5&gt;=$C201,AZ$5&lt;=$D201,$A201&lt;&gt;""),"●","")</x:f>
      </x:c>
      <x:c r="BA201" s="165" t="str">
        <x:f>IF(AND(BA$5&gt;=$C201,BA$5&lt;=$D201,$A201&lt;&gt;""),"●","")</x:f>
      </x:c>
      <x:c r="BB201" s="165" t="str">
        <x:f>IF(AND(BB$5&gt;=$C201,BB$5&lt;=$D201,$A201&lt;&gt;""),"●","")</x:f>
      </x:c>
      <x:c r="BC201" s="165" t="str">
        <x:f>IF(AND(BC$5&gt;=$C201,BC$5&lt;=$D201,$A201&lt;&gt;""),"●","")</x:f>
      </x:c>
      <x:c r="BD201" s="165" t="str">
        <x:f>IF(AND(BD$5&gt;=$C201,BD$5&lt;=$D201,$A201&lt;&gt;""),"●","")</x:f>
      </x:c>
      <x:c r="BE201" s="165" t="str">
        <x:f>IF(AND(BE$5&gt;=$C201,BE$5&lt;=$D201,$A201&lt;&gt;""),"●","")</x:f>
      </x:c>
      <x:c r="BF201" s="165" t="str">
        <x:f>IF(AND(BF$5&gt;=$C201,BF$5&lt;=$D201,$A201&lt;&gt;""),"●","")</x:f>
      </x:c>
      <x:c r="BG201" s="165" t="str">
        <x:f>IF(AND(BG$5&gt;=$C201,BG$5&lt;=$D201,$A201&lt;&gt;""),"●","")</x:f>
      </x:c>
      <x:c r="BH201" s="165" t="str">
        <x:f>IF(AND(BH$5&gt;=$C201,BH$5&lt;=$D201,$A201&lt;&gt;""),"●","")</x:f>
      </x:c>
      <x:c r="BI201" s="165" t="str">
        <x:f>IF(AND(BI$5&gt;=$C201,BI$5&lt;=$D201,$A201&lt;&gt;""),"●","")</x:f>
      </x:c>
      <x:c r="BJ201" s="165" t="str">
        <x:f>IF(AND(BJ$5&gt;=$C201,BJ$5&lt;=$D201,$A201&lt;&gt;""),"●","")</x:f>
      </x:c>
      <x:c r="BK201" s="165" t="str">
        <x:f>IF(AND(BK$5&gt;=$C201,BK$5&lt;=$D201,$A201&lt;&gt;""),"●","")</x:f>
      </x:c>
      <x:c r="BL201" s="165" t="str">
        <x:f>IF(AND(BL$5&gt;=$C201,BL$5&lt;=$D201,$A201&lt;&gt;""),"●","")</x:f>
      </x:c>
      <x:c r="BM201" s="165" t="str">
        <x:f>IF(AND(BM$5&gt;=$C201,BM$5&lt;=$D201,$A201&lt;&gt;""),"●","")</x:f>
      </x:c>
      <x:c r="BN201" s="165" t="str">
        <x:f>IF(AND(BN$5&gt;=$C201,BN$5&lt;=$D201,$A201&lt;&gt;""),"●","")</x:f>
      </x:c>
      <x:c r="BO201" s="165" t="str">
        <x:f>IF(AND(BO$5&gt;=$C201,BO$5&lt;=$D201,$A201&lt;&gt;""),"●","")</x:f>
      </x:c>
      <x:c r="BP201" s="165" t="str">
        <x:f>IF(AND(BP$5&gt;=$C201,BP$5&lt;=$D201,$A201&lt;&gt;""),"●","")</x:f>
      </x:c>
      <x:c r="BQ201" s="165" t="str">
        <x:f>IF(AND(BQ$5&gt;=$C201,BQ$5&lt;=$D201,$A201&lt;&gt;""),"●","")</x:f>
      </x:c>
      <x:c r="BR201" s="165" t="str">
        <x:f>IF(AND(BR$5&gt;=$C201,BR$5&lt;=$D201,$A201&lt;&gt;""),"●","")</x:f>
      </x:c>
      <x:c r="BS201" s="165" t="str">
        <x:f>IF(AND(BS$5&gt;=$C201,BS$5&lt;=$D201,$A201&lt;&gt;""),"●","")</x:f>
      </x:c>
      <x:c r="BT201" s="165" t="str">
        <x:f>IF(AND(BT$5&gt;=$C201,BT$5&lt;=$D201,$A201&lt;&gt;""),"●","")</x:f>
      </x:c>
      <x:c r="BU201" s="165" t="str">
        <x:f>IF(AND(BU$5&gt;=$C201,BU$5&lt;=$D201,$A201&lt;&gt;""),"●","")</x:f>
      </x:c>
      <x:c r="BV201" s="165" t="str">
        <x:f>IF(AND(BV$5&gt;=$C201,BV$5&lt;=$D201,$A201&lt;&gt;""),"●","")</x:f>
      </x:c>
      <x:c r="BW201" s="165" t="str">
        <x:f>IF(AND(BW$5&gt;=$C201,BW$5&lt;=$D201,$A201&lt;&gt;""),"●","")</x:f>
      </x:c>
    </x:row>
    <x:row r="202">
      <x:c r="A202" s="159" t="str">
        <x:f>IF('รายการสัญญา'!A202="","",'รายการสัญญา'!A202)</x:f>
      </x:c>
      <x:c r="B202" s="159" t="str">
        <x:f>IF('รายการสัญญา'!A202="","",'รายการสัญญา'!C202)</x:f>
      </x:c>
      <x:c r="C202" s="162" t="str">
        <x:f>IF('รายการสัญญา'!A202="","",'รายการสัญญา'!E202)</x:f>
      </x:c>
      <x:c r="D202" s="162" t="str">
        <x:f>IF('รายการสัญญา'!A202="","",'รายการสัญญา'!G202)</x:f>
      </x:c>
      <x:c r="E202" s="159" t="str">
        <x:f>IF('รายการสัญญา'!A202="","",'รายการสัญญา'!K202)</x:f>
      </x:c>
      <x:c r="F202" s="165" t="str">
        <x:f>IF(AND(F$5&gt;=$C202,F$5&lt;=$D202,$A202&lt;&gt;""),"●","")</x:f>
      </x:c>
      <x:c r="G202" s="165" t="str">
        <x:f>IF(AND(G$5&gt;=$C202,G$5&lt;=$D202,$A202&lt;&gt;""),"●","")</x:f>
      </x:c>
      <x:c r="H202" s="165" t="str">
        <x:f>IF(AND(H$5&gt;=$C202,H$5&lt;=$D202,$A202&lt;&gt;""),"●","")</x:f>
      </x:c>
      <x:c r="I202" s="165" t="str">
        <x:f>IF(AND(I$5&gt;=$C202,I$5&lt;=$D202,$A202&lt;&gt;""),"●","")</x:f>
      </x:c>
      <x:c r="J202" s="165" t="str">
        <x:f>IF(AND(J$5&gt;=$C202,J$5&lt;=$D202,$A202&lt;&gt;""),"●","")</x:f>
      </x:c>
      <x:c r="K202" s="165" t="str">
        <x:f>IF(AND(K$5&gt;=$C202,K$5&lt;=$D202,$A202&lt;&gt;""),"●","")</x:f>
      </x:c>
      <x:c r="L202" s="165" t="str">
        <x:f>IF(AND(L$5&gt;=$C202,L$5&lt;=$D202,$A202&lt;&gt;""),"●","")</x:f>
      </x:c>
      <x:c r="M202" s="165" t="str">
        <x:f>IF(AND(M$5&gt;=$C202,M$5&lt;=$D202,$A202&lt;&gt;""),"●","")</x:f>
      </x:c>
      <x:c r="N202" s="165" t="str">
        <x:f>IF(AND(N$5&gt;=$C202,N$5&lt;=$D202,$A202&lt;&gt;""),"●","")</x:f>
      </x:c>
      <x:c r="O202" s="165" t="str">
        <x:f>IF(AND(O$5&gt;=$C202,O$5&lt;=$D202,$A202&lt;&gt;""),"●","")</x:f>
      </x:c>
      <x:c r="P202" s="165" t="str">
        <x:f>IF(AND(P$5&gt;=$C202,P$5&lt;=$D202,$A202&lt;&gt;""),"●","")</x:f>
      </x:c>
      <x:c r="Q202" s="165" t="str">
        <x:f>IF(AND(Q$5&gt;=$C202,Q$5&lt;=$D202,$A202&lt;&gt;""),"●","")</x:f>
      </x:c>
      <x:c r="R202" s="165" t="str">
        <x:f>IF(AND(R$5&gt;=$C202,R$5&lt;=$D202,$A202&lt;&gt;""),"●","")</x:f>
      </x:c>
      <x:c r="S202" s="165" t="str">
        <x:f>IF(AND(S$5&gt;=$C202,S$5&lt;=$D202,$A202&lt;&gt;""),"●","")</x:f>
      </x:c>
      <x:c r="T202" s="165" t="str">
        <x:f>IF(AND(T$5&gt;=$C202,T$5&lt;=$D202,$A202&lt;&gt;""),"●","")</x:f>
      </x:c>
      <x:c r="U202" s="165" t="str">
        <x:f>IF(AND(U$5&gt;=$C202,U$5&lt;=$D202,$A202&lt;&gt;""),"●","")</x:f>
      </x:c>
      <x:c r="V202" s="165" t="str">
        <x:f>IF(AND(V$5&gt;=$C202,V$5&lt;=$D202,$A202&lt;&gt;""),"●","")</x:f>
      </x:c>
      <x:c r="W202" s="165" t="str">
        <x:f>IF(AND(W$5&gt;=$C202,W$5&lt;=$D202,$A202&lt;&gt;""),"●","")</x:f>
      </x:c>
      <x:c r="X202" s="165" t="str">
        <x:f>IF(AND(X$5&gt;=$C202,X$5&lt;=$D202,$A202&lt;&gt;""),"●","")</x:f>
      </x:c>
      <x:c r="Y202" s="165" t="str">
        <x:f>IF(AND(Y$5&gt;=$C202,Y$5&lt;=$D202,$A202&lt;&gt;""),"●","")</x:f>
      </x:c>
      <x:c r="Z202" s="165" t="str">
        <x:f>IF(AND(Z$5&gt;=$C202,Z$5&lt;=$D202,$A202&lt;&gt;""),"●","")</x:f>
      </x:c>
      <x:c r="AA202" s="165" t="str">
        <x:f>IF(AND(AA$5&gt;=$C202,AA$5&lt;=$D202,$A202&lt;&gt;""),"●","")</x:f>
      </x:c>
      <x:c r="AB202" s="165" t="str">
        <x:f>IF(AND(AB$5&gt;=$C202,AB$5&lt;=$D202,$A202&lt;&gt;""),"●","")</x:f>
      </x:c>
      <x:c r="AC202" s="165" t="str">
        <x:f>IF(AND(AC$5&gt;=$C202,AC$5&lt;=$D202,$A202&lt;&gt;""),"●","")</x:f>
      </x:c>
      <x:c r="AD202" s="165" t="str">
        <x:f>IF(AND(AD$5&gt;=$C202,AD$5&lt;=$D202,$A202&lt;&gt;""),"●","")</x:f>
      </x:c>
      <x:c r="AE202" s="165" t="str">
        <x:f>IF(AND(AE$5&gt;=$C202,AE$5&lt;=$D202,$A202&lt;&gt;""),"●","")</x:f>
      </x:c>
      <x:c r="AF202" s="165" t="str">
        <x:f>IF(AND(AF$5&gt;=$C202,AF$5&lt;=$D202,$A202&lt;&gt;""),"●","")</x:f>
      </x:c>
      <x:c r="AG202" s="165" t="str">
        <x:f>IF(AND(AG$5&gt;=$C202,AG$5&lt;=$D202,$A202&lt;&gt;""),"●","")</x:f>
      </x:c>
      <x:c r="AH202" s="165" t="str">
        <x:f>IF(AND(AH$5&gt;=$C202,AH$5&lt;=$D202,$A202&lt;&gt;""),"●","")</x:f>
      </x:c>
      <x:c r="AI202" s="165" t="str">
        <x:f>IF(AND(AI$5&gt;=$C202,AI$5&lt;=$D202,$A202&lt;&gt;""),"●","")</x:f>
      </x:c>
      <x:c r="AJ202" s="165" t="str">
        <x:f>IF(AND(AJ$5&gt;=$C202,AJ$5&lt;=$D202,$A202&lt;&gt;""),"●","")</x:f>
      </x:c>
      <x:c r="AK202" s="165" t="str">
        <x:f>IF(AND(AK$5&gt;=$C202,AK$5&lt;=$D202,$A202&lt;&gt;""),"●","")</x:f>
      </x:c>
      <x:c r="AL202" s="165" t="str">
        <x:f>IF(AND(AL$5&gt;=$C202,AL$5&lt;=$D202,$A202&lt;&gt;""),"●","")</x:f>
      </x:c>
      <x:c r="AM202" s="165" t="str">
        <x:f>IF(AND(AM$5&gt;=$C202,AM$5&lt;=$D202,$A202&lt;&gt;""),"●","")</x:f>
      </x:c>
      <x:c r="AN202" s="165" t="str">
        <x:f>IF(AND(AN$5&gt;=$C202,AN$5&lt;=$D202,$A202&lt;&gt;""),"●","")</x:f>
      </x:c>
      <x:c r="AO202" s="165" t="str">
        <x:f>IF(AND(AO$5&gt;=$C202,AO$5&lt;=$D202,$A202&lt;&gt;""),"●","")</x:f>
      </x:c>
      <x:c r="AP202" s="165" t="str">
        <x:f>IF(AND(AP$5&gt;=$C202,AP$5&lt;=$D202,$A202&lt;&gt;""),"●","")</x:f>
      </x:c>
      <x:c r="AQ202" s="165" t="str">
        <x:f>IF(AND(AQ$5&gt;=$C202,AQ$5&lt;=$D202,$A202&lt;&gt;""),"●","")</x:f>
      </x:c>
      <x:c r="AR202" s="165" t="str">
        <x:f>IF(AND(AR$5&gt;=$C202,AR$5&lt;=$D202,$A202&lt;&gt;""),"●","")</x:f>
      </x:c>
      <x:c r="AS202" s="165" t="str">
        <x:f>IF(AND(AS$5&gt;=$C202,AS$5&lt;=$D202,$A202&lt;&gt;""),"●","")</x:f>
      </x:c>
      <x:c r="AT202" s="165" t="str">
        <x:f>IF(AND(AT$5&gt;=$C202,AT$5&lt;=$D202,$A202&lt;&gt;""),"●","")</x:f>
      </x:c>
      <x:c r="AU202" s="165" t="str">
        <x:f>IF(AND(AU$5&gt;=$C202,AU$5&lt;=$D202,$A202&lt;&gt;""),"●","")</x:f>
      </x:c>
      <x:c r="AV202" s="165" t="str">
        <x:f>IF(AND(AV$5&gt;=$C202,AV$5&lt;=$D202,$A202&lt;&gt;""),"●","")</x:f>
      </x:c>
      <x:c r="AW202" s="165" t="str">
        <x:f>IF(AND(AW$5&gt;=$C202,AW$5&lt;=$D202,$A202&lt;&gt;""),"●","")</x:f>
      </x:c>
      <x:c r="AX202" s="165" t="str">
        <x:f>IF(AND(AX$5&gt;=$C202,AX$5&lt;=$D202,$A202&lt;&gt;""),"●","")</x:f>
      </x:c>
      <x:c r="AY202" s="165" t="str">
        <x:f>IF(AND(AY$5&gt;=$C202,AY$5&lt;=$D202,$A202&lt;&gt;""),"●","")</x:f>
      </x:c>
      <x:c r="AZ202" s="165" t="str">
        <x:f>IF(AND(AZ$5&gt;=$C202,AZ$5&lt;=$D202,$A202&lt;&gt;""),"●","")</x:f>
      </x:c>
      <x:c r="BA202" s="165" t="str">
        <x:f>IF(AND(BA$5&gt;=$C202,BA$5&lt;=$D202,$A202&lt;&gt;""),"●","")</x:f>
      </x:c>
      <x:c r="BB202" s="165" t="str">
        <x:f>IF(AND(BB$5&gt;=$C202,BB$5&lt;=$D202,$A202&lt;&gt;""),"●","")</x:f>
      </x:c>
      <x:c r="BC202" s="165" t="str">
        <x:f>IF(AND(BC$5&gt;=$C202,BC$5&lt;=$D202,$A202&lt;&gt;""),"●","")</x:f>
      </x:c>
      <x:c r="BD202" s="165" t="str">
        <x:f>IF(AND(BD$5&gt;=$C202,BD$5&lt;=$D202,$A202&lt;&gt;""),"●","")</x:f>
      </x:c>
      <x:c r="BE202" s="165" t="str">
        <x:f>IF(AND(BE$5&gt;=$C202,BE$5&lt;=$D202,$A202&lt;&gt;""),"●","")</x:f>
      </x:c>
      <x:c r="BF202" s="165" t="str">
        <x:f>IF(AND(BF$5&gt;=$C202,BF$5&lt;=$D202,$A202&lt;&gt;""),"●","")</x:f>
      </x:c>
      <x:c r="BG202" s="165" t="str">
        <x:f>IF(AND(BG$5&gt;=$C202,BG$5&lt;=$D202,$A202&lt;&gt;""),"●","")</x:f>
      </x:c>
      <x:c r="BH202" s="165" t="str">
        <x:f>IF(AND(BH$5&gt;=$C202,BH$5&lt;=$D202,$A202&lt;&gt;""),"●","")</x:f>
      </x:c>
      <x:c r="BI202" s="165" t="str">
        <x:f>IF(AND(BI$5&gt;=$C202,BI$5&lt;=$D202,$A202&lt;&gt;""),"●","")</x:f>
      </x:c>
      <x:c r="BJ202" s="165" t="str">
        <x:f>IF(AND(BJ$5&gt;=$C202,BJ$5&lt;=$D202,$A202&lt;&gt;""),"●","")</x:f>
      </x:c>
      <x:c r="BK202" s="165" t="str">
        <x:f>IF(AND(BK$5&gt;=$C202,BK$5&lt;=$D202,$A202&lt;&gt;""),"●","")</x:f>
      </x:c>
      <x:c r="BL202" s="165" t="str">
        <x:f>IF(AND(BL$5&gt;=$C202,BL$5&lt;=$D202,$A202&lt;&gt;""),"●","")</x:f>
      </x:c>
      <x:c r="BM202" s="165" t="str">
        <x:f>IF(AND(BM$5&gt;=$C202,BM$5&lt;=$D202,$A202&lt;&gt;""),"●","")</x:f>
      </x:c>
      <x:c r="BN202" s="165" t="str">
        <x:f>IF(AND(BN$5&gt;=$C202,BN$5&lt;=$D202,$A202&lt;&gt;""),"●","")</x:f>
      </x:c>
      <x:c r="BO202" s="165" t="str">
        <x:f>IF(AND(BO$5&gt;=$C202,BO$5&lt;=$D202,$A202&lt;&gt;""),"●","")</x:f>
      </x:c>
      <x:c r="BP202" s="165" t="str">
        <x:f>IF(AND(BP$5&gt;=$C202,BP$5&lt;=$D202,$A202&lt;&gt;""),"●","")</x:f>
      </x:c>
      <x:c r="BQ202" s="165" t="str">
        <x:f>IF(AND(BQ$5&gt;=$C202,BQ$5&lt;=$D202,$A202&lt;&gt;""),"●","")</x:f>
      </x:c>
      <x:c r="BR202" s="165" t="str">
        <x:f>IF(AND(BR$5&gt;=$C202,BR$5&lt;=$D202,$A202&lt;&gt;""),"●","")</x:f>
      </x:c>
      <x:c r="BS202" s="165" t="str">
        <x:f>IF(AND(BS$5&gt;=$C202,BS$5&lt;=$D202,$A202&lt;&gt;""),"●","")</x:f>
      </x:c>
      <x:c r="BT202" s="165" t="str">
        <x:f>IF(AND(BT$5&gt;=$C202,BT$5&lt;=$D202,$A202&lt;&gt;""),"●","")</x:f>
      </x:c>
      <x:c r="BU202" s="165" t="str">
        <x:f>IF(AND(BU$5&gt;=$C202,BU$5&lt;=$D202,$A202&lt;&gt;""),"●","")</x:f>
      </x:c>
      <x:c r="BV202" s="165" t="str">
        <x:f>IF(AND(BV$5&gt;=$C202,BV$5&lt;=$D202,$A202&lt;&gt;""),"●","")</x:f>
      </x:c>
      <x:c r="BW202" s="165" t="str">
        <x:f>IF(AND(BW$5&gt;=$C202,BW$5&lt;=$D202,$A202&lt;&gt;""),"●","")</x:f>
      </x:c>
    </x:row>
    <x:row r="203">
      <x:c r="A203" s="159" t="str">
        <x:f>IF('รายการสัญญา'!A203="","",'รายการสัญญา'!A203)</x:f>
      </x:c>
      <x:c r="B203" s="159" t="str">
        <x:f>IF('รายการสัญญา'!A203="","",'รายการสัญญา'!C203)</x:f>
      </x:c>
      <x:c r="C203" s="162" t="str">
        <x:f>IF('รายการสัญญา'!A203="","",'รายการสัญญา'!E203)</x:f>
      </x:c>
      <x:c r="D203" s="162" t="str">
        <x:f>IF('รายการสัญญา'!A203="","",'รายการสัญญา'!G203)</x:f>
      </x:c>
      <x:c r="E203" s="159" t="str">
        <x:f>IF('รายการสัญญา'!A203="","",'รายการสัญญา'!K203)</x:f>
      </x:c>
      <x:c r="F203" s="165" t="str">
        <x:f>IF(AND(F$5&gt;=$C203,F$5&lt;=$D203,$A203&lt;&gt;""),"●","")</x:f>
      </x:c>
      <x:c r="G203" s="165" t="str">
        <x:f>IF(AND(G$5&gt;=$C203,G$5&lt;=$D203,$A203&lt;&gt;""),"●","")</x:f>
      </x:c>
      <x:c r="H203" s="165" t="str">
        <x:f>IF(AND(H$5&gt;=$C203,H$5&lt;=$D203,$A203&lt;&gt;""),"●","")</x:f>
      </x:c>
      <x:c r="I203" s="165" t="str">
        <x:f>IF(AND(I$5&gt;=$C203,I$5&lt;=$D203,$A203&lt;&gt;""),"●","")</x:f>
      </x:c>
      <x:c r="J203" s="165" t="str">
        <x:f>IF(AND(J$5&gt;=$C203,J$5&lt;=$D203,$A203&lt;&gt;""),"●","")</x:f>
      </x:c>
      <x:c r="K203" s="165" t="str">
        <x:f>IF(AND(K$5&gt;=$C203,K$5&lt;=$D203,$A203&lt;&gt;""),"●","")</x:f>
      </x:c>
      <x:c r="L203" s="165" t="str">
        <x:f>IF(AND(L$5&gt;=$C203,L$5&lt;=$D203,$A203&lt;&gt;""),"●","")</x:f>
      </x:c>
      <x:c r="M203" s="165" t="str">
        <x:f>IF(AND(M$5&gt;=$C203,M$5&lt;=$D203,$A203&lt;&gt;""),"●","")</x:f>
      </x:c>
      <x:c r="N203" s="165" t="str">
        <x:f>IF(AND(N$5&gt;=$C203,N$5&lt;=$D203,$A203&lt;&gt;""),"●","")</x:f>
      </x:c>
      <x:c r="O203" s="165" t="str">
        <x:f>IF(AND(O$5&gt;=$C203,O$5&lt;=$D203,$A203&lt;&gt;""),"●","")</x:f>
      </x:c>
      <x:c r="P203" s="165" t="str">
        <x:f>IF(AND(P$5&gt;=$C203,P$5&lt;=$D203,$A203&lt;&gt;""),"●","")</x:f>
      </x:c>
      <x:c r="Q203" s="165" t="str">
        <x:f>IF(AND(Q$5&gt;=$C203,Q$5&lt;=$D203,$A203&lt;&gt;""),"●","")</x:f>
      </x:c>
      <x:c r="R203" s="165" t="str">
        <x:f>IF(AND(R$5&gt;=$C203,R$5&lt;=$D203,$A203&lt;&gt;""),"●","")</x:f>
      </x:c>
      <x:c r="S203" s="165" t="str">
        <x:f>IF(AND(S$5&gt;=$C203,S$5&lt;=$D203,$A203&lt;&gt;""),"●","")</x:f>
      </x:c>
      <x:c r="T203" s="165" t="str">
        <x:f>IF(AND(T$5&gt;=$C203,T$5&lt;=$D203,$A203&lt;&gt;""),"●","")</x:f>
      </x:c>
      <x:c r="U203" s="165" t="str">
        <x:f>IF(AND(U$5&gt;=$C203,U$5&lt;=$D203,$A203&lt;&gt;""),"●","")</x:f>
      </x:c>
      <x:c r="V203" s="165" t="str">
        <x:f>IF(AND(V$5&gt;=$C203,V$5&lt;=$D203,$A203&lt;&gt;""),"●","")</x:f>
      </x:c>
      <x:c r="W203" s="165" t="str">
        <x:f>IF(AND(W$5&gt;=$C203,W$5&lt;=$D203,$A203&lt;&gt;""),"●","")</x:f>
      </x:c>
      <x:c r="X203" s="165" t="str">
        <x:f>IF(AND(X$5&gt;=$C203,X$5&lt;=$D203,$A203&lt;&gt;""),"●","")</x:f>
      </x:c>
      <x:c r="Y203" s="165" t="str">
        <x:f>IF(AND(Y$5&gt;=$C203,Y$5&lt;=$D203,$A203&lt;&gt;""),"●","")</x:f>
      </x:c>
      <x:c r="Z203" s="165" t="str">
        <x:f>IF(AND(Z$5&gt;=$C203,Z$5&lt;=$D203,$A203&lt;&gt;""),"●","")</x:f>
      </x:c>
      <x:c r="AA203" s="165" t="str">
        <x:f>IF(AND(AA$5&gt;=$C203,AA$5&lt;=$D203,$A203&lt;&gt;""),"●","")</x:f>
      </x:c>
      <x:c r="AB203" s="165" t="str">
        <x:f>IF(AND(AB$5&gt;=$C203,AB$5&lt;=$D203,$A203&lt;&gt;""),"●","")</x:f>
      </x:c>
      <x:c r="AC203" s="165" t="str">
        <x:f>IF(AND(AC$5&gt;=$C203,AC$5&lt;=$D203,$A203&lt;&gt;""),"●","")</x:f>
      </x:c>
      <x:c r="AD203" s="165" t="str">
        <x:f>IF(AND(AD$5&gt;=$C203,AD$5&lt;=$D203,$A203&lt;&gt;""),"●","")</x:f>
      </x:c>
      <x:c r="AE203" s="165" t="str">
        <x:f>IF(AND(AE$5&gt;=$C203,AE$5&lt;=$D203,$A203&lt;&gt;""),"●","")</x:f>
      </x:c>
      <x:c r="AF203" s="165" t="str">
        <x:f>IF(AND(AF$5&gt;=$C203,AF$5&lt;=$D203,$A203&lt;&gt;""),"●","")</x:f>
      </x:c>
      <x:c r="AG203" s="165" t="str">
        <x:f>IF(AND(AG$5&gt;=$C203,AG$5&lt;=$D203,$A203&lt;&gt;""),"●","")</x:f>
      </x:c>
      <x:c r="AH203" s="165" t="str">
        <x:f>IF(AND(AH$5&gt;=$C203,AH$5&lt;=$D203,$A203&lt;&gt;""),"●","")</x:f>
      </x:c>
      <x:c r="AI203" s="165" t="str">
        <x:f>IF(AND(AI$5&gt;=$C203,AI$5&lt;=$D203,$A203&lt;&gt;""),"●","")</x:f>
      </x:c>
      <x:c r="AJ203" s="165" t="str">
        <x:f>IF(AND(AJ$5&gt;=$C203,AJ$5&lt;=$D203,$A203&lt;&gt;""),"●","")</x:f>
      </x:c>
      <x:c r="AK203" s="165" t="str">
        <x:f>IF(AND(AK$5&gt;=$C203,AK$5&lt;=$D203,$A203&lt;&gt;""),"●","")</x:f>
      </x:c>
      <x:c r="AL203" s="165" t="str">
        <x:f>IF(AND(AL$5&gt;=$C203,AL$5&lt;=$D203,$A203&lt;&gt;""),"●","")</x:f>
      </x:c>
      <x:c r="AM203" s="165" t="str">
        <x:f>IF(AND(AM$5&gt;=$C203,AM$5&lt;=$D203,$A203&lt;&gt;""),"●","")</x:f>
      </x:c>
      <x:c r="AN203" s="165" t="str">
        <x:f>IF(AND(AN$5&gt;=$C203,AN$5&lt;=$D203,$A203&lt;&gt;""),"●","")</x:f>
      </x:c>
      <x:c r="AO203" s="165" t="str">
        <x:f>IF(AND(AO$5&gt;=$C203,AO$5&lt;=$D203,$A203&lt;&gt;""),"●","")</x:f>
      </x:c>
      <x:c r="AP203" s="165" t="str">
        <x:f>IF(AND(AP$5&gt;=$C203,AP$5&lt;=$D203,$A203&lt;&gt;""),"●","")</x:f>
      </x:c>
      <x:c r="AQ203" s="165" t="str">
        <x:f>IF(AND(AQ$5&gt;=$C203,AQ$5&lt;=$D203,$A203&lt;&gt;""),"●","")</x:f>
      </x:c>
      <x:c r="AR203" s="165" t="str">
        <x:f>IF(AND(AR$5&gt;=$C203,AR$5&lt;=$D203,$A203&lt;&gt;""),"●","")</x:f>
      </x:c>
      <x:c r="AS203" s="165" t="str">
        <x:f>IF(AND(AS$5&gt;=$C203,AS$5&lt;=$D203,$A203&lt;&gt;""),"●","")</x:f>
      </x:c>
      <x:c r="AT203" s="165" t="str">
        <x:f>IF(AND(AT$5&gt;=$C203,AT$5&lt;=$D203,$A203&lt;&gt;""),"●","")</x:f>
      </x:c>
      <x:c r="AU203" s="165" t="str">
        <x:f>IF(AND(AU$5&gt;=$C203,AU$5&lt;=$D203,$A203&lt;&gt;""),"●","")</x:f>
      </x:c>
      <x:c r="AV203" s="165" t="str">
        <x:f>IF(AND(AV$5&gt;=$C203,AV$5&lt;=$D203,$A203&lt;&gt;""),"●","")</x:f>
      </x:c>
      <x:c r="AW203" s="165" t="str">
        <x:f>IF(AND(AW$5&gt;=$C203,AW$5&lt;=$D203,$A203&lt;&gt;""),"●","")</x:f>
      </x:c>
      <x:c r="AX203" s="165" t="str">
        <x:f>IF(AND(AX$5&gt;=$C203,AX$5&lt;=$D203,$A203&lt;&gt;""),"●","")</x:f>
      </x:c>
      <x:c r="AY203" s="165" t="str">
        <x:f>IF(AND(AY$5&gt;=$C203,AY$5&lt;=$D203,$A203&lt;&gt;""),"●","")</x:f>
      </x:c>
      <x:c r="AZ203" s="165" t="str">
        <x:f>IF(AND(AZ$5&gt;=$C203,AZ$5&lt;=$D203,$A203&lt;&gt;""),"●","")</x:f>
      </x:c>
      <x:c r="BA203" s="165" t="str">
        <x:f>IF(AND(BA$5&gt;=$C203,BA$5&lt;=$D203,$A203&lt;&gt;""),"●","")</x:f>
      </x:c>
      <x:c r="BB203" s="165" t="str">
        <x:f>IF(AND(BB$5&gt;=$C203,BB$5&lt;=$D203,$A203&lt;&gt;""),"●","")</x:f>
      </x:c>
      <x:c r="BC203" s="165" t="str">
        <x:f>IF(AND(BC$5&gt;=$C203,BC$5&lt;=$D203,$A203&lt;&gt;""),"●","")</x:f>
      </x:c>
      <x:c r="BD203" s="165" t="str">
        <x:f>IF(AND(BD$5&gt;=$C203,BD$5&lt;=$D203,$A203&lt;&gt;""),"●","")</x:f>
      </x:c>
      <x:c r="BE203" s="165" t="str">
        <x:f>IF(AND(BE$5&gt;=$C203,BE$5&lt;=$D203,$A203&lt;&gt;""),"●","")</x:f>
      </x:c>
      <x:c r="BF203" s="165" t="str">
        <x:f>IF(AND(BF$5&gt;=$C203,BF$5&lt;=$D203,$A203&lt;&gt;""),"●","")</x:f>
      </x:c>
      <x:c r="BG203" s="165" t="str">
        <x:f>IF(AND(BG$5&gt;=$C203,BG$5&lt;=$D203,$A203&lt;&gt;""),"●","")</x:f>
      </x:c>
      <x:c r="BH203" s="165" t="str">
        <x:f>IF(AND(BH$5&gt;=$C203,BH$5&lt;=$D203,$A203&lt;&gt;""),"●","")</x:f>
      </x:c>
      <x:c r="BI203" s="165" t="str">
        <x:f>IF(AND(BI$5&gt;=$C203,BI$5&lt;=$D203,$A203&lt;&gt;""),"●","")</x:f>
      </x:c>
      <x:c r="BJ203" s="165" t="str">
        <x:f>IF(AND(BJ$5&gt;=$C203,BJ$5&lt;=$D203,$A203&lt;&gt;""),"●","")</x:f>
      </x:c>
      <x:c r="BK203" s="165" t="str">
        <x:f>IF(AND(BK$5&gt;=$C203,BK$5&lt;=$D203,$A203&lt;&gt;""),"●","")</x:f>
      </x:c>
      <x:c r="BL203" s="165" t="str">
        <x:f>IF(AND(BL$5&gt;=$C203,BL$5&lt;=$D203,$A203&lt;&gt;""),"●","")</x:f>
      </x:c>
      <x:c r="BM203" s="165" t="str">
        <x:f>IF(AND(BM$5&gt;=$C203,BM$5&lt;=$D203,$A203&lt;&gt;""),"●","")</x:f>
      </x:c>
      <x:c r="BN203" s="165" t="str">
        <x:f>IF(AND(BN$5&gt;=$C203,BN$5&lt;=$D203,$A203&lt;&gt;""),"●","")</x:f>
      </x:c>
      <x:c r="BO203" s="165" t="str">
        <x:f>IF(AND(BO$5&gt;=$C203,BO$5&lt;=$D203,$A203&lt;&gt;""),"●","")</x:f>
      </x:c>
      <x:c r="BP203" s="165" t="str">
        <x:f>IF(AND(BP$5&gt;=$C203,BP$5&lt;=$D203,$A203&lt;&gt;""),"●","")</x:f>
      </x:c>
      <x:c r="BQ203" s="165" t="str">
        <x:f>IF(AND(BQ$5&gt;=$C203,BQ$5&lt;=$D203,$A203&lt;&gt;""),"●","")</x:f>
      </x:c>
      <x:c r="BR203" s="165" t="str">
        <x:f>IF(AND(BR$5&gt;=$C203,BR$5&lt;=$D203,$A203&lt;&gt;""),"●","")</x:f>
      </x:c>
      <x:c r="BS203" s="165" t="str">
        <x:f>IF(AND(BS$5&gt;=$C203,BS$5&lt;=$D203,$A203&lt;&gt;""),"●","")</x:f>
      </x:c>
      <x:c r="BT203" s="165" t="str">
        <x:f>IF(AND(BT$5&gt;=$C203,BT$5&lt;=$D203,$A203&lt;&gt;""),"●","")</x:f>
      </x:c>
      <x:c r="BU203" s="165" t="str">
        <x:f>IF(AND(BU$5&gt;=$C203,BU$5&lt;=$D203,$A203&lt;&gt;""),"●","")</x:f>
      </x:c>
      <x:c r="BV203" s="165" t="str">
        <x:f>IF(AND(BV$5&gt;=$C203,BV$5&lt;=$D203,$A203&lt;&gt;""),"●","")</x:f>
      </x:c>
      <x:c r="BW203" s="165" t="str">
        <x:f>IF(AND(BW$5&gt;=$C203,BW$5&lt;=$D203,$A203&lt;&gt;""),"●","")</x:f>
      </x:c>
    </x:row>
    <x:row r="204">
      <x:c r="A204" s="159" t="str">
        <x:f>IF('รายการสัญญา'!A204="","",'รายการสัญญา'!A204)</x:f>
      </x:c>
      <x:c r="B204" s="159" t="str">
        <x:f>IF('รายการสัญญา'!A204="","",'รายการสัญญา'!C204)</x:f>
      </x:c>
      <x:c r="C204" s="162" t="str">
        <x:f>IF('รายการสัญญา'!A204="","",'รายการสัญญา'!E204)</x:f>
      </x:c>
      <x:c r="D204" s="162" t="str">
        <x:f>IF('รายการสัญญา'!A204="","",'รายการสัญญา'!G204)</x:f>
      </x:c>
      <x:c r="E204" s="159" t="str">
        <x:f>IF('รายการสัญญา'!A204="","",'รายการสัญญา'!K204)</x:f>
      </x:c>
      <x:c r="F204" s="165" t="str">
        <x:f>IF(AND(F$5&gt;=$C204,F$5&lt;=$D204,$A204&lt;&gt;""),"●","")</x:f>
      </x:c>
      <x:c r="G204" s="165" t="str">
        <x:f>IF(AND(G$5&gt;=$C204,G$5&lt;=$D204,$A204&lt;&gt;""),"●","")</x:f>
      </x:c>
      <x:c r="H204" s="165" t="str">
        <x:f>IF(AND(H$5&gt;=$C204,H$5&lt;=$D204,$A204&lt;&gt;""),"●","")</x:f>
      </x:c>
      <x:c r="I204" s="165" t="str">
        <x:f>IF(AND(I$5&gt;=$C204,I$5&lt;=$D204,$A204&lt;&gt;""),"●","")</x:f>
      </x:c>
      <x:c r="J204" s="165" t="str">
        <x:f>IF(AND(J$5&gt;=$C204,J$5&lt;=$D204,$A204&lt;&gt;""),"●","")</x:f>
      </x:c>
      <x:c r="K204" s="165" t="str">
        <x:f>IF(AND(K$5&gt;=$C204,K$5&lt;=$D204,$A204&lt;&gt;""),"●","")</x:f>
      </x:c>
      <x:c r="L204" s="165" t="str">
        <x:f>IF(AND(L$5&gt;=$C204,L$5&lt;=$D204,$A204&lt;&gt;""),"●","")</x:f>
      </x:c>
      <x:c r="M204" s="165" t="str">
        <x:f>IF(AND(M$5&gt;=$C204,M$5&lt;=$D204,$A204&lt;&gt;""),"●","")</x:f>
      </x:c>
      <x:c r="N204" s="165" t="str">
        <x:f>IF(AND(N$5&gt;=$C204,N$5&lt;=$D204,$A204&lt;&gt;""),"●","")</x:f>
      </x:c>
      <x:c r="O204" s="165" t="str">
        <x:f>IF(AND(O$5&gt;=$C204,O$5&lt;=$D204,$A204&lt;&gt;""),"●","")</x:f>
      </x:c>
      <x:c r="P204" s="165" t="str">
        <x:f>IF(AND(P$5&gt;=$C204,P$5&lt;=$D204,$A204&lt;&gt;""),"●","")</x:f>
      </x:c>
      <x:c r="Q204" s="165" t="str">
        <x:f>IF(AND(Q$5&gt;=$C204,Q$5&lt;=$D204,$A204&lt;&gt;""),"●","")</x:f>
      </x:c>
      <x:c r="R204" s="165" t="str">
        <x:f>IF(AND(R$5&gt;=$C204,R$5&lt;=$D204,$A204&lt;&gt;""),"●","")</x:f>
      </x:c>
      <x:c r="S204" s="165" t="str">
        <x:f>IF(AND(S$5&gt;=$C204,S$5&lt;=$D204,$A204&lt;&gt;""),"●","")</x:f>
      </x:c>
      <x:c r="T204" s="165" t="str">
        <x:f>IF(AND(T$5&gt;=$C204,T$5&lt;=$D204,$A204&lt;&gt;""),"●","")</x:f>
      </x:c>
      <x:c r="U204" s="165" t="str">
        <x:f>IF(AND(U$5&gt;=$C204,U$5&lt;=$D204,$A204&lt;&gt;""),"●","")</x:f>
      </x:c>
      <x:c r="V204" s="165" t="str">
        <x:f>IF(AND(V$5&gt;=$C204,V$5&lt;=$D204,$A204&lt;&gt;""),"●","")</x:f>
      </x:c>
      <x:c r="W204" s="165" t="str">
        <x:f>IF(AND(W$5&gt;=$C204,W$5&lt;=$D204,$A204&lt;&gt;""),"●","")</x:f>
      </x:c>
      <x:c r="X204" s="165" t="str">
        <x:f>IF(AND(X$5&gt;=$C204,X$5&lt;=$D204,$A204&lt;&gt;""),"●","")</x:f>
      </x:c>
      <x:c r="Y204" s="165" t="str">
        <x:f>IF(AND(Y$5&gt;=$C204,Y$5&lt;=$D204,$A204&lt;&gt;""),"●","")</x:f>
      </x:c>
      <x:c r="Z204" s="165" t="str">
        <x:f>IF(AND(Z$5&gt;=$C204,Z$5&lt;=$D204,$A204&lt;&gt;""),"●","")</x:f>
      </x:c>
      <x:c r="AA204" s="165" t="str">
        <x:f>IF(AND(AA$5&gt;=$C204,AA$5&lt;=$D204,$A204&lt;&gt;""),"●","")</x:f>
      </x:c>
      <x:c r="AB204" s="165" t="str">
        <x:f>IF(AND(AB$5&gt;=$C204,AB$5&lt;=$D204,$A204&lt;&gt;""),"●","")</x:f>
      </x:c>
      <x:c r="AC204" s="165" t="str">
        <x:f>IF(AND(AC$5&gt;=$C204,AC$5&lt;=$D204,$A204&lt;&gt;""),"●","")</x:f>
      </x:c>
      <x:c r="AD204" s="165" t="str">
        <x:f>IF(AND(AD$5&gt;=$C204,AD$5&lt;=$D204,$A204&lt;&gt;""),"●","")</x:f>
      </x:c>
      <x:c r="AE204" s="165" t="str">
        <x:f>IF(AND(AE$5&gt;=$C204,AE$5&lt;=$D204,$A204&lt;&gt;""),"●","")</x:f>
      </x:c>
      <x:c r="AF204" s="165" t="str">
        <x:f>IF(AND(AF$5&gt;=$C204,AF$5&lt;=$D204,$A204&lt;&gt;""),"●","")</x:f>
      </x:c>
      <x:c r="AG204" s="165" t="str">
        <x:f>IF(AND(AG$5&gt;=$C204,AG$5&lt;=$D204,$A204&lt;&gt;""),"●","")</x:f>
      </x:c>
      <x:c r="AH204" s="165" t="str">
        <x:f>IF(AND(AH$5&gt;=$C204,AH$5&lt;=$D204,$A204&lt;&gt;""),"●","")</x:f>
      </x:c>
      <x:c r="AI204" s="165" t="str">
        <x:f>IF(AND(AI$5&gt;=$C204,AI$5&lt;=$D204,$A204&lt;&gt;""),"●","")</x:f>
      </x:c>
      <x:c r="AJ204" s="165" t="str">
        <x:f>IF(AND(AJ$5&gt;=$C204,AJ$5&lt;=$D204,$A204&lt;&gt;""),"●","")</x:f>
      </x:c>
      <x:c r="AK204" s="165" t="str">
        <x:f>IF(AND(AK$5&gt;=$C204,AK$5&lt;=$D204,$A204&lt;&gt;""),"●","")</x:f>
      </x:c>
      <x:c r="AL204" s="165" t="str">
        <x:f>IF(AND(AL$5&gt;=$C204,AL$5&lt;=$D204,$A204&lt;&gt;""),"●","")</x:f>
      </x:c>
      <x:c r="AM204" s="165" t="str">
        <x:f>IF(AND(AM$5&gt;=$C204,AM$5&lt;=$D204,$A204&lt;&gt;""),"●","")</x:f>
      </x:c>
      <x:c r="AN204" s="165" t="str">
        <x:f>IF(AND(AN$5&gt;=$C204,AN$5&lt;=$D204,$A204&lt;&gt;""),"●","")</x:f>
      </x:c>
      <x:c r="AO204" s="165" t="str">
        <x:f>IF(AND(AO$5&gt;=$C204,AO$5&lt;=$D204,$A204&lt;&gt;""),"●","")</x:f>
      </x:c>
      <x:c r="AP204" s="165" t="str">
        <x:f>IF(AND(AP$5&gt;=$C204,AP$5&lt;=$D204,$A204&lt;&gt;""),"●","")</x:f>
      </x:c>
      <x:c r="AQ204" s="165" t="str">
        <x:f>IF(AND(AQ$5&gt;=$C204,AQ$5&lt;=$D204,$A204&lt;&gt;""),"●","")</x:f>
      </x:c>
      <x:c r="AR204" s="165" t="str">
        <x:f>IF(AND(AR$5&gt;=$C204,AR$5&lt;=$D204,$A204&lt;&gt;""),"●","")</x:f>
      </x:c>
      <x:c r="AS204" s="165" t="str">
        <x:f>IF(AND(AS$5&gt;=$C204,AS$5&lt;=$D204,$A204&lt;&gt;""),"●","")</x:f>
      </x:c>
      <x:c r="AT204" s="165" t="str">
        <x:f>IF(AND(AT$5&gt;=$C204,AT$5&lt;=$D204,$A204&lt;&gt;""),"●","")</x:f>
      </x:c>
      <x:c r="AU204" s="165" t="str">
        <x:f>IF(AND(AU$5&gt;=$C204,AU$5&lt;=$D204,$A204&lt;&gt;""),"●","")</x:f>
      </x:c>
      <x:c r="AV204" s="165" t="str">
        <x:f>IF(AND(AV$5&gt;=$C204,AV$5&lt;=$D204,$A204&lt;&gt;""),"●","")</x:f>
      </x:c>
      <x:c r="AW204" s="165" t="str">
        <x:f>IF(AND(AW$5&gt;=$C204,AW$5&lt;=$D204,$A204&lt;&gt;""),"●","")</x:f>
      </x:c>
      <x:c r="AX204" s="165" t="str">
        <x:f>IF(AND(AX$5&gt;=$C204,AX$5&lt;=$D204,$A204&lt;&gt;""),"●","")</x:f>
      </x:c>
      <x:c r="AY204" s="165" t="str">
        <x:f>IF(AND(AY$5&gt;=$C204,AY$5&lt;=$D204,$A204&lt;&gt;""),"●","")</x:f>
      </x:c>
      <x:c r="AZ204" s="165" t="str">
        <x:f>IF(AND(AZ$5&gt;=$C204,AZ$5&lt;=$D204,$A204&lt;&gt;""),"●","")</x:f>
      </x:c>
      <x:c r="BA204" s="165" t="str">
        <x:f>IF(AND(BA$5&gt;=$C204,BA$5&lt;=$D204,$A204&lt;&gt;""),"●","")</x:f>
      </x:c>
      <x:c r="BB204" s="165" t="str">
        <x:f>IF(AND(BB$5&gt;=$C204,BB$5&lt;=$D204,$A204&lt;&gt;""),"●","")</x:f>
      </x:c>
      <x:c r="BC204" s="165" t="str">
        <x:f>IF(AND(BC$5&gt;=$C204,BC$5&lt;=$D204,$A204&lt;&gt;""),"●","")</x:f>
      </x:c>
      <x:c r="BD204" s="165" t="str">
        <x:f>IF(AND(BD$5&gt;=$C204,BD$5&lt;=$D204,$A204&lt;&gt;""),"●","")</x:f>
      </x:c>
      <x:c r="BE204" s="165" t="str">
        <x:f>IF(AND(BE$5&gt;=$C204,BE$5&lt;=$D204,$A204&lt;&gt;""),"●","")</x:f>
      </x:c>
      <x:c r="BF204" s="165" t="str">
        <x:f>IF(AND(BF$5&gt;=$C204,BF$5&lt;=$D204,$A204&lt;&gt;""),"●","")</x:f>
      </x:c>
      <x:c r="BG204" s="165" t="str">
        <x:f>IF(AND(BG$5&gt;=$C204,BG$5&lt;=$D204,$A204&lt;&gt;""),"●","")</x:f>
      </x:c>
      <x:c r="BH204" s="165" t="str">
        <x:f>IF(AND(BH$5&gt;=$C204,BH$5&lt;=$D204,$A204&lt;&gt;""),"●","")</x:f>
      </x:c>
      <x:c r="BI204" s="165" t="str">
        <x:f>IF(AND(BI$5&gt;=$C204,BI$5&lt;=$D204,$A204&lt;&gt;""),"●","")</x:f>
      </x:c>
      <x:c r="BJ204" s="165" t="str">
        <x:f>IF(AND(BJ$5&gt;=$C204,BJ$5&lt;=$D204,$A204&lt;&gt;""),"●","")</x:f>
      </x:c>
      <x:c r="BK204" s="165" t="str">
        <x:f>IF(AND(BK$5&gt;=$C204,BK$5&lt;=$D204,$A204&lt;&gt;""),"●","")</x:f>
      </x:c>
      <x:c r="BL204" s="165" t="str">
        <x:f>IF(AND(BL$5&gt;=$C204,BL$5&lt;=$D204,$A204&lt;&gt;""),"●","")</x:f>
      </x:c>
      <x:c r="BM204" s="165" t="str">
        <x:f>IF(AND(BM$5&gt;=$C204,BM$5&lt;=$D204,$A204&lt;&gt;""),"●","")</x:f>
      </x:c>
      <x:c r="BN204" s="165" t="str">
        <x:f>IF(AND(BN$5&gt;=$C204,BN$5&lt;=$D204,$A204&lt;&gt;""),"●","")</x:f>
      </x:c>
      <x:c r="BO204" s="165" t="str">
        <x:f>IF(AND(BO$5&gt;=$C204,BO$5&lt;=$D204,$A204&lt;&gt;""),"●","")</x:f>
      </x:c>
      <x:c r="BP204" s="165" t="str">
        <x:f>IF(AND(BP$5&gt;=$C204,BP$5&lt;=$D204,$A204&lt;&gt;""),"●","")</x:f>
      </x:c>
      <x:c r="BQ204" s="165" t="str">
        <x:f>IF(AND(BQ$5&gt;=$C204,BQ$5&lt;=$D204,$A204&lt;&gt;""),"●","")</x:f>
      </x:c>
      <x:c r="BR204" s="165" t="str">
        <x:f>IF(AND(BR$5&gt;=$C204,BR$5&lt;=$D204,$A204&lt;&gt;""),"●","")</x:f>
      </x:c>
      <x:c r="BS204" s="165" t="str">
        <x:f>IF(AND(BS$5&gt;=$C204,BS$5&lt;=$D204,$A204&lt;&gt;""),"●","")</x:f>
      </x:c>
      <x:c r="BT204" s="165" t="str">
        <x:f>IF(AND(BT$5&gt;=$C204,BT$5&lt;=$D204,$A204&lt;&gt;""),"●","")</x:f>
      </x:c>
      <x:c r="BU204" s="165" t="str">
        <x:f>IF(AND(BU$5&gt;=$C204,BU$5&lt;=$D204,$A204&lt;&gt;""),"●","")</x:f>
      </x:c>
      <x:c r="BV204" s="165" t="str">
        <x:f>IF(AND(BV$5&gt;=$C204,BV$5&lt;=$D204,$A204&lt;&gt;""),"●","")</x:f>
      </x:c>
      <x:c r="BW204" s="165" t="str">
        <x:f>IF(AND(BW$5&gt;=$C204,BW$5&lt;=$D204,$A204&lt;&gt;""),"●","")</x:f>
      </x:c>
    </x:row>
    <x:row r="205">
      <x:c r="A205" s="159" t="str">
        <x:f>IF('รายการสัญญา'!A205="","",'รายการสัญญา'!A205)</x:f>
      </x:c>
      <x:c r="B205" s="159" t="str">
        <x:f>IF('รายการสัญญา'!A205="","",'รายการสัญญา'!C205)</x:f>
      </x:c>
      <x:c r="C205" s="162" t="str">
        <x:f>IF('รายการสัญญา'!A205="","",'รายการสัญญา'!E205)</x:f>
      </x:c>
      <x:c r="D205" s="162" t="str">
        <x:f>IF('รายการสัญญา'!A205="","",'รายการสัญญา'!G205)</x:f>
      </x:c>
      <x:c r="E205" s="159" t="str">
        <x:f>IF('รายการสัญญา'!A205="","",'รายการสัญญา'!K205)</x:f>
      </x:c>
      <x:c r="F205" s="165" t="str">
        <x:f>IF(AND(F$5&gt;=$C205,F$5&lt;=$D205,$A205&lt;&gt;""),"●","")</x:f>
      </x:c>
      <x:c r="G205" s="165" t="str">
        <x:f>IF(AND(G$5&gt;=$C205,G$5&lt;=$D205,$A205&lt;&gt;""),"●","")</x:f>
      </x:c>
      <x:c r="H205" s="165" t="str">
        <x:f>IF(AND(H$5&gt;=$C205,H$5&lt;=$D205,$A205&lt;&gt;""),"●","")</x:f>
      </x:c>
      <x:c r="I205" s="165" t="str">
        <x:f>IF(AND(I$5&gt;=$C205,I$5&lt;=$D205,$A205&lt;&gt;""),"●","")</x:f>
      </x:c>
      <x:c r="J205" s="165" t="str">
        <x:f>IF(AND(J$5&gt;=$C205,J$5&lt;=$D205,$A205&lt;&gt;""),"●","")</x:f>
      </x:c>
      <x:c r="K205" s="165" t="str">
        <x:f>IF(AND(K$5&gt;=$C205,K$5&lt;=$D205,$A205&lt;&gt;""),"●","")</x:f>
      </x:c>
      <x:c r="L205" s="165" t="str">
        <x:f>IF(AND(L$5&gt;=$C205,L$5&lt;=$D205,$A205&lt;&gt;""),"●","")</x:f>
      </x:c>
      <x:c r="M205" s="165" t="str">
        <x:f>IF(AND(M$5&gt;=$C205,M$5&lt;=$D205,$A205&lt;&gt;""),"●","")</x:f>
      </x:c>
      <x:c r="N205" s="165" t="str">
        <x:f>IF(AND(N$5&gt;=$C205,N$5&lt;=$D205,$A205&lt;&gt;""),"●","")</x:f>
      </x:c>
      <x:c r="O205" s="165" t="str">
        <x:f>IF(AND(O$5&gt;=$C205,O$5&lt;=$D205,$A205&lt;&gt;""),"●","")</x:f>
      </x:c>
      <x:c r="P205" s="165" t="str">
        <x:f>IF(AND(P$5&gt;=$C205,P$5&lt;=$D205,$A205&lt;&gt;""),"●","")</x:f>
      </x:c>
      <x:c r="Q205" s="165" t="str">
        <x:f>IF(AND(Q$5&gt;=$C205,Q$5&lt;=$D205,$A205&lt;&gt;""),"●","")</x:f>
      </x:c>
      <x:c r="R205" s="165" t="str">
        <x:f>IF(AND(R$5&gt;=$C205,R$5&lt;=$D205,$A205&lt;&gt;""),"●","")</x:f>
      </x:c>
      <x:c r="S205" s="165" t="str">
        <x:f>IF(AND(S$5&gt;=$C205,S$5&lt;=$D205,$A205&lt;&gt;""),"●","")</x:f>
      </x:c>
      <x:c r="T205" s="165" t="str">
        <x:f>IF(AND(T$5&gt;=$C205,T$5&lt;=$D205,$A205&lt;&gt;""),"●","")</x:f>
      </x:c>
      <x:c r="U205" s="165" t="str">
        <x:f>IF(AND(U$5&gt;=$C205,U$5&lt;=$D205,$A205&lt;&gt;""),"●","")</x:f>
      </x:c>
      <x:c r="V205" s="165" t="str">
        <x:f>IF(AND(V$5&gt;=$C205,V$5&lt;=$D205,$A205&lt;&gt;""),"●","")</x:f>
      </x:c>
      <x:c r="W205" s="165" t="str">
        <x:f>IF(AND(W$5&gt;=$C205,W$5&lt;=$D205,$A205&lt;&gt;""),"●","")</x:f>
      </x:c>
      <x:c r="X205" s="165" t="str">
        <x:f>IF(AND(X$5&gt;=$C205,X$5&lt;=$D205,$A205&lt;&gt;""),"●","")</x:f>
      </x:c>
      <x:c r="Y205" s="165" t="str">
        <x:f>IF(AND(Y$5&gt;=$C205,Y$5&lt;=$D205,$A205&lt;&gt;""),"●","")</x:f>
      </x:c>
      <x:c r="Z205" s="165" t="str">
        <x:f>IF(AND(Z$5&gt;=$C205,Z$5&lt;=$D205,$A205&lt;&gt;""),"●","")</x:f>
      </x:c>
      <x:c r="AA205" s="165" t="str">
        <x:f>IF(AND(AA$5&gt;=$C205,AA$5&lt;=$D205,$A205&lt;&gt;""),"●","")</x:f>
      </x:c>
      <x:c r="AB205" s="165" t="str">
        <x:f>IF(AND(AB$5&gt;=$C205,AB$5&lt;=$D205,$A205&lt;&gt;""),"●","")</x:f>
      </x:c>
      <x:c r="AC205" s="165" t="str">
        <x:f>IF(AND(AC$5&gt;=$C205,AC$5&lt;=$D205,$A205&lt;&gt;""),"●","")</x:f>
      </x:c>
      <x:c r="AD205" s="165" t="str">
        <x:f>IF(AND(AD$5&gt;=$C205,AD$5&lt;=$D205,$A205&lt;&gt;""),"●","")</x:f>
      </x:c>
      <x:c r="AE205" s="165" t="str">
        <x:f>IF(AND(AE$5&gt;=$C205,AE$5&lt;=$D205,$A205&lt;&gt;""),"●","")</x:f>
      </x:c>
      <x:c r="AF205" s="165" t="str">
        <x:f>IF(AND(AF$5&gt;=$C205,AF$5&lt;=$D205,$A205&lt;&gt;""),"●","")</x:f>
      </x:c>
      <x:c r="AG205" s="165" t="str">
        <x:f>IF(AND(AG$5&gt;=$C205,AG$5&lt;=$D205,$A205&lt;&gt;""),"●","")</x:f>
      </x:c>
      <x:c r="AH205" s="165" t="str">
        <x:f>IF(AND(AH$5&gt;=$C205,AH$5&lt;=$D205,$A205&lt;&gt;""),"●","")</x:f>
      </x:c>
      <x:c r="AI205" s="165" t="str">
        <x:f>IF(AND(AI$5&gt;=$C205,AI$5&lt;=$D205,$A205&lt;&gt;""),"●","")</x:f>
      </x:c>
      <x:c r="AJ205" s="165" t="str">
        <x:f>IF(AND(AJ$5&gt;=$C205,AJ$5&lt;=$D205,$A205&lt;&gt;""),"●","")</x:f>
      </x:c>
      <x:c r="AK205" s="165" t="str">
        <x:f>IF(AND(AK$5&gt;=$C205,AK$5&lt;=$D205,$A205&lt;&gt;""),"●","")</x:f>
      </x:c>
      <x:c r="AL205" s="165" t="str">
        <x:f>IF(AND(AL$5&gt;=$C205,AL$5&lt;=$D205,$A205&lt;&gt;""),"●","")</x:f>
      </x:c>
      <x:c r="AM205" s="165" t="str">
        <x:f>IF(AND(AM$5&gt;=$C205,AM$5&lt;=$D205,$A205&lt;&gt;""),"●","")</x:f>
      </x:c>
      <x:c r="AN205" s="165" t="str">
        <x:f>IF(AND(AN$5&gt;=$C205,AN$5&lt;=$D205,$A205&lt;&gt;""),"●","")</x:f>
      </x:c>
      <x:c r="AO205" s="165" t="str">
        <x:f>IF(AND(AO$5&gt;=$C205,AO$5&lt;=$D205,$A205&lt;&gt;""),"●","")</x:f>
      </x:c>
      <x:c r="AP205" s="165" t="str">
        <x:f>IF(AND(AP$5&gt;=$C205,AP$5&lt;=$D205,$A205&lt;&gt;""),"●","")</x:f>
      </x:c>
      <x:c r="AQ205" s="165" t="str">
        <x:f>IF(AND(AQ$5&gt;=$C205,AQ$5&lt;=$D205,$A205&lt;&gt;""),"●","")</x:f>
      </x:c>
      <x:c r="AR205" s="165" t="str">
        <x:f>IF(AND(AR$5&gt;=$C205,AR$5&lt;=$D205,$A205&lt;&gt;""),"●","")</x:f>
      </x:c>
      <x:c r="AS205" s="165" t="str">
        <x:f>IF(AND(AS$5&gt;=$C205,AS$5&lt;=$D205,$A205&lt;&gt;""),"●","")</x:f>
      </x:c>
      <x:c r="AT205" s="165" t="str">
        <x:f>IF(AND(AT$5&gt;=$C205,AT$5&lt;=$D205,$A205&lt;&gt;""),"●","")</x:f>
      </x:c>
      <x:c r="AU205" s="165" t="str">
        <x:f>IF(AND(AU$5&gt;=$C205,AU$5&lt;=$D205,$A205&lt;&gt;""),"●","")</x:f>
      </x:c>
      <x:c r="AV205" s="165" t="str">
        <x:f>IF(AND(AV$5&gt;=$C205,AV$5&lt;=$D205,$A205&lt;&gt;""),"●","")</x:f>
      </x:c>
      <x:c r="AW205" s="165" t="str">
        <x:f>IF(AND(AW$5&gt;=$C205,AW$5&lt;=$D205,$A205&lt;&gt;""),"●","")</x:f>
      </x:c>
      <x:c r="AX205" s="165" t="str">
        <x:f>IF(AND(AX$5&gt;=$C205,AX$5&lt;=$D205,$A205&lt;&gt;""),"●","")</x:f>
      </x:c>
      <x:c r="AY205" s="165" t="str">
        <x:f>IF(AND(AY$5&gt;=$C205,AY$5&lt;=$D205,$A205&lt;&gt;""),"●","")</x:f>
      </x:c>
      <x:c r="AZ205" s="165" t="str">
        <x:f>IF(AND(AZ$5&gt;=$C205,AZ$5&lt;=$D205,$A205&lt;&gt;""),"●","")</x:f>
      </x:c>
      <x:c r="BA205" s="165" t="str">
        <x:f>IF(AND(BA$5&gt;=$C205,BA$5&lt;=$D205,$A205&lt;&gt;""),"●","")</x:f>
      </x:c>
      <x:c r="BB205" s="165" t="str">
        <x:f>IF(AND(BB$5&gt;=$C205,BB$5&lt;=$D205,$A205&lt;&gt;""),"●","")</x:f>
      </x:c>
      <x:c r="BC205" s="165" t="str">
        <x:f>IF(AND(BC$5&gt;=$C205,BC$5&lt;=$D205,$A205&lt;&gt;""),"●","")</x:f>
      </x:c>
      <x:c r="BD205" s="165" t="str">
        <x:f>IF(AND(BD$5&gt;=$C205,BD$5&lt;=$D205,$A205&lt;&gt;""),"●","")</x:f>
      </x:c>
      <x:c r="BE205" s="165" t="str">
        <x:f>IF(AND(BE$5&gt;=$C205,BE$5&lt;=$D205,$A205&lt;&gt;""),"●","")</x:f>
      </x:c>
      <x:c r="BF205" s="165" t="str">
        <x:f>IF(AND(BF$5&gt;=$C205,BF$5&lt;=$D205,$A205&lt;&gt;""),"●","")</x:f>
      </x:c>
      <x:c r="BG205" s="165" t="str">
        <x:f>IF(AND(BG$5&gt;=$C205,BG$5&lt;=$D205,$A205&lt;&gt;""),"●","")</x:f>
      </x:c>
      <x:c r="BH205" s="165" t="str">
        <x:f>IF(AND(BH$5&gt;=$C205,BH$5&lt;=$D205,$A205&lt;&gt;""),"●","")</x:f>
      </x:c>
      <x:c r="BI205" s="165" t="str">
        <x:f>IF(AND(BI$5&gt;=$C205,BI$5&lt;=$D205,$A205&lt;&gt;""),"●","")</x:f>
      </x:c>
      <x:c r="BJ205" s="165" t="str">
        <x:f>IF(AND(BJ$5&gt;=$C205,BJ$5&lt;=$D205,$A205&lt;&gt;""),"●","")</x:f>
      </x:c>
      <x:c r="BK205" s="165" t="str">
        <x:f>IF(AND(BK$5&gt;=$C205,BK$5&lt;=$D205,$A205&lt;&gt;""),"●","")</x:f>
      </x:c>
      <x:c r="BL205" s="165" t="str">
        <x:f>IF(AND(BL$5&gt;=$C205,BL$5&lt;=$D205,$A205&lt;&gt;""),"●","")</x:f>
      </x:c>
      <x:c r="BM205" s="165" t="str">
        <x:f>IF(AND(BM$5&gt;=$C205,BM$5&lt;=$D205,$A205&lt;&gt;""),"●","")</x:f>
      </x:c>
      <x:c r="BN205" s="165" t="str">
        <x:f>IF(AND(BN$5&gt;=$C205,BN$5&lt;=$D205,$A205&lt;&gt;""),"●","")</x:f>
      </x:c>
      <x:c r="BO205" s="165" t="str">
        <x:f>IF(AND(BO$5&gt;=$C205,BO$5&lt;=$D205,$A205&lt;&gt;""),"●","")</x:f>
      </x:c>
      <x:c r="BP205" s="165" t="str">
        <x:f>IF(AND(BP$5&gt;=$C205,BP$5&lt;=$D205,$A205&lt;&gt;""),"●","")</x:f>
      </x:c>
      <x:c r="BQ205" s="165" t="str">
        <x:f>IF(AND(BQ$5&gt;=$C205,BQ$5&lt;=$D205,$A205&lt;&gt;""),"●","")</x:f>
      </x:c>
      <x:c r="BR205" s="165" t="str">
        <x:f>IF(AND(BR$5&gt;=$C205,BR$5&lt;=$D205,$A205&lt;&gt;""),"●","")</x:f>
      </x:c>
      <x:c r="BS205" s="165" t="str">
        <x:f>IF(AND(BS$5&gt;=$C205,BS$5&lt;=$D205,$A205&lt;&gt;""),"●","")</x:f>
      </x:c>
      <x:c r="BT205" s="165" t="str">
        <x:f>IF(AND(BT$5&gt;=$C205,BT$5&lt;=$D205,$A205&lt;&gt;""),"●","")</x:f>
      </x:c>
      <x:c r="BU205" s="165" t="str">
        <x:f>IF(AND(BU$5&gt;=$C205,BU$5&lt;=$D205,$A205&lt;&gt;""),"●","")</x:f>
      </x:c>
      <x:c r="BV205" s="165" t="str">
        <x:f>IF(AND(BV$5&gt;=$C205,BV$5&lt;=$D205,$A205&lt;&gt;""),"●","")</x:f>
      </x:c>
      <x:c r="BW205" s="165" t="str">
        <x:f>IF(AND(BW$5&gt;=$C205,BW$5&lt;=$D205,$A205&lt;&gt;""),"●","")</x:f>
      </x:c>
    </x:row>
    <x:row r="206">
      <x:c r="A206" s="159" t="str">
        <x:f>IF('รายการสัญญา'!A206="","",'รายการสัญญา'!A206)</x:f>
      </x:c>
      <x:c r="B206" s="159" t="str">
        <x:f>IF('รายการสัญญา'!A206="","",'รายการสัญญา'!C206)</x:f>
      </x:c>
      <x:c r="C206" s="162" t="str">
        <x:f>IF('รายการสัญญา'!A206="","",'รายการสัญญา'!E206)</x:f>
      </x:c>
      <x:c r="D206" s="162" t="str">
        <x:f>IF('รายการสัญญา'!A206="","",'รายการสัญญา'!G206)</x:f>
      </x:c>
      <x:c r="E206" s="159" t="str">
        <x:f>IF('รายการสัญญา'!A206="","",'รายการสัญญา'!K206)</x:f>
      </x:c>
      <x:c r="F206" s="165" t="str">
        <x:f>IF(AND(F$5&gt;=$C206,F$5&lt;=$D206,$A206&lt;&gt;""),"●","")</x:f>
      </x:c>
      <x:c r="G206" s="165" t="str">
        <x:f>IF(AND(G$5&gt;=$C206,G$5&lt;=$D206,$A206&lt;&gt;""),"●","")</x:f>
      </x:c>
      <x:c r="H206" s="165" t="str">
        <x:f>IF(AND(H$5&gt;=$C206,H$5&lt;=$D206,$A206&lt;&gt;""),"●","")</x:f>
      </x:c>
      <x:c r="I206" s="165" t="str">
        <x:f>IF(AND(I$5&gt;=$C206,I$5&lt;=$D206,$A206&lt;&gt;""),"●","")</x:f>
      </x:c>
      <x:c r="J206" s="165" t="str">
        <x:f>IF(AND(J$5&gt;=$C206,J$5&lt;=$D206,$A206&lt;&gt;""),"●","")</x:f>
      </x:c>
      <x:c r="K206" s="165" t="str">
        <x:f>IF(AND(K$5&gt;=$C206,K$5&lt;=$D206,$A206&lt;&gt;""),"●","")</x:f>
      </x:c>
      <x:c r="L206" s="165" t="str">
        <x:f>IF(AND(L$5&gt;=$C206,L$5&lt;=$D206,$A206&lt;&gt;""),"●","")</x:f>
      </x:c>
      <x:c r="M206" s="165" t="str">
        <x:f>IF(AND(M$5&gt;=$C206,M$5&lt;=$D206,$A206&lt;&gt;""),"●","")</x:f>
      </x:c>
      <x:c r="N206" s="165" t="str">
        <x:f>IF(AND(N$5&gt;=$C206,N$5&lt;=$D206,$A206&lt;&gt;""),"●","")</x:f>
      </x:c>
      <x:c r="O206" s="165" t="str">
        <x:f>IF(AND(O$5&gt;=$C206,O$5&lt;=$D206,$A206&lt;&gt;""),"●","")</x:f>
      </x:c>
      <x:c r="P206" s="165" t="str">
        <x:f>IF(AND(P$5&gt;=$C206,P$5&lt;=$D206,$A206&lt;&gt;""),"●","")</x:f>
      </x:c>
      <x:c r="Q206" s="165" t="str">
        <x:f>IF(AND(Q$5&gt;=$C206,Q$5&lt;=$D206,$A206&lt;&gt;""),"●","")</x:f>
      </x:c>
      <x:c r="R206" s="165" t="str">
        <x:f>IF(AND(R$5&gt;=$C206,R$5&lt;=$D206,$A206&lt;&gt;""),"●","")</x:f>
      </x:c>
      <x:c r="S206" s="165" t="str">
        <x:f>IF(AND(S$5&gt;=$C206,S$5&lt;=$D206,$A206&lt;&gt;""),"●","")</x:f>
      </x:c>
      <x:c r="T206" s="165" t="str">
        <x:f>IF(AND(T$5&gt;=$C206,T$5&lt;=$D206,$A206&lt;&gt;""),"●","")</x:f>
      </x:c>
      <x:c r="U206" s="165" t="str">
        <x:f>IF(AND(U$5&gt;=$C206,U$5&lt;=$D206,$A206&lt;&gt;""),"●","")</x:f>
      </x:c>
      <x:c r="V206" s="165" t="str">
        <x:f>IF(AND(V$5&gt;=$C206,V$5&lt;=$D206,$A206&lt;&gt;""),"●","")</x:f>
      </x:c>
      <x:c r="W206" s="165" t="str">
        <x:f>IF(AND(W$5&gt;=$C206,W$5&lt;=$D206,$A206&lt;&gt;""),"●","")</x:f>
      </x:c>
      <x:c r="X206" s="165" t="str">
        <x:f>IF(AND(X$5&gt;=$C206,X$5&lt;=$D206,$A206&lt;&gt;""),"●","")</x:f>
      </x:c>
      <x:c r="Y206" s="165" t="str">
        <x:f>IF(AND(Y$5&gt;=$C206,Y$5&lt;=$D206,$A206&lt;&gt;""),"●","")</x:f>
      </x:c>
      <x:c r="Z206" s="165" t="str">
        <x:f>IF(AND(Z$5&gt;=$C206,Z$5&lt;=$D206,$A206&lt;&gt;""),"●","")</x:f>
      </x:c>
      <x:c r="AA206" s="165" t="str">
        <x:f>IF(AND(AA$5&gt;=$C206,AA$5&lt;=$D206,$A206&lt;&gt;""),"●","")</x:f>
      </x:c>
      <x:c r="AB206" s="165" t="str">
        <x:f>IF(AND(AB$5&gt;=$C206,AB$5&lt;=$D206,$A206&lt;&gt;""),"●","")</x:f>
      </x:c>
      <x:c r="AC206" s="165" t="str">
        <x:f>IF(AND(AC$5&gt;=$C206,AC$5&lt;=$D206,$A206&lt;&gt;""),"●","")</x:f>
      </x:c>
      <x:c r="AD206" s="165" t="str">
        <x:f>IF(AND(AD$5&gt;=$C206,AD$5&lt;=$D206,$A206&lt;&gt;""),"●","")</x:f>
      </x:c>
      <x:c r="AE206" s="165" t="str">
        <x:f>IF(AND(AE$5&gt;=$C206,AE$5&lt;=$D206,$A206&lt;&gt;""),"●","")</x:f>
      </x:c>
      <x:c r="AF206" s="165" t="str">
        <x:f>IF(AND(AF$5&gt;=$C206,AF$5&lt;=$D206,$A206&lt;&gt;""),"●","")</x:f>
      </x:c>
      <x:c r="AG206" s="165" t="str">
        <x:f>IF(AND(AG$5&gt;=$C206,AG$5&lt;=$D206,$A206&lt;&gt;""),"●","")</x:f>
      </x:c>
      <x:c r="AH206" s="165" t="str">
        <x:f>IF(AND(AH$5&gt;=$C206,AH$5&lt;=$D206,$A206&lt;&gt;""),"●","")</x:f>
      </x:c>
      <x:c r="AI206" s="165" t="str">
        <x:f>IF(AND(AI$5&gt;=$C206,AI$5&lt;=$D206,$A206&lt;&gt;""),"●","")</x:f>
      </x:c>
      <x:c r="AJ206" s="165" t="str">
        <x:f>IF(AND(AJ$5&gt;=$C206,AJ$5&lt;=$D206,$A206&lt;&gt;""),"●","")</x:f>
      </x:c>
      <x:c r="AK206" s="165" t="str">
        <x:f>IF(AND(AK$5&gt;=$C206,AK$5&lt;=$D206,$A206&lt;&gt;""),"●","")</x:f>
      </x:c>
      <x:c r="AL206" s="165" t="str">
        <x:f>IF(AND(AL$5&gt;=$C206,AL$5&lt;=$D206,$A206&lt;&gt;""),"●","")</x:f>
      </x:c>
      <x:c r="AM206" s="165" t="str">
        <x:f>IF(AND(AM$5&gt;=$C206,AM$5&lt;=$D206,$A206&lt;&gt;""),"●","")</x:f>
      </x:c>
      <x:c r="AN206" s="165" t="str">
        <x:f>IF(AND(AN$5&gt;=$C206,AN$5&lt;=$D206,$A206&lt;&gt;""),"●","")</x:f>
      </x:c>
      <x:c r="AO206" s="165" t="str">
        <x:f>IF(AND(AO$5&gt;=$C206,AO$5&lt;=$D206,$A206&lt;&gt;""),"●","")</x:f>
      </x:c>
      <x:c r="AP206" s="165" t="str">
        <x:f>IF(AND(AP$5&gt;=$C206,AP$5&lt;=$D206,$A206&lt;&gt;""),"●","")</x:f>
      </x:c>
      <x:c r="AQ206" s="165" t="str">
        <x:f>IF(AND(AQ$5&gt;=$C206,AQ$5&lt;=$D206,$A206&lt;&gt;""),"●","")</x:f>
      </x:c>
      <x:c r="AR206" s="165" t="str">
        <x:f>IF(AND(AR$5&gt;=$C206,AR$5&lt;=$D206,$A206&lt;&gt;""),"●","")</x:f>
      </x:c>
      <x:c r="AS206" s="165" t="str">
        <x:f>IF(AND(AS$5&gt;=$C206,AS$5&lt;=$D206,$A206&lt;&gt;""),"●","")</x:f>
      </x:c>
      <x:c r="AT206" s="165" t="str">
        <x:f>IF(AND(AT$5&gt;=$C206,AT$5&lt;=$D206,$A206&lt;&gt;""),"●","")</x:f>
      </x:c>
      <x:c r="AU206" s="165" t="str">
        <x:f>IF(AND(AU$5&gt;=$C206,AU$5&lt;=$D206,$A206&lt;&gt;""),"●","")</x:f>
      </x:c>
      <x:c r="AV206" s="165" t="str">
        <x:f>IF(AND(AV$5&gt;=$C206,AV$5&lt;=$D206,$A206&lt;&gt;""),"●","")</x:f>
      </x:c>
      <x:c r="AW206" s="165" t="str">
        <x:f>IF(AND(AW$5&gt;=$C206,AW$5&lt;=$D206,$A206&lt;&gt;""),"●","")</x:f>
      </x:c>
      <x:c r="AX206" s="165" t="str">
        <x:f>IF(AND(AX$5&gt;=$C206,AX$5&lt;=$D206,$A206&lt;&gt;""),"●","")</x:f>
      </x:c>
      <x:c r="AY206" s="165" t="str">
        <x:f>IF(AND(AY$5&gt;=$C206,AY$5&lt;=$D206,$A206&lt;&gt;""),"●","")</x:f>
      </x:c>
      <x:c r="AZ206" s="165" t="str">
        <x:f>IF(AND(AZ$5&gt;=$C206,AZ$5&lt;=$D206,$A206&lt;&gt;""),"●","")</x:f>
      </x:c>
      <x:c r="BA206" s="165" t="str">
        <x:f>IF(AND(BA$5&gt;=$C206,BA$5&lt;=$D206,$A206&lt;&gt;""),"●","")</x:f>
      </x:c>
      <x:c r="BB206" s="165" t="str">
        <x:f>IF(AND(BB$5&gt;=$C206,BB$5&lt;=$D206,$A206&lt;&gt;""),"●","")</x:f>
      </x:c>
      <x:c r="BC206" s="165" t="str">
        <x:f>IF(AND(BC$5&gt;=$C206,BC$5&lt;=$D206,$A206&lt;&gt;""),"●","")</x:f>
      </x:c>
      <x:c r="BD206" s="165" t="str">
        <x:f>IF(AND(BD$5&gt;=$C206,BD$5&lt;=$D206,$A206&lt;&gt;""),"●","")</x:f>
      </x:c>
      <x:c r="BE206" s="165" t="str">
        <x:f>IF(AND(BE$5&gt;=$C206,BE$5&lt;=$D206,$A206&lt;&gt;""),"●","")</x:f>
      </x:c>
      <x:c r="BF206" s="165" t="str">
        <x:f>IF(AND(BF$5&gt;=$C206,BF$5&lt;=$D206,$A206&lt;&gt;""),"●","")</x:f>
      </x:c>
      <x:c r="BG206" s="165" t="str">
        <x:f>IF(AND(BG$5&gt;=$C206,BG$5&lt;=$D206,$A206&lt;&gt;""),"●","")</x:f>
      </x:c>
      <x:c r="BH206" s="165" t="str">
        <x:f>IF(AND(BH$5&gt;=$C206,BH$5&lt;=$D206,$A206&lt;&gt;""),"●","")</x:f>
      </x:c>
      <x:c r="BI206" s="165" t="str">
        <x:f>IF(AND(BI$5&gt;=$C206,BI$5&lt;=$D206,$A206&lt;&gt;""),"●","")</x:f>
      </x:c>
      <x:c r="BJ206" s="165" t="str">
        <x:f>IF(AND(BJ$5&gt;=$C206,BJ$5&lt;=$D206,$A206&lt;&gt;""),"●","")</x:f>
      </x:c>
      <x:c r="BK206" s="165" t="str">
        <x:f>IF(AND(BK$5&gt;=$C206,BK$5&lt;=$D206,$A206&lt;&gt;""),"●","")</x:f>
      </x:c>
      <x:c r="BL206" s="165" t="str">
        <x:f>IF(AND(BL$5&gt;=$C206,BL$5&lt;=$D206,$A206&lt;&gt;""),"●","")</x:f>
      </x:c>
      <x:c r="BM206" s="165" t="str">
        <x:f>IF(AND(BM$5&gt;=$C206,BM$5&lt;=$D206,$A206&lt;&gt;""),"●","")</x:f>
      </x:c>
      <x:c r="BN206" s="165" t="str">
        <x:f>IF(AND(BN$5&gt;=$C206,BN$5&lt;=$D206,$A206&lt;&gt;""),"●","")</x:f>
      </x:c>
      <x:c r="BO206" s="165" t="str">
        <x:f>IF(AND(BO$5&gt;=$C206,BO$5&lt;=$D206,$A206&lt;&gt;""),"●","")</x:f>
      </x:c>
      <x:c r="BP206" s="165" t="str">
        <x:f>IF(AND(BP$5&gt;=$C206,BP$5&lt;=$D206,$A206&lt;&gt;""),"●","")</x:f>
      </x:c>
      <x:c r="BQ206" s="165" t="str">
        <x:f>IF(AND(BQ$5&gt;=$C206,BQ$5&lt;=$D206,$A206&lt;&gt;""),"●","")</x:f>
      </x:c>
      <x:c r="BR206" s="165" t="str">
        <x:f>IF(AND(BR$5&gt;=$C206,BR$5&lt;=$D206,$A206&lt;&gt;""),"●","")</x:f>
      </x:c>
      <x:c r="BS206" s="165" t="str">
        <x:f>IF(AND(BS$5&gt;=$C206,BS$5&lt;=$D206,$A206&lt;&gt;""),"●","")</x:f>
      </x:c>
      <x:c r="BT206" s="165" t="str">
        <x:f>IF(AND(BT$5&gt;=$C206,BT$5&lt;=$D206,$A206&lt;&gt;""),"●","")</x:f>
      </x:c>
      <x:c r="BU206" s="165" t="str">
        <x:f>IF(AND(BU$5&gt;=$C206,BU$5&lt;=$D206,$A206&lt;&gt;""),"●","")</x:f>
      </x:c>
      <x:c r="BV206" s="165" t="str">
        <x:f>IF(AND(BV$5&gt;=$C206,BV$5&lt;=$D206,$A206&lt;&gt;""),"●","")</x:f>
      </x:c>
      <x:c r="BW206" s="165" t="str">
        <x:f>IF(AND(BW$5&gt;=$C206,BW$5&lt;=$D206,$A206&lt;&gt;""),"●","")</x:f>
      </x:c>
    </x:row>
    <x:row r="207">
      <x:c r="A207" s="159" t="str">
        <x:f>IF('รายการสัญญา'!A207="","",'รายการสัญญา'!A207)</x:f>
      </x:c>
      <x:c r="B207" s="159" t="str">
        <x:f>IF('รายการสัญญา'!A207="","",'รายการสัญญา'!C207)</x:f>
      </x:c>
      <x:c r="C207" s="162" t="str">
        <x:f>IF('รายการสัญญา'!A207="","",'รายการสัญญา'!E207)</x:f>
      </x:c>
      <x:c r="D207" s="162" t="str">
        <x:f>IF('รายการสัญญา'!A207="","",'รายการสัญญา'!G207)</x:f>
      </x:c>
      <x:c r="E207" s="159" t="str">
        <x:f>IF('รายการสัญญา'!A207="","",'รายการสัญญา'!K207)</x:f>
      </x:c>
      <x:c r="F207" s="165" t="str">
        <x:f>IF(AND(F$5&gt;=$C207,F$5&lt;=$D207,$A207&lt;&gt;""),"●","")</x:f>
      </x:c>
      <x:c r="G207" s="165" t="str">
        <x:f>IF(AND(G$5&gt;=$C207,G$5&lt;=$D207,$A207&lt;&gt;""),"●","")</x:f>
      </x:c>
      <x:c r="H207" s="165" t="str">
        <x:f>IF(AND(H$5&gt;=$C207,H$5&lt;=$D207,$A207&lt;&gt;""),"●","")</x:f>
      </x:c>
      <x:c r="I207" s="165" t="str">
        <x:f>IF(AND(I$5&gt;=$C207,I$5&lt;=$D207,$A207&lt;&gt;""),"●","")</x:f>
      </x:c>
      <x:c r="J207" s="165" t="str">
        <x:f>IF(AND(J$5&gt;=$C207,J$5&lt;=$D207,$A207&lt;&gt;""),"●","")</x:f>
      </x:c>
      <x:c r="K207" s="165" t="str">
        <x:f>IF(AND(K$5&gt;=$C207,K$5&lt;=$D207,$A207&lt;&gt;""),"●","")</x:f>
      </x:c>
      <x:c r="L207" s="165" t="str">
        <x:f>IF(AND(L$5&gt;=$C207,L$5&lt;=$D207,$A207&lt;&gt;""),"●","")</x:f>
      </x:c>
      <x:c r="M207" s="165" t="str">
        <x:f>IF(AND(M$5&gt;=$C207,M$5&lt;=$D207,$A207&lt;&gt;""),"●","")</x:f>
      </x:c>
      <x:c r="N207" s="165" t="str">
        <x:f>IF(AND(N$5&gt;=$C207,N$5&lt;=$D207,$A207&lt;&gt;""),"●","")</x:f>
      </x:c>
      <x:c r="O207" s="165" t="str">
        <x:f>IF(AND(O$5&gt;=$C207,O$5&lt;=$D207,$A207&lt;&gt;""),"●","")</x:f>
      </x:c>
      <x:c r="P207" s="165" t="str">
        <x:f>IF(AND(P$5&gt;=$C207,P$5&lt;=$D207,$A207&lt;&gt;""),"●","")</x:f>
      </x:c>
      <x:c r="Q207" s="165" t="str">
        <x:f>IF(AND(Q$5&gt;=$C207,Q$5&lt;=$D207,$A207&lt;&gt;""),"●","")</x:f>
      </x:c>
      <x:c r="R207" s="165" t="str">
        <x:f>IF(AND(R$5&gt;=$C207,R$5&lt;=$D207,$A207&lt;&gt;""),"●","")</x:f>
      </x:c>
      <x:c r="S207" s="165" t="str">
        <x:f>IF(AND(S$5&gt;=$C207,S$5&lt;=$D207,$A207&lt;&gt;""),"●","")</x:f>
      </x:c>
      <x:c r="T207" s="165" t="str">
        <x:f>IF(AND(T$5&gt;=$C207,T$5&lt;=$D207,$A207&lt;&gt;""),"●","")</x:f>
      </x:c>
      <x:c r="U207" s="165" t="str">
        <x:f>IF(AND(U$5&gt;=$C207,U$5&lt;=$D207,$A207&lt;&gt;""),"●","")</x:f>
      </x:c>
      <x:c r="V207" s="165" t="str">
        <x:f>IF(AND(V$5&gt;=$C207,V$5&lt;=$D207,$A207&lt;&gt;""),"●","")</x:f>
      </x:c>
      <x:c r="W207" s="165" t="str">
        <x:f>IF(AND(W$5&gt;=$C207,W$5&lt;=$D207,$A207&lt;&gt;""),"●","")</x:f>
      </x:c>
      <x:c r="X207" s="165" t="str">
        <x:f>IF(AND(X$5&gt;=$C207,X$5&lt;=$D207,$A207&lt;&gt;""),"●","")</x:f>
      </x:c>
      <x:c r="Y207" s="165" t="str">
        <x:f>IF(AND(Y$5&gt;=$C207,Y$5&lt;=$D207,$A207&lt;&gt;""),"●","")</x:f>
      </x:c>
      <x:c r="Z207" s="165" t="str">
        <x:f>IF(AND(Z$5&gt;=$C207,Z$5&lt;=$D207,$A207&lt;&gt;""),"●","")</x:f>
      </x:c>
      <x:c r="AA207" s="165" t="str">
        <x:f>IF(AND(AA$5&gt;=$C207,AA$5&lt;=$D207,$A207&lt;&gt;""),"●","")</x:f>
      </x:c>
      <x:c r="AB207" s="165" t="str">
        <x:f>IF(AND(AB$5&gt;=$C207,AB$5&lt;=$D207,$A207&lt;&gt;""),"●","")</x:f>
      </x:c>
      <x:c r="AC207" s="165" t="str">
        <x:f>IF(AND(AC$5&gt;=$C207,AC$5&lt;=$D207,$A207&lt;&gt;""),"●","")</x:f>
      </x:c>
      <x:c r="AD207" s="165" t="str">
        <x:f>IF(AND(AD$5&gt;=$C207,AD$5&lt;=$D207,$A207&lt;&gt;""),"●","")</x:f>
      </x:c>
      <x:c r="AE207" s="165" t="str">
        <x:f>IF(AND(AE$5&gt;=$C207,AE$5&lt;=$D207,$A207&lt;&gt;""),"●","")</x:f>
      </x:c>
      <x:c r="AF207" s="165" t="str">
        <x:f>IF(AND(AF$5&gt;=$C207,AF$5&lt;=$D207,$A207&lt;&gt;""),"●","")</x:f>
      </x:c>
      <x:c r="AG207" s="165" t="str">
        <x:f>IF(AND(AG$5&gt;=$C207,AG$5&lt;=$D207,$A207&lt;&gt;""),"●","")</x:f>
      </x:c>
      <x:c r="AH207" s="165" t="str">
        <x:f>IF(AND(AH$5&gt;=$C207,AH$5&lt;=$D207,$A207&lt;&gt;""),"●","")</x:f>
      </x:c>
      <x:c r="AI207" s="165" t="str">
        <x:f>IF(AND(AI$5&gt;=$C207,AI$5&lt;=$D207,$A207&lt;&gt;""),"●","")</x:f>
      </x:c>
      <x:c r="AJ207" s="165" t="str">
        <x:f>IF(AND(AJ$5&gt;=$C207,AJ$5&lt;=$D207,$A207&lt;&gt;""),"●","")</x:f>
      </x:c>
      <x:c r="AK207" s="165" t="str">
        <x:f>IF(AND(AK$5&gt;=$C207,AK$5&lt;=$D207,$A207&lt;&gt;""),"●","")</x:f>
      </x:c>
      <x:c r="AL207" s="165" t="str">
        <x:f>IF(AND(AL$5&gt;=$C207,AL$5&lt;=$D207,$A207&lt;&gt;""),"●","")</x:f>
      </x:c>
      <x:c r="AM207" s="165" t="str">
        <x:f>IF(AND(AM$5&gt;=$C207,AM$5&lt;=$D207,$A207&lt;&gt;""),"●","")</x:f>
      </x:c>
      <x:c r="AN207" s="165" t="str">
        <x:f>IF(AND(AN$5&gt;=$C207,AN$5&lt;=$D207,$A207&lt;&gt;""),"●","")</x:f>
      </x:c>
      <x:c r="AO207" s="165" t="str">
        <x:f>IF(AND(AO$5&gt;=$C207,AO$5&lt;=$D207,$A207&lt;&gt;""),"●","")</x:f>
      </x:c>
      <x:c r="AP207" s="165" t="str">
        <x:f>IF(AND(AP$5&gt;=$C207,AP$5&lt;=$D207,$A207&lt;&gt;""),"●","")</x:f>
      </x:c>
      <x:c r="AQ207" s="165" t="str">
        <x:f>IF(AND(AQ$5&gt;=$C207,AQ$5&lt;=$D207,$A207&lt;&gt;""),"●","")</x:f>
      </x:c>
      <x:c r="AR207" s="165" t="str">
        <x:f>IF(AND(AR$5&gt;=$C207,AR$5&lt;=$D207,$A207&lt;&gt;""),"●","")</x:f>
      </x:c>
      <x:c r="AS207" s="165" t="str">
        <x:f>IF(AND(AS$5&gt;=$C207,AS$5&lt;=$D207,$A207&lt;&gt;""),"●","")</x:f>
      </x:c>
      <x:c r="AT207" s="165" t="str">
        <x:f>IF(AND(AT$5&gt;=$C207,AT$5&lt;=$D207,$A207&lt;&gt;""),"●","")</x:f>
      </x:c>
      <x:c r="AU207" s="165" t="str">
        <x:f>IF(AND(AU$5&gt;=$C207,AU$5&lt;=$D207,$A207&lt;&gt;""),"●","")</x:f>
      </x:c>
      <x:c r="AV207" s="165" t="str">
        <x:f>IF(AND(AV$5&gt;=$C207,AV$5&lt;=$D207,$A207&lt;&gt;""),"●","")</x:f>
      </x:c>
      <x:c r="AW207" s="165" t="str">
        <x:f>IF(AND(AW$5&gt;=$C207,AW$5&lt;=$D207,$A207&lt;&gt;""),"●","")</x:f>
      </x:c>
      <x:c r="AX207" s="165" t="str">
        <x:f>IF(AND(AX$5&gt;=$C207,AX$5&lt;=$D207,$A207&lt;&gt;""),"●","")</x:f>
      </x:c>
      <x:c r="AY207" s="165" t="str">
        <x:f>IF(AND(AY$5&gt;=$C207,AY$5&lt;=$D207,$A207&lt;&gt;""),"●","")</x:f>
      </x:c>
      <x:c r="AZ207" s="165" t="str">
        <x:f>IF(AND(AZ$5&gt;=$C207,AZ$5&lt;=$D207,$A207&lt;&gt;""),"●","")</x:f>
      </x:c>
      <x:c r="BA207" s="165" t="str">
        <x:f>IF(AND(BA$5&gt;=$C207,BA$5&lt;=$D207,$A207&lt;&gt;""),"●","")</x:f>
      </x:c>
      <x:c r="BB207" s="165" t="str">
        <x:f>IF(AND(BB$5&gt;=$C207,BB$5&lt;=$D207,$A207&lt;&gt;""),"●","")</x:f>
      </x:c>
      <x:c r="BC207" s="165" t="str">
        <x:f>IF(AND(BC$5&gt;=$C207,BC$5&lt;=$D207,$A207&lt;&gt;""),"●","")</x:f>
      </x:c>
      <x:c r="BD207" s="165" t="str">
        <x:f>IF(AND(BD$5&gt;=$C207,BD$5&lt;=$D207,$A207&lt;&gt;""),"●","")</x:f>
      </x:c>
      <x:c r="BE207" s="165" t="str">
        <x:f>IF(AND(BE$5&gt;=$C207,BE$5&lt;=$D207,$A207&lt;&gt;""),"●","")</x:f>
      </x:c>
      <x:c r="BF207" s="165" t="str">
        <x:f>IF(AND(BF$5&gt;=$C207,BF$5&lt;=$D207,$A207&lt;&gt;""),"●","")</x:f>
      </x:c>
      <x:c r="BG207" s="165" t="str">
        <x:f>IF(AND(BG$5&gt;=$C207,BG$5&lt;=$D207,$A207&lt;&gt;""),"●","")</x:f>
      </x:c>
      <x:c r="BH207" s="165" t="str">
        <x:f>IF(AND(BH$5&gt;=$C207,BH$5&lt;=$D207,$A207&lt;&gt;""),"●","")</x:f>
      </x:c>
      <x:c r="BI207" s="165" t="str">
        <x:f>IF(AND(BI$5&gt;=$C207,BI$5&lt;=$D207,$A207&lt;&gt;""),"●","")</x:f>
      </x:c>
      <x:c r="BJ207" s="165" t="str">
        <x:f>IF(AND(BJ$5&gt;=$C207,BJ$5&lt;=$D207,$A207&lt;&gt;""),"●","")</x:f>
      </x:c>
      <x:c r="BK207" s="165" t="str">
        <x:f>IF(AND(BK$5&gt;=$C207,BK$5&lt;=$D207,$A207&lt;&gt;""),"●","")</x:f>
      </x:c>
      <x:c r="BL207" s="165" t="str">
        <x:f>IF(AND(BL$5&gt;=$C207,BL$5&lt;=$D207,$A207&lt;&gt;""),"●","")</x:f>
      </x:c>
      <x:c r="BM207" s="165" t="str">
        <x:f>IF(AND(BM$5&gt;=$C207,BM$5&lt;=$D207,$A207&lt;&gt;""),"●","")</x:f>
      </x:c>
      <x:c r="BN207" s="165" t="str">
        <x:f>IF(AND(BN$5&gt;=$C207,BN$5&lt;=$D207,$A207&lt;&gt;""),"●","")</x:f>
      </x:c>
      <x:c r="BO207" s="165" t="str">
        <x:f>IF(AND(BO$5&gt;=$C207,BO$5&lt;=$D207,$A207&lt;&gt;""),"●","")</x:f>
      </x:c>
      <x:c r="BP207" s="165" t="str">
        <x:f>IF(AND(BP$5&gt;=$C207,BP$5&lt;=$D207,$A207&lt;&gt;""),"●","")</x:f>
      </x:c>
      <x:c r="BQ207" s="165" t="str">
        <x:f>IF(AND(BQ$5&gt;=$C207,BQ$5&lt;=$D207,$A207&lt;&gt;""),"●","")</x:f>
      </x:c>
      <x:c r="BR207" s="165" t="str">
        <x:f>IF(AND(BR$5&gt;=$C207,BR$5&lt;=$D207,$A207&lt;&gt;""),"●","")</x:f>
      </x:c>
      <x:c r="BS207" s="165" t="str">
        <x:f>IF(AND(BS$5&gt;=$C207,BS$5&lt;=$D207,$A207&lt;&gt;""),"●","")</x:f>
      </x:c>
      <x:c r="BT207" s="165" t="str">
        <x:f>IF(AND(BT$5&gt;=$C207,BT$5&lt;=$D207,$A207&lt;&gt;""),"●","")</x:f>
      </x:c>
      <x:c r="BU207" s="165" t="str">
        <x:f>IF(AND(BU$5&gt;=$C207,BU$5&lt;=$D207,$A207&lt;&gt;""),"●","")</x:f>
      </x:c>
      <x:c r="BV207" s="165" t="str">
        <x:f>IF(AND(BV$5&gt;=$C207,BV$5&lt;=$D207,$A207&lt;&gt;""),"●","")</x:f>
      </x:c>
      <x:c r="BW207" s="165" t="str">
        <x:f>IF(AND(BW$5&gt;=$C207,BW$5&lt;=$D207,$A207&lt;&gt;""),"●","")</x:f>
      </x:c>
    </x:row>
    <x:row r="208">
      <x:c r="A208" s="159" t="str">
        <x:f>IF('รายการสัญญา'!A208="","",'รายการสัญญา'!A208)</x:f>
      </x:c>
      <x:c r="B208" s="159" t="str">
        <x:f>IF('รายการสัญญา'!A208="","",'รายการสัญญา'!C208)</x:f>
      </x:c>
      <x:c r="C208" s="162" t="str">
        <x:f>IF('รายการสัญญา'!A208="","",'รายการสัญญา'!E208)</x:f>
      </x:c>
      <x:c r="D208" s="162" t="str">
        <x:f>IF('รายการสัญญา'!A208="","",'รายการสัญญา'!G208)</x:f>
      </x:c>
      <x:c r="E208" s="159" t="str">
        <x:f>IF('รายการสัญญา'!A208="","",'รายการสัญญา'!K208)</x:f>
      </x:c>
      <x:c r="F208" s="165" t="str">
        <x:f>IF(AND(F$5&gt;=$C208,F$5&lt;=$D208,$A208&lt;&gt;""),"●","")</x:f>
      </x:c>
      <x:c r="G208" s="165" t="str">
        <x:f>IF(AND(G$5&gt;=$C208,G$5&lt;=$D208,$A208&lt;&gt;""),"●","")</x:f>
      </x:c>
      <x:c r="H208" s="165" t="str">
        <x:f>IF(AND(H$5&gt;=$C208,H$5&lt;=$D208,$A208&lt;&gt;""),"●","")</x:f>
      </x:c>
      <x:c r="I208" s="165" t="str">
        <x:f>IF(AND(I$5&gt;=$C208,I$5&lt;=$D208,$A208&lt;&gt;""),"●","")</x:f>
      </x:c>
      <x:c r="J208" s="165" t="str">
        <x:f>IF(AND(J$5&gt;=$C208,J$5&lt;=$D208,$A208&lt;&gt;""),"●","")</x:f>
      </x:c>
      <x:c r="K208" s="165" t="str">
        <x:f>IF(AND(K$5&gt;=$C208,K$5&lt;=$D208,$A208&lt;&gt;""),"●","")</x:f>
      </x:c>
      <x:c r="L208" s="165" t="str">
        <x:f>IF(AND(L$5&gt;=$C208,L$5&lt;=$D208,$A208&lt;&gt;""),"●","")</x:f>
      </x:c>
      <x:c r="M208" s="165" t="str">
        <x:f>IF(AND(M$5&gt;=$C208,M$5&lt;=$D208,$A208&lt;&gt;""),"●","")</x:f>
      </x:c>
      <x:c r="N208" s="165" t="str">
        <x:f>IF(AND(N$5&gt;=$C208,N$5&lt;=$D208,$A208&lt;&gt;""),"●","")</x:f>
      </x:c>
      <x:c r="O208" s="165" t="str">
        <x:f>IF(AND(O$5&gt;=$C208,O$5&lt;=$D208,$A208&lt;&gt;""),"●","")</x:f>
      </x:c>
      <x:c r="P208" s="165" t="str">
        <x:f>IF(AND(P$5&gt;=$C208,P$5&lt;=$D208,$A208&lt;&gt;""),"●","")</x:f>
      </x:c>
      <x:c r="Q208" s="165" t="str">
        <x:f>IF(AND(Q$5&gt;=$C208,Q$5&lt;=$D208,$A208&lt;&gt;""),"●","")</x:f>
      </x:c>
      <x:c r="R208" s="165" t="str">
        <x:f>IF(AND(R$5&gt;=$C208,R$5&lt;=$D208,$A208&lt;&gt;""),"●","")</x:f>
      </x:c>
      <x:c r="S208" s="165" t="str">
        <x:f>IF(AND(S$5&gt;=$C208,S$5&lt;=$D208,$A208&lt;&gt;""),"●","")</x:f>
      </x:c>
      <x:c r="T208" s="165" t="str">
        <x:f>IF(AND(T$5&gt;=$C208,T$5&lt;=$D208,$A208&lt;&gt;""),"●","")</x:f>
      </x:c>
      <x:c r="U208" s="165" t="str">
        <x:f>IF(AND(U$5&gt;=$C208,U$5&lt;=$D208,$A208&lt;&gt;""),"●","")</x:f>
      </x:c>
      <x:c r="V208" s="165" t="str">
        <x:f>IF(AND(V$5&gt;=$C208,V$5&lt;=$D208,$A208&lt;&gt;""),"●","")</x:f>
      </x:c>
      <x:c r="W208" s="165" t="str">
        <x:f>IF(AND(W$5&gt;=$C208,W$5&lt;=$D208,$A208&lt;&gt;""),"●","")</x:f>
      </x:c>
      <x:c r="X208" s="165" t="str">
        <x:f>IF(AND(X$5&gt;=$C208,X$5&lt;=$D208,$A208&lt;&gt;""),"●","")</x:f>
      </x:c>
      <x:c r="Y208" s="165" t="str">
        <x:f>IF(AND(Y$5&gt;=$C208,Y$5&lt;=$D208,$A208&lt;&gt;""),"●","")</x:f>
      </x:c>
      <x:c r="Z208" s="165" t="str">
        <x:f>IF(AND(Z$5&gt;=$C208,Z$5&lt;=$D208,$A208&lt;&gt;""),"●","")</x:f>
      </x:c>
      <x:c r="AA208" s="165" t="str">
        <x:f>IF(AND(AA$5&gt;=$C208,AA$5&lt;=$D208,$A208&lt;&gt;""),"●","")</x:f>
      </x:c>
      <x:c r="AB208" s="165" t="str">
        <x:f>IF(AND(AB$5&gt;=$C208,AB$5&lt;=$D208,$A208&lt;&gt;""),"●","")</x:f>
      </x:c>
      <x:c r="AC208" s="165" t="str">
        <x:f>IF(AND(AC$5&gt;=$C208,AC$5&lt;=$D208,$A208&lt;&gt;""),"●","")</x:f>
      </x:c>
      <x:c r="AD208" s="165" t="str">
        <x:f>IF(AND(AD$5&gt;=$C208,AD$5&lt;=$D208,$A208&lt;&gt;""),"●","")</x:f>
      </x:c>
      <x:c r="AE208" s="165" t="str">
        <x:f>IF(AND(AE$5&gt;=$C208,AE$5&lt;=$D208,$A208&lt;&gt;""),"●","")</x:f>
      </x:c>
      <x:c r="AF208" s="165" t="str">
        <x:f>IF(AND(AF$5&gt;=$C208,AF$5&lt;=$D208,$A208&lt;&gt;""),"●","")</x:f>
      </x:c>
      <x:c r="AG208" s="165" t="str">
        <x:f>IF(AND(AG$5&gt;=$C208,AG$5&lt;=$D208,$A208&lt;&gt;""),"●","")</x:f>
      </x:c>
      <x:c r="AH208" s="165" t="str">
        <x:f>IF(AND(AH$5&gt;=$C208,AH$5&lt;=$D208,$A208&lt;&gt;""),"●","")</x:f>
      </x:c>
      <x:c r="AI208" s="165" t="str">
        <x:f>IF(AND(AI$5&gt;=$C208,AI$5&lt;=$D208,$A208&lt;&gt;""),"●","")</x:f>
      </x:c>
      <x:c r="AJ208" s="165" t="str">
        <x:f>IF(AND(AJ$5&gt;=$C208,AJ$5&lt;=$D208,$A208&lt;&gt;""),"●","")</x:f>
      </x:c>
      <x:c r="AK208" s="165" t="str">
        <x:f>IF(AND(AK$5&gt;=$C208,AK$5&lt;=$D208,$A208&lt;&gt;""),"●","")</x:f>
      </x:c>
      <x:c r="AL208" s="165" t="str">
        <x:f>IF(AND(AL$5&gt;=$C208,AL$5&lt;=$D208,$A208&lt;&gt;""),"●","")</x:f>
      </x:c>
      <x:c r="AM208" s="165" t="str">
        <x:f>IF(AND(AM$5&gt;=$C208,AM$5&lt;=$D208,$A208&lt;&gt;""),"●","")</x:f>
      </x:c>
      <x:c r="AN208" s="165" t="str">
        <x:f>IF(AND(AN$5&gt;=$C208,AN$5&lt;=$D208,$A208&lt;&gt;""),"●","")</x:f>
      </x:c>
      <x:c r="AO208" s="165" t="str">
        <x:f>IF(AND(AO$5&gt;=$C208,AO$5&lt;=$D208,$A208&lt;&gt;""),"●","")</x:f>
      </x:c>
      <x:c r="AP208" s="165" t="str">
        <x:f>IF(AND(AP$5&gt;=$C208,AP$5&lt;=$D208,$A208&lt;&gt;""),"●","")</x:f>
      </x:c>
      <x:c r="AQ208" s="165" t="str">
        <x:f>IF(AND(AQ$5&gt;=$C208,AQ$5&lt;=$D208,$A208&lt;&gt;""),"●","")</x:f>
      </x:c>
      <x:c r="AR208" s="165" t="str">
        <x:f>IF(AND(AR$5&gt;=$C208,AR$5&lt;=$D208,$A208&lt;&gt;""),"●","")</x:f>
      </x:c>
      <x:c r="AS208" s="165" t="str">
        <x:f>IF(AND(AS$5&gt;=$C208,AS$5&lt;=$D208,$A208&lt;&gt;""),"●","")</x:f>
      </x:c>
      <x:c r="AT208" s="165" t="str">
        <x:f>IF(AND(AT$5&gt;=$C208,AT$5&lt;=$D208,$A208&lt;&gt;""),"●","")</x:f>
      </x:c>
      <x:c r="AU208" s="165" t="str">
        <x:f>IF(AND(AU$5&gt;=$C208,AU$5&lt;=$D208,$A208&lt;&gt;""),"●","")</x:f>
      </x:c>
      <x:c r="AV208" s="165" t="str">
        <x:f>IF(AND(AV$5&gt;=$C208,AV$5&lt;=$D208,$A208&lt;&gt;""),"●","")</x:f>
      </x:c>
      <x:c r="AW208" s="165" t="str">
        <x:f>IF(AND(AW$5&gt;=$C208,AW$5&lt;=$D208,$A208&lt;&gt;""),"●","")</x:f>
      </x:c>
      <x:c r="AX208" s="165" t="str">
        <x:f>IF(AND(AX$5&gt;=$C208,AX$5&lt;=$D208,$A208&lt;&gt;""),"●","")</x:f>
      </x:c>
      <x:c r="AY208" s="165" t="str">
        <x:f>IF(AND(AY$5&gt;=$C208,AY$5&lt;=$D208,$A208&lt;&gt;""),"●","")</x:f>
      </x:c>
      <x:c r="AZ208" s="165" t="str">
        <x:f>IF(AND(AZ$5&gt;=$C208,AZ$5&lt;=$D208,$A208&lt;&gt;""),"●","")</x:f>
      </x:c>
      <x:c r="BA208" s="165" t="str">
        <x:f>IF(AND(BA$5&gt;=$C208,BA$5&lt;=$D208,$A208&lt;&gt;""),"●","")</x:f>
      </x:c>
      <x:c r="BB208" s="165" t="str">
        <x:f>IF(AND(BB$5&gt;=$C208,BB$5&lt;=$D208,$A208&lt;&gt;""),"●","")</x:f>
      </x:c>
      <x:c r="BC208" s="165" t="str">
        <x:f>IF(AND(BC$5&gt;=$C208,BC$5&lt;=$D208,$A208&lt;&gt;""),"●","")</x:f>
      </x:c>
      <x:c r="BD208" s="165" t="str">
        <x:f>IF(AND(BD$5&gt;=$C208,BD$5&lt;=$D208,$A208&lt;&gt;""),"●","")</x:f>
      </x:c>
      <x:c r="BE208" s="165" t="str">
        <x:f>IF(AND(BE$5&gt;=$C208,BE$5&lt;=$D208,$A208&lt;&gt;""),"●","")</x:f>
      </x:c>
      <x:c r="BF208" s="165" t="str">
        <x:f>IF(AND(BF$5&gt;=$C208,BF$5&lt;=$D208,$A208&lt;&gt;""),"●","")</x:f>
      </x:c>
      <x:c r="BG208" s="165" t="str">
        <x:f>IF(AND(BG$5&gt;=$C208,BG$5&lt;=$D208,$A208&lt;&gt;""),"●","")</x:f>
      </x:c>
      <x:c r="BH208" s="165" t="str">
        <x:f>IF(AND(BH$5&gt;=$C208,BH$5&lt;=$D208,$A208&lt;&gt;""),"●","")</x:f>
      </x:c>
      <x:c r="BI208" s="165" t="str">
        <x:f>IF(AND(BI$5&gt;=$C208,BI$5&lt;=$D208,$A208&lt;&gt;""),"●","")</x:f>
      </x:c>
      <x:c r="BJ208" s="165" t="str">
        <x:f>IF(AND(BJ$5&gt;=$C208,BJ$5&lt;=$D208,$A208&lt;&gt;""),"●","")</x:f>
      </x:c>
      <x:c r="BK208" s="165" t="str">
        <x:f>IF(AND(BK$5&gt;=$C208,BK$5&lt;=$D208,$A208&lt;&gt;""),"●","")</x:f>
      </x:c>
      <x:c r="BL208" s="165" t="str">
        <x:f>IF(AND(BL$5&gt;=$C208,BL$5&lt;=$D208,$A208&lt;&gt;""),"●","")</x:f>
      </x:c>
      <x:c r="BM208" s="165" t="str">
        <x:f>IF(AND(BM$5&gt;=$C208,BM$5&lt;=$D208,$A208&lt;&gt;""),"●","")</x:f>
      </x:c>
      <x:c r="BN208" s="165" t="str">
        <x:f>IF(AND(BN$5&gt;=$C208,BN$5&lt;=$D208,$A208&lt;&gt;""),"●","")</x:f>
      </x:c>
      <x:c r="BO208" s="165" t="str">
        <x:f>IF(AND(BO$5&gt;=$C208,BO$5&lt;=$D208,$A208&lt;&gt;""),"●","")</x:f>
      </x:c>
      <x:c r="BP208" s="165" t="str">
        <x:f>IF(AND(BP$5&gt;=$C208,BP$5&lt;=$D208,$A208&lt;&gt;""),"●","")</x:f>
      </x:c>
      <x:c r="BQ208" s="165" t="str">
        <x:f>IF(AND(BQ$5&gt;=$C208,BQ$5&lt;=$D208,$A208&lt;&gt;""),"●","")</x:f>
      </x:c>
      <x:c r="BR208" s="165" t="str">
        <x:f>IF(AND(BR$5&gt;=$C208,BR$5&lt;=$D208,$A208&lt;&gt;""),"●","")</x:f>
      </x:c>
      <x:c r="BS208" s="165" t="str">
        <x:f>IF(AND(BS$5&gt;=$C208,BS$5&lt;=$D208,$A208&lt;&gt;""),"●","")</x:f>
      </x:c>
      <x:c r="BT208" s="165" t="str">
        <x:f>IF(AND(BT$5&gt;=$C208,BT$5&lt;=$D208,$A208&lt;&gt;""),"●","")</x:f>
      </x:c>
      <x:c r="BU208" s="165" t="str">
        <x:f>IF(AND(BU$5&gt;=$C208,BU$5&lt;=$D208,$A208&lt;&gt;""),"●","")</x:f>
      </x:c>
      <x:c r="BV208" s="165" t="str">
        <x:f>IF(AND(BV$5&gt;=$C208,BV$5&lt;=$D208,$A208&lt;&gt;""),"●","")</x:f>
      </x:c>
      <x:c r="BW208" s="165" t="str">
        <x:f>IF(AND(BW$5&gt;=$C208,BW$5&lt;=$D208,$A208&lt;&gt;""),"●","")</x:f>
      </x:c>
    </x:row>
    <x:row r="209">
      <x:c r="A209" s="159" t="str">
        <x:f>IF('รายการสัญญา'!A209="","",'รายการสัญญา'!A209)</x:f>
      </x:c>
      <x:c r="B209" s="159" t="str">
        <x:f>IF('รายการสัญญา'!A209="","",'รายการสัญญา'!C209)</x:f>
      </x:c>
      <x:c r="C209" s="162" t="str">
        <x:f>IF('รายการสัญญา'!A209="","",'รายการสัญญา'!E209)</x:f>
      </x:c>
      <x:c r="D209" s="162" t="str">
        <x:f>IF('รายการสัญญา'!A209="","",'รายการสัญญา'!G209)</x:f>
      </x:c>
      <x:c r="E209" s="159" t="str">
        <x:f>IF('รายการสัญญา'!A209="","",'รายการสัญญา'!K209)</x:f>
      </x:c>
      <x:c r="F209" s="165" t="str">
        <x:f>IF(AND(F$5&gt;=$C209,F$5&lt;=$D209,$A209&lt;&gt;""),"●","")</x:f>
      </x:c>
      <x:c r="G209" s="165" t="str">
        <x:f>IF(AND(G$5&gt;=$C209,G$5&lt;=$D209,$A209&lt;&gt;""),"●","")</x:f>
      </x:c>
      <x:c r="H209" s="165" t="str">
        <x:f>IF(AND(H$5&gt;=$C209,H$5&lt;=$D209,$A209&lt;&gt;""),"●","")</x:f>
      </x:c>
      <x:c r="I209" s="165" t="str">
        <x:f>IF(AND(I$5&gt;=$C209,I$5&lt;=$D209,$A209&lt;&gt;""),"●","")</x:f>
      </x:c>
      <x:c r="J209" s="165" t="str">
        <x:f>IF(AND(J$5&gt;=$C209,J$5&lt;=$D209,$A209&lt;&gt;""),"●","")</x:f>
      </x:c>
      <x:c r="K209" s="165" t="str">
        <x:f>IF(AND(K$5&gt;=$C209,K$5&lt;=$D209,$A209&lt;&gt;""),"●","")</x:f>
      </x:c>
      <x:c r="L209" s="165" t="str">
        <x:f>IF(AND(L$5&gt;=$C209,L$5&lt;=$D209,$A209&lt;&gt;""),"●","")</x:f>
      </x:c>
      <x:c r="M209" s="165" t="str">
        <x:f>IF(AND(M$5&gt;=$C209,M$5&lt;=$D209,$A209&lt;&gt;""),"●","")</x:f>
      </x:c>
      <x:c r="N209" s="165" t="str">
        <x:f>IF(AND(N$5&gt;=$C209,N$5&lt;=$D209,$A209&lt;&gt;""),"●","")</x:f>
      </x:c>
      <x:c r="O209" s="165" t="str">
        <x:f>IF(AND(O$5&gt;=$C209,O$5&lt;=$D209,$A209&lt;&gt;""),"●","")</x:f>
      </x:c>
      <x:c r="P209" s="165" t="str">
        <x:f>IF(AND(P$5&gt;=$C209,P$5&lt;=$D209,$A209&lt;&gt;""),"●","")</x:f>
      </x:c>
      <x:c r="Q209" s="165" t="str">
        <x:f>IF(AND(Q$5&gt;=$C209,Q$5&lt;=$D209,$A209&lt;&gt;""),"●","")</x:f>
      </x:c>
      <x:c r="R209" s="165" t="str">
        <x:f>IF(AND(R$5&gt;=$C209,R$5&lt;=$D209,$A209&lt;&gt;""),"●","")</x:f>
      </x:c>
      <x:c r="S209" s="165" t="str">
        <x:f>IF(AND(S$5&gt;=$C209,S$5&lt;=$D209,$A209&lt;&gt;""),"●","")</x:f>
      </x:c>
      <x:c r="T209" s="165" t="str">
        <x:f>IF(AND(T$5&gt;=$C209,T$5&lt;=$D209,$A209&lt;&gt;""),"●","")</x:f>
      </x:c>
      <x:c r="U209" s="165" t="str">
        <x:f>IF(AND(U$5&gt;=$C209,U$5&lt;=$D209,$A209&lt;&gt;""),"●","")</x:f>
      </x:c>
      <x:c r="V209" s="165" t="str">
        <x:f>IF(AND(V$5&gt;=$C209,V$5&lt;=$D209,$A209&lt;&gt;""),"●","")</x:f>
      </x:c>
      <x:c r="W209" s="165" t="str">
        <x:f>IF(AND(W$5&gt;=$C209,W$5&lt;=$D209,$A209&lt;&gt;""),"●","")</x:f>
      </x:c>
      <x:c r="X209" s="165" t="str">
        <x:f>IF(AND(X$5&gt;=$C209,X$5&lt;=$D209,$A209&lt;&gt;""),"●","")</x:f>
      </x:c>
      <x:c r="Y209" s="165" t="str">
        <x:f>IF(AND(Y$5&gt;=$C209,Y$5&lt;=$D209,$A209&lt;&gt;""),"●","")</x:f>
      </x:c>
      <x:c r="Z209" s="165" t="str">
        <x:f>IF(AND(Z$5&gt;=$C209,Z$5&lt;=$D209,$A209&lt;&gt;""),"●","")</x:f>
      </x:c>
      <x:c r="AA209" s="165" t="str">
        <x:f>IF(AND(AA$5&gt;=$C209,AA$5&lt;=$D209,$A209&lt;&gt;""),"●","")</x:f>
      </x:c>
      <x:c r="AB209" s="165" t="str">
        <x:f>IF(AND(AB$5&gt;=$C209,AB$5&lt;=$D209,$A209&lt;&gt;""),"●","")</x:f>
      </x:c>
      <x:c r="AC209" s="165" t="str">
        <x:f>IF(AND(AC$5&gt;=$C209,AC$5&lt;=$D209,$A209&lt;&gt;""),"●","")</x:f>
      </x:c>
      <x:c r="AD209" s="165" t="str">
        <x:f>IF(AND(AD$5&gt;=$C209,AD$5&lt;=$D209,$A209&lt;&gt;""),"●","")</x:f>
      </x:c>
      <x:c r="AE209" s="165" t="str">
        <x:f>IF(AND(AE$5&gt;=$C209,AE$5&lt;=$D209,$A209&lt;&gt;""),"●","")</x:f>
      </x:c>
      <x:c r="AF209" s="165" t="str">
        <x:f>IF(AND(AF$5&gt;=$C209,AF$5&lt;=$D209,$A209&lt;&gt;""),"●","")</x:f>
      </x:c>
      <x:c r="AG209" s="165" t="str">
        <x:f>IF(AND(AG$5&gt;=$C209,AG$5&lt;=$D209,$A209&lt;&gt;""),"●","")</x:f>
      </x:c>
      <x:c r="AH209" s="165" t="str">
        <x:f>IF(AND(AH$5&gt;=$C209,AH$5&lt;=$D209,$A209&lt;&gt;""),"●","")</x:f>
      </x:c>
      <x:c r="AI209" s="165" t="str">
        <x:f>IF(AND(AI$5&gt;=$C209,AI$5&lt;=$D209,$A209&lt;&gt;""),"●","")</x:f>
      </x:c>
      <x:c r="AJ209" s="165" t="str">
        <x:f>IF(AND(AJ$5&gt;=$C209,AJ$5&lt;=$D209,$A209&lt;&gt;""),"●","")</x:f>
      </x:c>
      <x:c r="AK209" s="165" t="str">
        <x:f>IF(AND(AK$5&gt;=$C209,AK$5&lt;=$D209,$A209&lt;&gt;""),"●","")</x:f>
      </x:c>
      <x:c r="AL209" s="165" t="str">
        <x:f>IF(AND(AL$5&gt;=$C209,AL$5&lt;=$D209,$A209&lt;&gt;""),"●","")</x:f>
      </x:c>
      <x:c r="AM209" s="165" t="str">
        <x:f>IF(AND(AM$5&gt;=$C209,AM$5&lt;=$D209,$A209&lt;&gt;""),"●","")</x:f>
      </x:c>
      <x:c r="AN209" s="165" t="str">
        <x:f>IF(AND(AN$5&gt;=$C209,AN$5&lt;=$D209,$A209&lt;&gt;""),"●","")</x:f>
      </x:c>
      <x:c r="AO209" s="165" t="str">
        <x:f>IF(AND(AO$5&gt;=$C209,AO$5&lt;=$D209,$A209&lt;&gt;""),"●","")</x:f>
      </x:c>
      <x:c r="AP209" s="165" t="str">
        <x:f>IF(AND(AP$5&gt;=$C209,AP$5&lt;=$D209,$A209&lt;&gt;""),"●","")</x:f>
      </x:c>
      <x:c r="AQ209" s="165" t="str">
        <x:f>IF(AND(AQ$5&gt;=$C209,AQ$5&lt;=$D209,$A209&lt;&gt;""),"●","")</x:f>
      </x:c>
      <x:c r="AR209" s="165" t="str">
        <x:f>IF(AND(AR$5&gt;=$C209,AR$5&lt;=$D209,$A209&lt;&gt;""),"●","")</x:f>
      </x:c>
      <x:c r="AS209" s="165" t="str">
        <x:f>IF(AND(AS$5&gt;=$C209,AS$5&lt;=$D209,$A209&lt;&gt;""),"●","")</x:f>
      </x:c>
      <x:c r="AT209" s="165" t="str">
        <x:f>IF(AND(AT$5&gt;=$C209,AT$5&lt;=$D209,$A209&lt;&gt;""),"●","")</x:f>
      </x:c>
      <x:c r="AU209" s="165" t="str">
        <x:f>IF(AND(AU$5&gt;=$C209,AU$5&lt;=$D209,$A209&lt;&gt;""),"●","")</x:f>
      </x:c>
      <x:c r="AV209" s="165" t="str">
        <x:f>IF(AND(AV$5&gt;=$C209,AV$5&lt;=$D209,$A209&lt;&gt;""),"●","")</x:f>
      </x:c>
      <x:c r="AW209" s="165" t="str">
        <x:f>IF(AND(AW$5&gt;=$C209,AW$5&lt;=$D209,$A209&lt;&gt;""),"●","")</x:f>
      </x:c>
      <x:c r="AX209" s="165" t="str">
        <x:f>IF(AND(AX$5&gt;=$C209,AX$5&lt;=$D209,$A209&lt;&gt;""),"●","")</x:f>
      </x:c>
      <x:c r="AY209" s="165" t="str">
        <x:f>IF(AND(AY$5&gt;=$C209,AY$5&lt;=$D209,$A209&lt;&gt;""),"●","")</x:f>
      </x:c>
      <x:c r="AZ209" s="165" t="str">
        <x:f>IF(AND(AZ$5&gt;=$C209,AZ$5&lt;=$D209,$A209&lt;&gt;""),"●","")</x:f>
      </x:c>
      <x:c r="BA209" s="165" t="str">
        <x:f>IF(AND(BA$5&gt;=$C209,BA$5&lt;=$D209,$A209&lt;&gt;""),"●","")</x:f>
      </x:c>
      <x:c r="BB209" s="165" t="str">
        <x:f>IF(AND(BB$5&gt;=$C209,BB$5&lt;=$D209,$A209&lt;&gt;""),"●","")</x:f>
      </x:c>
      <x:c r="BC209" s="165" t="str">
        <x:f>IF(AND(BC$5&gt;=$C209,BC$5&lt;=$D209,$A209&lt;&gt;""),"●","")</x:f>
      </x:c>
      <x:c r="BD209" s="165" t="str">
        <x:f>IF(AND(BD$5&gt;=$C209,BD$5&lt;=$D209,$A209&lt;&gt;""),"●","")</x:f>
      </x:c>
      <x:c r="BE209" s="165" t="str">
        <x:f>IF(AND(BE$5&gt;=$C209,BE$5&lt;=$D209,$A209&lt;&gt;""),"●","")</x:f>
      </x:c>
      <x:c r="BF209" s="165" t="str">
        <x:f>IF(AND(BF$5&gt;=$C209,BF$5&lt;=$D209,$A209&lt;&gt;""),"●","")</x:f>
      </x:c>
      <x:c r="BG209" s="165" t="str">
        <x:f>IF(AND(BG$5&gt;=$C209,BG$5&lt;=$D209,$A209&lt;&gt;""),"●","")</x:f>
      </x:c>
      <x:c r="BH209" s="165" t="str">
        <x:f>IF(AND(BH$5&gt;=$C209,BH$5&lt;=$D209,$A209&lt;&gt;""),"●","")</x:f>
      </x:c>
      <x:c r="BI209" s="165" t="str">
        <x:f>IF(AND(BI$5&gt;=$C209,BI$5&lt;=$D209,$A209&lt;&gt;""),"●","")</x:f>
      </x:c>
      <x:c r="BJ209" s="165" t="str">
        <x:f>IF(AND(BJ$5&gt;=$C209,BJ$5&lt;=$D209,$A209&lt;&gt;""),"●","")</x:f>
      </x:c>
      <x:c r="BK209" s="165" t="str">
        <x:f>IF(AND(BK$5&gt;=$C209,BK$5&lt;=$D209,$A209&lt;&gt;""),"●","")</x:f>
      </x:c>
      <x:c r="BL209" s="165" t="str">
        <x:f>IF(AND(BL$5&gt;=$C209,BL$5&lt;=$D209,$A209&lt;&gt;""),"●","")</x:f>
      </x:c>
      <x:c r="BM209" s="165" t="str">
        <x:f>IF(AND(BM$5&gt;=$C209,BM$5&lt;=$D209,$A209&lt;&gt;""),"●","")</x:f>
      </x:c>
      <x:c r="BN209" s="165" t="str">
        <x:f>IF(AND(BN$5&gt;=$C209,BN$5&lt;=$D209,$A209&lt;&gt;""),"●","")</x:f>
      </x:c>
      <x:c r="BO209" s="165" t="str">
        <x:f>IF(AND(BO$5&gt;=$C209,BO$5&lt;=$D209,$A209&lt;&gt;""),"●","")</x:f>
      </x:c>
      <x:c r="BP209" s="165" t="str">
        <x:f>IF(AND(BP$5&gt;=$C209,BP$5&lt;=$D209,$A209&lt;&gt;""),"●","")</x:f>
      </x:c>
      <x:c r="BQ209" s="165" t="str">
        <x:f>IF(AND(BQ$5&gt;=$C209,BQ$5&lt;=$D209,$A209&lt;&gt;""),"●","")</x:f>
      </x:c>
      <x:c r="BR209" s="165" t="str">
        <x:f>IF(AND(BR$5&gt;=$C209,BR$5&lt;=$D209,$A209&lt;&gt;""),"●","")</x:f>
      </x:c>
      <x:c r="BS209" s="165" t="str">
        <x:f>IF(AND(BS$5&gt;=$C209,BS$5&lt;=$D209,$A209&lt;&gt;""),"●","")</x:f>
      </x:c>
      <x:c r="BT209" s="165" t="str">
        <x:f>IF(AND(BT$5&gt;=$C209,BT$5&lt;=$D209,$A209&lt;&gt;""),"●","")</x:f>
      </x:c>
      <x:c r="BU209" s="165" t="str">
        <x:f>IF(AND(BU$5&gt;=$C209,BU$5&lt;=$D209,$A209&lt;&gt;""),"●","")</x:f>
      </x:c>
      <x:c r="BV209" s="165" t="str">
        <x:f>IF(AND(BV$5&gt;=$C209,BV$5&lt;=$D209,$A209&lt;&gt;""),"●","")</x:f>
      </x:c>
      <x:c r="BW209" s="165" t="str">
        <x:f>IF(AND(BW$5&gt;=$C209,BW$5&lt;=$D209,$A209&lt;&gt;""),"●","")</x:f>
      </x:c>
    </x:row>
    <x:row r="210">
      <x:c r="A210" s="159" t="str">
        <x:f>IF('รายการสัญญา'!A210="","",'รายการสัญญา'!A210)</x:f>
      </x:c>
      <x:c r="B210" s="159" t="str">
        <x:f>IF('รายการสัญญา'!A210="","",'รายการสัญญา'!C210)</x:f>
      </x:c>
      <x:c r="C210" s="162" t="str">
        <x:f>IF('รายการสัญญา'!A210="","",'รายการสัญญา'!E210)</x:f>
      </x:c>
      <x:c r="D210" s="162" t="str">
        <x:f>IF('รายการสัญญา'!A210="","",'รายการสัญญา'!G210)</x:f>
      </x:c>
      <x:c r="E210" s="159" t="str">
        <x:f>IF('รายการสัญญา'!A210="","",'รายการสัญญา'!K210)</x:f>
      </x:c>
      <x:c r="F210" s="165" t="str">
        <x:f>IF(AND(F$5&gt;=$C210,F$5&lt;=$D210,$A210&lt;&gt;""),"●","")</x:f>
      </x:c>
      <x:c r="G210" s="165" t="str">
        <x:f>IF(AND(G$5&gt;=$C210,G$5&lt;=$D210,$A210&lt;&gt;""),"●","")</x:f>
      </x:c>
      <x:c r="H210" s="165" t="str">
        <x:f>IF(AND(H$5&gt;=$C210,H$5&lt;=$D210,$A210&lt;&gt;""),"●","")</x:f>
      </x:c>
      <x:c r="I210" s="165" t="str">
        <x:f>IF(AND(I$5&gt;=$C210,I$5&lt;=$D210,$A210&lt;&gt;""),"●","")</x:f>
      </x:c>
      <x:c r="J210" s="165" t="str">
        <x:f>IF(AND(J$5&gt;=$C210,J$5&lt;=$D210,$A210&lt;&gt;""),"●","")</x:f>
      </x:c>
      <x:c r="K210" s="165" t="str">
        <x:f>IF(AND(K$5&gt;=$C210,K$5&lt;=$D210,$A210&lt;&gt;""),"●","")</x:f>
      </x:c>
      <x:c r="L210" s="165" t="str">
        <x:f>IF(AND(L$5&gt;=$C210,L$5&lt;=$D210,$A210&lt;&gt;""),"●","")</x:f>
      </x:c>
      <x:c r="M210" s="165" t="str">
        <x:f>IF(AND(M$5&gt;=$C210,M$5&lt;=$D210,$A210&lt;&gt;""),"●","")</x:f>
      </x:c>
      <x:c r="N210" s="165" t="str">
        <x:f>IF(AND(N$5&gt;=$C210,N$5&lt;=$D210,$A210&lt;&gt;""),"●","")</x:f>
      </x:c>
      <x:c r="O210" s="165" t="str">
        <x:f>IF(AND(O$5&gt;=$C210,O$5&lt;=$D210,$A210&lt;&gt;""),"●","")</x:f>
      </x:c>
      <x:c r="P210" s="165" t="str">
        <x:f>IF(AND(P$5&gt;=$C210,P$5&lt;=$D210,$A210&lt;&gt;""),"●","")</x:f>
      </x:c>
      <x:c r="Q210" s="165" t="str">
        <x:f>IF(AND(Q$5&gt;=$C210,Q$5&lt;=$D210,$A210&lt;&gt;""),"●","")</x:f>
      </x:c>
      <x:c r="R210" s="165" t="str">
        <x:f>IF(AND(R$5&gt;=$C210,R$5&lt;=$D210,$A210&lt;&gt;""),"●","")</x:f>
      </x:c>
      <x:c r="S210" s="165" t="str">
        <x:f>IF(AND(S$5&gt;=$C210,S$5&lt;=$D210,$A210&lt;&gt;""),"●","")</x:f>
      </x:c>
      <x:c r="T210" s="165" t="str">
        <x:f>IF(AND(T$5&gt;=$C210,T$5&lt;=$D210,$A210&lt;&gt;""),"●","")</x:f>
      </x:c>
      <x:c r="U210" s="165" t="str">
        <x:f>IF(AND(U$5&gt;=$C210,U$5&lt;=$D210,$A210&lt;&gt;""),"●","")</x:f>
      </x:c>
      <x:c r="V210" s="165" t="str">
        <x:f>IF(AND(V$5&gt;=$C210,V$5&lt;=$D210,$A210&lt;&gt;""),"●","")</x:f>
      </x:c>
      <x:c r="W210" s="165" t="str">
        <x:f>IF(AND(W$5&gt;=$C210,W$5&lt;=$D210,$A210&lt;&gt;""),"●","")</x:f>
      </x:c>
      <x:c r="X210" s="165" t="str">
        <x:f>IF(AND(X$5&gt;=$C210,X$5&lt;=$D210,$A210&lt;&gt;""),"●","")</x:f>
      </x:c>
      <x:c r="Y210" s="165" t="str">
        <x:f>IF(AND(Y$5&gt;=$C210,Y$5&lt;=$D210,$A210&lt;&gt;""),"●","")</x:f>
      </x:c>
      <x:c r="Z210" s="165" t="str">
        <x:f>IF(AND(Z$5&gt;=$C210,Z$5&lt;=$D210,$A210&lt;&gt;""),"●","")</x:f>
      </x:c>
      <x:c r="AA210" s="165" t="str">
        <x:f>IF(AND(AA$5&gt;=$C210,AA$5&lt;=$D210,$A210&lt;&gt;""),"●","")</x:f>
      </x:c>
      <x:c r="AB210" s="165" t="str">
        <x:f>IF(AND(AB$5&gt;=$C210,AB$5&lt;=$D210,$A210&lt;&gt;""),"●","")</x:f>
      </x:c>
      <x:c r="AC210" s="165" t="str">
        <x:f>IF(AND(AC$5&gt;=$C210,AC$5&lt;=$D210,$A210&lt;&gt;""),"●","")</x:f>
      </x:c>
      <x:c r="AD210" s="165" t="str">
        <x:f>IF(AND(AD$5&gt;=$C210,AD$5&lt;=$D210,$A210&lt;&gt;""),"●","")</x:f>
      </x:c>
      <x:c r="AE210" s="165" t="str">
        <x:f>IF(AND(AE$5&gt;=$C210,AE$5&lt;=$D210,$A210&lt;&gt;""),"●","")</x:f>
      </x:c>
      <x:c r="AF210" s="165" t="str">
        <x:f>IF(AND(AF$5&gt;=$C210,AF$5&lt;=$D210,$A210&lt;&gt;""),"●","")</x:f>
      </x:c>
      <x:c r="AG210" s="165" t="str">
        <x:f>IF(AND(AG$5&gt;=$C210,AG$5&lt;=$D210,$A210&lt;&gt;""),"●","")</x:f>
      </x:c>
      <x:c r="AH210" s="165" t="str">
        <x:f>IF(AND(AH$5&gt;=$C210,AH$5&lt;=$D210,$A210&lt;&gt;""),"●","")</x:f>
      </x:c>
      <x:c r="AI210" s="165" t="str">
        <x:f>IF(AND(AI$5&gt;=$C210,AI$5&lt;=$D210,$A210&lt;&gt;""),"●","")</x:f>
      </x:c>
      <x:c r="AJ210" s="165" t="str">
        <x:f>IF(AND(AJ$5&gt;=$C210,AJ$5&lt;=$D210,$A210&lt;&gt;""),"●","")</x:f>
      </x:c>
      <x:c r="AK210" s="165" t="str">
        <x:f>IF(AND(AK$5&gt;=$C210,AK$5&lt;=$D210,$A210&lt;&gt;""),"●","")</x:f>
      </x:c>
      <x:c r="AL210" s="165" t="str">
        <x:f>IF(AND(AL$5&gt;=$C210,AL$5&lt;=$D210,$A210&lt;&gt;""),"●","")</x:f>
      </x:c>
      <x:c r="AM210" s="165" t="str">
        <x:f>IF(AND(AM$5&gt;=$C210,AM$5&lt;=$D210,$A210&lt;&gt;""),"●","")</x:f>
      </x:c>
      <x:c r="AN210" s="165" t="str">
        <x:f>IF(AND(AN$5&gt;=$C210,AN$5&lt;=$D210,$A210&lt;&gt;""),"●","")</x:f>
      </x:c>
      <x:c r="AO210" s="165" t="str">
        <x:f>IF(AND(AO$5&gt;=$C210,AO$5&lt;=$D210,$A210&lt;&gt;""),"●","")</x:f>
      </x:c>
      <x:c r="AP210" s="165" t="str">
        <x:f>IF(AND(AP$5&gt;=$C210,AP$5&lt;=$D210,$A210&lt;&gt;""),"●","")</x:f>
      </x:c>
      <x:c r="AQ210" s="165" t="str">
        <x:f>IF(AND(AQ$5&gt;=$C210,AQ$5&lt;=$D210,$A210&lt;&gt;""),"●","")</x:f>
      </x:c>
      <x:c r="AR210" s="165" t="str">
        <x:f>IF(AND(AR$5&gt;=$C210,AR$5&lt;=$D210,$A210&lt;&gt;""),"●","")</x:f>
      </x:c>
      <x:c r="AS210" s="165" t="str">
        <x:f>IF(AND(AS$5&gt;=$C210,AS$5&lt;=$D210,$A210&lt;&gt;""),"●","")</x:f>
      </x:c>
      <x:c r="AT210" s="165" t="str">
        <x:f>IF(AND(AT$5&gt;=$C210,AT$5&lt;=$D210,$A210&lt;&gt;""),"●","")</x:f>
      </x:c>
      <x:c r="AU210" s="165" t="str">
        <x:f>IF(AND(AU$5&gt;=$C210,AU$5&lt;=$D210,$A210&lt;&gt;""),"●","")</x:f>
      </x:c>
      <x:c r="AV210" s="165" t="str">
        <x:f>IF(AND(AV$5&gt;=$C210,AV$5&lt;=$D210,$A210&lt;&gt;""),"●","")</x:f>
      </x:c>
      <x:c r="AW210" s="165" t="str">
        <x:f>IF(AND(AW$5&gt;=$C210,AW$5&lt;=$D210,$A210&lt;&gt;""),"●","")</x:f>
      </x:c>
      <x:c r="AX210" s="165" t="str">
        <x:f>IF(AND(AX$5&gt;=$C210,AX$5&lt;=$D210,$A210&lt;&gt;""),"●","")</x:f>
      </x:c>
      <x:c r="AY210" s="165" t="str">
        <x:f>IF(AND(AY$5&gt;=$C210,AY$5&lt;=$D210,$A210&lt;&gt;""),"●","")</x:f>
      </x:c>
      <x:c r="AZ210" s="165" t="str">
        <x:f>IF(AND(AZ$5&gt;=$C210,AZ$5&lt;=$D210,$A210&lt;&gt;""),"●","")</x:f>
      </x:c>
      <x:c r="BA210" s="165" t="str">
        <x:f>IF(AND(BA$5&gt;=$C210,BA$5&lt;=$D210,$A210&lt;&gt;""),"●","")</x:f>
      </x:c>
      <x:c r="BB210" s="165" t="str">
        <x:f>IF(AND(BB$5&gt;=$C210,BB$5&lt;=$D210,$A210&lt;&gt;""),"●","")</x:f>
      </x:c>
      <x:c r="BC210" s="165" t="str">
        <x:f>IF(AND(BC$5&gt;=$C210,BC$5&lt;=$D210,$A210&lt;&gt;""),"●","")</x:f>
      </x:c>
      <x:c r="BD210" s="165" t="str">
        <x:f>IF(AND(BD$5&gt;=$C210,BD$5&lt;=$D210,$A210&lt;&gt;""),"●","")</x:f>
      </x:c>
      <x:c r="BE210" s="165" t="str">
        <x:f>IF(AND(BE$5&gt;=$C210,BE$5&lt;=$D210,$A210&lt;&gt;""),"●","")</x:f>
      </x:c>
      <x:c r="BF210" s="165" t="str">
        <x:f>IF(AND(BF$5&gt;=$C210,BF$5&lt;=$D210,$A210&lt;&gt;""),"●","")</x:f>
      </x:c>
      <x:c r="BG210" s="165" t="str">
        <x:f>IF(AND(BG$5&gt;=$C210,BG$5&lt;=$D210,$A210&lt;&gt;""),"●","")</x:f>
      </x:c>
      <x:c r="BH210" s="165" t="str">
        <x:f>IF(AND(BH$5&gt;=$C210,BH$5&lt;=$D210,$A210&lt;&gt;""),"●","")</x:f>
      </x:c>
      <x:c r="BI210" s="165" t="str">
        <x:f>IF(AND(BI$5&gt;=$C210,BI$5&lt;=$D210,$A210&lt;&gt;""),"●","")</x:f>
      </x:c>
      <x:c r="BJ210" s="165" t="str">
        <x:f>IF(AND(BJ$5&gt;=$C210,BJ$5&lt;=$D210,$A210&lt;&gt;""),"●","")</x:f>
      </x:c>
      <x:c r="BK210" s="165" t="str">
        <x:f>IF(AND(BK$5&gt;=$C210,BK$5&lt;=$D210,$A210&lt;&gt;""),"●","")</x:f>
      </x:c>
      <x:c r="BL210" s="165" t="str">
        <x:f>IF(AND(BL$5&gt;=$C210,BL$5&lt;=$D210,$A210&lt;&gt;""),"●","")</x:f>
      </x:c>
      <x:c r="BM210" s="165" t="str">
        <x:f>IF(AND(BM$5&gt;=$C210,BM$5&lt;=$D210,$A210&lt;&gt;""),"●","")</x:f>
      </x:c>
      <x:c r="BN210" s="165" t="str">
        <x:f>IF(AND(BN$5&gt;=$C210,BN$5&lt;=$D210,$A210&lt;&gt;""),"●","")</x:f>
      </x:c>
      <x:c r="BO210" s="165" t="str">
        <x:f>IF(AND(BO$5&gt;=$C210,BO$5&lt;=$D210,$A210&lt;&gt;""),"●","")</x:f>
      </x:c>
      <x:c r="BP210" s="165" t="str">
        <x:f>IF(AND(BP$5&gt;=$C210,BP$5&lt;=$D210,$A210&lt;&gt;""),"●","")</x:f>
      </x:c>
      <x:c r="BQ210" s="165" t="str">
        <x:f>IF(AND(BQ$5&gt;=$C210,BQ$5&lt;=$D210,$A210&lt;&gt;""),"●","")</x:f>
      </x:c>
      <x:c r="BR210" s="165" t="str">
        <x:f>IF(AND(BR$5&gt;=$C210,BR$5&lt;=$D210,$A210&lt;&gt;""),"●","")</x:f>
      </x:c>
      <x:c r="BS210" s="165" t="str">
        <x:f>IF(AND(BS$5&gt;=$C210,BS$5&lt;=$D210,$A210&lt;&gt;""),"●","")</x:f>
      </x:c>
      <x:c r="BT210" s="165" t="str">
        <x:f>IF(AND(BT$5&gt;=$C210,BT$5&lt;=$D210,$A210&lt;&gt;""),"●","")</x:f>
      </x:c>
      <x:c r="BU210" s="165" t="str">
        <x:f>IF(AND(BU$5&gt;=$C210,BU$5&lt;=$D210,$A210&lt;&gt;""),"●","")</x:f>
      </x:c>
      <x:c r="BV210" s="165" t="str">
        <x:f>IF(AND(BV$5&gt;=$C210,BV$5&lt;=$D210,$A210&lt;&gt;""),"●","")</x:f>
      </x:c>
      <x:c r="BW210" s="165" t="str">
        <x:f>IF(AND(BW$5&gt;=$C210,BW$5&lt;=$D210,$A210&lt;&gt;""),"●","")</x:f>
      </x:c>
    </x:row>
    <x:row r="211">
      <x:c r="A211" s="159" t="str">
        <x:f>IF('รายการสัญญา'!A211="","",'รายการสัญญา'!A211)</x:f>
      </x:c>
      <x:c r="B211" s="159" t="str">
        <x:f>IF('รายการสัญญา'!A211="","",'รายการสัญญา'!C211)</x:f>
      </x:c>
      <x:c r="C211" s="162" t="str">
        <x:f>IF('รายการสัญญา'!A211="","",'รายการสัญญา'!E211)</x:f>
      </x:c>
      <x:c r="D211" s="162" t="str">
        <x:f>IF('รายการสัญญา'!A211="","",'รายการสัญญา'!G211)</x:f>
      </x:c>
      <x:c r="E211" s="159" t="str">
        <x:f>IF('รายการสัญญา'!A211="","",'รายการสัญญา'!K211)</x:f>
      </x:c>
      <x:c r="F211" s="165" t="str">
        <x:f>IF(AND(F$5&gt;=$C211,F$5&lt;=$D211,$A211&lt;&gt;""),"●","")</x:f>
      </x:c>
      <x:c r="G211" s="165" t="str">
        <x:f>IF(AND(G$5&gt;=$C211,G$5&lt;=$D211,$A211&lt;&gt;""),"●","")</x:f>
      </x:c>
      <x:c r="H211" s="165" t="str">
        <x:f>IF(AND(H$5&gt;=$C211,H$5&lt;=$D211,$A211&lt;&gt;""),"●","")</x:f>
      </x:c>
      <x:c r="I211" s="165" t="str">
        <x:f>IF(AND(I$5&gt;=$C211,I$5&lt;=$D211,$A211&lt;&gt;""),"●","")</x:f>
      </x:c>
      <x:c r="J211" s="165" t="str">
        <x:f>IF(AND(J$5&gt;=$C211,J$5&lt;=$D211,$A211&lt;&gt;""),"●","")</x:f>
      </x:c>
      <x:c r="K211" s="165" t="str">
        <x:f>IF(AND(K$5&gt;=$C211,K$5&lt;=$D211,$A211&lt;&gt;""),"●","")</x:f>
      </x:c>
      <x:c r="L211" s="165" t="str">
        <x:f>IF(AND(L$5&gt;=$C211,L$5&lt;=$D211,$A211&lt;&gt;""),"●","")</x:f>
      </x:c>
      <x:c r="M211" s="165" t="str">
        <x:f>IF(AND(M$5&gt;=$C211,M$5&lt;=$D211,$A211&lt;&gt;""),"●","")</x:f>
      </x:c>
      <x:c r="N211" s="165" t="str">
        <x:f>IF(AND(N$5&gt;=$C211,N$5&lt;=$D211,$A211&lt;&gt;""),"●","")</x:f>
      </x:c>
      <x:c r="O211" s="165" t="str">
        <x:f>IF(AND(O$5&gt;=$C211,O$5&lt;=$D211,$A211&lt;&gt;""),"●","")</x:f>
      </x:c>
      <x:c r="P211" s="165" t="str">
        <x:f>IF(AND(P$5&gt;=$C211,P$5&lt;=$D211,$A211&lt;&gt;""),"●","")</x:f>
      </x:c>
      <x:c r="Q211" s="165" t="str">
        <x:f>IF(AND(Q$5&gt;=$C211,Q$5&lt;=$D211,$A211&lt;&gt;""),"●","")</x:f>
      </x:c>
      <x:c r="R211" s="165" t="str">
        <x:f>IF(AND(R$5&gt;=$C211,R$5&lt;=$D211,$A211&lt;&gt;""),"●","")</x:f>
      </x:c>
      <x:c r="S211" s="165" t="str">
        <x:f>IF(AND(S$5&gt;=$C211,S$5&lt;=$D211,$A211&lt;&gt;""),"●","")</x:f>
      </x:c>
      <x:c r="T211" s="165" t="str">
        <x:f>IF(AND(T$5&gt;=$C211,T$5&lt;=$D211,$A211&lt;&gt;""),"●","")</x:f>
      </x:c>
      <x:c r="U211" s="165" t="str">
        <x:f>IF(AND(U$5&gt;=$C211,U$5&lt;=$D211,$A211&lt;&gt;""),"●","")</x:f>
      </x:c>
      <x:c r="V211" s="165" t="str">
        <x:f>IF(AND(V$5&gt;=$C211,V$5&lt;=$D211,$A211&lt;&gt;""),"●","")</x:f>
      </x:c>
      <x:c r="W211" s="165" t="str">
        <x:f>IF(AND(W$5&gt;=$C211,W$5&lt;=$D211,$A211&lt;&gt;""),"●","")</x:f>
      </x:c>
      <x:c r="X211" s="165" t="str">
        <x:f>IF(AND(X$5&gt;=$C211,X$5&lt;=$D211,$A211&lt;&gt;""),"●","")</x:f>
      </x:c>
      <x:c r="Y211" s="165" t="str">
        <x:f>IF(AND(Y$5&gt;=$C211,Y$5&lt;=$D211,$A211&lt;&gt;""),"●","")</x:f>
      </x:c>
      <x:c r="Z211" s="165" t="str">
        <x:f>IF(AND(Z$5&gt;=$C211,Z$5&lt;=$D211,$A211&lt;&gt;""),"●","")</x:f>
      </x:c>
      <x:c r="AA211" s="165" t="str">
        <x:f>IF(AND(AA$5&gt;=$C211,AA$5&lt;=$D211,$A211&lt;&gt;""),"●","")</x:f>
      </x:c>
      <x:c r="AB211" s="165" t="str">
        <x:f>IF(AND(AB$5&gt;=$C211,AB$5&lt;=$D211,$A211&lt;&gt;""),"●","")</x:f>
      </x:c>
      <x:c r="AC211" s="165" t="str">
        <x:f>IF(AND(AC$5&gt;=$C211,AC$5&lt;=$D211,$A211&lt;&gt;""),"●","")</x:f>
      </x:c>
      <x:c r="AD211" s="165" t="str">
        <x:f>IF(AND(AD$5&gt;=$C211,AD$5&lt;=$D211,$A211&lt;&gt;""),"●","")</x:f>
      </x:c>
      <x:c r="AE211" s="165" t="str">
        <x:f>IF(AND(AE$5&gt;=$C211,AE$5&lt;=$D211,$A211&lt;&gt;""),"●","")</x:f>
      </x:c>
      <x:c r="AF211" s="165" t="str">
        <x:f>IF(AND(AF$5&gt;=$C211,AF$5&lt;=$D211,$A211&lt;&gt;""),"●","")</x:f>
      </x:c>
      <x:c r="AG211" s="165" t="str">
        <x:f>IF(AND(AG$5&gt;=$C211,AG$5&lt;=$D211,$A211&lt;&gt;""),"●","")</x:f>
      </x:c>
      <x:c r="AH211" s="165" t="str">
        <x:f>IF(AND(AH$5&gt;=$C211,AH$5&lt;=$D211,$A211&lt;&gt;""),"●","")</x:f>
      </x:c>
      <x:c r="AI211" s="165" t="str">
        <x:f>IF(AND(AI$5&gt;=$C211,AI$5&lt;=$D211,$A211&lt;&gt;""),"●","")</x:f>
      </x:c>
      <x:c r="AJ211" s="165" t="str">
        <x:f>IF(AND(AJ$5&gt;=$C211,AJ$5&lt;=$D211,$A211&lt;&gt;""),"●","")</x:f>
      </x:c>
      <x:c r="AK211" s="165" t="str">
        <x:f>IF(AND(AK$5&gt;=$C211,AK$5&lt;=$D211,$A211&lt;&gt;""),"●","")</x:f>
      </x:c>
      <x:c r="AL211" s="165" t="str">
        <x:f>IF(AND(AL$5&gt;=$C211,AL$5&lt;=$D211,$A211&lt;&gt;""),"●","")</x:f>
      </x:c>
      <x:c r="AM211" s="165" t="str">
        <x:f>IF(AND(AM$5&gt;=$C211,AM$5&lt;=$D211,$A211&lt;&gt;""),"●","")</x:f>
      </x:c>
      <x:c r="AN211" s="165" t="str">
        <x:f>IF(AND(AN$5&gt;=$C211,AN$5&lt;=$D211,$A211&lt;&gt;""),"●","")</x:f>
      </x:c>
      <x:c r="AO211" s="165" t="str">
        <x:f>IF(AND(AO$5&gt;=$C211,AO$5&lt;=$D211,$A211&lt;&gt;""),"●","")</x:f>
      </x:c>
      <x:c r="AP211" s="165" t="str">
        <x:f>IF(AND(AP$5&gt;=$C211,AP$5&lt;=$D211,$A211&lt;&gt;""),"●","")</x:f>
      </x:c>
      <x:c r="AQ211" s="165" t="str">
        <x:f>IF(AND(AQ$5&gt;=$C211,AQ$5&lt;=$D211,$A211&lt;&gt;""),"●","")</x:f>
      </x:c>
      <x:c r="AR211" s="165" t="str">
        <x:f>IF(AND(AR$5&gt;=$C211,AR$5&lt;=$D211,$A211&lt;&gt;""),"●","")</x:f>
      </x:c>
      <x:c r="AS211" s="165" t="str">
        <x:f>IF(AND(AS$5&gt;=$C211,AS$5&lt;=$D211,$A211&lt;&gt;""),"●","")</x:f>
      </x:c>
      <x:c r="AT211" s="165" t="str">
        <x:f>IF(AND(AT$5&gt;=$C211,AT$5&lt;=$D211,$A211&lt;&gt;""),"●","")</x:f>
      </x:c>
      <x:c r="AU211" s="165" t="str">
        <x:f>IF(AND(AU$5&gt;=$C211,AU$5&lt;=$D211,$A211&lt;&gt;""),"●","")</x:f>
      </x:c>
      <x:c r="AV211" s="165" t="str">
        <x:f>IF(AND(AV$5&gt;=$C211,AV$5&lt;=$D211,$A211&lt;&gt;""),"●","")</x:f>
      </x:c>
      <x:c r="AW211" s="165" t="str">
        <x:f>IF(AND(AW$5&gt;=$C211,AW$5&lt;=$D211,$A211&lt;&gt;""),"●","")</x:f>
      </x:c>
      <x:c r="AX211" s="165" t="str">
        <x:f>IF(AND(AX$5&gt;=$C211,AX$5&lt;=$D211,$A211&lt;&gt;""),"●","")</x:f>
      </x:c>
      <x:c r="AY211" s="165" t="str">
        <x:f>IF(AND(AY$5&gt;=$C211,AY$5&lt;=$D211,$A211&lt;&gt;""),"●","")</x:f>
      </x:c>
      <x:c r="AZ211" s="165" t="str">
        <x:f>IF(AND(AZ$5&gt;=$C211,AZ$5&lt;=$D211,$A211&lt;&gt;""),"●","")</x:f>
      </x:c>
      <x:c r="BA211" s="165" t="str">
        <x:f>IF(AND(BA$5&gt;=$C211,BA$5&lt;=$D211,$A211&lt;&gt;""),"●","")</x:f>
      </x:c>
      <x:c r="BB211" s="165" t="str">
        <x:f>IF(AND(BB$5&gt;=$C211,BB$5&lt;=$D211,$A211&lt;&gt;""),"●","")</x:f>
      </x:c>
      <x:c r="BC211" s="165" t="str">
        <x:f>IF(AND(BC$5&gt;=$C211,BC$5&lt;=$D211,$A211&lt;&gt;""),"●","")</x:f>
      </x:c>
      <x:c r="BD211" s="165" t="str">
        <x:f>IF(AND(BD$5&gt;=$C211,BD$5&lt;=$D211,$A211&lt;&gt;""),"●","")</x:f>
      </x:c>
      <x:c r="BE211" s="165" t="str">
        <x:f>IF(AND(BE$5&gt;=$C211,BE$5&lt;=$D211,$A211&lt;&gt;""),"●","")</x:f>
      </x:c>
      <x:c r="BF211" s="165" t="str">
        <x:f>IF(AND(BF$5&gt;=$C211,BF$5&lt;=$D211,$A211&lt;&gt;""),"●","")</x:f>
      </x:c>
      <x:c r="BG211" s="165" t="str">
        <x:f>IF(AND(BG$5&gt;=$C211,BG$5&lt;=$D211,$A211&lt;&gt;""),"●","")</x:f>
      </x:c>
      <x:c r="BH211" s="165" t="str">
        <x:f>IF(AND(BH$5&gt;=$C211,BH$5&lt;=$D211,$A211&lt;&gt;""),"●","")</x:f>
      </x:c>
      <x:c r="BI211" s="165" t="str">
        <x:f>IF(AND(BI$5&gt;=$C211,BI$5&lt;=$D211,$A211&lt;&gt;""),"●","")</x:f>
      </x:c>
      <x:c r="BJ211" s="165" t="str">
        <x:f>IF(AND(BJ$5&gt;=$C211,BJ$5&lt;=$D211,$A211&lt;&gt;""),"●","")</x:f>
      </x:c>
      <x:c r="BK211" s="165" t="str">
        <x:f>IF(AND(BK$5&gt;=$C211,BK$5&lt;=$D211,$A211&lt;&gt;""),"●","")</x:f>
      </x:c>
      <x:c r="BL211" s="165" t="str">
        <x:f>IF(AND(BL$5&gt;=$C211,BL$5&lt;=$D211,$A211&lt;&gt;""),"●","")</x:f>
      </x:c>
      <x:c r="BM211" s="165" t="str">
        <x:f>IF(AND(BM$5&gt;=$C211,BM$5&lt;=$D211,$A211&lt;&gt;""),"●","")</x:f>
      </x:c>
      <x:c r="BN211" s="165" t="str">
        <x:f>IF(AND(BN$5&gt;=$C211,BN$5&lt;=$D211,$A211&lt;&gt;""),"●","")</x:f>
      </x:c>
      <x:c r="BO211" s="165" t="str">
        <x:f>IF(AND(BO$5&gt;=$C211,BO$5&lt;=$D211,$A211&lt;&gt;""),"●","")</x:f>
      </x:c>
      <x:c r="BP211" s="165" t="str">
        <x:f>IF(AND(BP$5&gt;=$C211,BP$5&lt;=$D211,$A211&lt;&gt;""),"●","")</x:f>
      </x:c>
      <x:c r="BQ211" s="165" t="str">
        <x:f>IF(AND(BQ$5&gt;=$C211,BQ$5&lt;=$D211,$A211&lt;&gt;""),"●","")</x:f>
      </x:c>
      <x:c r="BR211" s="165" t="str">
        <x:f>IF(AND(BR$5&gt;=$C211,BR$5&lt;=$D211,$A211&lt;&gt;""),"●","")</x:f>
      </x:c>
      <x:c r="BS211" s="165" t="str">
        <x:f>IF(AND(BS$5&gt;=$C211,BS$5&lt;=$D211,$A211&lt;&gt;""),"●","")</x:f>
      </x:c>
      <x:c r="BT211" s="165" t="str">
        <x:f>IF(AND(BT$5&gt;=$C211,BT$5&lt;=$D211,$A211&lt;&gt;""),"●","")</x:f>
      </x:c>
      <x:c r="BU211" s="165" t="str">
        <x:f>IF(AND(BU$5&gt;=$C211,BU$5&lt;=$D211,$A211&lt;&gt;""),"●","")</x:f>
      </x:c>
      <x:c r="BV211" s="165" t="str">
        <x:f>IF(AND(BV$5&gt;=$C211,BV$5&lt;=$D211,$A211&lt;&gt;""),"●","")</x:f>
      </x:c>
      <x:c r="BW211" s="165" t="str">
        <x:f>IF(AND(BW$5&gt;=$C211,BW$5&lt;=$D211,$A211&lt;&gt;""),"●","")</x:f>
      </x:c>
    </x:row>
    <x:row r="212">
      <x:c r="A212" s="159" t="str">
        <x:f>IF('รายการสัญญา'!A212="","",'รายการสัญญา'!A212)</x:f>
      </x:c>
      <x:c r="B212" s="159" t="str">
        <x:f>IF('รายการสัญญา'!A212="","",'รายการสัญญา'!C212)</x:f>
      </x:c>
      <x:c r="C212" s="162" t="str">
        <x:f>IF('รายการสัญญา'!A212="","",'รายการสัญญา'!E212)</x:f>
      </x:c>
      <x:c r="D212" s="162" t="str">
        <x:f>IF('รายการสัญญา'!A212="","",'รายการสัญญา'!G212)</x:f>
      </x:c>
      <x:c r="E212" s="159" t="str">
        <x:f>IF('รายการสัญญา'!A212="","",'รายการสัญญา'!K212)</x:f>
      </x:c>
      <x:c r="F212" s="165" t="str">
        <x:f>IF(AND(F$5&gt;=$C212,F$5&lt;=$D212,$A212&lt;&gt;""),"●","")</x:f>
      </x:c>
      <x:c r="G212" s="165" t="str">
        <x:f>IF(AND(G$5&gt;=$C212,G$5&lt;=$D212,$A212&lt;&gt;""),"●","")</x:f>
      </x:c>
      <x:c r="H212" s="165" t="str">
        <x:f>IF(AND(H$5&gt;=$C212,H$5&lt;=$D212,$A212&lt;&gt;""),"●","")</x:f>
      </x:c>
      <x:c r="I212" s="165" t="str">
        <x:f>IF(AND(I$5&gt;=$C212,I$5&lt;=$D212,$A212&lt;&gt;""),"●","")</x:f>
      </x:c>
      <x:c r="J212" s="165" t="str">
        <x:f>IF(AND(J$5&gt;=$C212,J$5&lt;=$D212,$A212&lt;&gt;""),"●","")</x:f>
      </x:c>
      <x:c r="K212" s="165" t="str">
        <x:f>IF(AND(K$5&gt;=$C212,K$5&lt;=$D212,$A212&lt;&gt;""),"●","")</x:f>
      </x:c>
      <x:c r="L212" s="165" t="str">
        <x:f>IF(AND(L$5&gt;=$C212,L$5&lt;=$D212,$A212&lt;&gt;""),"●","")</x:f>
      </x:c>
      <x:c r="M212" s="165" t="str">
        <x:f>IF(AND(M$5&gt;=$C212,M$5&lt;=$D212,$A212&lt;&gt;""),"●","")</x:f>
      </x:c>
      <x:c r="N212" s="165" t="str">
        <x:f>IF(AND(N$5&gt;=$C212,N$5&lt;=$D212,$A212&lt;&gt;""),"●","")</x:f>
      </x:c>
      <x:c r="O212" s="165" t="str">
        <x:f>IF(AND(O$5&gt;=$C212,O$5&lt;=$D212,$A212&lt;&gt;""),"●","")</x:f>
      </x:c>
      <x:c r="P212" s="165" t="str">
        <x:f>IF(AND(P$5&gt;=$C212,P$5&lt;=$D212,$A212&lt;&gt;""),"●","")</x:f>
      </x:c>
      <x:c r="Q212" s="165" t="str">
        <x:f>IF(AND(Q$5&gt;=$C212,Q$5&lt;=$D212,$A212&lt;&gt;""),"●","")</x:f>
      </x:c>
      <x:c r="R212" s="165" t="str">
        <x:f>IF(AND(R$5&gt;=$C212,R$5&lt;=$D212,$A212&lt;&gt;""),"●","")</x:f>
      </x:c>
      <x:c r="S212" s="165" t="str">
        <x:f>IF(AND(S$5&gt;=$C212,S$5&lt;=$D212,$A212&lt;&gt;""),"●","")</x:f>
      </x:c>
      <x:c r="T212" s="165" t="str">
        <x:f>IF(AND(T$5&gt;=$C212,T$5&lt;=$D212,$A212&lt;&gt;""),"●","")</x:f>
      </x:c>
      <x:c r="U212" s="165" t="str">
        <x:f>IF(AND(U$5&gt;=$C212,U$5&lt;=$D212,$A212&lt;&gt;""),"●","")</x:f>
      </x:c>
      <x:c r="V212" s="165" t="str">
        <x:f>IF(AND(V$5&gt;=$C212,V$5&lt;=$D212,$A212&lt;&gt;""),"●","")</x:f>
      </x:c>
      <x:c r="W212" s="165" t="str">
        <x:f>IF(AND(W$5&gt;=$C212,W$5&lt;=$D212,$A212&lt;&gt;""),"●","")</x:f>
      </x:c>
      <x:c r="X212" s="165" t="str">
        <x:f>IF(AND(X$5&gt;=$C212,X$5&lt;=$D212,$A212&lt;&gt;""),"●","")</x:f>
      </x:c>
      <x:c r="Y212" s="165" t="str">
        <x:f>IF(AND(Y$5&gt;=$C212,Y$5&lt;=$D212,$A212&lt;&gt;""),"●","")</x:f>
      </x:c>
      <x:c r="Z212" s="165" t="str">
        <x:f>IF(AND(Z$5&gt;=$C212,Z$5&lt;=$D212,$A212&lt;&gt;""),"●","")</x:f>
      </x:c>
      <x:c r="AA212" s="165" t="str">
        <x:f>IF(AND(AA$5&gt;=$C212,AA$5&lt;=$D212,$A212&lt;&gt;""),"●","")</x:f>
      </x:c>
      <x:c r="AB212" s="165" t="str">
        <x:f>IF(AND(AB$5&gt;=$C212,AB$5&lt;=$D212,$A212&lt;&gt;""),"●","")</x:f>
      </x:c>
      <x:c r="AC212" s="165" t="str">
        <x:f>IF(AND(AC$5&gt;=$C212,AC$5&lt;=$D212,$A212&lt;&gt;""),"●","")</x:f>
      </x:c>
      <x:c r="AD212" s="165" t="str">
        <x:f>IF(AND(AD$5&gt;=$C212,AD$5&lt;=$D212,$A212&lt;&gt;""),"●","")</x:f>
      </x:c>
      <x:c r="AE212" s="165" t="str">
        <x:f>IF(AND(AE$5&gt;=$C212,AE$5&lt;=$D212,$A212&lt;&gt;""),"●","")</x:f>
      </x:c>
      <x:c r="AF212" s="165" t="str">
        <x:f>IF(AND(AF$5&gt;=$C212,AF$5&lt;=$D212,$A212&lt;&gt;""),"●","")</x:f>
      </x:c>
      <x:c r="AG212" s="165" t="str">
        <x:f>IF(AND(AG$5&gt;=$C212,AG$5&lt;=$D212,$A212&lt;&gt;""),"●","")</x:f>
      </x:c>
      <x:c r="AH212" s="165" t="str">
        <x:f>IF(AND(AH$5&gt;=$C212,AH$5&lt;=$D212,$A212&lt;&gt;""),"●","")</x:f>
      </x:c>
      <x:c r="AI212" s="165" t="str">
        <x:f>IF(AND(AI$5&gt;=$C212,AI$5&lt;=$D212,$A212&lt;&gt;""),"●","")</x:f>
      </x:c>
      <x:c r="AJ212" s="165" t="str">
        <x:f>IF(AND(AJ$5&gt;=$C212,AJ$5&lt;=$D212,$A212&lt;&gt;""),"●","")</x:f>
      </x:c>
      <x:c r="AK212" s="165" t="str">
        <x:f>IF(AND(AK$5&gt;=$C212,AK$5&lt;=$D212,$A212&lt;&gt;""),"●","")</x:f>
      </x:c>
      <x:c r="AL212" s="165" t="str">
        <x:f>IF(AND(AL$5&gt;=$C212,AL$5&lt;=$D212,$A212&lt;&gt;""),"●","")</x:f>
      </x:c>
      <x:c r="AM212" s="165" t="str">
        <x:f>IF(AND(AM$5&gt;=$C212,AM$5&lt;=$D212,$A212&lt;&gt;""),"●","")</x:f>
      </x:c>
      <x:c r="AN212" s="165" t="str">
        <x:f>IF(AND(AN$5&gt;=$C212,AN$5&lt;=$D212,$A212&lt;&gt;""),"●","")</x:f>
      </x:c>
      <x:c r="AO212" s="165" t="str">
        <x:f>IF(AND(AO$5&gt;=$C212,AO$5&lt;=$D212,$A212&lt;&gt;""),"●","")</x:f>
      </x:c>
      <x:c r="AP212" s="165" t="str">
        <x:f>IF(AND(AP$5&gt;=$C212,AP$5&lt;=$D212,$A212&lt;&gt;""),"●","")</x:f>
      </x:c>
      <x:c r="AQ212" s="165" t="str">
        <x:f>IF(AND(AQ$5&gt;=$C212,AQ$5&lt;=$D212,$A212&lt;&gt;""),"●","")</x:f>
      </x:c>
      <x:c r="AR212" s="165" t="str">
        <x:f>IF(AND(AR$5&gt;=$C212,AR$5&lt;=$D212,$A212&lt;&gt;""),"●","")</x:f>
      </x:c>
      <x:c r="AS212" s="165" t="str">
        <x:f>IF(AND(AS$5&gt;=$C212,AS$5&lt;=$D212,$A212&lt;&gt;""),"●","")</x:f>
      </x:c>
      <x:c r="AT212" s="165" t="str">
        <x:f>IF(AND(AT$5&gt;=$C212,AT$5&lt;=$D212,$A212&lt;&gt;""),"●","")</x:f>
      </x:c>
      <x:c r="AU212" s="165" t="str">
        <x:f>IF(AND(AU$5&gt;=$C212,AU$5&lt;=$D212,$A212&lt;&gt;""),"●","")</x:f>
      </x:c>
      <x:c r="AV212" s="165" t="str">
        <x:f>IF(AND(AV$5&gt;=$C212,AV$5&lt;=$D212,$A212&lt;&gt;""),"●","")</x:f>
      </x:c>
      <x:c r="AW212" s="165" t="str">
        <x:f>IF(AND(AW$5&gt;=$C212,AW$5&lt;=$D212,$A212&lt;&gt;""),"●","")</x:f>
      </x:c>
      <x:c r="AX212" s="165" t="str">
        <x:f>IF(AND(AX$5&gt;=$C212,AX$5&lt;=$D212,$A212&lt;&gt;""),"●","")</x:f>
      </x:c>
      <x:c r="AY212" s="165" t="str">
        <x:f>IF(AND(AY$5&gt;=$C212,AY$5&lt;=$D212,$A212&lt;&gt;""),"●","")</x:f>
      </x:c>
      <x:c r="AZ212" s="165" t="str">
        <x:f>IF(AND(AZ$5&gt;=$C212,AZ$5&lt;=$D212,$A212&lt;&gt;""),"●","")</x:f>
      </x:c>
      <x:c r="BA212" s="165" t="str">
        <x:f>IF(AND(BA$5&gt;=$C212,BA$5&lt;=$D212,$A212&lt;&gt;""),"●","")</x:f>
      </x:c>
      <x:c r="BB212" s="165" t="str">
        <x:f>IF(AND(BB$5&gt;=$C212,BB$5&lt;=$D212,$A212&lt;&gt;""),"●","")</x:f>
      </x:c>
      <x:c r="BC212" s="165" t="str">
        <x:f>IF(AND(BC$5&gt;=$C212,BC$5&lt;=$D212,$A212&lt;&gt;""),"●","")</x:f>
      </x:c>
      <x:c r="BD212" s="165" t="str">
        <x:f>IF(AND(BD$5&gt;=$C212,BD$5&lt;=$D212,$A212&lt;&gt;""),"●","")</x:f>
      </x:c>
      <x:c r="BE212" s="165" t="str">
        <x:f>IF(AND(BE$5&gt;=$C212,BE$5&lt;=$D212,$A212&lt;&gt;""),"●","")</x:f>
      </x:c>
      <x:c r="BF212" s="165" t="str">
        <x:f>IF(AND(BF$5&gt;=$C212,BF$5&lt;=$D212,$A212&lt;&gt;""),"●","")</x:f>
      </x:c>
      <x:c r="BG212" s="165" t="str">
        <x:f>IF(AND(BG$5&gt;=$C212,BG$5&lt;=$D212,$A212&lt;&gt;""),"●","")</x:f>
      </x:c>
      <x:c r="BH212" s="165" t="str">
        <x:f>IF(AND(BH$5&gt;=$C212,BH$5&lt;=$D212,$A212&lt;&gt;""),"●","")</x:f>
      </x:c>
      <x:c r="BI212" s="165" t="str">
        <x:f>IF(AND(BI$5&gt;=$C212,BI$5&lt;=$D212,$A212&lt;&gt;""),"●","")</x:f>
      </x:c>
      <x:c r="BJ212" s="165" t="str">
        <x:f>IF(AND(BJ$5&gt;=$C212,BJ$5&lt;=$D212,$A212&lt;&gt;""),"●","")</x:f>
      </x:c>
      <x:c r="BK212" s="165" t="str">
        <x:f>IF(AND(BK$5&gt;=$C212,BK$5&lt;=$D212,$A212&lt;&gt;""),"●","")</x:f>
      </x:c>
      <x:c r="BL212" s="165" t="str">
        <x:f>IF(AND(BL$5&gt;=$C212,BL$5&lt;=$D212,$A212&lt;&gt;""),"●","")</x:f>
      </x:c>
      <x:c r="BM212" s="165" t="str">
        <x:f>IF(AND(BM$5&gt;=$C212,BM$5&lt;=$D212,$A212&lt;&gt;""),"●","")</x:f>
      </x:c>
      <x:c r="BN212" s="165" t="str">
        <x:f>IF(AND(BN$5&gt;=$C212,BN$5&lt;=$D212,$A212&lt;&gt;""),"●","")</x:f>
      </x:c>
      <x:c r="BO212" s="165" t="str">
        <x:f>IF(AND(BO$5&gt;=$C212,BO$5&lt;=$D212,$A212&lt;&gt;""),"●","")</x:f>
      </x:c>
      <x:c r="BP212" s="165" t="str">
        <x:f>IF(AND(BP$5&gt;=$C212,BP$5&lt;=$D212,$A212&lt;&gt;""),"●","")</x:f>
      </x:c>
      <x:c r="BQ212" s="165" t="str">
        <x:f>IF(AND(BQ$5&gt;=$C212,BQ$5&lt;=$D212,$A212&lt;&gt;""),"●","")</x:f>
      </x:c>
      <x:c r="BR212" s="165" t="str">
        <x:f>IF(AND(BR$5&gt;=$C212,BR$5&lt;=$D212,$A212&lt;&gt;""),"●","")</x:f>
      </x:c>
      <x:c r="BS212" s="165" t="str">
        <x:f>IF(AND(BS$5&gt;=$C212,BS$5&lt;=$D212,$A212&lt;&gt;""),"●","")</x:f>
      </x:c>
      <x:c r="BT212" s="165" t="str">
        <x:f>IF(AND(BT$5&gt;=$C212,BT$5&lt;=$D212,$A212&lt;&gt;""),"●","")</x:f>
      </x:c>
      <x:c r="BU212" s="165" t="str">
        <x:f>IF(AND(BU$5&gt;=$C212,BU$5&lt;=$D212,$A212&lt;&gt;""),"●","")</x:f>
      </x:c>
      <x:c r="BV212" s="165" t="str">
        <x:f>IF(AND(BV$5&gt;=$C212,BV$5&lt;=$D212,$A212&lt;&gt;""),"●","")</x:f>
      </x:c>
      <x:c r="BW212" s="165" t="str">
        <x:f>IF(AND(BW$5&gt;=$C212,BW$5&lt;=$D212,$A212&lt;&gt;""),"●","")</x:f>
      </x:c>
    </x:row>
    <x:row r="213">
      <x:c r="A213" s="159" t="str">
        <x:f>IF('รายการสัญญา'!A213="","",'รายการสัญญา'!A213)</x:f>
      </x:c>
      <x:c r="B213" s="159" t="str">
        <x:f>IF('รายการสัญญา'!A213="","",'รายการสัญญา'!C213)</x:f>
      </x:c>
      <x:c r="C213" s="162" t="str">
        <x:f>IF('รายการสัญญา'!A213="","",'รายการสัญญา'!E213)</x:f>
      </x:c>
      <x:c r="D213" s="162" t="str">
        <x:f>IF('รายการสัญญา'!A213="","",'รายการสัญญา'!G213)</x:f>
      </x:c>
      <x:c r="E213" s="159" t="str">
        <x:f>IF('รายการสัญญา'!A213="","",'รายการสัญญา'!K213)</x:f>
      </x:c>
      <x:c r="F213" s="165" t="str">
        <x:f>IF(AND(F$5&gt;=$C213,F$5&lt;=$D213,$A213&lt;&gt;""),"●","")</x:f>
      </x:c>
      <x:c r="G213" s="165" t="str">
        <x:f>IF(AND(G$5&gt;=$C213,G$5&lt;=$D213,$A213&lt;&gt;""),"●","")</x:f>
      </x:c>
      <x:c r="H213" s="165" t="str">
        <x:f>IF(AND(H$5&gt;=$C213,H$5&lt;=$D213,$A213&lt;&gt;""),"●","")</x:f>
      </x:c>
      <x:c r="I213" s="165" t="str">
        <x:f>IF(AND(I$5&gt;=$C213,I$5&lt;=$D213,$A213&lt;&gt;""),"●","")</x:f>
      </x:c>
      <x:c r="J213" s="165" t="str">
        <x:f>IF(AND(J$5&gt;=$C213,J$5&lt;=$D213,$A213&lt;&gt;""),"●","")</x:f>
      </x:c>
      <x:c r="K213" s="165" t="str">
        <x:f>IF(AND(K$5&gt;=$C213,K$5&lt;=$D213,$A213&lt;&gt;""),"●","")</x:f>
      </x:c>
      <x:c r="L213" s="165" t="str">
        <x:f>IF(AND(L$5&gt;=$C213,L$5&lt;=$D213,$A213&lt;&gt;""),"●","")</x:f>
      </x:c>
      <x:c r="M213" s="165" t="str">
        <x:f>IF(AND(M$5&gt;=$C213,M$5&lt;=$D213,$A213&lt;&gt;""),"●","")</x:f>
      </x:c>
      <x:c r="N213" s="165" t="str">
        <x:f>IF(AND(N$5&gt;=$C213,N$5&lt;=$D213,$A213&lt;&gt;""),"●","")</x:f>
      </x:c>
      <x:c r="O213" s="165" t="str">
        <x:f>IF(AND(O$5&gt;=$C213,O$5&lt;=$D213,$A213&lt;&gt;""),"●","")</x:f>
      </x:c>
      <x:c r="P213" s="165" t="str">
        <x:f>IF(AND(P$5&gt;=$C213,P$5&lt;=$D213,$A213&lt;&gt;""),"●","")</x:f>
      </x:c>
      <x:c r="Q213" s="165" t="str">
        <x:f>IF(AND(Q$5&gt;=$C213,Q$5&lt;=$D213,$A213&lt;&gt;""),"●","")</x:f>
      </x:c>
      <x:c r="R213" s="165" t="str">
        <x:f>IF(AND(R$5&gt;=$C213,R$5&lt;=$D213,$A213&lt;&gt;""),"●","")</x:f>
      </x:c>
      <x:c r="S213" s="165" t="str">
        <x:f>IF(AND(S$5&gt;=$C213,S$5&lt;=$D213,$A213&lt;&gt;""),"●","")</x:f>
      </x:c>
      <x:c r="T213" s="165" t="str">
        <x:f>IF(AND(T$5&gt;=$C213,T$5&lt;=$D213,$A213&lt;&gt;""),"●","")</x:f>
      </x:c>
      <x:c r="U213" s="165" t="str">
        <x:f>IF(AND(U$5&gt;=$C213,U$5&lt;=$D213,$A213&lt;&gt;""),"●","")</x:f>
      </x:c>
      <x:c r="V213" s="165" t="str">
        <x:f>IF(AND(V$5&gt;=$C213,V$5&lt;=$D213,$A213&lt;&gt;""),"●","")</x:f>
      </x:c>
      <x:c r="W213" s="165" t="str">
        <x:f>IF(AND(W$5&gt;=$C213,W$5&lt;=$D213,$A213&lt;&gt;""),"●","")</x:f>
      </x:c>
      <x:c r="X213" s="165" t="str">
        <x:f>IF(AND(X$5&gt;=$C213,X$5&lt;=$D213,$A213&lt;&gt;""),"●","")</x:f>
      </x:c>
      <x:c r="Y213" s="165" t="str">
        <x:f>IF(AND(Y$5&gt;=$C213,Y$5&lt;=$D213,$A213&lt;&gt;""),"●","")</x:f>
      </x:c>
      <x:c r="Z213" s="165" t="str">
        <x:f>IF(AND(Z$5&gt;=$C213,Z$5&lt;=$D213,$A213&lt;&gt;""),"●","")</x:f>
      </x:c>
      <x:c r="AA213" s="165" t="str">
        <x:f>IF(AND(AA$5&gt;=$C213,AA$5&lt;=$D213,$A213&lt;&gt;""),"●","")</x:f>
      </x:c>
      <x:c r="AB213" s="165" t="str">
        <x:f>IF(AND(AB$5&gt;=$C213,AB$5&lt;=$D213,$A213&lt;&gt;""),"●","")</x:f>
      </x:c>
      <x:c r="AC213" s="165" t="str">
        <x:f>IF(AND(AC$5&gt;=$C213,AC$5&lt;=$D213,$A213&lt;&gt;""),"●","")</x:f>
      </x:c>
      <x:c r="AD213" s="165" t="str">
        <x:f>IF(AND(AD$5&gt;=$C213,AD$5&lt;=$D213,$A213&lt;&gt;""),"●","")</x:f>
      </x:c>
      <x:c r="AE213" s="165" t="str">
        <x:f>IF(AND(AE$5&gt;=$C213,AE$5&lt;=$D213,$A213&lt;&gt;""),"●","")</x:f>
      </x:c>
      <x:c r="AF213" s="165" t="str">
        <x:f>IF(AND(AF$5&gt;=$C213,AF$5&lt;=$D213,$A213&lt;&gt;""),"●","")</x:f>
      </x:c>
      <x:c r="AG213" s="165" t="str">
        <x:f>IF(AND(AG$5&gt;=$C213,AG$5&lt;=$D213,$A213&lt;&gt;""),"●","")</x:f>
      </x:c>
      <x:c r="AH213" s="165" t="str">
        <x:f>IF(AND(AH$5&gt;=$C213,AH$5&lt;=$D213,$A213&lt;&gt;""),"●","")</x:f>
      </x:c>
      <x:c r="AI213" s="165" t="str">
        <x:f>IF(AND(AI$5&gt;=$C213,AI$5&lt;=$D213,$A213&lt;&gt;""),"●","")</x:f>
      </x:c>
      <x:c r="AJ213" s="165" t="str">
        <x:f>IF(AND(AJ$5&gt;=$C213,AJ$5&lt;=$D213,$A213&lt;&gt;""),"●","")</x:f>
      </x:c>
      <x:c r="AK213" s="165" t="str">
        <x:f>IF(AND(AK$5&gt;=$C213,AK$5&lt;=$D213,$A213&lt;&gt;""),"●","")</x:f>
      </x:c>
      <x:c r="AL213" s="165" t="str">
        <x:f>IF(AND(AL$5&gt;=$C213,AL$5&lt;=$D213,$A213&lt;&gt;""),"●","")</x:f>
      </x:c>
      <x:c r="AM213" s="165" t="str">
        <x:f>IF(AND(AM$5&gt;=$C213,AM$5&lt;=$D213,$A213&lt;&gt;""),"●","")</x:f>
      </x:c>
      <x:c r="AN213" s="165" t="str">
        <x:f>IF(AND(AN$5&gt;=$C213,AN$5&lt;=$D213,$A213&lt;&gt;""),"●","")</x:f>
      </x:c>
      <x:c r="AO213" s="165" t="str">
        <x:f>IF(AND(AO$5&gt;=$C213,AO$5&lt;=$D213,$A213&lt;&gt;""),"●","")</x:f>
      </x:c>
      <x:c r="AP213" s="165" t="str">
        <x:f>IF(AND(AP$5&gt;=$C213,AP$5&lt;=$D213,$A213&lt;&gt;""),"●","")</x:f>
      </x:c>
      <x:c r="AQ213" s="165" t="str">
        <x:f>IF(AND(AQ$5&gt;=$C213,AQ$5&lt;=$D213,$A213&lt;&gt;""),"●","")</x:f>
      </x:c>
      <x:c r="AR213" s="165" t="str">
        <x:f>IF(AND(AR$5&gt;=$C213,AR$5&lt;=$D213,$A213&lt;&gt;""),"●","")</x:f>
      </x:c>
      <x:c r="AS213" s="165" t="str">
        <x:f>IF(AND(AS$5&gt;=$C213,AS$5&lt;=$D213,$A213&lt;&gt;""),"●","")</x:f>
      </x:c>
      <x:c r="AT213" s="165" t="str">
        <x:f>IF(AND(AT$5&gt;=$C213,AT$5&lt;=$D213,$A213&lt;&gt;""),"●","")</x:f>
      </x:c>
      <x:c r="AU213" s="165" t="str">
        <x:f>IF(AND(AU$5&gt;=$C213,AU$5&lt;=$D213,$A213&lt;&gt;""),"●","")</x:f>
      </x:c>
      <x:c r="AV213" s="165" t="str">
        <x:f>IF(AND(AV$5&gt;=$C213,AV$5&lt;=$D213,$A213&lt;&gt;""),"●","")</x:f>
      </x:c>
      <x:c r="AW213" s="165" t="str">
        <x:f>IF(AND(AW$5&gt;=$C213,AW$5&lt;=$D213,$A213&lt;&gt;""),"●","")</x:f>
      </x:c>
      <x:c r="AX213" s="165" t="str">
        <x:f>IF(AND(AX$5&gt;=$C213,AX$5&lt;=$D213,$A213&lt;&gt;""),"●","")</x:f>
      </x:c>
      <x:c r="AY213" s="165" t="str">
        <x:f>IF(AND(AY$5&gt;=$C213,AY$5&lt;=$D213,$A213&lt;&gt;""),"●","")</x:f>
      </x:c>
      <x:c r="AZ213" s="165" t="str">
        <x:f>IF(AND(AZ$5&gt;=$C213,AZ$5&lt;=$D213,$A213&lt;&gt;""),"●","")</x:f>
      </x:c>
      <x:c r="BA213" s="165" t="str">
        <x:f>IF(AND(BA$5&gt;=$C213,BA$5&lt;=$D213,$A213&lt;&gt;""),"●","")</x:f>
      </x:c>
      <x:c r="BB213" s="165" t="str">
        <x:f>IF(AND(BB$5&gt;=$C213,BB$5&lt;=$D213,$A213&lt;&gt;""),"●","")</x:f>
      </x:c>
      <x:c r="BC213" s="165" t="str">
        <x:f>IF(AND(BC$5&gt;=$C213,BC$5&lt;=$D213,$A213&lt;&gt;""),"●","")</x:f>
      </x:c>
      <x:c r="BD213" s="165" t="str">
        <x:f>IF(AND(BD$5&gt;=$C213,BD$5&lt;=$D213,$A213&lt;&gt;""),"●","")</x:f>
      </x:c>
      <x:c r="BE213" s="165" t="str">
        <x:f>IF(AND(BE$5&gt;=$C213,BE$5&lt;=$D213,$A213&lt;&gt;""),"●","")</x:f>
      </x:c>
      <x:c r="BF213" s="165" t="str">
        <x:f>IF(AND(BF$5&gt;=$C213,BF$5&lt;=$D213,$A213&lt;&gt;""),"●","")</x:f>
      </x:c>
      <x:c r="BG213" s="165" t="str">
        <x:f>IF(AND(BG$5&gt;=$C213,BG$5&lt;=$D213,$A213&lt;&gt;""),"●","")</x:f>
      </x:c>
      <x:c r="BH213" s="165" t="str">
        <x:f>IF(AND(BH$5&gt;=$C213,BH$5&lt;=$D213,$A213&lt;&gt;""),"●","")</x:f>
      </x:c>
      <x:c r="BI213" s="165" t="str">
        <x:f>IF(AND(BI$5&gt;=$C213,BI$5&lt;=$D213,$A213&lt;&gt;""),"●","")</x:f>
      </x:c>
      <x:c r="BJ213" s="165" t="str">
        <x:f>IF(AND(BJ$5&gt;=$C213,BJ$5&lt;=$D213,$A213&lt;&gt;""),"●","")</x:f>
      </x:c>
      <x:c r="BK213" s="165" t="str">
        <x:f>IF(AND(BK$5&gt;=$C213,BK$5&lt;=$D213,$A213&lt;&gt;""),"●","")</x:f>
      </x:c>
      <x:c r="BL213" s="165" t="str">
        <x:f>IF(AND(BL$5&gt;=$C213,BL$5&lt;=$D213,$A213&lt;&gt;""),"●","")</x:f>
      </x:c>
      <x:c r="BM213" s="165" t="str">
        <x:f>IF(AND(BM$5&gt;=$C213,BM$5&lt;=$D213,$A213&lt;&gt;""),"●","")</x:f>
      </x:c>
      <x:c r="BN213" s="165" t="str">
        <x:f>IF(AND(BN$5&gt;=$C213,BN$5&lt;=$D213,$A213&lt;&gt;""),"●","")</x:f>
      </x:c>
      <x:c r="BO213" s="165" t="str">
        <x:f>IF(AND(BO$5&gt;=$C213,BO$5&lt;=$D213,$A213&lt;&gt;""),"●","")</x:f>
      </x:c>
      <x:c r="BP213" s="165" t="str">
        <x:f>IF(AND(BP$5&gt;=$C213,BP$5&lt;=$D213,$A213&lt;&gt;""),"●","")</x:f>
      </x:c>
      <x:c r="BQ213" s="165" t="str">
        <x:f>IF(AND(BQ$5&gt;=$C213,BQ$5&lt;=$D213,$A213&lt;&gt;""),"●","")</x:f>
      </x:c>
      <x:c r="BR213" s="165" t="str">
        <x:f>IF(AND(BR$5&gt;=$C213,BR$5&lt;=$D213,$A213&lt;&gt;""),"●","")</x:f>
      </x:c>
      <x:c r="BS213" s="165" t="str">
        <x:f>IF(AND(BS$5&gt;=$C213,BS$5&lt;=$D213,$A213&lt;&gt;""),"●","")</x:f>
      </x:c>
      <x:c r="BT213" s="165" t="str">
        <x:f>IF(AND(BT$5&gt;=$C213,BT$5&lt;=$D213,$A213&lt;&gt;""),"●","")</x:f>
      </x:c>
      <x:c r="BU213" s="165" t="str">
        <x:f>IF(AND(BU$5&gt;=$C213,BU$5&lt;=$D213,$A213&lt;&gt;""),"●","")</x:f>
      </x:c>
      <x:c r="BV213" s="165" t="str">
        <x:f>IF(AND(BV$5&gt;=$C213,BV$5&lt;=$D213,$A213&lt;&gt;""),"●","")</x:f>
      </x:c>
      <x:c r="BW213" s="165" t="str">
        <x:f>IF(AND(BW$5&gt;=$C213,BW$5&lt;=$D213,$A213&lt;&gt;""),"●","")</x:f>
      </x:c>
    </x:row>
    <x:row r="214">
      <x:c r="A214" s="159" t="str">
        <x:f>IF('รายการสัญญา'!A214="","",'รายการสัญญา'!A214)</x:f>
      </x:c>
      <x:c r="B214" s="159" t="str">
        <x:f>IF('รายการสัญญา'!A214="","",'รายการสัญญา'!C214)</x:f>
      </x:c>
      <x:c r="C214" s="162" t="str">
        <x:f>IF('รายการสัญญา'!A214="","",'รายการสัญญา'!E214)</x:f>
      </x:c>
      <x:c r="D214" s="162" t="str">
        <x:f>IF('รายการสัญญา'!A214="","",'รายการสัญญา'!G214)</x:f>
      </x:c>
      <x:c r="E214" s="159" t="str">
        <x:f>IF('รายการสัญญา'!A214="","",'รายการสัญญา'!K214)</x:f>
      </x:c>
      <x:c r="F214" s="165" t="str">
        <x:f>IF(AND(F$5&gt;=$C214,F$5&lt;=$D214,$A214&lt;&gt;""),"●","")</x:f>
      </x:c>
      <x:c r="G214" s="165" t="str">
        <x:f>IF(AND(G$5&gt;=$C214,G$5&lt;=$D214,$A214&lt;&gt;""),"●","")</x:f>
      </x:c>
      <x:c r="H214" s="165" t="str">
        <x:f>IF(AND(H$5&gt;=$C214,H$5&lt;=$D214,$A214&lt;&gt;""),"●","")</x:f>
      </x:c>
      <x:c r="I214" s="165" t="str">
        <x:f>IF(AND(I$5&gt;=$C214,I$5&lt;=$D214,$A214&lt;&gt;""),"●","")</x:f>
      </x:c>
      <x:c r="J214" s="165" t="str">
        <x:f>IF(AND(J$5&gt;=$C214,J$5&lt;=$D214,$A214&lt;&gt;""),"●","")</x:f>
      </x:c>
      <x:c r="K214" s="165" t="str">
        <x:f>IF(AND(K$5&gt;=$C214,K$5&lt;=$D214,$A214&lt;&gt;""),"●","")</x:f>
      </x:c>
      <x:c r="L214" s="165" t="str">
        <x:f>IF(AND(L$5&gt;=$C214,L$5&lt;=$D214,$A214&lt;&gt;""),"●","")</x:f>
      </x:c>
      <x:c r="M214" s="165" t="str">
        <x:f>IF(AND(M$5&gt;=$C214,M$5&lt;=$D214,$A214&lt;&gt;""),"●","")</x:f>
      </x:c>
      <x:c r="N214" s="165" t="str">
        <x:f>IF(AND(N$5&gt;=$C214,N$5&lt;=$D214,$A214&lt;&gt;""),"●","")</x:f>
      </x:c>
      <x:c r="O214" s="165" t="str">
        <x:f>IF(AND(O$5&gt;=$C214,O$5&lt;=$D214,$A214&lt;&gt;""),"●","")</x:f>
      </x:c>
      <x:c r="P214" s="165" t="str">
        <x:f>IF(AND(P$5&gt;=$C214,P$5&lt;=$D214,$A214&lt;&gt;""),"●","")</x:f>
      </x:c>
      <x:c r="Q214" s="165" t="str">
        <x:f>IF(AND(Q$5&gt;=$C214,Q$5&lt;=$D214,$A214&lt;&gt;""),"●","")</x:f>
      </x:c>
      <x:c r="R214" s="165" t="str">
        <x:f>IF(AND(R$5&gt;=$C214,R$5&lt;=$D214,$A214&lt;&gt;""),"●","")</x:f>
      </x:c>
      <x:c r="S214" s="165" t="str">
        <x:f>IF(AND(S$5&gt;=$C214,S$5&lt;=$D214,$A214&lt;&gt;""),"●","")</x:f>
      </x:c>
      <x:c r="T214" s="165" t="str">
        <x:f>IF(AND(T$5&gt;=$C214,T$5&lt;=$D214,$A214&lt;&gt;""),"●","")</x:f>
      </x:c>
      <x:c r="U214" s="165" t="str">
        <x:f>IF(AND(U$5&gt;=$C214,U$5&lt;=$D214,$A214&lt;&gt;""),"●","")</x:f>
      </x:c>
      <x:c r="V214" s="165" t="str">
        <x:f>IF(AND(V$5&gt;=$C214,V$5&lt;=$D214,$A214&lt;&gt;""),"●","")</x:f>
      </x:c>
      <x:c r="W214" s="165" t="str">
        <x:f>IF(AND(W$5&gt;=$C214,W$5&lt;=$D214,$A214&lt;&gt;""),"●","")</x:f>
      </x:c>
      <x:c r="X214" s="165" t="str">
        <x:f>IF(AND(X$5&gt;=$C214,X$5&lt;=$D214,$A214&lt;&gt;""),"●","")</x:f>
      </x:c>
      <x:c r="Y214" s="165" t="str">
        <x:f>IF(AND(Y$5&gt;=$C214,Y$5&lt;=$D214,$A214&lt;&gt;""),"●","")</x:f>
      </x:c>
      <x:c r="Z214" s="165" t="str">
        <x:f>IF(AND(Z$5&gt;=$C214,Z$5&lt;=$D214,$A214&lt;&gt;""),"●","")</x:f>
      </x:c>
      <x:c r="AA214" s="165" t="str">
        <x:f>IF(AND(AA$5&gt;=$C214,AA$5&lt;=$D214,$A214&lt;&gt;""),"●","")</x:f>
      </x:c>
      <x:c r="AB214" s="165" t="str">
        <x:f>IF(AND(AB$5&gt;=$C214,AB$5&lt;=$D214,$A214&lt;&gt;""),"●","")</x:f>
      </x:c>
      <x:c r="AC214" s="165" t="str">
        <x:f>IF(AND(AC$5&gt;=$C214,AC$5&lt;=$D214,$A214&lt;&gt;""),"●","")</x:f>
      </x:c>
      <x:c r="AD214" s="165" t="str">
        <x:f>IF(AND(AD$5&gt;=$C214,AD$5&lt;=$D214,$A214&lt;&gt;""),"●","")</x:f>
      </x:c>
      <x:c r="AE214" s="165" t="str">
        <x:f>IF(AND(AE$5&gt;=$C214,AE$5&lt;=$D214,$A214&lt;&gt;""),"●","")</x:f>
      </x:c>
      <x:c r="AF214" s="165" t="str">
        <x:f>IF(AND(AF$5&gt;=$C214,AF$5&lt;=$D214,$A214&lt;&gt;""),"●","")</x:f>
      </x:c>
      <x:c r="AG214" s="165" t="str">
        <x:f>IF(AND(AG$5&gt;=$C214,AG$5&lt;=$D214,$A214&lt;&gt;""),"●","")</x:f>
      </x:c>
      <x:c r="AH214" s="165" t="str">
        <x:f>IF(AND(AH$5&gt;=$C214,AH$5&lt;=$D214,$A214&lt;&gt;""),"●","")</x:f>
      </x:c>
      <x:c r="AI214" s="165" t="str">
        <x:f>IF(AND(AI$5&gt;=$C214,AI$5&lt;=$D214,$A214&lt;&gt;""),"●","")</x:f>
      </x:c>
      <x:c r="AJ214" s="165" t="str">
        <x:f>IF(AND(AJ$5&gt;=$C214,AJ$5&lt;=$D214,$A214&lt;&gt;""),"●","")</x:f>
      </x:c>
      <x:c r="AK214" s="165" t="str">
        <x:f>IF(AND(AK$5&gt;=$C214,AK$5&lt;=$D214,$A214&lt;&gt;""),"●","")</x:f>
      </x:c>
      <x:c r="AL214" s="165" t="str">
        <x:f>IF(AND(AL$5&gt;=$C214,AL$5&lt;=$D214,$A214&lt;&gt;""),"●","")</x:f>
      </x:c>
      <x:c r="AM214" s="165" t="str">
        <x:f>IF(AND(AM$5&gt;=$C214,AM$5&lt;=$D214,$A214&lt;&gt;""),"●","")</x:f>
      </x:c>
      <x:c r="AN214" s="165" t="str">
        <x:f>IF(AND(AN$5&gt;=$C214,AN$5&lt;=$D214,$A214&lt;&gt;""),"●","")</x:f>
      </x:c>
      <x:c r="AO214" s="165" t="str">
        <x:f>IF(AND(AO$5&gt;=$C214,AO$5&lt;=$D214,$A214&lt;&gt;""),"●","")</x:f>
      </x:c>
      <x:c r="AP214" s="165" t="str">
        <x:f>IF(AND(AP$5&gt;=$C214,AP$5&lt;=$D214,$A214&lt;&gt;""),"●","")</x:f>
      </x:c>
      <x:c r="AQ214" s="165" t="str">
        <x:f>IF(AND(AQ$5&gt;=$C214,AQ$5&lt;=$D214,$A214&lt;&gt;""),"●","")</x:f>
      </x:c>
      <x:c r="AR214" s="165" t="str">
        <x:f>IF(AND(AR$5&gt;=$C214,AR$5&lt;=$D214,$A214&lt;&gt;""),"●","")</x:f>
      </x:c>
      <x:c r="AS214" s="165" t="str">
        <x:f>IF(AND(AS$5&gt;=$C214,AS$5&lt;=$D214,$A214&lt;&gt;""),"●","")</x:f>
      </x:c>
      <x:c r="AT214" s="165" t="str">
        <x:f>IF(AND(AT$5&gt;=$C214,AT$5&lt;=$D214,$A214&lt;&gt;""),"●","")</x:f>
      </x:c>
      <x:c r="AU214" s="165" t="str">
        <x:f>IF(AND(AU$5&gt;=$C214,AU$5&lt;=$D214,$A214&lt;&gt;""),"●","")</x:f>
      </x:c>
      <x:c r="AV214" s="165" t="str">
        <x:f>IF(AND(AV$5&gt;=$C214,AV$5&lt;=$D214,$A214&lt;&gt;""),"●","")</x:f>
      </x:c>
      <x:c r="AW214" s="165" t="str">
        <x:f>IF(AND(AW$5&gt;=$C214,AW$5&lt;=$D214,$A214&lt;&gt;""),"●","")</x:f>
      </x:c>
      <x:c r="AX214" s="165" t="str">
        <x:f>IF(AND(AX$5&gt;=$C214,AX$5&lt;=$D214,$A214&lt;&gt;""),"●","")</x:f>
      </x:c>
      <x:c r="AY214" s="165" t="str">
        <x:f>IF(AND(AY$5&gt;=$C214,AY$5&lt;=$D214,$A214&lt;&gt;""),"●","")</x:f>
      </x:c>
      <x:c r="AZ214" s="165" t="str">
        <x:f>IF(AND(AZ$5&gt;=$C214,AZ$5&lt;=$D214,$A214&lt;&gt;""),"●","")</x:f>
      </x:c>
      <x:c r="BA214" s="165" t="str">
        <x:f>IF(AND(BA$5&gt;=$C214,BA$5&lt;=$D214,$A214&lt;&gt;""),"●","")</x:f>
      </x:c>
      <x:c r="BB214" s="165" t="str">
        <x:f>IF(AND(BB$5&gt;=$C214,BB$5&lt;=$D214,$A214&lt;&gt;""),"●","")</x:f>
      </x:c>
      <x:c r="BC214" s="165" t="str">
        <x:f>IF(AND(BC$5&gt;=$C214,BC$5&lt;=$D214,$A214&lt;&gt;""),"●","")</x:f>
      </x:c>
      <x:c r="BD214" s="165" t="str">
        <x:f>IF(AND(BD$5&gt;=$C214,BD$5&lt;=$D214,$A214&lt;&gt;""),"●","")</x:f>
      </x:c>
      <x:c r="BE214" s="165" t="str">
        <x:f>IF(AND(BE$5&gt;=$C214,BE$5&lt;=$D214,$A214&lt;&gt;""),"●","")</x:f>
      </x:c>
      <x:c r="BF214" s="165" t="str">
        <x:f>IF(AND(BF$5&gt;=$C214,BF$5&lt;=$D214,$A214&lt;&gt;""),"●","")</x:f>
      </x:c>
      <x:c r="BG214" s="165" t="str">
        <x:f>IF(AND(BG$5&gt;=$C214,BG$5&lt;=$D214,$A214&lt;&gt;""),"●","")</x:f>
      </x:c>
      <x:c r="BH214" s="165" t="str">
        <x:f>IF(AND(BH$5&gt;=$C214,BH$5&lt;=$D214,$A214&lt;&gt;""),"●","")</x:f>
      </x:c>
      <x:c r="BI214" s="165" t="str">
        <x:f>IF(AND(BI$5&gt;=$C214,BI$5&lt;=$D214,$A214&lt;&gt;""),"●","")</x:f>
      </x:c>
      <x:c r="BJ214" s="165" t="str">
        <x:f>IF(AND(BJ$5&gt;=$C214,BJ$5&lt;=$D214,$A214&lt;&gt;""),"●","")</x:f>
      </x:c>
      <x:c r="BK214" s="165" t="str">
        <x:f>IF(AND(BK$5&gt;=$C214,BK$5&lt;=$D214,$A214&lt;&gt;""),"●","")</x:f>
      </x:c>
      <x:c r="BL214" s="165" t="str">
        <x:f>IF(AND(BL$5&gt;=$C214,BL$5&lt;=$D214,$A214&lt;&gt;""),"●","")</x:f>
      </x:c>
      <x:c r="BM214" s="165" t="str">
        <x:f>IF(AND(BM$5&gt;=$C214,BM$5&lt;=$D214,$A214&lt;&gt;""),"●","")</x:f>
      </x:c>
      <x:c r="BN214" s="165" t="str">
        <x:f>IF(AND(BN$5&gt;=$C214,BN$5&lt;=$D214,$A214&lt;&gt;""),"●","")</x:f>
      </x:c>
      <x:c r="BO214" s="165" t="str">
        <x:f>IF(AND(BO$5&gt;=$C214,BO$5&lt;=$D214,$A214&lt;&gt;""),"●","")</x:f>
      </x:c>
      <x:c r="BP214" s="165" t="str">
        <x:f>IF(AND(BP$5&gt;=$C214,BP$5&lt;=$D214,$A214&lt;&gt;""),"●","")</x:f>
      </x:c>
      <x:c r="BQ214" s="165" t="str">
        <x:f>IF(AND(BQ$5&gt;=$C214,BQ$5&lt;=$D214,$A214&lt;&gt;""),"●","")</x:f>
      </x:c>
      <x:c r="BR214" s="165" t="str">
        <x:f>IF(AND(BR$5&gt;=$C214,BR$5&lt;=$D214,$A214&lt;&gt;""),"●","")</x:f>
      </x:c>
      <x:c r="BS214" s="165" t="str">
        <x:f>IF(AND(BS$5&gt;=$C214,BS$5&lt;=$D214,$A214&lt;&gt;""),"●","")</x:f>
      </x:c>
      <x:c r="BT214" s="165" t="str">
        <x:f>IF(AND(BT$5&gt;=$C214,BT$5&lt;=$D214,$A214&lt;&gt;""),"●","")</x:f>
      </x:c>
      <x:c r="BU214" s="165" t="str">
        <x:f>IF(AND(BU$5&gt;=$C214,BU$5&lt;=$D214,$A214&lt;&gt;""),"●","")</x:f>
      </x:c>
      <x:c r="BV214" s="165" t="str">
        <x:f>IF(AND(BV$5&gt;=$C214,BV$5&lt;=$D214,$A214&lt;&gt;""),"●","")</x:f>
      </x:c>
      <x:c r="BW214" s="165" t="str">
        <x:f>IF(AND(BW$5&gt;=$C214,BW$5&lt;=$D214,$A214&lt;&gt;""),"●","")</x:f>
      </x:c>
    </x:row>
    <x:row r="215">
      <x:c r="A215" s="159" t="str">
        <x:f>IF('รายการสัญญา'!A215="","",'รายการสัญญา'!A215)</x:f>
      </x:c>
      <x:c r="B215" s="159" t="str">
        <x:f>IF('รายการสัญญา'!A215="","",'รายการสัญญา'!C215)</x:f>
      </x:c>
      <x:c r="C215" s="162" t="str">
        <x:f>IF('รายการสัญญา'!A215="","",'รายการสัญญา'!E215)</x:f>
      </x:c>
      <x:c r="D215" s="162" t="str">
        <x:f>IF('รายการสัญญา'!A215="","",'รายการสัญญา'!G215)</x:f>
      </x:c>
      <x:c r="E215" s="159" t="str">
        <x:f>IF('รายการสัญญา'!A215="","",'รายการสัญญา'!K215)</x:f>
      </x:c>
      <x:c r="F215" s="165" t="str">
        <x:f>IF(AND(F$5&gt;=$C215,F$5&lt;=$D215,$A215&lt;&gt;""),"●","")</x:f>
      </x:c>
      <x:c r="G215" s="165" t="str">
        <x:f>IF(AND(G$5&gt;=$C215,G$5&lt;=$D215,$A215&lt;&gt;""),"●","")</x:f>
      </x:c>
      <x:c r="H215" s="165" t="str">
        <x:f>IF(AND(H$5&gt;=$C215,H$5&lt;=$D215,$A215&lt;&gt;""),"●","")</x:f>
      </x:c>
      <x:c r="I215" s="165" t="str">
        <x:f>IF(AND(I$5&gt;=$C215,I$5&lt;=$D215,$A215&lt;&gt;""),"●","")</x:f>
      </x:c>
      <x:c r="J215" s="165" t="str">
        <x:f>IF(AND(J$5&gt;=$C215,J$5&lt;=$D215,$A215&lt;&gt;""),"●","")</x:f>
      </x:c>
      <x:c r="K215" s="165" t="str">
        <x:f>IF(AND(K$5&gt;=$C215,K$5&lt;=$D215,$A215&lt;&gt;""),"●","")</x:f>
      </x:c>
      <x:c r="L215" s="165" t="str">
        <x:f>IF(AND(L$5&gt;=$C215,L$5&lt;=$D215,$A215&lt;&gt;""),"●","")</x:f>
      </x:c>
      <x:c r="M215" s="165" t="str">
        <x:f>IF(AND(M$5&gt;=$C215,M$5&lt;=$D215,$A215&lt;&gt;""),"●","")</x:f>
      </x:c>
      <x:c r="N215" s="165" t="str">
        <x:f>IF(AND(N$5&gt;=$C215,N$5&lt;=$D215,$A215&lt;&gt;""),"●","")</x:f>
      </x:c>
      <x:c r="O215" s="165" t="str">
        <x:f>IF(AND(O$5&gt;=$C215,O$5&lt;=$D215,$A215&lt;&gt;""),"●","")</x:f>
      </x:c>
      <x:c r="P215" s="165" t="str">
        <x:f>IF(AND(P$5&gt;=$C215,P$5&lt;=$D215,$A215&lt;&gt;""),"●","")</x:f>
      </x:c>
      <x:c r="Q215" s="165" t="str">
        <x:f>IF(AND(Q$5&gt;=$C215,Q$5&lt;=$D215,$A215&lt;&gt;""),"●","")</x:f>
      </x:c>
      <x:c r="R215" s="165" t="str">
        <x:f>IF(AND(R$5&gt;=$C215,R$5&lt;=$D215,$A215&lt;&gt;""),"●","")</x:f>
      </x:c>
      <x:c r="S215" s="165" t="str">
        <x:f>IF(AND(S$5&gt;=$C215,S$5&lt;=$D215,$A215&lt;&gt;""),"●","")</x:f>
      </x:c>
      <x:c r="T215" s="165" t="str">
        <x:f>IF(AND(T$5&gt;=$C215,T$5&lt;=$D215,$A215&lt;&gt;""),"●","")</x:f>
      </x:c>
      <x:c r="U215" s="165" t="str">
        <x:f>IF(AND(U$5&gt;=$C215,U$5&lt;=$D215,$A215&lt;&gt;""),"●","")</x:f>
      </x:c>
      <x:c r="V215" s="165" t="str">
        <x:f>IF(AND(V$5&gt;=$C215,V$5&lt;=$D215,$A215&lt;&gt;""),"●","")</x:f>
      </x:c>
      <x:c r="W215" s="165" t="str">
        <x:f>IF(AND(W$5&gt;=$C215,W$5&lt;=$D215,$A215&lt;&gt;""),"●","")</x:f>
      </x:c>
      <x:c r="X215" s="165" t="str">
        <x:f>IF(AND(X$5&gt;=$C215,X$5&lt;=$D215,$A215&lt;&gt;""),"●","")</x:f>
      </x:c>
      <x:c r="Y215" s="165" t="str">
        <x:f>IF(AND(Y$5&gt;=$C215,Y$5&lt;=$D215,$A215&lt;&gt;""),"●","")</x:f>
      </x:c>
      <x:c r="Z215" s="165" t="str">
        <x:f>IF(AND(Z$5&gt;=$C215,Z$5&lt;=$D215,$A215&lt;&gt;""),"●","")</x:f>
      </x:c>
      <x:c r="AA215" s="165" t="str">
        <x:f>IF(AND(AA$5&gt;=$C215,AA$5&lt;=$D215,$A215&lt;&gt;""),"●","")</x:f>
      </x:c>
      <x:c r="AB215" s="165" t="str">
        <x:f>IF(AND(AB$5&gt;=$C215,AB$5&lt;=$D215,$A215&lt;&gt;""),"●","")</x:f>
      </x:c>
      <x:c r="AC215" s="165" t="str">
        <x:f>IF(AND(AC$5&gt;=$C215,AC$5&lt;=$D215,$A215&lt;&gt;""),"●","")</x:f>
      </x:c>
      <x:c r="AD215" s="165" t="str">
        <x:f>IF(AND(AD$5&gt;=$C215,AD$5&lt;=$D215,$A215&lt;&gt;""),"●","")</x:f>
      </x:c>
      <x:c r="AE215" s="165" t="str">
        <x:f>IF(AND(AE$5&gt;=$C215,AE$5&lt;=$D215,$A215&lt;&gt;""),"●","")</x:f>
      </x:c>
      <x:c r="AF215" s="165" t="str">
        <x:f>IF(AND(AF$5&gt;=$C215,AF$5&lt;=$D215,$A215&lt;&gt;""),"●","")</x:f>
      </x:c>
      <x:c r="AG215" s="165" t="str">
        <x:f>IF(AND(AG$5&gt;=$C215,AG$5&lt;=$D215,$A215&lt;&gt;""),"●","")</x:f>
      </x:c>
      <x:c r="AH215" s="165" t="str">
        <x:f>IF(AND(AH$5&gt;=$C215,AH$5&lt;=$D215,$A215&lt;&gt;""),"●","")</x:f>
      </x:c>
      <x:c r="AI215" s="165" t="str">
        <x:f>IF(AND(AI$5&gt;=$C215,AI$5&lt;=$D215,$A215&lt;&gt;""),"●","")</x:f>
      </x:c>
      <x:c r="AJ215" s="165" t="str">
        <x:f>IF(AND(AJ$5&gt;=$C215,AJ$5&lt;=$D215,$A215&lt;&gt;""),"●","")</x:f>
      </x:c>
      <x:c r="AK215" s="165" t="str">
        <x:f>IF(AND(AK$5&gt;=$C215,AK$5&lt;=$D215,$A215&lt;&gt;""),"●","")</x:f>
      </x:c>
      <x:c r="AL215" s="165" t="str">
        <x:f>IF(AND(AL$5&gt;=$C215,AL$5&lt;=$D215,$A215&lt;&gt;""),"●","")</x:f>
      </x:c>
      <x:c r="AM215" s="165" t="str">
        <x:f>IF(AND(AM$5&gt;=$C215,AM$5&lt;=$D215,$A215&lt;&gt;""),"●","")</x:f>
      </x:c>
      <x:c r="AN215" s="165" t="str">
        <x:f>IF(AND(AN$5&gt;=$C215,AN$5&lt;=$D215,$A215&lt;&gt;""),"●","")</x:f>
      </x:c>
      <x:c r="AO215" s="165" t="str">
        <x:f>IF(AND(AO$5&gt;=$C215,AO$5&lt;=$D215,$A215&lt;&gt;""),"●","")</x:f>
      </x:c>
      <x:c r="AP215" s="165" t="str">
        <x:f>IF(AND(AP$5&gt;=$C215,AP$5&lt;=$D215,$A215&lt;&gt;""),"●","")</x:f>
      </x:c>
      <x:c r="AQ215" s="165" t="str">
        <x:f>IF(AND(AQ$5&gt;=$C215,AQ$5&lt;=$D215,$A215&lt;&gt;""),"●","")</x:f>
      </x:c>
      <x:c r="AR215" s="165" t="str">
        <x:f>IF(AND(AR$5&gt;=$C215,AR$5&lt;=$D215,$A215&lt;&gt;""),"●","")</x:f>
      </x:c>
      <x:c r="AS215" s="165" t="str">
        <x:f>IF(AND(AS$5&gt;=$C215,AS$5&lt;=$D215,$A215&lt;&gt;""),"●","")</x:f>
      </x:c>
      <x:c r="AT215" s="165" t="str">
        <x:f>IF(AND(AT$5&gt;=$C215,AT$5&lt;=$D215,$A215&lt;&gt;""),"●","")</x:f>
      </x:c>
      <x:c r="AU215" s="165" t="str">
        <x:f>IF(AND(AU$5&gt;=$C215,AU$5&lt;=$D215,$A215&lt;&gt;""),"●","")</x:f>
      </x:c>
      <x:c r="AV215" s="165" t="str">
        <x:f>IF(AND(AV$5&gt;=$C215,AV$5&lt;=$D215,$A215&lt;&gt;""),"●","")</x:f>
      </x:c>
      <x:c r="AW215" s="165" t="str">
        <x:f>IF(AND(AW$5&gt;=$C215,AW$5&lt;=$D215,$A215&lt;&gt;""),"●","")</x:f>
      </x:c>
      <x:c r="AX215" s="165" t="str">
        <x:f>IF(AND(AX$5&gt;=$C215,AX$5&lt;=$D215,$A215&lt;&gt;""),"●","")</x:f>
      </x:c>
      <x:c r="AY215" s="165" t="str">
        <x:f>IF(AND(AY$5&gt;=$C215,AY$5&lt;=$D215,$A215&lt;&gt;""),"●","")</x:f>
      </x:c>
      <x:c r="AZ215" s="165" t="str">
        <x:f>IF(AND(AZ$5&gt;=$C215,AZ$5&lt;=$D215,$A215&lt;&gt;""),"●","")</x:f>
      </x:c>
      <x:c r="BA215" s="165" t="str">
        <x:f>IF(AND(BA$5&gt;=$C215,BA$5&lt;=$D215,$A215&lt;&gt;""),"●","")</x:f>
      </x:c>
      <x:c r="BB215" s="165" t="str">
        <x:f>IF(AND(BB$5&gt;=$C215,BB$5&lt;=$D215,$A215&lt;&gt;""),"●","")</x:f>
      </x:c>
      <x:c r="BC215" s="165" t="str">
        <x:f>IF(AND(BC$5&gt;=$C215,BC$5&lt;=$D215,$A215&lt;&gt;""),"●","")</x:f>
      </x:c>
      <x:c r="BD215" s="165" t="str">
        <x:f>IF(AND(BD$5&gt;=$C215,BD$5&lt;=$D215,$A215&lt;&gt;""),"●","")</x:f>
      </x:c>
      <x:c r="BE215" s="165" t="str">
        <x:f>IF(AND(BE$5&gt;=$C215,BE$5&lt;=$D215,$A215&lt;&gt;""),"●","")</x:f>
      </x:c>
      <x:c r="BF215" s="165" t="str">
        <x:f>IF(AND(BF$5&gt;=$C215,BF$5&lt;=$D215,$A215&lt;&gt;""),"●","")</x:f>
      </x:c>
      <x:c r="BG215" s="165" t="str">
        <x:f>IF(AND(BG$5&gt;=$C215,BG$5&lt;=$D215,$A215&lt;&gt;""),"●","")</x:f>
      </x:c>
      <x:c r="BH215" s="165" t="str">
        <x:f>IF(AND(BH$5&gt;=$C215,BH$5&lt;=$D215,$A215&lt;&gt;""),"●","")</x:f>
      </x:c>
      <x:c r="BI215" s="165" t="str">
        <x:f>IF(AND(BI$5&gt;=$C215,BI$5&lt;=$D215,$A215&lt;&gt;""),"●","")</x:f>
      </x:c>
      <x:c r="BJ215" s="165" t="str">
        <x:f>IF(AND(BJ$5&gt;=$C215,BJ$5&lt;=$D215,$A215&lt;&gt;""),"●","")</x:f>
      </x:c>
      <x:c r="BK215" s="165" t="str">
        <x:f>IF(AND(BK$5&gt;=$C215,BK$5&lt;=$D215,$A215&lt;&gt;""),"●","")</x:f>
      </x:c>
      <x:c r="BL215" s="165" t="str">
        <x:f>IF(AND(BL$5&gt;=$C215,BL$5&lt;=$D215,$A215&lt;&gt;""),"●","")</x:f>
      </x:c>
      <x:c r="BM215" s="165" t="str">
        <x:f>IF(AND(BM$5&gt;=$C215,BM$5&lt;=$D215,$A215&lt;&gt;""),"●","")</x:f>
      </x:c>
      <x:c r="BN215" s="165" t="str">
        <x:f>IF(AND(BN$5&gt;=$C215,BN$5&lt;=$D215,$A215&lt;&gt;""),"●","")</x:f>
      </x:c>
      <x:c r="BO215" s="165" t="str">
        <x:f>IF(AND(BO$5&gt;=$C215,BO$5&lt;=$D215,$A215&lt;&gt;""),"●","")</x:f>
      </x:c>
      <x:c r="BP215" s="165" t="str">
        <x:f>IF(AND(BP$5&gt;=$C215,BP$5&lt;=$D215,$A215&lt;&gt;""),"●","")</x:f>
      </x:c>
      <x:c r="BQ215" s="165" t="str">
        <x:f>IF(AND(BQ$5&gt;=$C215,BQ$5&lt;=$D215,$A215&lt;&gt;""),"●","")</x:f>
      </x:c>
      <x:c r="BR215" s="165" t="str">
        <x:f>IF(AND(BR$5&gt;=$C215,BR$5&lt;=$D215,$A215&lt;&gt;""),"●","")</x:f>
      </x:c>
      <x:c r="BS215" s="165" t="str">
        <x:f>IF(AND(BS$5&gt;=$C215,BS$5&lt;=$D215,$A215&lt;&gt;""),"●","")</x:f>
      </x:c>
      <x:c r="BT215" s="165" t="str">
        <x:f>IF(AND(BT$5&gt;=$C215,BT$5&lt;=$D215,$A215&lt;&gt;""),"●","")</x:f>
      </x:c>
      <x:c r="BU215" s="165" t="str">
        <x:f>IF(AND(BU$5&gt;=$C215,BU$5&lt;=$D215,$A215&lt;&gt;""),"●","")</x:f>
      </x:c>
      <x:c r="BV215" s="165" t="str">
        <x:f>IF(AND(BV$5&gt;=$C215,BV$5&lt;=$D215,$A215&lt;&gt;""),"●","")</x:f>
      </x:c>
      <x:c r="BW215" s="165" t="str">
        <x:f>IF(AND(BW$5&gt;=$C215,BW$5&lt;=$D215,$A215&lt;&gt;""),"●","")</x:f>
      </x:c>
    </x:row>
    <x:row r="216">
      <x:c r="A216" s="159" t="str">
        <x:f>IF('รายการสัญญา'!A216="","",'รายการสัญญา'!A216)</x:f>
      </x:c>
      <x:c r="B216" s="159" t="str">
        <x:f>IF('รายการสัญญา'!A216="","",'รายการสัญญา'!C216)</x:f>
      </x:c>
      <x:c r="C216" s="162" t="str">
        <x:f>IF('รายการสัญญา'!A216="","",'รายการสัญญา'!E216)</x:f>
      </x:c>
      <x:c r="D216" s="162" t="str">
        <x:f>IF('รายการสัญญา'!A216="","",'รายการสัญญา'!G216)</x:f>
      </x:c>
      <x:c r="E216" s="159" t="str">
        <x:f>IF('รายการสัญญา'!A216="","",'รายการสัญญา'!K216)</x:f>
      </x:c>
      <x:c r="F216" s="165" t="str">
        <x:f>IF(AND(F$5&gt;=$C216,F$5&lt;=$D216,$A216&lt;&gt;""),"●","")</x:f>
      </x:c>
      <x:c r="G216" s="165" t="str">
        <x:f>IF(AND(G$5&gt;=$C216,G$5&lt;=$D216,$A216&lt;&gt;""),"●","")</x:f>
      </x:c>
      <x:c r="H216" s="165" t="str">
        <x:f>IF(AND(H$5&gt;=$C216,H$5&lt;=$D216,$A216&lt;&gt;""),"●","")</x:f>
      </x:c>
      <x:c r="I216" s="165" t="str">
        <x:f>IF(AND(I$5&gt;=$C216,I$5&lt;=$D216,$A216&lt;&gt;""),"●","")</x:f>
      </x:c>
      <x:c r="J216" s="165" t="str">
        <x:f>IF(AND(J$5&gt;=$C216,J$5&lt;=$D216,$A216&lt;&gt;""),"●","")</x:f>
      </x:c>
      <x:c r="K216" s="165" t="str">
        <x:f>IF(AND(K$5&gt;=$C216,K$5&lt;=$D216,$A216&lt;&gt;""),"●","")</x:f>
      </x:c>
      <x:c r="L216" s="165" t="str">
        <x:f>IF(AND(L$5&gt;=$C216,L$5&lt;=$D216,$A216&lt;&gt;""),"●","")</x:f>
      </x:c>
      <x:c r="M216" s="165" t="str">
        <x:f>IF(AND(M$5&gt;=$C216,M$5&lt;=$D216,$A216&lt;&gt;""),"●","")</x:f>
      </x:c>
      <x:c r="N216" s="165" t="str">
        <x:f>IF(AND(N$5&gt;=$C216,N$5&lt;=$D216,$A216&lt;&gt;""),"●","")</x:f>
      </x:c>
      <x:c r="O216" s="165" t="str">
        <x:f>IF(AND(O$5&gt;=$C216,O$5&lt;=$D216,$A216&lt;&gt;""),"●","")</x:f>
      </x:c>
      <x:c r="P216" s="165" t="str">
        <x:f>IF(AND(P$5&gt;=$C216,P$5&lt;=$D216,$A216&lt;&gt;""),"●","")</x:f>
      </x:c>
      <x:c r="Q216" s="165" t="str">
        <x:f>IF(AND(Q$5&gt;=$C216,Q$5&lt;=$D216,$A216&lt;&gt;""),"●","")</x:f>
      </x:c>
      <x:c r="R216" s="165" t="str">
        <x:f>IF(AND(R$5&gt;=$C216,R$5&lt;=$D216,$A216&lt;&gt;""),"●","")</x:f>
      </x:c>
      <x:c r="S216" s="165" t="str">
        <x:f>IF(AND(S$5&gt;=$C216,S$5&lt;=$D216,$A216&lt;&gt;""),"●","")</x:f>
      </x:c>
      <x:c r="T216" s="165" t="str">
        <x:f>IF(AND(T$5&gt;=$C216,T$5&lt;=$D216,$A216&lt;&gt;""),"●","")</x:f>
      </x:c>
      <x:c r="U216" s="165" t="str">
        <x:f>IF(AND(U$5&gt;=$C216,U$5&lt;=$D216,$A216&lt;&gt;""),"●","")</x:f>
      </x:c>
      <x:c r="V216" s="165" t="str">
        <x:f>IF(AND(V$5&gt;=$C216,V$5&lt;=$D216,$A216&lt;&gt;""),"●","")</x:f>
      </x:c>
      <x:c r="W216" s="165" t="str">
        <x:f>IF(AND(W$5&gt;=$C216,W$5&lt;=$D216,$A216&lt;&gt;""),"●","")</x:f>
      </x:c>
      <x:c r="X216" s="165" t="str">
        <x:f>IF(AND(X$5&gt;=$C216,X$5&lt;=$D216,$A216&lt;&gt;""),"●","")</x:f>
      </x:c>
      <x:c r="Y216" s="165" t="str">
        <x:f>IF(AND(Y$5&gt;=$C216,Y$5&lt;=$D216,$A216&lt;&gt;""),"●","")</x:f>
      </x:c>
      <x:c r="Z216" s="165" t="str">
        <x:f>IF(AND(Z$5&gt;=$C216,Z$5&lt;=$D216,$A216&lt;&gt;""),"●","")</x:f>
      </x:c>
      <x:c r="AA216" s="165" t="str">
        <x:f>IF(AND(AA$5&gt;=$C216,AA$5&lt;=$D216,$A216&lt;&gt;""),"●","")</x:f>
      </x:c>
      <x:c r="AB216" s="165" t="str">
        <x:f>IF(AND(AB$5&gt;=$C216,AB$5&lt;=$D216,$A216&lt;&gt;""),"●","")</x:f>
      </x:c>
      <x:c r="AC216" s="165" t="str">
        <x:f>IF(AND(AC$5&gt;=$C216,AC$5&lt;=$D216,$A216&lt;&gt;""),"●","")</x:f>
      </x:c>
      <x:c r="AD216" s="165" t="str">
        <x:f>IF(AND(AD$5&gt;=$C216,AD$5&lt;=$D216,$A216&lt;&gt;""),"●","")</x:f>
      </x:c>
      <x:c r="AE216" s="165" t="str">
        <x:f>IF(AND(AE$5&gt;=$C216,AE$5&lt;=$D216,$A216&lt;&gt;""),"●","")</x:f>
      </x:c>
      <x:c r="AF216" s="165" t="str">
        <x:f>IF(AND(AF$5&gt;=$C216,AF$5&lt;=$D216,$A216&lt;&gt;""),"●","")</x:f>
      </x:c>
      <x:c r="AG216" s="165" t="str">
        <x:f>IF(AND(AG$5&gt;=$C216,AG$5&lt;=$D216,$A216&lt;&gt;""),"●","")</x:f>
      </x:c>
      <x:c r="AH216" s="165" t="str">
        <x:f>IF(AND(AH$5&gt;=$C216,AH$5&lt;=$D216,$A216&lt;&gt;""),"●","")</x:f>
      </x:c>
      <x:c r="AI216" s="165" t="str">
        <x:f>IF(AND(AI$5&gt;=$C216,AI$5&lt;=$D216,$A216&lt;&gt;""),"●","")</x:f>
      </x:c>
      <x:c r="AJ216" s="165" t="str">
        <x:f>IF(AND(AJ$5&gt;=$C216,AJ$5&lt;=$D216,$A216&lt;&gt;""),"●","")</x:f>
      </x:c>
      <x:c r="AK216" s="165" t="str">
        <x:f>IF(AND(AK$5&gt;=$C216,AK$5&lt;=$D216,$A216&lt;&gt;""),"●","")</x:f>
      </x:c>
      <x:c r="AL216" s="165" t="str">
        <x:f>IF(AND(AL$5&gt;=$C216,AL$5&lt;=$D216,$A216&lt;&gt;""),"●","")</x:f>
      </x:c>
      <x:c r="AM216" s="165" t="str">
        <x:f>IF(AND(AM$5&gt;=$C216,AM$5&lt;=$D216,$A216&lt;&gt;""),"●","")</x:f>
      </x:c>
      <x:c r="AN216" s="165" t="str">
        <x:f>IF(AND(AN$5&gt;=$C216,AN$5&lt;=$D216,$A216&lt;&gt;""),"●","")</x:f>
      </x:c>
      <x:c r="AO216" s="165" t="str">
        <x:f>IF(AND(AO$5&gt;=$C216,AO$5&lt;=$D216,$A216&lt;&gt;""),"●","")</x:f>
      </x:c>
      <x:c r="AP216" s="165" t="str">
        <x:f>IF(AND(AP$5&gt;=$C216,AP$5&lt;=$D216,$A216&lt;&gt;""),"●","")</x:f>
      </x:c>
      <x:c r="AQ216" s="165" t="str">
        <x:f>IF(AND(AQ$5&gt;=$C216,AQ$5&lt;=$D216,$A216&lt;&gt;""),"●","")</x:f>
      </x:c>
      <x:c r="AR216" s="165" t="str">
        <x:f>IF(AND(AR$5&gt;=$C216,AR$5&lt;=$D216,$A216&lt;&gt;""),"●","")</x:f>
      </x:c>
      <x:c r="AS216" s="165" t="str">
        <x:f>IF(AND(AS$5&gt;=$C216,AS$5&lt;=$D216,$A216&lt;&gt;""),"●","")</x:f>
      </x:c>
      <x:c r="AT216" s="165" t="str">
        <x:f>IF(AND(AT$5&gt;=$C216,AT$5&lt;=$D216,$A216&lt;&gt;""),"●","")</x:f>
      </x:c>
      <x:c r="AU216" s="165" t="str">
        <x:f>IF(AND(AU$5&gt;=$C216,AU$5&lt;=$D216,$A216&lt;&gt;""),"●","")</x:f>
      </x:c>
      <x:c r="AV216" s="165" t="str">
        <x:f>IF(AND(AV$5&gt;=$C216,AV$5&lt;=$D216,$A216&lt;&gt;""),"●","")</x:f>
      </x:c>
      <x:c r="AW216" s="165" t="str">
        <x:f>IF(AND(AW$5&gt;=$C216,AW$5&lt;=$D216,$A216&lt;&gt;""),"●","")</x:f>
      </x:c>
      <x:c r="AX216" s="165" t="str">
        <x:f>IF(AND(AX$5&gt;=$C216,AX$5&lt;=$D216,$A216&lt;&gt;""),"●","")</x:f>
      </x:c>
      <x:c r="AY216" s="165" t="str">
        <x:f>IF(AND(AY$5&gt;=$C216,AY$5&lt;=$D216,$A216&lt;&gt;""),"●","")</x:f>
      </x:c>
      <x:c r="AZ216" s="165" t="str">
        <x:f>IF(AND(AZ$5&gt;=$C216,AZ$5&lt;=$D216,$A216&lt;&gt;""),"●","")</x:f>
      </x:c>
      <x:c r="BA216" s="165" t="str">
        <x:f>IF(AND(BA$5&gt;=$C216,BA$5&lt;=$D216,$A216&lt;&gt;""),"●","")</x:f>
      </x:c>
      <x:c r="BB216" s="165" t="str">
        <x:f>IF(AND(BB$5&gt;=$C216,BB$5&lt;=$D216,$A216&lt;&gt;""),"●","")</x:f>
      </x:c>
      <x:c r="BC216" s="165" t="str">
        <x:f>IF(AND(BC$5&gt;=$C216,BC$5&lt;=$D216,$A216&lt;&gt;""),"●","")</x:f>
      </x:c>
      <x:c r="BD216" s="165" t="str">
        <x:f>IF(AND(BD$5&gt;=$C216,BD$5&lt;=$D216,$A216&lt;&gt;""),"●","")</x:f>
      </x:c>
      <x:c r="BE216" s="165" t="str">
        <x:f>IF(AND(BE$5&gt;=$C216,BE$5&lt;=$D216,$A216&lt;&gt;""),"●","")</x:f>
      </x:c>
      <x:c r="BF216" s="165" t="str">
        <x:f>IF(AND(BF$5&gt;=$C216,BF$5&lt;=$D216,$A216&lt;&gt;""),"●","")</x:f>
      </x:c>
      <x:c r="BG216" s="165" t="str">
        <x:f>IF(AND(BG$5&gt;=$C216,BG$5&lt;=$D216,$A216&lt;&gt;""),"●","")</x:f>
      </x:c>
      <x:c r="BH216" s="165" t="str">
        <x:f>IF(AND(BH$5&gt;=$C216,BH$5&lt;=$D216,$A216&lt;&gt;""),"●","")</x:f>
      </x:c>
      <x:c r="BI216" s="165" t="str">
        <x:f>IF(AND(BI$5&gt;=$C216,BI$5&lt;=$D216,$A216&lt;&gt;""),"●","")</x:f>
      </x:c>
      <x:c r="BJ216" s="165" t="str">
        <x:f>IF(AND(BJ$5&gt;=$C216,BJ$5&lt;=$D216,$A216&lt;&gt;""),"●","")</x:f>
      </x:c>
      <x:c r="BK216" s="165" t="str">
        <x:f>IF(AND(BK$5&gt;=$C216,BK$5&lt;=$D216,$A216&lt;&gt;""),"●","")</x:f>
      </x:c>
      <x:c r="BL216" s="165" t="str">
        <x:f>IF(AND(BL$5&gt;=$C216,BL$5&lt;=$D216,$A216&lt;&gt;""),"●","")</x:f>
      </x:c>
      <x:c r="BM216" s="165" t="str">
        <x:f>IF(AND(BM$5&gt;=$C216,BM$5&lt;=$D216,$A216&lt;&gt;""),"●","")</x:f>
      </x:c>
      <x:c r="BN216" s="165" t="str">
        <x:f>IF(AND(BN$5&gt;=$C216,BN$5&lt;=$D216,$A216&lt;&gt;""),"●","")</x:f>
      </x:c>
      <x:c r="BO216" s="165" t="str">
        <x:f>IF(AND(BO$5&gt;=$C216,BO$5&lt;=$D216,$A216&lt;&gt;""),"●","")</x:f>
      </x:c>
      <x:c r="BP216" s="165" t="str">
        <x:f>IF(AND(BP$5&gt;=$C216,BP$5&lt;=$D216,$A216&lt;&gt;""),"●","")</x:f>
      </x:c>
      <x:c r="BQ216" s="165" t="str">
        <x:f>IF(AND(BQ$5&gt;=$C216,BQ$5&lt;=$D216,$A216&lt;&gt;""),"●","")</x:f>
      </x:c>
      <x:c r="BR216" s="165" t="str">
        <x:f>IF(AND(BR$5&gt;=$C216,BR$5&lt;=$D216,$A216&lt;&gt;""),"●","")</x:f>
      </x:c>
      <x:c r="BS216" s="165" t="str">
        <x:f>IF(AND(BS$5&gt;=$C216,BS$5&lt;=$D216,$A216&lt;&gt;""),"●","")</x:f>
      </x:c>
      <x:c r="BT216" s="165" t="str">
        <x:f>IF(AND(BT$5&gt;=$C216,BT$5&lt;=$D216,$A216&lt;&gt;""),"●","")</x:f>
      </x:c>
      <x:c r="BU216" s="165" t="str">
        <x:f>IF(AND(BU$5&gt;=$C216,BU$5&lt;=$D216,$A216&lt;&gt;""),"●","")</x:f>
      </x:c>
      <x:c r="BV216" s="165" t="str">
        <x:f>IF(AND(BV$5&gt;=$C216,BV$5&lt;=$D216,$A216&lt;&gt;""),"●","")</x:f>
      </x:c>
      <x:c r="BW216" s="165" t="str">
        <x:f>IF(AND(BW$5&gt;=$C216,BW$5&lt;=$D216,$A216&lt;&gt;""),"●","")</x:f>
      </x:c>
    </x:row>
    <x:row r="217">
      <x:c r="A217" s="159" t="str">
        <x:f>IF('รายการสัญญา'!A217="","",'รายการสัญญา'!A217)</x:f>
      </x:c>
      <x:c r="B217" s="159" t="str">
        <x:f>IF('รายการสัญญา'!A217="","",'รายการสัญญา'!C217)</x:f>
      </x:c>
      <x:c r="C217" s="162" t="str">
        <x:f>IF('รายการสัญญา'!A217="","",'รายการสัญญา'!E217)</x:f>
      </x:c>
      <x:c r="D217" s="162" t="str">
        <x:f>IF('รายการสัญญา'!A217="","",'รายการสัญญา'!G217)</x:f>
      </x:c>
      <x:c r="E217" s="159" t="str">
        <x:f>IF('รายการสัญญา'!A217="","",'รายการสัญญา'!K217)</x:f>
      </x:c>
      <x:c r="F217" s="165" t="str">
        <x:f>IF(AND(F$5&gt;=$C217,F$5&lt;=$D217,$A217&lt;&gt;""),"●","")</x:f>
      </x:c>
      <x:c r="G217" s="165" t="str">
        <x:f>IF(AND(G$5&gt;=$C217,G$5&lt;=$D217,$A217&lt;&gt;""),"●","")</x:f>
      </x:c>
      <x:c r="H217" s="165" t="str">
        <x:f>IF(AND(H$5&gt;=$C217,H$5&lt;=$D217,$A217&lt;&gt;""),"●","")</x:f>
      </x:c>
      <x:c r="I217" s="165" t="str">
        <x:f>IF(AND(I$5&gt;=$C217,I$5&lt;=$D217,$A217&lt;&gt;""),"●","")</x:f>
      </x:c>
      <x:c r="J217" s="165" t="str">
        <x:f>IF(AND(J$5&gt;=$C217,J$5&lt;=$D217,$A217&lt;&gt;""),"●","")</x:f>
      </x:c>
      <x:c r="K217" s="165" t="str">
        <x:f>IF(AND(K$5&gt;=$C217,K$5&lt;=$D217,$A217&lt;&gt;""),"●","")</x:f>
      </x:c>
      <x:c r="L217" s="165" t="str">
        <x:f>IF(AND(L$5&gt;=$C217,L$5&lt;=$D217,$A217&lt;&gt;""),"●","")</x:f>
      </x:c>
      <x:c r="M217" s="165" t="str">
        <x:f>IF(AND(M$5&gt;=$C217,M$5&lt;=$D217,$A217&lt;&gt;""),"●","")</x:f>
      </x:c>
      <x:c r="N217" s="165" t="str">
        <x:f>IF(AND(N$5&gt;=$C217,N$5&lt;=$D217,$A217&lt;&gt;""),"●","")</x:f>
      </x:c>
      <x:c r="O217" s="165" t="str">
        <x:f>IF(AND(O$5&gt;=$C217,O$5&lt;=$D217,$A217&lt;&gt;""),"●","")</x:f>
      </x:c>
      <x:c r="P217" s="165" t="str">
        <x:f>IF(AND(P$5&gt;=$C217,P$5&lt;=$D217,$A217&lt;&gt;""),"●","")</x:f>
      </x:c>
      <x:c r="Q217" s="165" t="str">
        <x:f>IF(AND(Q$5&gt;=$C217,Q$5&lt;=$D217,$A217&lt;&gt;""),"●","")</x:f>
      </x:c>
      <x:c r="R217" s="165" t="str">
        <x:f>IF(AND(R$5&gt;=$C217,R$5&lt;=$D217,$A217&lt;&gt;""),"●","")</x:f>
      </x:c>
      <x:c r="S217" s="165" t="str">
        <x:f>IF(AND(S$5&gt;=$C217,S$5&lt;=$D217,$A217&lt;&gt;""),"●","")</x:f>
      </x:c>
      <x:c r="T217" s="165" t="str">
        <x:f>IF(AND(T$5&gt;=$C217,T$5&lt;=$D217,$A217&lt;&gt;""),"●","")</x:f>
      </x:c>
      <x:c r="U217" s="165" t="str">
        <x:f>IF(AND(U$5&gt;=$C217,U$5&lt;=$D217,$A217&lt;&gt;""),"●","")</x:f>
      </x:c>
      <x:c r="V217" s="165" t="str">
        <x:f>IF(AND(V$5&gt;=$C217,V$5&lt;=$D217,$A217&lt;&gt;""),"●","")</x:f>
      </x:c>
      <x:c r="W217" s="165" t="str">
        <x:f>IF(AND(W$5&gt;=$C217,W$5&lt;=$D217,$A217&lt;&gt;""),"●","")</x:f>
      </x:c>
      <x:c r="X217" s="165" t="str">
        <x:f>IF(AND(X$5&gt;=$C217,X$5&lt;=$D217,$A217&lt;&gt;""),"●","")</x:f>
      </x:c>
      <x:c r="Y217" s="165" t="str">
        <x:f>IF(AND(Y$5&gt;=$C217,Y$5&lt;=$D217,$A217&lt;&gt;""),"●","")</x:f>
      </x:c>
      <x:c r="Z217" s="165" t="str">
        <x:f>IF(AND(Z$5&gt;=$C217,Z$5&lt;=$D217,$A217&lt;&gt;""),"●","")</x:f>
      </x:c>
      <x:c r="AA217" s="165" t="str">
        <x:f>IF(AND(AA$5&gt;=$C217,AA$5&lt;=$D217,$A217&lt;&gt;""),"●","")</x:f>
      </x:c>
      <x:c r="AB217" s="165" t="str">
        <x:f>IF(AND(AB$5&gt;=$C217,AB$5&lt;=$D217,$A217&lt;&gt;""),"●","")</x:f>
      </x:c>
      <x:c r="AC217" s="165" t="str">
        <x:f>IF(AND(AC$5&gt;=$C217,AC$5&lt;=$D217,$A217&lt;&gt;""),"●","")</x:f>
      </x:c>
      <x:c r="AD217" s="165" t="str">
        <x:f>IF(AND(AD$5&gt;=$C217,AD$5&lt;=$D217,$A217&lt;&gt;""),"●","")</x:f>
      </x:c>
      <x:c r="AE217" s="165" t="str">
        <x:f>IF(AND(AE$5&gt;=$C217,AE$5&lt;=$D217,$A217&lt;&gt;""),"●","")</x:f>
      </x:c>
      <x:c r="AF217" s="165" t="str">
        <x:f>IF(AND(AF$5&gt;=$C217,AF$5&lt;=$D217,$A217&lt;&gt;""),"●","")</x:f>
      </x:c>
      <x:c r="AG217" s="165" t="str">
        <x:f>IF(AND(AG$5&gt;=$C217,AG$5&lt;=$D217,$A217&lt;&gt;""),"●","")</x:f>
      </x:c>
      <x:c r="AH217" s="165" t="str">
        <x:f>IF(AND(AH$5&gt;=$C217,AH$5&lt;=$D217,$A217&lt;&gt;""),"●","")</x:f>
      </x:c>
      <x:c r="AI217" s="165" t="str">
        <x:f>IF(AND(AI$5&gt;=$C217,AI$5&lt;=$D217,$A217&lt;&gt;""),"●","")</x:f>
      </x:c>
      <x:c r="AJ217" s="165" t="str">
        <x:f>IF(AND(AJ$5&gt;=$C217,AJ$5&lt;=$D217,$A217&lt;&gt;""),"●","")</x:f>
      </x:c>
      <x:c r="AK217" s="165" t="str">
        <x:f>IF(AND(AK$5&gt;=$C217,AK$5&lt;=$D217,$A217&lt;&gt;""),"●","")</x:f>
      </x:c>
      <x:c r="AL217" s="165" t="str">
        <x:f>IF(AND(AL$5&gt;=$C217,AL$5&lt;=$D217,$A217&lt;&gt;""),"●","")</x:f>
      </x:c>
      <x:c r="AM217" s="165" t="str">
        <x:f>IF(AND(AM$5&gt;=$C217,AM$5&lt;=$D217,$A217&lt;&gt;""),"●","")</x:f>
      </x:c>
      <x:c r="AN217" s="165" t="str">
        <x:f>IF(AND(AN$5&gt;=$C217,AN$5&lt;=$D217,$A217&lt;&gt;""),"●","")</x:f>
      </x:c>
      <x:c r="AO217" s="165" t="str">
        <x:f>IF(AND(AO$5&gt;=$C217,AO$5&lt;=$D217,$A217&lt;&gt;""),"●","")</x:f>
      </x:c>
      <x:c r="AP217" s="165" t="str">
        <x:f>IF(AND(AP$5&gt;=$C217,AP$5&lt;=$D217,$A217&lt;&gt;""),"●","")</x:f>
      </x:c>
      <x:c r="AQ217" s="165" t="str">
        <x:f>IF(AND(AQ$5&gt;=$C217,AQ$5&lt;=$D217,$A217&lt;&gt;""),"●","")</x:f>
      </x:c>
      <x:c r="AR217" s="165" t="str">
        <x:f>IF(AND(AR$5&gt;=$C217,AR$5&lt;=$D217,$A217&lt;&gt;""),"●","")</x:f>
      </x:c>
      <x:c r="AS217" s="165" t="str">
        <x:f>IF(AND(AS$5&gt;=$C217,AS$5&lt;=$D217,$A217&lt;&gt;""),"●","")</x:f>
      </x:c>
      <x:c r="AT217" s="165" t="str">
        <x:f>IF(AND(AT$5&gt;=$C217,AT$5&lt;=$D217,$A217&lt;&gt;""),"●","")</x:f>
      </x:c>
      <x:c r="AU217" s="165" t="str">
        <x:f>IF(AND(AU$5&gt;=$C217,AU$5&lt;=$D217,$A217&lt;&gt;""),"●","")</x:f>
      </x:c>
      <x:c r="AV217" s="165" t="str">
        <x:f>IF(AND(AV$5&gt;=$C217,AV$5&lt;=$D217,$A217&lt;&gt;""),"●","")</x:f>
      </x:c>
      <x:c r="AW217" s="165" t="str">
        <x:f>IF(AND(AW$5&gt;=$C217,AW$5&lt;=$D217,$A217&lt;&gt;""),"●","")</x:f>
      </x:c>
      <x:c r="AX217" s="165" t="str">
        <x:f>IF(AND(AX$5&gt;=$C217,AX$5&lt;=$D217,$A217&lt;&gt;""),"●","")</x:f>
      </x:c>
      <x:c r="AY217" s="165" t="str">
        <x:f>IF(AND(AY$5&gt;=$C217,AY$5&lt;=$D217,$A217&lt;&gt;""),"●","")</x:f>
      </x:c>
      <x:c r="AZ217" s="165" t="str">
        <x:f>IF(AND(AZ$5&gt;=$C217,AZ$5&lt;=$D217,$A217&lt;&gt;""),"●","")</x:f>
      </x:c>
      <x:c r="BA217" s="165" t="str">
        <x:f>IF(AND(BA$5&gt;=$C217,BA$5&lt;=$D217,$A217&lt;&gt;""),"●","")</x:f>
      </x:c>
      <x:c r="BB217" s="165" t="str">
        <x:f>IF(AND(BB$5&gt;=$C217,BB$5&lt;=$D217,$A217&lt;&gt;""),"●","")</x:f>
      </x:c>
      <x:c r="BC217" s="165" t="str">
        <x:f>IF(AND(BC$5&gt;=$C217,BC$5&lt;=$D217,$A217&lt;&gt;""),"●","")</x:f>
      </x:c>
      <x:c r="BD217" s="165" t="str">
        <x:f>IF(AND(BD$5&gt;=$C217,BD$5&lt;=$D217,$A217&lt;&gt;""),"●","")</x:f>
      </x:c>
      <x:c r="BE217" s="165" t="str">
        <x:f>IF(AND(BE$5&gt;=$C217,BE$5&lt;=$D217,$A217&lt;&gt;""),"●","")</x:f>
      </x:c>
      <x:c r="BF217" s="165" t="str">
        <x:f>IF(AND(BF$5&gt;=$C217,BF$5&lt;=$D217,$A217&lt;&gt;""),"●","")</x:f>
      </x:c>
      <x:c r="BG217" s="165" t="str">
        <x:f>IF(AND(BG$5&gt;=$C217,BG$5&lt;=$D217,$A217&lt;&gt;""),"●","")</x:f>
      </x:c>
      <x:c r="BH217" s="165" t="str">
        <x:f>IF(AND(BH$5&gt;=$C217,BH$5&lt;=$D217,$A217&lt;&gt;""),"●","")</x:f>
      </x:c>
      <x:c r="BI217" s="165" t="str">
        <x:f>IF(AND(BI$5&gt;=$C217,BI$5&lt;=$D217,$A217&lt;&gt;""),"●","")</x:f>
      </x:c>
      <x:c r="BJ217" s="165" t="str">
        <x:f>IF(AND(BJ$5&gt;=$C217,BJ$5&lt;=$D217,$A217&lt;&gt;""),"●","")</x:f>
      </x:c>
      <x:c r="BK217" s="165" t="str">
        <x:f>IF(AND(BK$5&gt;=$C217,BK$5&lt;=$D217,$A217&lt;&gt;""),"●","")</x:f>
      </x:c>
      <x:c r="BL217" s="165" t="str">
        <x:f>IF(AND(BL$5&gt;=$C217,BL$5&lt;=$D217,$A217&lt;&gt;""),"●","")</x:f>
      </x:c>
      <x:c r="BM217" s="165" t="str">
        <x:f>IF(AND(BM$5&gt;=$C217,BM$5&lt;=$D217,$A217&lt;&gt;""),"●","")</x:f>
      </x:c>
      <x:c r="BN217" s="165" t="str">
        <x:f>IF(AND(BN$5&gt;=$C217,BN$5&lt;=$D217,$A217&lt;&gt;""),"●","")</x:f>
      </x:c>
      <x:c r="BO217" s="165" t="str">
        <x:f>IF(AND(BO$5&gt;=$C217,BO$5&lt;=$D217,$A217&lt;&gt;""),"●","")</x:f>
      </x:c>
      <x:c r="BP217" s="165" t="str">
        <x:f>IF(AND(BP$5&gt;=$C217,BP$5&lt;=$D217,$A217&lt;&gt;""),"●","")</x:f>
      </x:c>
      <x:c r="BQ217" s="165" t="str">
        <x:f>IF(AND(BQ$5&gt;=$C217,BQ$5&lt;=$D217,$A217&lt;&gt;""),"●","")</x:f>
      </x:c>
      <x:c r="BR217" s="165" t="str">
        <x:f>IF(AND(BR$5&gt;=$C217,BR$5&lt;=$D217,$A217&lt;&gt;""),"●","")</x:f>
      </x:c>
      <x:c r="BS217" s="165" t="str">
        <x:f>IF(AND(BS$5&gt;=$C217,BS$5&lt;=$D217,$A217&lt;&gt;""),"●","")</x:f>
      </x:c>
      <x:c r="BT217" s="165" t="str">
        <x:f>IF(AND(BT$5&gt;=$C217,BT$5&lt;=$D217,$A217&lt;&gt;""),"●","")</x:f>
      </x:c>
      <x:c r="BU217" s="165" t="str">
        <x:f>IF(AND(BU$5&gt;=$C217,BU$5&lt;=$D217,$A217&lt;&gt;""),"●","")</x:f>
      </x:c>
      <x:c r="BV217" s="165" t="str">
        <x:f>IF(AND(BV$5&gt;=$C217,BV$5&lt;=$D217,$A217&lt;&gt;""),"●","")</x:f>
      </x:c>
      <x:c r="BW217" s="165" t="str">
        <x:f>IF(AND(BW$5&gt;=$C217,BW$5&lt;=$D217,$A217&lt;&gt;""),"●","")</x:f>
      </x:c>
    </x:row>
    <x:row r="218">
      <x:c r="A218" s="159" t="str">
        <x:f>IF('รายการสัญญา'!A218="","",'รายการสัญญา'!A218)</x:f>
      </x:c>
      <x:c r="B218" s="159" t="str">
        <x:f>IF('รายการสัญญา'!A218="","",'รายการสัญญา'!C218)</x:f>
      </x:c>
      <x:c r="C218" s="162" t="str">
        <x:f>IF('รายการสัญญา'!A218="","",'รายการสัญญา'!E218)</x:f>
      </x:c>
      <x:c r="D218" s="162" t="str">
        <x:f>IF('รายการสัญญา'!A218="","",'รายการสัญญา'!G218)</x:f>
      </x:c>
      <x:c r="E218" s="159" t="str">
        <x:f>IF('รายการสัญญา'!A218="","",'รายการสัญญา'!K218)</x:f>
      </x:c>
      <x:c r="F218" s="165" t="str">
        <x:f>IF(AND(F$5&gt;=$C218,F$5&lt;=$D218,$A218&lt;&gt;""),"●","")</x:f>
      </x:c>
      <x:c r="G218" s="165" t="str">
        <x:f>IF(AND(G$5&gt;=$C218,G$5&lt;=$D218,$A218&lt;&gt;""),"●","")</x:f>
      </x:c>
      <x:c r="H218" s="165" t="str">
        <x:f>IF(AND(H$5&gt;=$C218,H$5&lt;=$D218,$A218&lt;&gt;""),"●","")</x:f>
      </x:c>
      <x:c r="I218" s="165" t="str">
        <x:f>IF(AND(I$5&gt;=$C218,I$5&lt;=$D218,$A218&lt;&gt;""),"●","")</x:f>
      </x:c>
      <x:c r="J218" s="165" t="str">
        <x:f>IF(AND(J$5&gt;=$C218,J$5&lt;=$D218,$A218&lt;&gt;""),"●","")</x:f>
      </x:c>
      <x:c r="K218" s="165" t="str">
        <x:f>IF(AND(K$5&gt;=$C218,K$5&lt;=$D218,$A218&lt;&gt;""),"●","")</x:f>
      </x:c>
      <x:c r="L218" s="165" t="str">
        <x:f>IF(AND(L$5&gt;=$C218,L$5&lt;=$D218,$A218&lt;&gt;""),"●","")</x:f>
      </x:c>
      <x:c r="M218" s="165" t="str">
        <x:f>IF(AND(M$5&gt;=$C218,M$5&lt;=$D218,$A218&lt;&gt;""),"●","")</x:f>
      </x:c>
      <x:c r="N218" s="165" t="str">
        <x:f>IF(AND(N$5&gt;=$C218,N$5&lt;=$D218,$A218&lt;&gt;""),"●","")</x:f>
      </x:c>
      <x:c r="O218" s="165" t="str">
        <x:f>IF(AND(O$5&gt;=$C218,O$5&lt;=$D218,$A218&lt;&gt;""),"●","")</x:f>
      </x:c>
      <x:c r="P218" s="165" t="str">
        <x:f>IF(AND(P$5&gt;=$C218,P$5&lt;=$D218,$A218&lt;&gt;""),"●","")</x:f>
      </x:c>
      <x:c r="Q218" s="165" t="str">
        <x:f>IF(AND(Q$5&gt;=$C218,Q$5&lt;=$D218,$A218&lt;&gt;""),"●","")</x:f>
      </x:c>
      <x:c r="R218" s="165" t="str">
        <x:f>IF(AND(R$5&gt;=$C218,R$5&lt;=$D218,$A218&lt;&gt;""),"●","")</x:f>
      </x:c>
      <x:c r="S218" s="165" t="str">
        <x:f>IF(AND(S$5&gt;=$C218,S$5&lt;=$D218,$A218&lt;&gt;""),"●","")</x:f>
      </x:c>
      <x:c r="T218" s="165" t="str">
        <x:f>IF(AND(T$5&gt;=$C218,T$5&lt;=$D218,$A218&lt;&gt;""),"●","")</x:f>
      </x:c>
      <x:c r="U218" s="165" t="str">
        <x:f>IF(AND(U$5&gt;=$C218,U$5&lt;=$D218,$A218&lt;&gt;""),"●","")</x:f>
      </x:c>
      <x:c r="V218" s="165" t="str">
        <x:f>IF(AND(V$5&gt;=$C218,V$5&lt;=$D218,$A218&lt;&gt;""),"●","")</x:f>
      </x:c>
      <x:c r="W218" s="165" t="str">
        <x:f>IF(AND(W$5&gt;=$C218,W$5&lt;=$D218,$A218&lt;&gt;""),"●","")</x:f>
      </x:c>
      <x:c r="X218" s="165" t="str">
        <x:f>IF(AND(X$5&gt;=$C218,X$5&lt;=$D218,$A218&lt;&gt;""),"●","")</x:f>
      </x:c>
      <x:c r="Y218" s="165" t="str">
        <x:f>IF(AND(Y$5&gt;=$C218,Y$5&lt;=$D218,$A218&lt;&gt;""),"●","")</x:f>
      </x:c>
      <x:c r="Z218" s="165" t="str">
        <x:f>IF(AND(Z$5&gt;=$C218,Z$5&lt;=$D218,$A218&lt;&gt;""),"●","")</x:f>
      </x:c>
      <x:c r="AA218" s="165" t="str">
        <x:f>IF(AND(AA$5&gt;=$C218,AA$5&lt;=$D218,$A218&lt;&gt;""),"●","")</x:f>
      </x:c>
      <x:c r="AB218" s="165" t="str">
        <x:f>IF(AND(AB$5&gt;=$C218,AB$5&lt;=$D218,$A218&lt;&gt;""),"●","")</x:f>
      </x:c>
      <x:c r="AC218" s="165" t="str">
        <x:f>IF(AND(AC$5&gt;=$C218,AC$5&lt;=$D218,$A218&lt;&gt;""),"●","")</x:f>
      </x:c>
      <x:c r="AD218" s="165" t="str">
        <x:f>IF(AND(AD$5&gt;=$C218,AD$5&lt;=$D218,$A218&lt;&gt;""),"●","")</x:f>
      </x:c>
      <x:c r="AE218" s="165" t="str">
        <x:f>IF(AND(AE$5&gt;=$C218,AE$5&lt;=$D218,$A218&lt;&gt;""),"●","")</x:f>
      </x:c>
      <x:c r="AF218" s="165" t="str">
        <x:f>IF(AND(AF$5&gt;=$C218,AF$5&lt;=$D218,$A218&lt;&gt;""),"●","")</x:f>
      </x:c>
      <x:c r="AG218" s="165" t="str">
        <x:f>IF(AND(AG$5&gt;=$C218,AG$5&lt;=$D218,$A218&lt;&gt;""),"●","")</x:f>
      </x:c>
      <x:c r="AH218" s="165" t="str">
        <x:f>IF(AND(AH$5&gt;=$C218,AH$5&lt;=$D218,$A218&lt;&gt;""),"●","")</x:f>
      </x:c>
      <x:c r="AI218" s="165" t="str">
        <x:f>IF(AND(AI$5&gt;=$C218,AI$5&lt;=$D218,$A218&lt;&gt;""),"●","")</x:f>
      </x:c>
      <x:c r="AJ218" s="165" t="str">
        <x:f>IF(AND(AJ$5&gt;=$C218,AJ$5&lt;=$D218,$A218&lt;&gt;""),"●","")</x:f>
      </x:c>
      <x:c r="AK218" s="165" t="str">
        <x:f>IF(AND(AK$5&gt;=$C218,AK$5&lt;=$D218,$A218&lt;&gt;""),"●","")</x:f>
      </x:c>
      <x:c r="AL218" s="165" t="str">
        <x:f>IF(AND(AL$5&gt;=$C218,AL$5&lt;=$D218,$A218&lt;&gt;""),"●","")</x:f>
      </x:c>
      <x:c r="AM218" s="165" t="str">
        <x:f>IF(AND(AM$5&gt;=$C218,AM$5&lt;=$D218,$A218&lt;&gt;""),"●","")</x:f>
      </x:c>
      <x:c r="AN218" s="165" t="str">
        <x:f>IF(AND(AN$5&gt;=$C218,AN$5&lt;=$D218,$A218&lt;&gt;""),"●","")</x:f>
      </x:c>
      <x:c r="AO218" s="165" t="str">
        <x:f>IF(AND(AO$5&gt;=$C218,AO$5&lt;=$D218,$A218&lt;&gt;""),"●","")</x:f>
      </x:c>
      <x:c r="AP218" s="165" t="str">
        <x:f>IF(AND(AP$5&gt;=$C218,AP$5&lt;=$D218,$A218&lt;&gt;""),"●","")</x:f>
      </x:c>
      <x:c r="AQ218" s="165" t="str">
        <x:f>IF(AND(AQ$5&gt;=$C218,AQ$5&lt;=$D218,$A218&lt;&gt;""),"●","")</x:f>
      </x:c>
      <x:c r="AR218" s="165" t="str">
        <x:f>IF(AND(AR$5&gt;=$C218,AR$5&lt;=$D218,$A218&lt;&gt;""),"●","")</x:f>
      </x:c>
      <x:c r="AS218" s="165" t="str">
        <x:f>IF(AND(AS$5&gt;=$C218,AS$5&lt;=$D218,$A218&lt;&gt;""),"●","")</x:f>
      </x:c>
      <x:c r="AT218" s="165" t="str">
        <x:f>IF(AND(AT$5&gt;=$C218,AT$5&lt;=$D218,$A218&lt;&gt;""),"●","")</x:f>
      </x:c>
      <x:c r="AU218" s="165" t="str">
        <x:f>IF(AND(AU$5&gt;=$C218,AU$5&lt;=$D218,$A218&lt;&gt;""),"●","")</x:f>
      </x:c>
      <x:c r="AV218" s="165" t="str">
        <x:f>IF(AND(AV$5&gt;=$C218,AV$5&lt;=$D218,$A218&lt;&gt;""),"●","")</x:f>
      </x:c>
      <x:c r="AW218" s="165" t="str">
        <x:f>IF(AND(AW$5&gt;=$C218,AW$5&lt;=$D218,$A218&lt;&gt;""),"●","")</x:f>
      </x:c>
      <x:c r="AX218" s="165" t="str">
        <x:f>IF(AND(AX$5&gt;=$C218,AX$5&lt;=$D218,$A218&lt;&gt;""),"●","")</x:f>
      </x:c>
      <x:c r="AY218" s="165" t="str">
        <x:f>IF(AND(AY$5&gt;=$C218,AY$5&lt;=$D218,$A218&lt;&gt;""),"●","")</x:f>
      </x:c>
      <x:c r="AZ218" s="165" t="str">
        <x:f>IF(AND(AZ$5&gt;=$C218,AZ$5&lt;=$D218,$A218&lt;&gt;""),"●","")</x:f>
      </x:c>
      <x:c r="BA218" s="165" t="str">
        <x:f>IF(AND(BA$5&gt;=$C218,BA$5&lt;=$D218,$A218&lt;&gt;""),"●","")</x:f>
      </x:c>
      <x:c r="BB218" s="165" t="str">
        <x:f>IF(AND(BB$5&gt;=$C218,BB$5&lt;=$D218,$A218&lt;&gt;""),"●","")</x:f>
      </x:c>
      <x:c r="BC218" s="165" t="str">
        <x:f>IF(AND(BC$5&gt;=$C218,BC$5&lt;=$D218,$A218&lt;&gt;""),"●","")</x:f>
      </x:c>
      <x:c r="BD218" s="165" t="str">
        <x:f>IF(AND(BD$5&gt;=$C218,BD$5&lt;=$D218,$A218&lt;&gt;""),"●","")</x:f>
      </x:c>
      <x:c r="BE218" s="165" t="str">
        <x:f>IF(AND(BE$5&gt;=$C218,BE$5&lt;=$D218,$A218&lt;&gt;""),"●","")</x:f>
      </x:c>
      <x:c r="BF218" s="165" t="str">
        <x:f>IF(AND(BF$5&gt;=$C218,BF$5&lt;=$D218,$A218&lt;&gt;""),"●","")</x:f>
      </x:c>
      <x:c r="BG218" s="165" t="str">
        <x:f>IF(AND(BG$5&gt;=$C218,BG$5&lt;=$D218,$A218&lt;&gt;""),"●","")</x:f>
      </x:c>
      <x:c r="BH218" s="165" t="str">
        <x:f>IF(AND(BH$5&gt;=$C218,BH$5&lt;=$D218,$A218&lt;&gt;""),"●","")</x:f>
      </x:c>
      <x:c r="BI218" s="165" t="str">
        <x:f>IF(AND(BI$5&gt;=$C218,BI$5&lt;=$D218,$A218&lt;&gt;""),"●","")</x:f>
      </x:c>
      <x:c r="BJ218" s="165" t="str">
        <x:f>IF(AND(BJ$5&gt;=$C218,BJ$5&lt;=$D218,$A218&lt;&gt;""),"●","")</x:f>
      </x:c>
      <x:c r="BK218" s="165" t="str">
        <x:f>IF(AND(BK$5&gt;=$C218,BK$5&lt;=$D218,$A218&lt;&gt;""),"●","")</x:f>
      </x:c>
      <x:c r="BL218" s="165" t="str">
        <x:f>IF(AND(BL$5&gt;=$C218,BL$5&lt;=$D218,$A218&lt;&gt;""),"●","")</x:f>
      </x:c>
      <x:c r="BM218" s="165" t="str">
        <x:f>IF(AND(BM$5&gt;=$C218,BM$5&lt;=$D218,$A218&lt;&gt;""),"●","")</x:f>
      </x:c>
      <x:c r="BN218" s="165" t="str">
        <x:f>IF(AND(BN$5&gt;=$C218,BN$5&lt;=$D218,$A218&lt;&gt;""),"●","")</x:f>
      </x:c>
      <x:c r="BO218" s="165" t="str">
        <x:f>IF(AND(BO$5&gt;=$C218,BO$5&lt;=$D218,$A218&lt;&gt;""),"●","")</x:f>
      </x:c>
      <x:c r="BP218" s="165" t="str">
        <x:f>IF(AND(BP$5&gt;=$C218,BP$5&lt;=$D218,$A218&lt;&gt;""),"●","")</x:f>
      </x:c>
      <x:c r="BQ218" s="165" t="str">
        <x:f>IF(AND(BQ$5&gt;=$C218,BQ$5&lt;=$D218,$A218&lt;&gt;""),"●","")</x:f>
      </x:c>
      <x:c r="BR218" s="165" t="str">
        <x:f>IF(AND(BR$5&gt;=$C218,BR$5&lt;=$D218,$A218&lt;&gt;""),"●","")</x:f>
      </x:c>
      <x:c r="BS218" s="165" t="str">
        <x:f>IF(AND(BS$5&gt;=$C218,BS$5&lt;=$D218,$A218&lt;&gt;""),"●","")</x:f>
      </x:c>
      <x:c r="BT218" s="165" t="str">
        <x:f>IF(AND(BT$5&gt;=$C218,BT$5&lt;=$D218,$A218&lt;&gt;""),"●","")</x:f>
      </x:c>
      <x:c r="BU218" s="165" t="str">
        <x:f>IF(AND(BU$5&gt;=$C218,BU$5&lt;=$D218,$A218&lt;&gt;""),"●","")</x:f>
      </x:c>
      <x:c r="BV218" s="165" t="str">
        <x:f>IF(AND(BV$5&gt;=$C218,BV$5&lt;=$D218,$A218&lt;&gt;""),"●","")</x:f>
      </x:c>
      <x:c r="BW218" s="165" t="str">
        <x:f>IF(AND(BW$5&gt;=$C218,BW$5&lt;=$D218,$A218&lt;&gt;""),"●","")</x:f>
      </x:c>
    </x:row>
    <x:row r="219">
      <x:c r="A219" s="159" t="str">
        <x:f>IF('รายการสัญญา'!A219="","",'รายการสัญญา'!A219)</x:f>
      </x:c>
      <x:c r="B219" s="159" t="str">
        <x:f>IF('รายการสัญญา'!A219="","",'รายการสัญญา'!C219)</x:f>
      </x:c>
      <x:c r="C219" s="162" t="str">
        <x:f>IF('รายการสัญญา'!A219="","",'รายการสัญญา'!E219)</x:f>
      </x:c>
      <x:c r="D219" s="162" t="str">
        <x:f>IF('รายการสัญญา'!A219="","",'รายการสัญญา'!G219)</x:f>
      </x:c>
      <x:c r="E219" s="159" t="str">
        <x:f>IF('รายการสัญญา'!A219="","",'รายการสัญญา'!K219)</x:f>
      </x:c>
      <x:c r="F219" s="165" t="str">
        <x:f>IF(AND(F$5&gt;=$C219,F$5&lt;=$D219,$A219&lt;&gt;""),"●","")</x:f>
      </x:c>
      <x:c r="G219" s="165" t="str">
        <x:f>IF(AND(G$5&gt;=$C219,G$5&lt;=$D219,$A219&lt;&gt;""),"●","")</x:f>
      </x:c>
      <x:c r="H219" s="165" t="str">
        <x:f>IF(AND(H$5&gt;=$C219,H$5&lt;=$D219,$A219&lt;&gt;""),"●","")</x:f>
      </x:c>
      <x:c r="I219" s="165" t="str">
        <x:f>IF(AND(I$5&gt;=$C219,I$5&lt;=$D219,$A219&lt;&gt;""),"●","")</x:f>
      </x:c>
      <x:c r="J219" s="165" t="str">
        <x:f>IF(AND(J$5&gt;=$C219,J$5&lt;=$D219,$A219&lt;&gt;""),"●","")</x:f>
      </x:c>
      <x:c r="K219" s="165" t="str">
        <x:f>IF(AND(K$5&gt;=$C219,K$5&lt;=$D219,$A219&lt;&gt;""),"●","")</x:f>
      </x:c>
      <x:c r="L219" s="165" t="str">
        <x:f>IF(AND(L$5&gt;=$C219,L$5&lt;=$D219,$A219&lt;&gt;""),"●","")</x:f>
      </x:c>
      <x:c r="M219" s="165" t="str">
        <x:f>IF(AND(M$5&gt;=$C219,M$5&lt;=$D219,$A219&lt;&gt;""),"●","")</x:f>
      </x:c>
      <x:c r="N219" s="165" t="str">
        <x:f>IF(AND(N$5&gt;=$C219,N$5&lt;=$D219,$A219&lt;&gt;""),"●","")</x:f>
      </x:c>
      <x:c r="O219" s="165" t="str">
        <x:f>IF(AND(O$5&gt;=$C219,O$5&lt;=$D219,$A219&lt;&gt;""),"●","")</x:f>
      </x:c>
      <x:c r="P219" s="165" t="str">
        <x:f>IF(AND(P$5&gt;=$C219,P$5&lt;=$D219,$A219&lt;&gt;""),"●","")</x:f>
      </x:c>
      <x:c r="Q219" s="165" t="str">
        <x:f>IF(AND(Q$5&gt;=$C219,Q$5&lt;=$D219,$A219&lt;&gt;""),"●","")</x:f>
      </x:c>
      <x:c r="R219" s="165" t="str">
        <x:f>IF(AND(R$5&gt;=$C219,R$5&lt;=$D219,$A219&lt;&gt;""),"●","")</x:f>
      </x:c>
      <x:c r="S219" s="165" t="str">
        <x:f>IF(AND(S$5&gt;=$C219,S$5&lt;=$D219,$A219&lt;&gt;""),"●","")</x:f>
      </x:c>
      <x:c r="T219" s="165" t="str">
        <x:f>IF(AND(T$5&gt;=$C219,T$5&lt;=$D219,$A219&lt;&gt;""),"●","")</x:f>
      </x:c>
      <x:c r="U219" s="165" t="str">
        <x:f>IF(AND(U$5&gt;=$C219,U$5&lt;=$D219,$A219&lt;&gt;""),"●","")</x:f>
      </x:c>
      <x:c r="V219" s="165" t="str">
        <x:f>IF(AND(V$5&gt;=$C219,V$5&lt;=$D219,$A219&lt;&gt;""),"●","")</x:f>
      </x:c>
      <x:c r="W219" s="165" t="str">
        <x:f>IF(AND(W$5&gt;=$C219,W$5&lt;=$D219,$A219&lt;&gt;""),"●","")</x:f>
      </x:c>
      <x:c r="X219" s="165" t="str">
        <x:f>IF(AND(X$5&gt;=$C219,X$5&lt;=$D219,$A219&lt;&gt;""),"●","")</x:f>
      </x:c>
      <x:c r="Y219" s="165" t="str">
        <x:f>IF(AND(Y$5&gt;=$C219,Y$5&lt;=$D219,$A219&lt;&gt;""),"●","")</x:f>
      </x:c>
      <x:c r="Z219" s="165" t="str">
        <x:f>IF(AND(Z$5&gt;=$C219,Z$5&lt;=$D219,$A219&lt;&gt;""),"●","")</x:f>
      </x:c>
      <x:c r="AA219" s="165" t="str">
        <x:f>IF(AND(AA$5&gt;=$C219,AA$5&lt;=$D219,$A219&lt;&gt;""),"●","")</x:f>
      </x:c>
      <x:c r="AB219" s="165" t="str">
        <x:f>IF(AND(AB$5&gt;=$C219,AB$5&lt;=$D219,$A219&lt;&gt;""),"●","")</x:f>
      </x:c>
      <x:c r="AC219" s="165" t="str">
        <x:f>IF(AND(AC$5&gt;=$C219,AC$5&lt;=$D219,$A219&lt;&gt;""),"●","")</x:f>
      </x:c>
      <x:c r="AD219" s="165" t="str">
        <x:f>IF(AND(AD$5&gt;=$C219,AD$5&lt;=$D219,$A219&lt;&gt;""),"●","")</x:f>
      </x:c>
      <x:c r="AE219" s="165" t="str">
        <x:f>IF(AND(AE$5&gt;=$C219,AE$5&lt;=$D219,$A219&lt;&gt;""),"●","")</x:f>
      </x:c>
      <x:c r="AF219" s="165" t="str">
        <x:f>IF(AND(AF$5&gt;=$C219,AF$5&lt;=$D219,$A219&lt;&gt;""),"●","")</x:f>
      </x:c>
      <x:c r="AG219" s="165" t="str">
        <x:f>IF(AND(AG$5&gt;=$C219,AG$5&lt;=$D219,$A219&lt;&gt;""),"●","")</x:f>
      </x:c>
      <x:c r="AH219" s="165" t="str">
        <x:f>IF(AND(AH$5&gt;=$C219,AH$5&lt;=$D219,$A219&lt;&gt;""),"●","")</x:f>
      </x:c>
      <x:c r="AI219" s="165" t="str">
        <x:f>IF(AND(AI$5&gt;=$C219,AI$5&lt;=$D219,$A219&lt;&gt;""),"●","")</x:f>
      </x:c>
      <x:c r="AJ219" s="165" t="str">
        <x:f>IF(AND(AJ$5&gt;=$C219,AJ$5&lt;=$D219,$A219&lt;&gt;""),"●","")</x:f>
      </x:c>
      <x:c r="AK219" s="165" t="str">
        <x:f>IF(AND(AK$5&gt;=$C219,AK$5&lt;=$D219,$A219&lt;&gt;""),"●","")</x:f>
      </x:c>
      <x:c r="AL219" s="165" t="str">
        <x:f>IF(AND(AL$5&gt;=$C219,AL$5&lt;=$D219,$A219&lt;&gt;""),"●","")</x:f>
      </x:c>
      <x:c r="AM219" s="165" t="str">
        <x:f>IF(AND(AM$5&gt;=$C219,AM$5&lt;=$D219,$A219&lt;&gt;""),"●","")</x:f>
      </x:c>
      <x:c r="AN219" s="165" t="str">
        <x:f>IF(AND(AN$5&gt;=$C219,AN$5&lt;=$D219,$A219&lt;&gt;""),"●","")</x:f>
      </x:c>
      <x:c r="AO219" s="165" t="str">
        <x:f>IF(AND(AO$5&gt;=$C219,AO$5&lt;=$D219,$A219&lt;&gt;""),"●","")</x:f>
      </x:c>
      <x:c r="AP219" s="165" t="str">
        <x:f>IF(AND(AP$5&gt;=$C219,AP$5&lt;=$D219,$A219&lt;&gt;""),"●","")</x:f>
      </x:c>
      <x:c r="AQ219" s="165" t="str">
        <x:f>IF(AND(AQ$5&gt;=$C219,AQ$5&lt;=$D219,$A219&lt;&gt;""),"●","")</x:f>
      </x:c>
      <x:c r="AR219" s="165" t="str">
        <x:f>IF(AND(AR$5&gt;=$C219,AR$5&lt;=$D219,$A219&lt;&gt;""),"●","")</x:f>
      </x:c>
      <x:c r="AS219" s="165" t="str">
        <x:f>IF(AND(AS$5&gt;=$C219,AS$5&lt;=$D219,$A219&lt;&gt;""),"●","")</x:f>
      </x:c>
      <x:c r="AT219" s="165" t="str">
        <x:f>IF(AND(AT$5&gt;=$C219,AT$5&lt;=$D219,$A219&lt;&gt;""),"●","")</x:f>
      </x:c>
      <x:c r="AU219" s="165" t="str">
        <x:f>IF(AND(AU$5&gt;=$C219,AU$5&lt;=$D219,$A219&lt;&gt;""),"●","")</x:f>
      </x:c>
      <x:c r="AV219" s="165" t="str">
        <x:f>IF(AND(AV$5&gt;=$C219,AV$5&lt;=$D219,$A219&lt;&gt;""),"●","")</x:f>
      </x:c>
      <x:c r="AW219" s="165" t="str">
        <x:f>IF(AND(AW$5&gt;=$C219,AW$5&lt;=$D219,$A219&lt;&gt;""),"●","")</x:f>
      </x:c>
      <x:c r="AX219" s="165" t="str">
        <x:f>IF(AND(AX$5&gt;=$C219,AX$5&lt;=$D219,$A219&lt;&gt;""),"●","")</x:f>
      </x:c>
      <x:c r="AY219" s="165" t="str">
        <x:f>IF(AND(AY$5&gt;=$C219,AY$5&lt;=$D219,$A219&lt;&gt;""),"●","")</x:f>
      </x:c>
      <x:c r="AZ219" s="165" t="str">
        <x:f>IF(AND(AZ$5&gt;=$C219,AZ$5&lt;=$D219,$A219&lt;&gt;""),"●","")</x:f>
      </x:c>
      <x:c r="BA219" s="165" t="str">
        <x:f>IF(AND(BA$5&gt;=$C219,BA$5&lt;=$D219,$A219&lt;&gt;""),"●","")</x:f>
      </x:c>
      <x:c r="BB219" s="165" t="str">
        <x:f>IF(AND(BB$5&gt;=$C219,BB$5&lt;=$D219,$A219&lt;&gt;""),"●","")</x:f>
      </x:c>
      <x:c r="BC219" s="165" t="str">
        <x:f>IF(AND(BC$5&gt;=$C219,BC$5&lt;=$D219,$A219&lt;&gt;""),"●","")</x:f>
      </x:c>
      <x:c r="BD219" s="165" t="str">
        <x:f>IF(AND(BD$5&gt;=$C219,BD$5&lt;=$D219,$A219&lt;&gt;""),"●","")</x:f>
      </x:c>
      <x:c r="BE219" s="165" t="str">
        <x:f>IF(AND(BE$5&gt;=$C219,BE$5&lt;=$D219,$A219&lt;&gt;""),"●","")</x:f>
      </x:c>
      <x:c r="BF219" s="165" t="str">
        <x:f>IF(AND(BF$5&gt;=$C219,BF$5&lt;=$D219,$A219&lt;&gt;""),"●","")</x:f>
      </x:c>
      <x:c r="BG219" s="165" t="str">
        <x:f>IF(AND(BG$5&gt;=$C219,BG$5&lt;=$D219,$A219&lt;&gt;""),"●","")</x:f>
      </x:c>
      <x:c r="BH219" s="165" t="str">
        <x:f>IF(AND(BH$5&gt;=$C219,BH$5&lt;=$D219,$A219&lt;&gt;""),"●","")</x:f>
      </x:c>
      <x:c r="BI219" s="165" t="str">
        <x:f>IF(AND(BI$5&gt;=$C219,BI$5&lt;=$D219,$A219&lt;&gt;""),"●","")</x:f>
      </x:c>
      <x:c r="BJ219" s="165" t="str">
        <x:f>IF(AND(BJ$5&gt;=$C219,BJ$5&lt;=$D219,$A219&lt;&gt;""),"●","")</x:f>
      </x:c>
      <x:c r="BK219" s="165" t="str">
        <x:f>IF(AND(BK$5&gt;=$C219,BK$5&lt;=$D219,$A219&lt;&gt;""),"●","")</x:f>
      </x:c>
      <x:c r="BL219" s="165" t="str">
        <x:f>IF(AND(BL$5&gt;=$C219,BL$5&lt;=$D219,$A219&lt;&gt;""),"●","")</x:f>
      </x:c>
      <x:c r="BM219" s="165" t="str">
        <x:f>IF(AND(BM$5&gt;=$C219,BM$5&lt;=$D219,$A219&lt;&gt;""),"●","")</x:f>
      </x:c>
      <x:c r="BN219" s="165" t="str">
        <x:f>IF(AND(BN$5&gt;=$C219,BN$5&lt;=$D219,$A219&lt;&gt;""),"●","")</x:f>
      </x:c>
      <x:c r="BO219" s="165" t="str">
        <x:f>IF(AND(BO$5&gt;=$C219,BO$5&lt;=$D219,$A219&lt;&gt;""),"●","")</x:f>
      </x:c>
      <x:c r="BP219" s="165" t="str">
        <x:f>IF(AND(BP$5&gt;=$C219,BP$5&lt;=$D219,$A219&lt;&gt;""),"●","")</x:f>
      </x:c>
      <x:c r="BQ219" s="165" t="str">
        <x:f>IF(AND(BQ$5&gt;=$C219,BQ$5&lt;=$D219,$A219&lt;&gt;""),"●","")</x:f>
      </x:c>
      <x:c r="BR219" s="165" t="str">
        <x:f>IF(AND(BR$5&gt;=$C219,BR$5&lt;=$D219,$A219&lt;&gt;""),"●","")</x:f>
      </x:c>
      <x:c r="BS219" s="165" t="str">
        <x:f>IF(AND(BS$5&gt;=$C219,BS$5&lt;=$D219,$A219&lt;&gt;""),"●","")</x:f>
      </x:c>
      <x:c r="BT219" s="165" t="str">
        <x:f>IF(AND(BT$5&gt;=$C219,BT$5&lt;=$D219,$A219&lt;&gt;""),"●","")</x:f>
      </x:c>
      <x:c r="BU219" s="165" t="str">
        <x:f>IF(AND(BU$5&gt;=$C219,BU$5&lt;=$D219,$A219&lt;&gt;""),"●","")</x:f>
      </x:c>
      <x:c r="BV219" s="165" t="str">
        <x:f>IF(AND(BV$5&gt;=$C219,BV$5&lt;=$D219,$A219&lt;&gt;""),"●","")</x:f>
      </x:c>
      <x:c r="BW219" s="165" t="str">
        <x:f>IF(AND(BW$5&gt;=$C219,BW$5&lt;=$D219,$A219&lt;&gt;""),"●","")</x:f>
      </x:c>
    </x:row>
    <x:row r="220">
      <x:c r="A220" s="159" t="str">
        <x:f>IF('รายการสัญญา'!A220="","",'รายการสัญญา'!A220)</x:f>
      </x:c>
      <x:c r="B220" s="159" t="str">
        <x:f>IF('รายการสัญญา'!A220="","",'รายการสัญญา'!C220)</x:f>
      </x:c>
      <x:c r="C220" s="162" t="str">
        <x:f>IF('รายการสัญญา'!A220="","",'รายการสัญญา'!E220)</x:f>
      </x:c>
      <x:c r="D220" s="162" t="str">
        <x:f>IF('รายการสัญญา'!A220="","",'รายการสัญญา'!G220)</x:f>
      </x:c>
      <x:c r="E220" s="159" t="str">
        <x:f>IF('รายการสัญญา'!A220="","",'รายการสัญญา'!K220)</x:f>
      </x:c>
      <x:c r="F220" s="165" t="str">
        <x:f>IF(AND(F$5&gt;=$C220,F$5&lt;=$D220,$A220&lt;&gt;""),"●","")</x:f>
      </x:c>
      <x:c r="G220" s="165" t="str">
        <x:f>IF(AND(G$5&gt;=$C220,G$5&lt;=$D220,$A220&lt;&gt;""),"●","")</x:f>
      </x:c>
      <x:c r="H220" s="165" t="str">
        <x:f>IF(AND(H$5&gt;=$C220,H$5&lt;=$D220,$A220&lt;&gt;""),"●","")</x:f>
      </x:c>
      <x:c r="I220" s="165" t="str">
        <x:f>IF(AND(I$5&gt;=$C220,I$5&lt;=$D220,$A220&lt;&gt;""),"●","")</x:f>
      </x:c>
      <x:c r="J220" s="165" t="str">
        <x:f>IF(AND(J$5&gt;=$C220,J$5&lt;=$D220,$A220&lt;&gt;""),"●","")</x:f>
      </x:c>
      <x:c r="K220" s="165" t="str">
        <x:f>IF(AND(K$5&gt;=$C220,K$5&lt;=$D220,$A220&lt;&gt;""),"●","")</x:f>
      </x:c>
      <x:c r="L220" s="165" t="str">
        <x:f>IF(AND(L$5&gt;=$C220,L$5&lt;=$D220,$A220&lt;&gt;""),"●","")</x:f>
      </x:c>
      <x:c r="M220" s="165" t="str">
        <x:f>IF(AND(M$5&gt;=$C220,M$5&lt;=$D220,$A220&lt;&gt;""),"●","")</x:f>
      </x:c>
      <x:c r="N220" s="165" t="str">
        <x:f>IF(AND(N$5&gt;=$C220,N$5&lt;=$D220,$A220&lt;&gt;""),"●","")</x:f>
      </x:c>
      <x:c r="O220" s="165" t="str">
        <x:f>IF(AND(O$5&gt;=$C220,O$5&lt;=$D220,$A220&lt;&gt;""),"●","")</x:f>
      </x:c>
      <x:c r="P220" s="165" t="str">
        <x:f>IF(AND(P$5&gt;=$C220,P$5&lt;=$D220,$A220&lt;&gt;""),"●","")</x:f>
      </x:c>
      <x:c r="Q220" s="165" t="str">
        <x:f>IF(AND(Q$5&gt;=$C220,Q$5&lt;=$D220,$A220&lt;&gt;""),"●","")</x:f>
      </x:c>
      <x:c r="R220" s="165" t="str">
        <x:f>IF(AND(R$5&gt;=$C220,R$5&lt;=$D220,$A220&lt;&gt;""),"●","")</x:f>
      </x:c>
      <x:c r="S220" s="165" t="str">
        <x:f>IF(AND(S$5&gt;=$C220,S$5&lt;=$D220,$A220&lt;&gt;""),"●","")</x:f>
      </x:c>
      <x:c r="T220" s="165" t="str">
        <x:f>IF(AND(T$5&gt;=$C220,T$5&lt;=$D220,$A220&lt;&gt;""),"●","")</x:f>
      </x:c>
      <x:c r="U220" s="165" t="str">
        <x:f>IF(AND(U$5&gt;=$C220,U$5&lt;=$D220,$A220&lt;&gt;""),"●","")</x:f>
      </x:c>
      <x:c r="V220" s="165" t="str">
        <x:f>IF(AND(V$5&gt;=$C220,V$5&lt;=$D220,$A220&lt;&gt;""),"●","")</x:f>
      </x:c>
      <x:c r="W220" s="165" t="str">
        <x:f>IF(AND(W$5&gt;=$C220,W$5&lt;=$D220,$A220&lt;&gt;""),"●","")</x:f>
      </x:c>
      <x:c r="X220" s="165" t="str">
        <x:f>IF(AND(X$5&gt;=$C220,X$5&lt;=$D220,$A220&lt;&gt;""),"●","")</x:f>
      </x:c>
      <x:c r="Y220" s="165" t="str">
        <x:f>IF(AND(Y$5&gt;=$C220,Y$5&lt;=$D220,$A220&lt;&gt;""),"●","")</x:f>
      </x:c>
      <x:c r="Z220" s="165" t="str">
        <x:f>IF(AND(Z$5&gt;=$C220,Z$5&lt;=$D220,$A220&lt;&gt;""),"●","")</x:f>
      </x:c>
      <x:c r="AA220" s="165" t="str">
        <x:f>IF(AND(AA$5&gt;=$C220,AA$5&lt;=$D220,$A220&lt;&gt;""),"●","")</x:f>
      </x:c>
      <x:c r="AB220" s="165" t="str">
        <x:f>IF(AND(AB$5&gt;=$C220,AB$5&lt;=$D220,$A220&lt;&gt;""),"●","")</x:f>
      </x:c>
      <x:c r="AC220" s="165" t="str">
        <x:f>IF(AND(AC$5&gt;=$C220,AC$5&lt;=$D220,$A220&lt;&gt;""),"●","")</x:f>
      </x:c>
      <x:c r="AD220" s="165" t="str">
        <x:f>IF(AND(AD$5&gt;=$C220,AD$5&lt;=$D220,$A220&lt;&gt;""),"●","")</x:f>
      </x:c>
      <x:c r="AE220" s="165" t="str">
        <x:f>IF(AND(AE$5&gt;=$C220,AE$5&lt;=$D220,$A220&lt;&gt;""),"●","")</x:f>
      </x:c>
      <x:c r="AF220" s="165" t="str">
        <x:f>IF(AND(AF$5&gt;=$C220,AF$5&lt;=$D220,$A220&lt;&gt;""),"●","")</x:f>
      </x:c>
      <x:c r="AG220" s="165" t="str">
        <x:f>IF(AND(AG$5&gt;=$C220,AG$5&lt;=$D220,$A220&lt;&gt;""),"●","")</x:f>
      </x:c>
      <x:c r="AH220" s="165" t="str">
        <x:f>IF(AND(AH$5&gt;=$C220,AH$5&lt;=$D220,$A220&lt;&gt;""),"●","")</x:f>
      </x:c>
      <x:c r="AI220" s="165" t="str">
        <x:f>IF(AND(AI$5&gt;=$C220,AI$5&lt;=$D220,$A220&lt;&gt;""),"●","")</x:f>
      </x:c>
      <x:c r="AJ220" s="165" t="str">
        <x:f>IF(AND(AJ$5&gt;=$C220,AJ$5&lt;=$D220,$A220&lt;&gt;""),"●","")</x:f>
      </x:c>
      <x:c r="AK220" s="165" t="str">
        <x:f>IF(AND(AK$5&gt;=$C220,AK$5&lt;=$D220,$A220&lt;&gt;""),"●","")</x:f>
      </x:c>
      <x:c r="AL220" s="165" t="str">
        <x:f>IF(AND(AL$5&gt;=$C220,AL$5&lt;=$D220,$A220&lt;&gt;""),"●","")</x:f>
      </x:c>
      <x:c r="AM220" s="165" t="str">
        <x:f>IF(AND(AM$5&gt;=$C220,AM$5&lt;=$D220,$A220&lt;&gt;""),"●","")</x:f>
      </x:c>
      <x:c r="AN220" s="165" t="str">
        <x:f>IF(AND(AN$5&gt;=$C220,AN$5&lt;=$D220,$A220&lt;&gt;""),"●","")</x:f>
      </x:c>
      <x:c r="AO220" s="165" t="str">
        <x:f>IF(AND(AO$5&gt;=$C220,AO$5&lt;=$D220,$A220&lt;&gt;""),"●","")</x:f>
      </x:c>
      <x:c r="AP220" s="165" t="str">
        <x:f>IF(AND(AP$5&gt;=$C220,AP$5&lt;=$D220,$A220&lt;&gt;""),"●","")</x:f>
      </x:c>
      <x:c r="AQ220" s="165" t="str">
        <x:f>IF(AND(AQ$5&gt;=$C220,AQ$5&lt;=$D220,$A220&lt;&gt;""),"●","")</x:f>
      </x:c>
      <x:c r="AR220" s="165" t="str">
        <x:f>IF(AND(AR$5&gt;=$C220,AR$5&lt;=$D220,$A220&lt;&gt;""),"●","")</x:f>
      </x:c>
      <x:c r="AS220" s="165" t="str">
        <x:f>IF(AND(AS$5&gt;=$C220,AS$5&lt;=$D220,$A220&lt;&gt;""),"●","")</x:f>
      </x:c>
      <x:c r="AT220" s="165" t="str">
        <x:f>IF(AND(AT$5&gt;=$C220,AT$5&lt;=$D220,$A220&lt;&gt;""),"●","")</x:f>
      </x:c>
      <x:c r="AU220" s="165" t="str">
        <x:f>IF(AND(AU$5&gt;=$C220,AU$5&lt;=$D220,$A220&lt;&gt;""),"●","")</x:f>
      </x:c>
      <x:c r="AV220" s="165" t="str">
        <x:f>IF(AND(AV$5&gt;=$C220,AV$5&lt;=$D220,$A220&lt;&gt;""),"●","")</x:f>
      </x:c>
      <x:c r="AW220" s="165" t="str">
        <x:f>IF(AND(AW$5&gt;=$C220,AW$5&lt;=$D220,$A220&lt;&gt;""),"●","")</x:f>
      </x:c>
      <x:c r="AX220" s="165" t="str">
        <x:f>IF(AND(AX$5&gt;=$C220,AX$5&lt;=$D220,$A220&lt;&gt;""),"●","")</x:f>
      </x:c>
      <x:c r="AY220" s="165" t="str">
        <x:f>IF(AND(AY$5&gt;=$C220,AY$5&lt;=$D220,$A220&lt;&gt;""),"●","")</x:f>
      </x:c>
      <x:c r="AZ220" s="165" t="str">
        <x:f>IF(AND(AZ$5&gt;=$C220,AZ$5&lt;=$D220,$A220&lt;&gt;""),"●","")</x:f>
      </x:c>
      <x:c r="BA220" s="165" t="str">
        <x:f>IF(AND(BA$5&gt;=$C220,BA$5&lt;=$D220,$A220&lt;&gt;""),"●","")</x:f>
      </x:c>
      <x:c r="BB220" s="165" t="str">
        <x:f>IF(AND(BB$5&gt;=$C220,BB$5&lt;=$D220,$A220&lt;&gt;""),"●","")</x:f>
      </x:c>
      <x:c r="BC220" s="165" t="str">
        <x:f>IF(AND(BC$5&gt;=$C220,BC$5&lt;=$D220,$A220&lt;&gt;""),"●","")</x:f>
      </x:c>
      <x:c r="BD220" s="165" t="str">
        <x:f>IF(AND(BD$5&gt;=$C220,BD$5&lt;=$D220,$A220&lt;&gt;""),"●","")</x:f>
      </x:c>
      <x:c r="BE220" s="165" t="str">
        <x:f>IF(AND(BE$5&gt;=$C220,BE$5&lt;=$D220,$A220&lt;&gt;""),"●","")</x:f>
      </x:c>
      <x:c r="BF220" s="165" t="str">
        <x:f>IF(AND(BF$5&gt;=$C220,BF$5&lt;=$D220,$A220&lt;&gt;""),"●","")</x:f>
      </x:c>
      <x:c r="BG220" s="165" t="str">
        <x:f>IF(AND(BG$5&gt;=$C220,BG$5&lt;=$D220,$A220&lt;&gt;""),"●","")</x:f>
      </x:c>
      <x:c r="BH220" s="165" t="str">
        <x:f>IF(AND(BH$5&gt;=$C220,BH$5&lt;=$D220,$A220&lt;&gt;""),"●","")</x:f>
      </x:c>
      <x:c r="BI220" s="165" t="str">
        <x:f>IF(AND(BI$5&gt;=$C220,BI$5&lt;=$D220,$A220&lt;&gt;""),"●","")</x:f>
      </x:c>
      <x:c r="BJ220" s="165" t="str">
        <x:f>IF(AND(BJ$5&gt;=$C220,BJ$5&lt;=$D220,$A220&lt;&gt;""),"●","")</x:f>
      </x:c>
      <x:c r="BK220" s="165" t="str">
        <x:f>IF(AND(BK$5&gt;=$C220,BK$5&lt;=$D220,$A220&lt;&gt;""),"●","")</x:f>
      </x:c>
      <x:c r="BL220" s="165" t="str">
        <x:f>IF(AND(BL$5&gt;=$C220,BL$5&lt;=$D220,$A220&lt;&gt;""),"●","")</x:f>
      </x:c>
      <x:c r="BM220" s="165" t="str">
        <x:f>IF(AND(BM$5&gt;=$C220,BM$5&lt;=$D220,$A220&lt;&gt;""),"●","")</x:f>
      </x:c>
      <x:c r="BN220" s="165" t="str">
        <x:f>IF(AND(BN$5&gt;=$C220,BN$5&lt;=$D220,$A220&lt;&gt;""),"●","")</x:f>
      </x:c>
      <x:c r="BO220" s="165" t="str">
        <x:f>IF(AND(BO$5&gt;=$C220,BO$5&lt;=$D220,$A220&lt;&gt;""),"●","")</x:f>
      </x:c>
      <x:c r="BP220" s="165" t="str">
        <x:f>IF(AND(BP$5&gt;=$C220,BP$5&lt;=$D220,$A220&lt;&gt;""),"●","")</x:f>
      </x:c>
      <x:c r="BQ220" s="165" t="str">
        <x:f>IF(AND(BQ$5&gt;=$C220,BQ$5&lt;=$D220,$A220&lt;&gt;""),"●","")</x:f>
      </x:c>
      <x:c r="BR220" s="165" t="str">
        <x:f>IF(AND(BR$5&gt;=$C220,BR$5&lt;=$D220,$A220&lt;&gt;""),"●","")</x:f>
      </x:c>
      <x:c r="BS220" s="165" t="str">
        <x:f>IF(AND(BS$5&gt;=$C220,BS$5&lt;=$D220,$A220&lt;&gt;""),"●","")</x:f>
      </x:c>
      <x:c r="BT220" s="165" t="str">
        <x:f>IF(AND(BT$5&gt;=$C220,BT$5&lt;=$D220,$A220&lt;&gt;""),"●","")</x:f>
      </x:c>
      <x:c r="BU220" s="165" t="str">
        <x:f>IF(AND(BU$5&gt;=$C220,BU$5&lt;=$D220,$A220&lt;&gt;""),"●","")</x:f>
      </x:c>
      <x:c r="BV220" s="165" t="str">
        <x:f>IF(AND(BV$5&gt;=$C220,BV$5&lt;=$D220,$A220&lt;&gt;""),"●","")</x:f>
      </x:c>
      <x:c r="BW220" s="165" t="str">
        <x:f>IF(AND(BW$5&gt;=$C220,BW$5&lt;=$D220,$A220&lt;&gt;""),"●","")</x:f>
      </x:c>
    </x:row>
    <x:row r="221">
      <x:c r="A221" s="159" t="str">
        <x:f>IF('รายการสัญญา'!A221="","",'รายการสัญญา'!A221)</x:f>
      </x:c>
      <x:c r="B221" s="159" t="str">
        <x:f>IF('รายการสัญญา'!A221="","",'รายการสัญญา'!C221)</x:f>
      </x:c>
      <x:c r="C221" s="162" t="str">
        <x:f>IF('รายการสัญญา'!A221="","",'รายการสัญญา'!E221)</x:f>
      </x:c>
      <x:c r="D221" s="162" t="str">
        <x:f>IF('รายการสัญญา'!A221="","",'รายการสัญญา'!G221)</x:f>
      </x:c>
      <x:c r="E221" s="159" t="str">
        <x:f>IF('รายการสัญญา'!A221="","",'รายการสัญญา'!K221)</x:f>
      </x:c>
      <x:c r="F221" s="165" t="str">
        <x:f>IF(AND(F$5&gt;=$C221,F$5&lt;=$D221,$A221&lt;&gt;""),"●","")</x:f>
      </x:c>
      <x:c r="G221" s="165" t="str">
        <x:f>IF(AND(G$5&gt;=$C221,G$5&lt;=$D221,$A221&lt;&gt;""),"●","")</x:f>
      </x:c>
      <x:c r="H221" s="165" t="str">
        <x:f>IF(AND(H$5&gt;=$C221,H$5&lt;=$D221,$A221&lt;&gt;""),"●","")</x:f>
      </x:c>
      <x:c r="I221" s="165" t="str">
        <x:f>IF(AND(I$5&gt;=$C221,I$5&lt;=$D221,$A221&lt;&gt;""),"●","")</x:f>
      </x:c>
      <x:c r="J221" s="165" t="str">
        <x:f>IF(AND(J$5&gt;=$C221,J$5&lt;=$D221,$A221&lt;&gt;""),"●","")</x:f>
      </x:c>
      <x:c r="K221" s="165" t="str">
        <x:f>IF(AND(K$5&gt;=$C221,K$5&lt;=$D221,$A221&lt;&gt;""),"●","")</x:f>
      </x:c>
      <x:c r="L221" s="165" t="str">
        <x:f>IF(AND(L$5&gt;=$C221,L$5&lt;=$D221,$A221&lt;&gt;""),"●","")</x:f>
      </x:c>
      <x:c r="M221" s="165" t="str">
        <x:f>IF(AND(M$5&gt;=$C221,M$5&lt;=$D221,$A221&lt;&gt;""),"●","")</x:f>
      </x:c>
      <x:c r="N221" s="165" t="str">
        <x:f>IF(AND(N$5&gt;=$C221,N$5&lt;=$D221,$A221&lt;&gt;""),"●","")</x:f>
      </x:c>
      <x:c r="O221" s="165" t="str">
        <x:f>IF(AND(O$5&gt;=$C221,O$5&lt;=$D221,$A221&lt;&gt;""),"●","")</x:f>
      </x:c>
      <x:c r="P221" s="165" t="str">
        <x:f>IF(AND(P$5&gt;=$C221,P$5&lt;=$D221,$A221&lt;&gt;""),"●","")</x:f>
      </x:c>
      <x:c r="Q221" s="165" t="str">
        <x:f>IF(AND(Q$5&gt;=$C221,Q$5&lt;=$D221,$A221&lt;&gt;""),"●","")</x:f>
      </x:c>
      <x:c r="R221" s="165" t="str">
        <x:f>IF(AND(R$5&gt;=$C221,R$5&lt;=$D221,$A221&lt;&gt;""),"●","")</x:f>
      </x:c>
      <x:c r="S221" s="165" t="str">
        <x:f>IF(AND(S$5&gt;=$C221,S$5&lt;=$D221,$A221&lt;&gt;""),"●","")</x:f>
      </x:c>
      <x:c r="T221" s="165" t="str">
        <x:f>IF(AND(T$5&gt;=$C221,T$5&lt;=$D221,$A221&lt;&gt;""),"●","")</x:f>
      </x:c>
      <x:c r="U221" s="165" t="str">
        <x:f>IF(AND(U$5&gt;=$C221,U$5&lt;=$D221,$A221&lt;&gt;""),"●","")</x:f>
      </x:c>
      <x:c r="V221" s="165" t="str">
        <x:f>IF(AND(V$5&gt;=$C221,V$5&lt;=$D221,$A221&lt;&gt;""),"●","")</x:f>
      </x:c>
      <x:c r="W221" s="165" t="str">
        <x:f>IF(AND(W$5&gt;=$C221,W$5&lt;=$D221,$A221&lt;&gt;""),"●","")</x:f>
      </x:c>
      <x:c r="X221" s="165" t="str">
        <x:f>IF(AND(X$5&gt;=$C221,X$5&lt;=$D221,$A221&lt;&gt;""),"●","")</x:f>
      </x:c>
      <x:c r="Y221" s="165" t="str">
        <x:f>IF(AND(Y$5&gt;=$C221,Y$5&lt;=$D221,$A221&lt;&gt;""),"●","")</x:f>
      </x:c>
      <x:c r="Z221" s="165" t="str">
        <x:f>IF(AND(Z$5&gt;=$C221,Z$5&lt;=$D221,$A221&lt;&gt;""),"●","")</x:f>
      </x:c>
      <x:c r="AA221" s="165" t="str">
        <x:f>IF(AND(AA$5&gt;=$C221,AA$5&lt;=$D221,$A221&lt;&gt;""),"●","")</x:f>
      </x:c>
      <x:c r="AB221" s="165" t="str">
        <x:f>IF(AND(AB$5&gt;=$C221,AB$5&lt;=$D221,$A221&lt;&gt;""),"●","")</x:f>
      </x:c>
      <x:c r="AC221" s="165" t="str">
        <x:f>IF(AND(AC$5&gt;=$C221,AC$5&lt;=$D221,$A221&lt;&gt;""),"●","")</x:f>
      </x:c>
      <x:c r="AD221" s="165" t="str">
        <x:f>IF(AND(AD$5&gt;=$C221,AD$5&lt;=$D221,$A221&lt;&gt;""),"●","")</x:f>
      </x:c>
      <x:c r="AE221" s="165" t="str">
        <x:f>IF(AND(AE$5&gt;=$C221,AE$5&lt;=$D221,$A221&lt;&gt;""),"●","")</x:f>
      </x:c>
      <x:c r="AF221" s="165" t="str">
        <x:f>IF(AND(AF$5&gt;=$C221,AF$5&lt;=$D221,$A221&lt;&gt;""),"●","")</x:f>
      </x:c>
      <x:c r="AG221" s="165" t="str">
        <x:f>IF(AND(AG$5&gt;=$C221,AG$5&lt;=$D221,$A221&lt;&gt;""),"●","")</x:f>
      </x:c>
      <x:c r="AH221" s="165" t="str">
        <x:f>IF(AND(AH$5&gt;=$C221,AH$5&lt;=$D221,$A221&lt;&gt;""),"●","")</x:f>
      </x:c>
      <x:c r="AI221" s="165" t="str">
        <x:f>IF(AND(AI$5&gt;=$C221,AI$5&lt;=$D221,$A221&lt;&gt;""),"●","")</x:f>
      </x:c>
      <x:c r="AJ221" s="165" t="str">
        <x:f>IF(AND(AJ$5&gt;=$C221,AJ$5&lt;=$D221,$A221&lt;&gt;""),"●","")</x:f>
      </x:c>
      <x:c r="AK221" s="165" t="str">
        <x:f>IF(AND(AK$5&gt;=$C221,AK$5&lt;=$D221,$A221&lt;&gt;""),"●","")</x:f>
      </x:c>
      <x:c r="AL221" s="165" t="str">
        <x:f>IF(AND(AL$5&gt;=$C221,AL$5&lt;=$D221,$A221&lt;&gt;""),"●","")</x:f>
      </x:c>
      <x:c r="AM221" s="165" t="str">
        <x:f>IF(AND(AM$5&gt;=$C221,AM$5&lt;=$D221,$A221&lt;&gt;""),"●","")</x:f>
      </x:c>
      <x:c r="AN221" s="165" t="str">
        <x:f>IF(AND(AN$5&gt;=$C221,AN$5&lt;=$D221,$A221&lt;&gt;""),"●","")</x:f>
      </x:c>
      <x:c r="AO221" s="165" t="str">
        <x:f>IF(AND(AO$5&gt;=$C221,AO$5&lt;=$D221,$A221&lt;&gt;""),"●","")</x:f>
      </x:c>
      <x:c r="AP221" s="165" t="str">
        <x:f>IF(AND(AP$5&gt;=$C221,AP$5&lt;=$D221,$A221&lt;&gt;""),"●","")</x:f>
      </x:c>
      <x:c r="AQ221" s="165" t="str">
        <x:f>IF(AND(AQ$5&gt;=$C221,AQ$5&lt;=$D221,$A221&lt;&gt;""),"●","")</x:f>
      </x:c>
      <x:c r="AR221" s="165" t="str">
        <x:f>IF(AND(AR$5&gt;=$C221,AR$5&lt;=$D221,$A221&lt;&gt;""),"●","")</x:f>
      </x:c>
      <x:c r="AS221" s="165" t="str">
        <x:f>IF(AND(AS$5&gt;=$C221,AS$5&lt;=$D221,$A221&lt;&gt;""),"●","")</x:f>
      </x:c>
      <x:c r="AT221" s="165" t="str">
        <x:f>IF(AND(AT$5&gt;=$C221,AT$5&lt;=$D221,$A221&lt;&gt;""),"●","")</x:f>
      </x:c>
      <x:c r="AU221" s="165" t="str">
        <x:f>IF(AND(AU$5&gt;=$C221,AU$5&lt;=$D221,$A221&lt;&gt;""),"●","")</x:f>
      </x:c>
      <x:c r="AV221" s="165" t="str">
        <x:f>IF(AND(AV$5&gt;=$C221,AV$5&lt;=$D221,$A221&lt;&gt;""),"●","")</x:f>
      </x:c>
      <x:c r="AW221" s="165" t="str">
        <x:f>IF(AND(AW$5&gt;=$C221,AW$5&lt;=$D221,$A221&lt;&gt;""),"●","")</x:f>
      </x:c>
      <x:c r="AX221" s="165" t="str">
        <x:f>IF(AND(AX$5&gt;=$C221,AX$5&lt;=$D221,$A221&lt;&gt;""),"●","")</x:f>
      </x:c>
      <x:c r="AY221" s="165" t="str">
        <x:f>IF(AND(AY$5&gt;=$C221,AY$5&lt;=$D221,$A221&lt;&gt;""),"●","")</x:f>
      </x:c>
      <x:c r="AZ221" s="165" t="str">
        <x:f>IF(AND(AZ$5&gt;=$C221,AZ$5&lt;=$D221,$A221&lt;&gt;""),"●","")</x:f>
      </x:c>
      <x:c r="BA221" s="165" t="str">
        <x:f>IF(AND(BA$5&gt;=$C221,BA$5&lt;=$D221,$A221&lt;&gt;""),"●","")</x:f>
      </x:c>
      <x:c r="BB221" s="165" t="str">
        <x:f>IF(AND(BB$5&gt;=$C221,BB$5&lt;=$D221,$A221&lt;&gt;""),"●","")</x:f>
      </x:c>
      <x:c r="BC221" s="165" t="str">
        <x:f>IF(AND(BC$5&gt;=$C221,BC$5&lt;=$D221,$A221&lt;&gt;""),"●","")</x:f>
      </x:c>
      <x:c r="BD221" s="165" t="str">
        <x:f>IF(AND(BD$5&gt;=$C221,BD$5&lt;=$D221,$A221&lt;&gt;""),"●","")</x:f>
      </x:c>
      <x:c r="BE221" s="165" t="str">
        <x:f>IF(AND(BE$5&gt;=$C221,BE$5&lt;=$D221,$A221&lt;&gt;""),"●","")</x:f>
      </x:c>
      <x:c r="BF221" s="165" t="str">
        <x:f>IF(AND(BF$5&gt;=$C221,BF$5&lt;=$D221,$A221&lt;&gt;""),"●","")</x:f>
      </x:c>
      <x:c r="BG221" s="165" t="str">
        <x:f>IF(AND(BG$5&gt;=$C221,BG$5&lt;=$D221,$A221&lt;&gt;""),"●","")</x:f>
      </x:c>
      <x:c r="BH221" s="165" t="str">
        <x:f>IF(AND(BH$5&gt;=$C221,BH$5&lt;=$D221,$A221&lt;&gt;""),"●","")</x:f>
      </x:c>
      <x:c r="BI221" s="165" t="str">
        <x:f>IF(AND(BI$5&gt;=$C221,BI$5&lt;=$D221,$A221&lt;&gt;""),"●","")</x:f>
      </x:c>
      <x:c r="BJ221" s="165" t="str">
        <x:f>IF(AND(BJ$5&gt;=$C221,BJ$5&lt;=$D221,$A221&lt;&gt;""),"●","")</x:f>
      </x:c>
      <x:c r="BK221" s="165" t="str">
        <x:f>IF(AND(BK$5&gt;=$C221,BK$5&lt;=$D221,$A221&lt;&gt;""),"●","")</x:f>
      </x:c>
      <x:c r="BL221" s="165" t="str">
        <x:f>IF(AND(BL$5&gt;=$C221,BL$5&lt;=$D221,$A221&lt;&gt;""),"●","")</x:f>
      </x:c>
      <x:c r="BM221" s="165" t="str">
        <x:f>IF(AND(BM$5&gt;=$C221,BM$5&lt;=$D221,$A221&lt;&gt;""),"●","")</x:f>
      </x:c>
      <x:c r="BN221" s="165" t="str">
        <x:f>IF(AND(BN$5&gt;=$C221,BN$5&lt;=$D221,$A221&lt;&gt;""),"●","")</x:f>
      </x:c>
      <x:c r="BO221" s="165" t="str">
        <x:f>IF(AND(BO$5&gt;=$C221,BO$5&lt;=$D221,$A221&lt;&gt;""),"●","")</x:f>
      </x:c>
      <x:c r="BP221" s="165" t="str">
        <x:f>IF(AND(BP$5&gt;=$C221,BP$5&lt;=$D221,$A221&lt;&gt;""),"●","")</x:f>
      </x:c>
      <x:c r="BQ221" s="165" t="str">
        <x:f>IF(AND(BQ$5&gt;=$C221,BQ$5&lt;=$D221,$A221&lt;&gt;""),"●","")</x:f>
      </x:c>
      <x:c r="BR221" s="165" t="str">
        <x:f>IF(AND(BR$5&gt;=$C221,BR$5&lt;=$D221,$A221&lt;&gt;""),"●","")</x:f>
      </x:c>
      <x:c r="BS221" s="165" t="str">
        <x:f>IF(AND(BS$5&gt;=$C221,BS$5&lt;=$D221,$A221&lt;&gt;""),"●","")</x:f>
      </x:c>
      <x:c r="BT221" s="165" t="str">
        <x:f>IF(AND(BT$5&gt;=$C221,BT$5&lt;=$D221,$A221&lt;&gt;""),"●","")</x:f>
      </x:c>
      <x:c r="BU221" s="165" t="str">
        <x:f>IF(AND(BU$5&gt;=$C221,BU$5&lt;=$D221,$A221&lt;&gt;""),"●","")</x:f>
      </x:c>
      <x:c r="BV221" s="165" t="str">
        <x:f>IF(AND(BV$5&gt;=$C221,BV$5&lt;=$D221,$A221&lt;&gt;""),"●","")</x:f>
      </x:c>
      <x:c r="BW221" s="165" t="str">
        <x:f>IF(AND(BW$5&gt;=$C221,BW$5&lt;=$D221,$A221&lt;&gt;""),"●","")</x:f>
      </x:c>
    </x:row>
    <x:row r="222">
      <x:c r="A222" s="159" t="str">
        <x:f>IF('รายการสัญญา'!A222="","",'รายการสัญญา'!A222)</x:f>
      </x:c>
      <x:c r="B222" s="159" t="str">
        <x:f>IF('รายการสัญญา'!A222="","",'รายการสัญญา'!C222)</x:f>
      </x:c>
      <x:c r="C222" s="162" t="str">
        <x:f>IF('รายการสัญญา'!A222="","",'รายการสัญญา'!E222)</x:f>
      </x:c>
      <x:c r="D222" s="162" t="str">
        <x:f>IF('รายการสัญญา'!A222="","",'รายการสัญญา'!G222)</x:f>
      </x:c>
      <x:c r="E222" s="159" t="str">
        <x:f>IF('รายการสัญญา'!A222="","",'รายการสัญญา'!K222)</x:f>
      </x:c>
      <x:c r="F222" s="165" t="str">
        <x:f>IF(AND(F$5&gt;=$C222,F$5&lt;=$D222,$A222&lt;&gt;""),"●","")</x:f>
      </x:c>
      <x:c r="G222" s="165" t="str">
        <x:f>IF(AND(G$5&gt;=$C222,G$5&lt;=$D222,$A222&lt;&gt;""),"●","")</x:f>
      </x:c>
      <x:c r="H222" s="165" t="str">
        <x:f>IF(AND(H$5&gt;=$C222,H$5&lt;=$D222,$A222&lt;&gt;""),"●","")</x:f>
      </x:c>
      <x:c r="I222" s="165" t="str">
        <x:f>IF(AND(I$5&gt;=$C222,I$5&lt;=$D222,$A222&lt;&gt;""),"●","")</x:f>
      </x:c>
      <x:c r="J222" s="165" t="str">
        <x:f>IF(AND(J$5&gt;=$C222,J$5&lt;=$D222,$A222&lt;&gt;""),"●","")</x:f>
      </x:c>
      <x:c r="K222" s="165" t="str">
        <x:f>IF(AND(K$5&gt;=$C222,K$5&lt;=$D222,$A222&lt;&gt;""),"●","")</x:f>
      </x:c>
      <x:c r="L222" s="165" t="str">
        <x:f>IF(AND(L$5&gt;=$C222,L$5&lt;=$D222,$A222&lt;&gt;""),"●","")</x:f>
      </x:c>
      <x:c r="M222" s="165" t="str">
        <x:f>IF(AND(M$5&gt;=$C222,M$5&lt;=$D222,$A222&lt;&gt;""),"●","")</x:f>
      </x:c>
      <x:c r="N222" s="165" t="str">
        <x:f>IF(AND(N$5&gt;=$C222,N$5&lt;=$D222,$A222&lt;&gt;""),"●","")</x:f>
      </x:c>
      <x:c r="O222" s="165" t="str">
        <x:f>IF(AND(O$5&gt;=$C222,O$5&lt;=$D222,$A222&lt;&gt;""),"●","")</x:f>
      </x:c>
      <x:c r="P222" s="165" t="str">
        <x:f>IF(AND(P$5&gt;=$C222,P$5&lt;=$D222,$A222&lt;&gt;""),"●","")</x:f>
      </x:c>
      <x:c r="Q222" s="165" t="str">
        <x:f>IF(AND(Q$5&gt;=$C222,Q$5&lt;=$D222,$A222&lt;&gt;""),"●","")</x:f>
      </x:c>
      <x:c r="R222" s="165" t="str">
        <x:f>IF(AND(R$5&gt;=$C222,R$5&lt;=$D222,$A222&lt;&gt;""),"●","")</x:f>
      </x:c>
      <x:c r="S222" s="165" t="str">
        <x:f>IF(AND(S$5&gt;=$C222,S$5&lt;=$D222,$A222&lt;&gt;""),"●","")</x:f>
      </x:c>
      <x:c r="T222" s="165" t="str">
        <x:f>IF(AND(T$5&gt;=$C222,T$5&lt;=$D222,$A222&lt;&gt;""),"●","")</x:f>
      </x:c>
      <x:c r="U222" s="165" t="str">
        <x:f>IF(AND(U$5&gt;=$C222,U$5&lt;=$D222,$A222&lt;&gt;""),"●","")</x:f>
      </x:c>
      <x:c r="V222" s="165" t="str">
        <x:f>IF(AND(V$5&gt;=$C222,V$5&lt;=$D222,$A222&lt;&gt;""),"●","")</x:f>
      </x:c>
      <x:c r="W222" s="165" t="str">
        <x:f>IF(AND(W$5&gt;=$C222,W$5&lt;=$D222,$A222&lt;&gt;""),"●","")</x:f>
      </x:c>
      <x:c r="X222" s="165" t="str">
        <x:f>IF(AND(X$5&gt;=$C222,X$5&lt;=$D222,$A222&lt;&gt;""),"●","")</x:f>
      </x:c>
      <x:c r="Y222" s="165" t="str">
        <x:f>IF(AND(Y$5&gt;=$C222,Y$5&lt;=$D222,$A222&lt;&gt;""),"●","")</x:f>
      </x:c>
      <x:c r="Z222" s="165" t="str">
        <x:f>IF(AND(Z$5&gt;=$C222,Z$5&lt;=$D222,$A222&lt;&gt;""),"●","")</x:f>
      </x:c>
      <x:c r="AA222" s="165" t="str">
        <x:f>IF(AND(AA$5&gt;=$C222,AA$5&lt;=$D222,$A222&lt;&gt;""),"●","")</x:f>
      </x:c>
      <x:c r="AB222" s="165" t="str">
        <x:f>IF(AND(AB$5&gt;=$C222,AB$5&lt;=$D222,$A222&lt;&gt;""),"●","")</x:f>
      </x:c>
      <x:c r="AC222" s="165" t="str">
        <x:f>IF(AND(AC$5&gt;=$C222,AC$5&lt;=$D222,$A222&lt;&gt;""),"●","")</x:f>
      </x:c>
      <x:c r="AD222" s="165" t="str">
        <x:f>IF(AND(AD$5&gt;=$C222,AD$5&lt;=$D222,$A222&lt;&gt;""),"●","")</x:f>
      </x:c>
      <x:c r="AE222" s="165" t="str">
        <x:f>IF(AND(AE$5&gt;=$C222,AE$5&lt;=$D222,$A222&lt;&gt;""),"●","")</x:f>
      </x:c>
      <x:c r="AF222" s="165" t="str">
        <x:f>IF(AND(AF$5&gt;=$C222,AF$5&lt;=$D222,$A222&lt;&gt;""),"●","")</x:f>
      </x:c>
      <x:c r="AG222" s="165" t="str">
        <x:f>IF(AND(AG$5&gt;=$C222,AG$5&lt;=$D222,$A222&lt;&gt;""),"●","")</x:f>
      </x:c>
      <x:c r="AH222" s="165" t="str">
        <x:f>IF(AND(AH$5&gt;=$C222,AH$5&lt;=$D222,$A222&lt;&gt;""),"●","")</x:f>
      </x:c>
      <x:c r="AI222" s="165" t="str">
        <x:f>IF(AND(AI$5&gt;=$C222,AI$5&lt;=$D222,$A222&lt;&gt;""),"●","")</x:f>
      </x:c>
      <x:c r="AJ222" s="165" t="str">
        <x:f>IF(AND(AJ$5&gt;=$C222,AJ$5&lt;=$D222,$A222&lt;&gt;""),"●","")</x:f>
      </x:c>
      <x:c r="AK222" s="165" t="str">
        <x:f>IF(AND(AK$5&gt;=$C222,AK$5&lt;=$D222,$A222&lt;&gt;""),"●","")</x:f>
      </x:c>
      <x:c r="AL222" s="165" t="str">
        <x:f>IF(AND(AL$5&gt;=$C222,AL$5&lt;=$D222,$A222&lt;&gt;""),"●","")</x:f>
      </x:c>
      <x:c r="AM222" s="165" t="str">
        <x:f>IF(AND(AM$5&gt;=$C222,AM$5&lt;=$D222,$A222&lt;&gt;""),"●","")</x:f>
      </x:c>
      <x:c r="AN222" s="165" t="str">
        <x:f>IF(AND(AN$5&gt;=$C222,AN$5&lt;=$D222,$A222&lt;&gt;""),"●","")</x:f>
      </x:c>
      <x:c r="AO222" s="165" t="str">
        <x:f>IF(AND(AO$5&gt;=$C222,AO$5&lt;=$D222,$A222&lt;&gt;""),"●","")</x:f>
      </x:c>
      <x:c r="AP222" s="165" t="str">
        <x:f>IF(AND(AP$5&gt;=$C222,AP$5&lt;=$D222,$A222&lt;&gt;""),"●","")</x:f>
      </x:c>
      <x:c r="AQ222" s="165" t="str">
        <x:f>IF(AND(AQ$5&gt;=$C222,AQ$5&lt;=$D222,$A222&lt;&gt;""),"●","")</x:f>
      </x:c>
      <x:c r="AR222" s="165" t="str">
        <x:f>IF(AND(AR$5&gt;=$C222,AR$5&lt;=$D222,$A222&lt;&gt;""),"●","")</x:f>
      </x:c>
      <x:c r="AS222" s="165" t="str">
        <x:f>IF(AND(AS$5&gt;=$C222,AS$5&lt;=$D222,$A222&lt;&gt;""),"●","")</x:f>
      </x:c>
      <x:c r="AT222" s="165" t="str">
        <x:f>IF(AND(AT$5&gt;=$C222,AT$5&lt;=$D222,$A222&lt;&gt;""),"●","")</x:f>
      </x:c>
      <x:c r="AU222" s="165" t="str">
        <x:f>IF(AND(AU$5&gt;=$C222,AU$5&lt;=$D222,$A222&lt;&gt;""),"●","")</x:f>
      </x:c>
      <x:c r="AV222" s="165" t="str">
        <x:f>IF(AND(AV$5&gt;=$C222,AV$5&lt;=$D222,$A222&lt;&gt;""),"●","")</x:f>
      </x:c>
      <x:c r="AW222" s="165" t="str">
        <x:f>IF(AND(AW$5&gt;=$C222,AW$5&lt;=$D222,$A222&lt;&gt;""),"●","")</x:f>
      </x:c>
      <x:c r="AX222" s="165" t="str">
        <x:f>IF(AND(AX$5&gt;=$C222,AX$5&lt;=$D222,$A222&lt;&gt;""),"●","")</x:f>
      </x:c>
      <x:c r="AY222" s="165" t="str">
        <x:f>IF(AND(AY$5&gt;=$C222,AY$5&lt;=$D222,$A222&lt;&gt;""),"●","")</x:f>
      </x:c>
      <x:c r="AZ222" s="165" t="str">
        <x:f>IF(AND(AZ$5&gt;=$C222,AZ$5&lt;=$D222,$A222&lt;&gt;""),"●","")</x:f>
      </x:c>
      <x:c r="BA222" s="165" t="str">
        <x:f>IF(AND(BA$5&gt;=$C222,BA$5&lt;=$D222,$A222&lt;&gt;""),"●","")</x:f>
      </x:c>
      <x:c r="BB222" s="165" t="str">
        <x:f>IF(AND(BB$5&gt;=$C222,BB$5&lt;=$D222,$A222&lt;&gt;""),"●","")</x:f>
      </x:c>
      <x:c r="BC222" s="165" t="str">
        <x:f>IF(AND(BC$5&gt;=$C222,BC$5&lt;=$D222,$A222&lt;&gt;""),"●","")</x:f>
      </x:c>
      <x:c r="BD222" s="165" t="str">
        <x:f>IF(AND(BD$5&gt;=$C222,BD$5&lt;=$D222,$A222&lt;&gt;""),"●","")</x:f>
      </x:c>
      <x:c r="BE222" s="165" t="str">
        <x:f>IF(AND(BE$5&gt;=$C222,BE$5&lt;=$D222,$A222&lt;&gt;""),"●","")</x:f>
      </x:c>
      <x:c r="BF222" s="165" t="str">
        <x:f>IF(AND(BF$5&gt;=$C222,BF$5&lt;=$D222,$A222&lt;&gt;""),"●","")</x:f>
      </x:c>
      <x:c r="BG222" s="165" t="str">
        <x:f>IF(AND(BG$5&gt;=$C222,BG$5&lt;=$D222,$A222&lt;&gt;""),"●","")</x:f>
      </x:c>
      <x:c r="BH222" s="165" t="str">
        <x:f>IF(AND(BH$5&gt;=$C222,BH$5&lt;=$D222,$A222&lt;&gt;""),"●","")</x:f>
      </x:c>
      <x:c r="BI222" s="165" t="str">
        <x:f>IF(AND(BI$5&gt;=$C222,BI$5&lt;=$D222,$A222&lt;&gt;""),"●","")</x:f>
      </x:c>
      <x:c r="BJ222" s="165" t="str">
        <x:f>IF(AND(BJ$5&gt;=$C222,BJ$5&lt;=$D222,$A222&lt;&gt;""),"●","")</x:f>
      </x:c>
      <x:c r="BK222" s="165" t="str">
        <x:f>IF(AND(BK$5&gt;=$C222,BK$5&lt;=$D222,$A222&lt;&gt;""),"●","")</x:f>
      </x:c>
      <x:c r="BL222" s="165" t="str">
        <x:f>IF(AND(BL$5&gt;=$C222,BL$5&lt;=$D222,$A222&lt;&gt;""),"●","")</x:f>
      </x:c>
      <x:c r="BM222" s="165" t="str">
        <x:f>IF(AND(BM$5&gt;=$C222,BM$5&lt;=$D222,$A222&lt;&gt;""),"●","")</x:f>
      </x:c>
      <x:c r="BN222" s="165" t="str">
        <x:f>IF(AND(BN$5&gt;=$C222,BN$5&lt;=$D222,$A222&lt;&gt;""),"●","")</x:f>
      </x:c>
      <x:c r="BO222" s="165" t="str">
        <x:f>IF(AND(BO$5&gt;=$C222,BO$5&lt;=$D222,$A222&lt;&gt;""),"●","")</x:f>
      </x:c>
      <x:c r="BP222" s="165" t="str">
        <x:f>IF(AND(BP$5&gt;=$C222,BP$5&lt;=$D222,$A222&lt;&gt;""),"●","")</x:f>
      </x:c>
      <x:c r="BQ222" s="165" t="str">
        <x:f>IF(AND(BQ$5&gt;=$C222,BQ$5&lt;=$D222,$A222&lt;&gt;""),"●","")</x:f>
      </x:c>
      <x:c r="BR222" s="165" t="str">
        <x:f>IF(AND(BR$5&gt;=$C222,BR$5&lt;=$D222,$A222&lt;&gt;""),"●","")</x:f>
      </x:c>
      <x:c r="BS222" s="165" t="str">
        <x:f>IF(AND(BS$5&gt;=$C222,BS$5&lt;=$D222,$A222&lt;&gt;""),"●","")</x:f>
      </x:c>
      <x:c r="BT222" s="165" t="str">
        <x:f>IF(AND(BT$5&gt;=$C222,BT$5&lt;=$D222,$A222&lt;&gt;""),"●","")</x:f>
      </x:c>
      <x:c r="BU222" s="165" t="str">
        <x:f>IF(AND(BU$5&gt;=$C222,BU$5&lt;=$D222,$A222&lt;&gt;""),"●","")</x:f>
      </x:c>
      <x:c r="BV222" s="165" t="str">
        <x:f>IF(AND(BV$5&gt;=$C222,BV$5&lt;=$D222,$A222&lt;&gt;""),"●","")</x:f>
      </x:c>
      <x:c r="BW222" s="165" t="str">
        <x:f>IF(AND(BW$5&gt;=$C222,BW$5&lt;=$D222,$A222&lt;&gt;""),"●","")</x:f>
      </x:c>
    </x:row>
    <x:row r="223">
      <x:c r="A223" s="159" t="str">
        <x:f>IF('รายการสัญญา'!A223="","",'รายการสัญญา'!A223)</x:f>
      </x:c>
      <x:c r="B223" s="159" t="str">
        <x:f>IF('รายการสัญญา'!A223="","",'รายการสัญญา'!C223)</x:f>
      </x:c>
      <x:c r="C223" s="162" t="str">
        <x:f>IF('รายการสัญญา'!A223="","",'รายการสัญญา'!E223)</x:f>
      </x:c>
      <x:c r="D223" s="162" t="str">
        <x:f>IF('รายการสัญญา'!A223="","",'รายการสัญญา'!G223)</x:f>
      </x:c>
      <x:c r="E223" s="159" t="str">
        <x:f>IF('รายการสัญญา'!A223="","",'รายการสัญญา'!K223)</x:f>
      </x:c>
      <x:c r="F223" s="165" t="str">
        <x:f>IF(AND(F$5&gt;=$C223,F$5&lt;=$D223,$A223&lt;&gt;""),"●","")</x:f>
      </x:c>
      <x:c r="G223" s="165" t="str">
        <x:f>IF(AND(G$5&gt;=$C223,G$5&lt;=$D223,$A223&lt;&gt;""),"●","")</x:f>
      </x:c>
      <x:c r="H223" s="165" t="str">
        <x:f>IF(AND(H$5&gt;=$C223,H$5&lt;=$D223,$A223&lt;&gt;""),"●","")</x:f>
      </x:c>
      <x:c r="I223" s="165" t="str">
        <x:f>IF(AND(I$5&gt;=$C223,I$5&lt;=$D223,$A223&lt;&gt;""),"●","")</x:f>
      </x:c>
      <x:c r="J223" s="165" t="str">
        <x:f>IF(AND(J$5&gt;=$C223,J$5&lt;=$D223,$A223&lt;&gt;""),"●","")</x:f>
      </x:c>
      <x:c r="K223" s="165" t="str">
        <x:f>IF(AND(K$5&gt;=$C223,K$5&lt;=$D223,$A223&lt;&gt;""),"●","")</x:f>
      </x:c>
      <x:c r="L223" s="165" t="str">
        <x:f>IF(AND(L$5&gt;=$C223,L$5&lt;=$D223,$A223&lt;&gt;""),"●","")</x:f>
      </x:c>
      <x:c r="M223" s="165" t="str">
        <x:f>IF(AND(M$5&gt;=$C223,M$5&lt;=$D223,$A223&lt;&gt;""),"●","")</x:f>
      </x:c>
      <x:c r="N223" s="165" t="str">
        <x:f>IF(AND(N$5&gt;=$C223,N$5&lt;=$D223,$A223&lt;&gt;""),"●","")</x:f>
      </x:c>
      <x:c r="O223" s="165" t="str">
        <x:f>IF(AND(O$5&gt;=$C223,O$5&lt;=$D223,$A223&lt;&gt;""),"●","")</x:f>
      </x:c>
      <x:c r="P223" s="165" t="str">
        <x:f>IF(AND(P$5&gt;=$C223,P$5&lt;=$D223,$A223&lt;&gt;""),"●","")</x:f>
      </x:c>
      <x:c r="Q223" s="165" t="str">
        <x:f>IF(AND(Q$5&gt;=$C223,Q$5&lt;=$D223,$A223&lt;&gt;""),"●","")</x:f>
      </x:c>
      <x:c r="R223" s="165" t="str">
        <x:f>IF(AND(R$5&gt;=$C223,R$5&lt;=$D223,$A223&lt;&gt;""),"●","")</x:f>
      </x:c>
      <x:c r="S223" s="165" t="str">
        <x:f>IF(AND(S$5&gt;=$C223,S$5&lt;=$D223,$A223&lt;&gt;""),"●","")</x:f>
      </x:c>
      <x:c r="T223" s="165" t="str">
        <x:f>IF(AND(T$5&gt;=$C223,T$5&lt;=$D223,$A223&lt;&gt;""),"●","")</x:f>
      </x:c>
      <x:c r="U223" s="165" t="str">
        <x:f>IF(AND(U$5&gt;=$C223,U$5&lt;=$D223,$A223&lt;&gt;""),"●","")</x:f>
      </x:c>
      <x:c r="V223" s="165" t="str">
        <x:f>IF(AND(V$5&gt;=$C223,V$5&lt;=$D223,$A223&lt;&gt;""),"●","")</x:f>
      </x:c>
      <x:c r="W223" s="165" t="str">
        <x:f>IF(AND(W$5&gt;=$C223,W$5&lt;=$D223,$A223&lt;&gt;""),"●","")</x:f>
      </x:c>
      <x:c r="X223" s="165" t="str">
        <x:f>IF(AND(X$5&gt;=$C223,X$5&lt;=$D223,$A223&lt;&gt;""),"●","")</x:f>
      </x:c>
      <x:c r="Y223" s="165" t="str">
        <x:f>IF(AND(Y$5&gt;=$C223,Y$5&lt;=$D223,$A223&lt;&gt;""),"●","")</x:f>
      </x:c>
      <x:c r="Z223" s="165" t="str">
        <x:f>IF(AND(Z$5&gt;=$C223,Z$5&lt;=$D223,$A223&lt;&gt;""),"●","")</x:f>
      </x:c>
      <x:c r="AA223" s="165" t="str">
        <x:f>IF(AND(AA$5&gt;=$C223,AA$5&lt;=$D223,$A223&lt;&gt;""),"●","")</x:f>
      </x:c>
      <x:c r="AB223" s="165" t="str">
        <x:f>IF(AND(AB$5&gt;=$C223,AB$5&lt;=$D223,$A223&lt;&gt;""),"●","")</x:f>
      </x:c>
      <x:c r="AC223" s="165" t="str">
        <x:f>IF(AND(AC$5&gt;=$C223,AC$5&lt;=$D223,$A223&lt;&gt;""),"●","")</x:f>
      </x:c>
      <x:c r="AD223" s="165" t="str">
        <x:f>IF(AND(AD$5&gt;=$C223,AD$5&lt;=$D223,$A223&lt;&gt;""),"●","")</x:f>
      </x:c>
      <x:c r="AE223" s="165" t="str">
        <x:f>IF(AND(AE$5&gt;=$C223,AE$5&lt;=$D223,$A223&lt;&gt;""),"●","")</x:f>
      </x:c>
      <x:c r="AF223" s="165" t="str">
        <x:f>IF(AND(AF$5&gt;=$C223,AF$5&lt;=$D223,$A223&lt;&gt;""),"●","")</x:f>
      </x:c>
      <x:c r="AG223" s="165" t="str">
        <x:f>IF(AND(AG$5&gt;=$C223,AG$5&lt;=$D223,$A223&lt;&gt;""),"●","")</x:f>
      </x:c>
      <x:c r="AH223" s="165" t="str">
        <x:f>IF(AND(AH$5&gt;=$C223,AH$5&lt;=$D223,$A223&lt;&gt;""),"●","")</x:f>
      </x:c>
      <x:c r="AI223" s="165" t="str">
        <x:f>IF(AND(AI$5&gt;=$C223,AI$5&lt;=$D223,$A223&lt;&gt;""),"●","")</x:f>
      </x:c>
      <x:c r="AJ223" s="165" t="str">
        <x:f>IF(AND(AJ$5&gt;=$C223,AJ$5&lt;=$D223,$A223&lt;&gt;""),"●","")</x:f>
      </x:c>
      <x:c r="AK223" s="165" t="str">
        <x:f>IF(AND(AK$5&gt;=$C223,AK$5&lt;=$D223,$A223&lt;&gt;""),"●","")</x:f>
      </x:c>
      <x:c r="AL223" s="165" t="str">
        <x:f>IF(AND(AL$5&gt;=$C223,AL$5&lt;=$D223,$A223&lt;&gt;""),"●","")</x:f>
      </x:c>
      <x:c r="AM223" s="165" t="str">
        <x:f>IF(AND(AM$5&gt;=$C223,AM$5&lt;=$D223,$A223&lt;&gt;""),"●","")</x:f>
      </x:c>
      <x:c r="AN223" s="165" t="str">
        <x:f>IF(AND(AN$5&gt;=$C223,AN$5&lt;=$D223,$A223&lt;&gt;""),"●","")</x:f>
      </x:c>
      <x:c r="AO223" s="165" t="str">
        <x:f>IF(AND(AO$5&gt;=$C223,AO$5&lt;=$D223,$A223&lt;&gt;""),"●","")</x:f>
      </x:c>
      <x:c r="AP223" s="165" t="str">
        <x:f>IF(AND(AP$5&gt;=$C223,AP$5&lt;=$D223,$A223&lt;&gt;""),"●","")</x:f>
      </x:c>
      <x:c r="AQ223" s="165" t="str">
        <x:f>IF(AND(AQ$5&gt;=$C223,AQ$5&lt;=$D223,$A223&lt;&gt;""),"●","")</x:f>
      </x:c>
      <x:c r="AR223" s="165" t="str">
        <x:f>IF(AND(AR$5&gt;=$C223,AR$5&lt;=$D223,$A223&lt;&gt;""),"●","")</x:f>
      </x:c>
      <x:c r="AS223" s="165" t="str">
        <x:f>IF(AND(AS$5&gt;=$C223,AS$5&lt;=$D223,$A223&lt;&gt;""),"●","")</x:f>
      </x:c>
      <x:c r="AT223" s="165" t="str">
        <x:f>IF(AND(AT$5&gt;=$C223,AT$5&lt;=$D223,$A223&lt;&gt;""),"●","")</x:f>
      </x:c>
      <x:c r="AU223" s="165" t="str">
        <x:f>IF(AND(AU$5&gt;=$C223,AU$5&lt;=$D223,$A223&lt;&gt;""),"●","")</x:f>
      </x:c>
      <x:c r="AV223" s="165" t="str">
        <x:f>IF(AND(AV$5&gt;=$C223,AV$5&lt;=$D223,$A223&lt;&gt;""),"●","")</x:f>
      </x:c>
      <x:c r="AW223" s="165" t="str">
        <x:f>IF(AND(AW$5&gt;=$C223,AW$5&lt;=$D223,$A223&lt;&gt;""),"●","")</x:f>
      </x:c>
      <x:c r="AX223" s="165" t="str">
        <x:f>IF(AND(AX$5&gt;=$C223,AX$5&lt;=$D223,$A223&lt;&gt;""),"●","")</x:f>
      </x:c>
      <x:c r="AY223" s="165" t="str">
        <x:f>IF(AND(AY$5&gt;=$C223,AY$5&lt;=$D223,$A223&lt;&gt;""),"●","")</x:f>
      </x:c>
      <x:c r="AZ223" s="165" t="str">
        <x:f>IF(AND(AZ$5&gt;=$C223,AZ$5&lt;=$D223,$A223&lt;&gt;""),"●","")</x:f>
      </x:c>
      <x:c r="BA223" s="165" t="str">
        <x:f>IF(AND(BA$5&gt;=$C223,BA$5&lt;=$D223,$A223&lt;&gt;""),"●","")</x:f>
      </x:c>
      <x:c r="BB223" s="165" t="str">
        <x:f>IF(AND(BB$5&gt;=$C223,BB$5&lt;=$D223,$A223&lt;&gt;""),"●","")</x:f>
      </x:c>
      <x:c r="BC223" s="165" t="str">
        <x:f>IF(AND(BC$5&gt;=$C223,BC$5&lt;=$D223,$A223&lt;&gt;""),"●","")</x:f>
      </x:c>
      <x:c r="BD223" s="165" t="str">
        <x:f>IF(AND(BD$5&gt;=$C223,BD$5&lt;=$D223,$A223&lt;&gt;""),"●","")</x:f>
      </x:c>
      <x:c r="BE223" s="165" t="str">
        <x:f>IF(AND(BE$5&gt;=$C223,BE$5&lt;=$D223,$A223&lt;&gt;""),"●","")</x:f>
      </x:c>
      <x:c r="BF223" s="165" t="str">
        <x:f>IF(AND(BF$5&gt;=$C223,BF$5&lt;=$D223,$A223&lt;&gt;""),"●","")</x:f>
      </x:c>
      <x:c r="BG223" s="165" t="str">
        <x:f>IF(AND(BG$5&gt;=$C223,BG$5&lt;=$D223,$A223&lt;&gt;""),"●","")</x:f>
      </x:c>
      <x:c r="BH223" s="165" t="str">
        <x:f>IF(AND(BH$5&gt;=$C223,BH$5&lt;=$D223,$A223&lt;&gt;""),"●","")</x:f>
      </x:c>
      <x:c r="BI223" s="165" t="str">
        <x:f>IF(AND(BI$5&gt;=$C223,BI$5&lt;=$D223,$A223&lt;&gt;""),"●","")</x:f>
      </x:c>
      <x:c r="BJ223" s="165" t="str">
        <x:f>IF(AND(BJ$5&gt;=$C223,BJ$5&lt;=$D223,$A223&lt;&gt;""),"●","")</x:f>
      </x:c>
      <x:c r="BK223" s="165" t="str">
        <x:f>IF(AND(BK$5&gt;=$C223,BK$5&lt;=$D223,$A223&lt;&gt;""),"●","")</x:f>
      </x:c>
      <x:c r="BL223" s="165" t="str">
        <x:f>IF(AND(BL$5&gt;=$C223,BL$5&lt;=$D223,$A223&lt;&gt;""),"●","")</x:f>
      </x:c>
      <x:c r="BM223" s="165" t="str">
        <x:f>IF(AND(BM$5&gt;=$C223,BM$5&lt;=$D223,$A223&lt;&gt;""),"●","")</x:f>
      </x:c>
      <x:c r="BN223" s="165" t="str">
        <x:f>IF(AND(BN$5&gt;=$C223,BN$5&lt;=$D223,$A223&lt;&gt;""),"●","")</x:f>
      </x:c>
      <x:c r="BO223" s="165" t="str">
        <x:f>IF(AND(BO$5&gt;=$C223,BO$5&lt;=$D223,$A223&lt;&gt;""),"●","")</x:f>
      </x:c>
      <x:c r="BP223" s="165" t="str">
        <x:f>IF(AND(BP$5&gt;=$C223,BP$5&lt;=$D223,$A223&lt;&gt;""),"●","")</x:f>
      </x:c>
      <x:c r="BQ223" s="165" t="str">
        <x:f>IF(AND(BQ$5&gt;=$C223,BQ$5&lt;=$D223,$A223&lt;&gt;""),"●","")</x:f>
      </x:c>
      <x:c r="BR223" s="165" t="str">
        <x:f>IF(AND(BR$5&gt;=$C223,BR$5&lt;=$D223,$A223&lt;&gt;""),"●","")</x:f>
      </x:c>
      <x:c r="BS223" s="165" t="str">
        <x:f>IF(AND(BS$5&gt;=$C223,BS$5&lt;=$D223,$A223&lt;&gt;""),"●","")</x:f>
      </x:c>
      <x:c r="BT223" s="165" t="str">
        <x:f>IF(AND(BT$5&gt;=$C223,BT$5&lt;=$D223,$A223&lt;&gt;""),"●","")</x:f>
      </x:c>
      <x:c r="BU223" s="165" t="str">
        <x:f>IF(AND(BU$5&gt;=$C223,BU$5&lt;=$D223,$A223&lt;&gt;""),"●","")</x:f>
      </x:c>
      <x:c r="BV223" s="165" t="str">
        <x:f>IF(AND(BV$5&gt;=$C223,BV$5&lt;=$D223,$A223&lt;&gt;""),"●","")</x:f>
      </x:c>
      <x:c r="BW223" s="165" t="str">
        <x:f>IF(AND(BW$5&gt;=$C223,BW$5&lt;=$D223,$A223&lt;&gt;""),"●","")</x:f>
      </x:c>
    </x:row>
    <x:row r="224">
      <x:c r="A224" s="159" t="str">
        <x:f>IF('รายการสัญญา'!A224="","",'รายการสัญญา'!A224)</x:f>
      </x:c>
      <x:c r="B224" s="159" t="str">
        <x:f>IF('รายการสัญญา'!A224="","",'รายการสัญญา'!C224)</x:f>
      </x:c>
      <x:c r="C224" s="162" t="str">
        <x:f>IF('รายการสัญญา'!A224="","",'รายการสัญญา'!E224)</x:f>
      </x:c>
      <x:c r="D224" s="162" t="str">
        <x:f>IF('รายการสัญญา'!A224="","",'รายการสัญญา'!G224)</x:f>
      </x:c>
      <x:c r="E224" s="159" t="str">
        <x:f>IF('รายการสัญญา'!A224="","",'รายการสัญญา'!K224)</x:f>
      </x:c>
      <x:c r="F224" s="165" t="str">
        <x:f>IF(AND(F$5&gt;=$C224,F$5&lt;=$D224,$A224&lt;&gt;""),"●","")</x:f>
      </x:c>
      <x:c r="G224" s="165" t="str">
        <x:f>IF(AND(G$5&gt;=$C224,G$5&lt;=$D224,$A224&lt;&gt;""),"●","")</x:f>
      </x:c>
      <x:c r="H224" s="165" t="str">
        <x:f>IF(AND(H$5&gt;=$C224,H$5&lt;=$D224,$A224&lt;&gt;""),"●","")</x:f>
      </x:c>
      <x:c r="I224" s="165" t="str">
        <x:f>IF(AND(I$5&gt;=$C224,I$5&lt;=$D224,$A224&lt;&gt;""),"●","")</x:f>
      </x:c>
      <x:c r="J224" s="165" t="str">
        <x:f>IF(AND(J$5&gt;=$C224,J$5&lt;=$D224,$A224&lt;&gt;""),"●","")</x:f>
      </x:c>
      <x:c r="K224" s="165" t="str">
        <x:f>IF(AND(K$5&gt;=$C224,K$5&lt;=$D224,$A224&lt;&gt;""),"●","")</x:f>
      </x:c>
      <x:c r="L224" s="165" t="str">
        <x:f>IF(AND(L$5&gt;=$C224,L$5&lt;=$D224,$A224&lt;&gt;""),"●","")</x:f>
      </x:c>
      <x:c r="M224" s="165" t="str">
        <x:f>IF(AND(M$5&gt;=$C224,M$5&lt;=$D224,$A224&lt;&gt;""),"●","")</x:f>
      </x:c>
      <x:c r="N224" s="165" t="str">
        <x:f>IF(AND(N$5&gt;=$C224,N$5&lt;=$D224,$A224&lt;&gt;""),"●","")</x:f>
      </x:c>
      <x:c r="O224" s="165" t="str">
        <x:f>IF(AND(O$5&gt;=$C224,O$5&lt;=$D224,$A224&lt;&gt;""),"●","")</x:f>
      </x:c>
      <x:c r="P224" s="165" t="str">
        <x:f>IF(AND(P$5&gt;=$C224,P$5&lt;=$D224,$A224&lt;&gt;""),"●","")</x:f>
      </x:c>
      <x:c r="Q224" s="165" t="str">
        <x:f>IF(AND(Q$5&gt;=$C224,Q$5&lt;=$D224,$A224&lt;&gt;""),"●","")</x:f>
      </x:c>
      <x:c r="R224" s="165" t="str">
        <x:f>IF(AND(R$5&gt;=$C224,R$5&lt;=$D224,$A224&lt;&gt;""),"●","")</x:f>
      </x:c>
      <x:c r="S224" s="165" t="str">
        <x:f>IF(AND(S$5&gt;=$C224,S$5&lt;=$D224,$A224&lt;&gt;""),"●","")</x:f>
      </x:c>
      <x:c r="T224" s="165" t="str">
        <x:f>IF(AND(T$5&gt;=$C224,T$5&lt;=$D224,$A224&lt;&gt;""),"●","")</x:f>
      </x:c>
      <x:c r="U224" s="165" t="str">
        <x:f>IF(AND(U$5&gt;=$C224,U$5&lt;=$D224,$A224&lt;&gt;""),"●","")</x:f>
      </x:c>
      <x:c r="V224" s="165" t="str">
        <x:f>IF(AND(V$5&gt;=$C224,V$5&lt;=$D224,$A224&lt;&gt;""),"●","")</x:f>
      </x:c>
      <x:c r="W224" s="165" t="str">
        <x:f>IF(AND(W$5&gt;=$C224,W$5&lt;=$D224,$A224&lt;&gt;""),"●","")</x:f>
      </x:c>
      <x:c r="X224" s="165" t="str">
        <x:f>IF(AND(X$5&gt;=$C224,X$5&lt;=$D224,$A224&lt;&gt;""),"●","")</x:f>
      </x:c>
      <x:c r="Y224" s="165" t="str">
        <x:f>IF(AND(Y$5&gt;=$C224,Y$5&lt;=$D224,$A224&lt;&gt;""),"●","")</x:f>
      </x:c>
      <x:c r="Z224" s="165" t="str">
        <x:f>IF(AND(Z$5&gt;=$C224,Z$5&lt;=$D224,$A224&lt;&gt;""),"●","")</x:f>
      </x:c>
      <x:c r="AA224" s="165" t="str">
        <x:f>IF(AND(AA$5&gt;=$C224,AA$5&lt;=$D224,$A224&lt;&gt;""),"●","")</x:f>
      </x:c>
      <x:c r="AB224" s="165" t="str">
        <x:f>IF(AND(AB$5&gt;=$C224,AB$5&lt;=$D224,$A224&lt;&gt;""),"●","")</x:f>
      </x:c>
      <x:c r="AC224" s="165" t="str">
        <x:f>IF(AND(AC$5&gt;=$C224,AC$5&lt;=$D224,$A224&lt;&gt;""),"●","")</x:f>
      </x:c>
      <x:c r="AD224" s="165" t="str">
        <x:f>IF(AND(AD$5&gt;=$C224,AD$5&lt;=$D224,$A224&lt;&gt;""),"●","")</x:f>
      </x:c>
      <x:c r="AE224" s="165" t="str">
        <x:f>IF(AND(AE$5&gt;=$C224,AE$5&lt;=$D224,$A224&lt;&gt;""),"●","")</x:f>
      </x:c>
      <x:c r="AF224" s="165" t="str">
        <x:f>IF(AND(AF$5&gt;=$C224,AF$5&lt;=$D224,$A224&lt;&gt;""),"●","")</x:f>
      </x:c>
      <x:c r="AG224" s="165" t="str">
        <x:f>IF(AND(AG$5&gt;=$C224,AG$5&lt;=$D224,$A224&lt;&gt;""),"●","")</x:f>
      </x:c>
      <x:c r="AH224" s="165" t="str">
        <x:f>IF(AND(AH$5&gt;=$C224,AH$5&lt;=$D224,$A224&lt;&gt;""),"●","")</x:f>
      </x:c>
      <x:c r="AI224" s="165" t="str">
        <x:f>IF(AND(AI$5&gt;=$C224,AI$5&lt;=$D224,$A224&lt;&gt;""),"●","")</x:f>
      </x:c>
      <x:c r="AJ224" s="165" t="str">
        <x:f>IF(AND(AJ$5&gt;=$C224,AJ$5&lt;=$D224,$A224&lt;&gt;""),"●","")</x:f>
      </x:c>
      <x:c r="AK224" s="165" t="str">
        <x:f>IF(AND(AK$5&gt;=$C224,AK$5&lt;=$D224,$A224&lt;&gt;""),"●","")</x:f>
      </x:c>
      <x:c r="AL224" s="165" t="str">
        <x:f>IF(AND(AL$5&gt;=$C224,AL$5&lt;=$D224,$A224&lt;&gt;""),"●","")</x:f>
      </x:c>
      <x:c r="AM224" s="165" t="str">
        <x:f>IF(AND(AM$5&gt;=$C224,AM$5&lt;=$D224,$A224&lt;&gt;""),"●","")</x:f>
      </x:c>
      <x:c r="AN224" s="165" t="str">
        <x:f>IF(AND(AN$5&gt;=$C224,AN$5&lt;=$D224,$A224&lt;&gt;""),"●","")</x:f>
      </x:c>
      <x:c r="AO224" s="165" t="str">
        <x:f>IF(AND(AO$5&gt;=$C224,AO$5&lt;=$D224,$A224&lt;&gt;""),"●","")</x:f>
      </x:c>
      <x:c r="AP224" s="165" t="str">
        <x:f>IF(AND(AP$5&gt;=$C224,AP$5&lt;=$D224,$A224&lt;&gt;""),"●","")</x:f>
      </x:c>
      <x:c r="AQ224" s="165" t="str">
        <x:f>IF(AND(AQ$5&gt;=$C224,AQ$5&lt;=$D224,$A224&lt;&gt;""),"●","")</x:f>
      </x:c>
      <x:c r="AR224" s="165" t="str">
        <x:f>IF(AND(AR$5&gt;=$C224,AR$5&lt;=$D224,$A224&lt;&gt;""),"●","")</x:f>
      </x:c>
      <x:c r="AS224" s="165" t="str">
        <x:f>IF(AND(AS$5&gt;=$C224,AS$5&lt;=$D224,$A224&lt;&gt;""),"●","")</x:f>
      </x:c>
      <x:c r="AT224" s="165" t="str">
        <x:f>IF(AND(AT$5&gt;=$C224,AT$5&lt;=$D224,$A224&lt;&gt;""),"●","")</x:f>
      </x:c>
      <x:c r="AU224" s="165" t="str">
        <x:f>IF(AND(AU$5&gt;=$C224,AU$5&lt;=$D224,$A224&lt;&gt;""),"●","")</x:f>
      </x:c>
      <x:c r="AV224" s="165" t="str">
        <x:f>IF(AND(AV$5&gt;=$C224,AV$5&lt;=$D224,$A224&lt;&gt;""),"●","")</x:f>
      </x:c>
      <x:c r="AW224" s="165" t="str">
        <x:f>IF(AND(AW$5&gt;=$C224,AW$5&lt;=$D224,$A224&lt;&gt;""),"●","")</x:f>
      </x:c>
      <x:c r="AX224" s="165" t="str">
        <x:f>IF(AND(AX$5&gt;=$C224,AX$5&lt;=$D224,$A224&lt;&gt;""),"●","")</x:f>
      </x:c>
      <x:c r="AY224" s="165" t="str">
        <x:f>IF(AND(AY$5&gt;=$C224,AY$5&lt;=$D224,$A224&lt;&gt;""),"●","")</x:f>
      </x:c>
      <x:c r="AZ224" s="165" t="str">
        <x:f>IF(AND(AZ$5&gt;=$C224,AZ$5&lt;=$D224,$A224&lt;&gt;""),"●","")</x:f>
      </x:c>
      <x:c r="BA224" s="165" t="str">
        <x:f>IF(AND(BA$5&gt;=$C224,BA$5&lt;=$D224,$A224&lt;&gt;""),"●","")</x:f>
      </x:c>
      <x:c r="BB224" s="165" t="str">
        <x:f>IF(AND(BB$5&gt;=$C224,BB$5&lt;=$D224,$A224&lt;&gt;""),"●","")</x:f>
      </x:c>
      <x:c r="BC224" s="165" t="str">
        <x:f>IF(AND(BC$5&gt;=$C224,BC$5&lt;=$D224,$A224&lt;&gt;""),"●","")</x:f>
      </x:c>
      <x:c r="BD224" s="165" t="str">
        <x:f>IF(AND(BD$5&gt;=$C224,BD$5&lt;=$D224,$A224&lt;&gt;""),"●","")</x:f>
      </x:c>
      <x:c r="BE224" s="165" t="str">
        <x:f>IF(AND(BE$5&gt;=$C224,BE$5&lt;=$D224,$A224&lt;&gt;""),"●","")</x:f>
      </x:c>
      <x:c r="BF224" s="165" t="str">
        <x:f>IF(AND(BF$5&gt;=$C224,BF$5&lt;=$D224,$A224&lt;&gt;""),"●","")</x:f>
      </x:c>
      <x:c r="BG224" s="165" t="str">
        <x:f>IF(AND(BG$5&gt;=$C224,BG$5&lt;=$D224,$A224&lt;&gt;""),"●","")</x:f>
      </x:c>
      <x:c r="BH224" s="165" t="str">
        <x:f>IF(AND(BH$5&gt;=$C224,BH$5&lt;=$D224,$A224&lt;&gt;""),"●","")</x:f>
      </x:c>
      <x:c r="BI224" s="165" t="str">
        <x:f>IF(AND(BI$5&gt;=$C224,BI$5&lt;=$D224,$A224&lt;&gt;""),"●","")</x:f>
      </x:c>
      <x:c r="BJ224" s="165" t="str">
        <x:f>IF(AND(BJ$5&gt;=$C224,BJ$5&lt;=$D224,$A224&lt;&gt;""),"●","")</x:f>
      </x:c>
      <x:c r="BK224" s="165" t="str">
        <x:f>IF(AND(BK$5&gt;=$C224,BK$5&lt;=$D224,$A224&lt;&gt;""),"●","")</x:f>
      </x:c>
      <x:c r="BL224" s="165" t="str">
        <x:f>IF(AND(BL$5&gt;=$C224,BL$5&lt;=$D224,$A224&lt;&gt;""),"●","")</x:f>
      </x:c>
      <x:c r="BM224" s="165" t="str">
        <x:f>IF(AND(BM$5&gt;=$C224,BM$5&lt;=$D224,$A224&lt;&gt;""),"●","")</x:f>
      </x:c>
      <x:c r="BN224" s="165" t="str">
        <x:f>IF(AND(BN$5&gt;=$C224,BN$5&lt;=$D224,$A224&lt;&gt;""),"●","")</x:f>
      </x:c>
      <x:c r="BO224" s="165" t="str">
        <x:f>IF(AND(BO$5&gt;=$C224,BO$5&lt;=$D224,$A224&lt;&gt;""),"●","")</x:f>
      </x:c>
      <x:c r="BP224" s="165" t="str">
        <x:f>IF(AND(BP$5&gt;=$C224,BP$5&lt;=$D224,$A224&lt;&gt;""),"●","")</x:f>
      </x:c>
      <x:c r="BQ224" s="165" t="str">
        <x:f>IF(AND(BQ$5&gt;=$C224,BQ$5&lt;=$D224,$A224&lt;&gt;""),"●","")</x:f>
      </x:c>
      <x:c r="BR224" s="165" t="str">
        <x:f>IF(AND(BR$5&gt;=$C224,BR$5&lt;=$D224,$A224&lt;&gt;""),"●","")</x:f>
      </x:c>
      <x:c r="BS224" s="165" t="str">
        <x:f>IF(AND(BS$5&gt;=$C224,BS$5&lt;=$D224,$A224&lt;&gt;""),"●","")</x:f>
      </x:c>
      <x:c r="BT224" s="165" t="str">
        <x:f>IF(AND(BT$5&gt;=$C224,BT$5&lt;=$D224,$A224&lt;&gt;""),"●","")</x:f>
      </x:c>
      <x:c r="BU224" s="165" t="str">
        <x:f>IF(AND(BU$5&gt;=$C224,BU$5&lt;=$D224,$A224&lt;&gt;""),"●","")</x:f>
      </x:c>
      <x:c r="BV224" s="165" t="str">
        <x:f>IF(AND(BV$5&gt;=$C224,BV$5&lt;=$D224,$A224&lt;&gt;""),"●","")</x:f>
      </x:c>
      <x:c r="BW224" s="165" t="str">
        <x:f>IF(AND(BW$5&gt;=$C224,BW$5&lt;=$D224,$A224&lt;&gt;""),"●","")</x:f>
      </x:c>
    </x:row>
    <x:row r="225">
      <x:c r="A225" s="159" t="str">
        <x:f>IF('รายการสัญญา'!A225="","",'รายการสัญญา'!A225)</x:f>
      </x:c>
      <x:c r="B225" s="159" t="str">
        <x:f>IF('รายการสัญญา'!A225="","",'รายการสัญญา'!C225)</x:f>
      </x:c>
      <x:c r="C225" s="162" t="str">
        <x:f>IF('รายการสัญญา'!A225="","",'รายการสัญญา'!E225)</x:f>
      </x:c>
      <x:c r="D225" s="162" t="str">
        <x:f>IF('รายการสัญญา'!A225="","",'รายการสัญญา'!G225)</x:f>
      </x:c>
      <x:c r="E225" s="159" t="str">
        <x:f>IF('รายการสัญญา'!A225="","",'รายการสัญญา'!K225)</x:f>
      </x:c>
      <x:c r="F225" s="165" t="str">
        <x:f>IF(AND(F$5&gt;=$C225,F$5&lt;=$D225,$A225&lt;&gt;""),"●","")</x:f>
      </x:c>
      <x:c r="G225" s="165" t="str">
        <x:f>IF(AND(G$5&gt;=$C225,G$5&lt;=$D225,$A225&lt;&gt;""),"●","")</x:f>
      </x:c>
      <x:c r="H225" s="165" t="str">
        <x:f>IF(AND(H$5&gt;=$C225,H$5&lt;=$D225,$A225&lt;&gt;""),"●","")</x:f>
      </x:c>
      <x:c r="I225" s="165" t="str">
        <x:f>IF(AND(I$5&gt;=$C225,I$5&lt;=$D225,$A225&lt;&gt;""),"●","")</x:f>
      </x:c>
      <x:c r="J225" s="165" t="str">
        <x:f>IF(AND(J$5&gt;=$C225,J$5&lt;=$D225,$A225&lt;&gt;""),"●","")</x:f>
      </x:c>
      <x:c r="K225" s="165" t="str">
        <x:f>IF(AND(K$5&gt;=$C225,K$5&lt;=$D225,$A225&lt;&gt;""),"●","")</x:f>
      </x:c>
      <x:c r="L225" s="165" t="str">
        <x:f>IF(AND(L$5&gt;=$C225,L$5&lt;=$D225,$A225&lt;&gt;""),"●","")</x:f>
      </x:c>
      <x:c r="M225" s="165" t="str">
        <x:f>IF(AND(M$5&gt;=$C225,M$5&lt;=$D225,$A225&lt;&gt;""),"●","")</x:f>
      </x:c>
      <x:c r="N225" s="165" t="str">
        <x:f>IF(AND(N$5&gt;=$C225,N$5&lt;=$D225,$A225&lt;&gt;""),"●","")</x:f>
      </x:c>
      <x:c r="O225" s="165" t="str">
        <x:f>IF(AND(O$5&gt;=$C225,O$5&lt;=$D225,$A225&lt;&gt;""),"●","")</x:f>
      </x:c>
      <x:c r="P225" s="165" t="str">
        <x:f>IF(AND(P$5&gt;=$C225,P$5&lt;=$D225,$A225&lt;&gt;""),"●","")</x:f>
      </x:c>
      <x:c r="Q225" s="165" t="str">
        <x:f>IF(AND(Q$5&gt;=$C225,Q$5&lt;=$D225,$A225&lt;&gt;""),"●","")</x:f>
      </x:c>
      <x:c r="R225" s="165" t="str">
        <x:f>IF(AND(R$5&gt;=$C225,R$5&lt;=$D225,$A225&lt;&gt;""),"●","")</x:f>
      </x:c>
      <x:c r="S225" s="165" t="str">
        <x:f>IF(AND(S$5&gt;=$C225,S$5&lt;=$D225,$A225&lt;&gt;""),"●","")</x:f>
      </x:c>
      <x:c r="T225" s="165" t="str">
        <x:f>IF(AND(T$5&gt;=$C225,T$5&lt;=$D225,$A225&lt;&gt;""),"●","")</x:f>
      </x:c>
      <x:c r="U225" s="165" t="str">
        <x:f>IF(AND(U$5&gt;=$C225,U$5&lt;=$D225,$A225&lt;&gt;""),"●","")</x:f>
      </x:c>
      <x:c r="V225" s="165" t="str">
        <x:f>IF(AND(V$5&gt;=$C225,V$5&lt;=$D225,$A225&lt;&gt;""),"●","")</x:f>
      </x:c>
      <x:c r="W225" s="165" t="str">
        <x:f>IF(AND(W$5&gt;=$C225,W$5&lt;=$D225,$A225&lt;&gt;""),"●","")</x:f>
      </x:c>
      <x:c r="X225" s="165" t="str">
        <x:f>IF(AND(X$5&gt;=$C225,X$5&lt;=$D225,$A225&lt;&gt;""),"●","")</x:f>
      </x:c>
      <x:c r="Y225" s="165" t="str">
        <x:f>IF(AND(Y$5&gt;=$C225,Y$5&lt;=$D225,$A225&lt;&gt;""),"●","")</x:f>
      </x:c>
      <x:c r="Z225" s="165" t="str">
        <x:f>IF(AND(Z$5&gt;=$C225,Z$5&lt;=$D225,$A225&lt;&gt;""),"●","")</x:f>
      </x:c>
      <x:c r="AA225" s="165" t="str">
        <x:f>IF(AND(AA$5&gt;=$C225,AA$5&lt;=$D225,$A225&lt;&gt;""),"●","")</x:f>
      </x:c>
      <x:c r="AB225" s="165" t="str">
        <x:f>IF(AND(AB$5&gt;=$C225,AB$5&lt;=$D225,$A225&lt;&gt;""),"●","")</x:f>
      </x:c>
      <x:c r="AC225" s="165" t="str">
        <x:f>IF(AND(AC$5&gt;=$C225,AC$5&lt;=$D225,$A225&lt;&gt;""),"●","")</x:f>
      </x:c>
      <x:c r="AD225" s="165" t="str">
        <x:f>IF(AND(AD$5&gt;=$C225,AD$5&lt;=$D225,$A225&lt;&gt;""),"●","")</x:f>
      </x:c>
      <x:c r="AE225" s="165" t="str">
        <x:f>IF(AND(AE$5&gt;=$C225,AE$5&lt;=$D225,$A225&lt;&gt;""),"●","")</x:f>
      </x:c>
      <x:c r="AF225" s="165" t="str">
        <x:f>IF(AND(AF$5&gt;=$C225,AF$5&lt;=$D225,$A225&lt;&gt;""),"●","")</x:f>
      </x:c>
      <x:c r="AG225" s="165" t="str">
        <x:f>IF(AND(AG$5&gt;=$C225,AG$5&lt;=$D225,$A225&lt;&gt;""),"●","")</x:f>
      </x:c>
      <x:c r="AH225" s="165" t="str">
        <x:f>IF(AND(AH$5&gt;=$C225,AH$5&lt;=$D225,$A225&lt;&gt;""),"●","")</x:f>
      </x:c>
      <x:c r="AI225" s="165" t="str">
        <x:f>IF(AND(AI$5&gt;=$C225,AI$5&lt;=$D225,$A225&lt;&gt;""),"●","")</x:f>
      </x:c>
      <x:c r="AJ225" s="165" t="str">
        <x:f>IF(AND(AJ$5&gt;=$C225,AJ$5&lt;=$D225,$A225&lt;&gt;""),"●","")</x:f>
      </x:c>
      <x:c r="AK225" s="165" t="str">
        <x:f>IF(AND(AK$5&gt;=$C225,AK$5&lt;=$D225,$A225&lt;&gt;""),"●","")</x:f>
      </x:c>
      <x:c r="AL225" s="165" t="str">
        <x:f>IF(AND(AL$5&gt;=$C225,AL$5&lt;=$D225,$A225&lt;&gt;""),"●","")</x:f>
      </x:c>
      <x:c r="AM225" s="165" t="str">
        <x:f>IF(AND(AM$5&gt;=$C225,AM$5&lt;=$D225,$A225&lt;&gt;""),"●","")</x:f>
      </x:c>
      <x:c r="AN225" s="165" t="str">
        <x:f>IF(AND(AN$5&gt;=$C225,AN$5&lt;=$D225,$A225&lt;&gt;""),"●","")</x:f>
      </x:c>
      <x:c r="AO225" s="165" t="str">
        <x:f>IF(AND(AO$5&gt;=$C225,AO$5&lt;=$D225,$A225&lt;&gt;""),"●","")</x:f>
      </x:c>
      <x:c r="AP225" s="165" t="str">
        <x:f>IF(AND(AP$5&gt;=$C225,AP$5&lt;=$D225,$A225&lt;&gt;""),"●","")</x:f>
      </x:c>
      <x:c r="AQ225" s="165" t="str">
        <x:f>IF(AND(AQ$5&gt;=$C225,AQ$5&lt;=$D225,$A225&lt;&gt;""),"●","")</x:f>
      </x:c>
      <x:c r="AR225" s="165" t="str">
        <x:f>IF(AND(AR$5&gt;=$C225,AR$5&lt;=$D225,$A225&lt;&gt;""),"●","")</x:f>
      </x:c>
      <x:c r="AS225" s="165" t="str">
        <x:f>IF(AND(AS$5&gt;=$C225,AS$5&lt;=$D225,$A225&lt;&gt;""),"●","")</x:f>
      </x:c>
      <x:c r="AT225" s="165" t="str">
        <x:f>IF(AND(AT$5&gt;=$C225,AT$5&lt;=$D225,$A225&lt;&gt;""),"●","")</x:f>
      </x:c>
      <x:c r="AU225" s="165" t="str">
        <x:f>IF(AND(AU$5&gt;=$C225,AU$5&lt;=$D225,$A225&lt;&gt;""),"●","")</x:f>
      </x:c>
      <x:c r="AV225" s="165" t="str">
        <x:f>IF(AND(AV$5&gt;=$C225,AV$5&lt;=$D225,$A225&lt;&gt;""),"●","")</x:f>
      </x:c>
      <x:c r="AW225" s="165" t="str">
        <x:f>IF(AND(AW$5&gt;=$C225,AW$5&lt;=$D225,$A225&lt;&gt;""),"●","")</x:f>
      </x:c>
      <x:c r="AX225" s="165" t="str">
        <x:f>IF(AND(AX$5&gt;=$C225,AX$5&lt;=$D225,$A225&lt;&gt;""),"●","")</x:f>
      </x:c>
      <x:c r="AY225" s="165" t="str">
        <x:f>IF(AND(AY$5&gt;=$C225,AY$5&lt;=$D225,$A225&lt;&gt;""),"●","")</x:f>
      </x:c>
      <x:c r="AZ225" s="165" t="str">
        <x:f>IF(AND(AZ$5&gt;=$C225,AZ$5&lt;=$D225,$A225&lt;&gt;""),"●","")</x:f>
      </x:c>
      <x:c r="BA225" s="165" t="str">
        <x:f>IF(AND(BA$5&gt;=$C225,BA$5&lt;=$D225,$A225&lt;&gt;""),"●","")</x:f>
      </x:c>
      <x:c r="BB225" s="165" t="str">
        <x:f>IF(AND(BB$5&gt;=$C225,BB$5&lt;=$D225,$A225&lt;&gt;""),"●","")</x:f>
      </x:c>
      <x:c r="BC225" s="165" t="str">
        <x:f>IF(AND(BC$5&gt;=$C225,BC$5&lt;=$D225,$A225&lt;&gt;""),"●","")</x:f>
      </x:c>
      <x:c r="BD225" s="165" t="str">
        <x:f>IF(AND(BD$5&gt;=$C225,BD$5&lt;=$D225,$A225&lt;&gt;""),"●","")</x:f>
      </x:c>
      <x:c r="BE225" s="165" t="str">
        <x:f>IF(AND(BE$5&gt;=$C225,BE$5&lt;=$D225,$A225&lt;&gt;""),"●","")</x:f>
      </x:c>
      <x:c r="BF225" s="165" t="str">
        <x:f>IF(AND(BF$5&gt;=$C225,BF$5&lt;=$D225,$A225&lt;&gt;""),"●","")</x:f>
      </x:c>
      <x:c r="BG225" s="165" t="str">
        <x:f>IF(AND(BG$5&gt;=$C225,BG$5&lt;=$D225,$A225&lt;&gt;""),"●","")</x:f>
      </x:c>
      <x:c r="BH225" s="165" t="str">
        <x:f>IF(AND(BH$5&gt;=$C225,BH$5&lt;=$D225,$A225&lt;&gt;""),"●","")</x:f>
      </x:c>
      <x:c r="BI225" s="165" t="str">
        <x:f>IF(AND(BI$5&gt;=$C225,BI$5&lt;=$D225,$A225&lt;&gt;""),"●","")</x:f>
      </x:c>
      <x:c r="BJ225" s="165" t="str">
        <x:f>IF(AND(BJ$5&gt;=$C225,BJ$5&lt;=$D225,$A225&lt;&gt;""),"●","")</x:f>
      </x:c>
      <x:c r="BK225" s="165" t="str">
        <x:f>IF(AND(BK$5&gt;=$C225,BK$5&lt;=$D225,$A225&lt;&gt;""),"●","")</x:f>
      </x:c>
      <x:c r="BL225" s="165" t="str">
        <x:f>IF(AND(BL$5&gt;=$C225,BL$5&lt;=$D225,$A225&lt;&gt;""),"●","")</x:f>
      </x:c>
      <x:c r="BM225" s="165" t="str">
        <x:f>IF(AND(BM$5&gt;=$C225,BM$5&lt;=$D225,$A225&lt;&gt;""),"●","")</x:f>
      </x:c>
      <x:c r="BN225" s="165" t="str">
        <x:f>IF(AND(BN$5&gt;=$C225,BN$5&lt;=$D225,$A225&lt;&gt;""),"●","")</x:f>
      </x:c>
      <x:c r="BO225" s="165" t="str">
        <x:f>IF(AND(BO$5&gt;=$C225,BO$5&lt;=$D225,$A225&lt;&gt;""),"●","")</x:f>
      </x:c>
      <x:c r="BP225" s="165" t="str">
        <x:f>IF(AND(BP$5&gt;=$C225,BP$5&lt;=$D225,$A225&lt;&gt;""),"●","")</x:f>
      </x:c>
      <x:c r="BQ225" s="165" t="str">
        <x:f>IF(AND(BQ$5&gt;=$C225,BQ$5&lt;=$D225,$A225&lt;&gt;""),"●","")</x:f>
      </x:c>
      <x:c r="BR225" s="165" t="str">
        <x:f>IF(AND(BR$5&gt;=$C225,BR$5&lt;=$D225,$A225&lt;&gt;""),"●","")</x:f>
      </x:c>
      <x:c r="BS225" s="165" t="str">
        <x:f>IF(AND(BS$5&gt;=$C225,BS$5&lt;=$D225,$A225&lt;&gt;""),"●","")</x:f>
      </x:c>
      <x:c r="BT225" s="165" t="str">
        <x:f>IF(AND(BT$5&gt;=$C225,BT$5&lt;=$D225,$A225&lt;&gt;""),"●","")</x:f>
      </x:c>
      <x:c r="BU225" s="165" t="str">
        <x:f>IF(AND(BU$5&gt;=$C225,BU$5&lt;=$D225,$A225&lt;&gt;""),"●","")</x:f>
      </x:c>
      <x:c r="BV225" s="165" t="str">
        <x:f>IF(AND(BV$5&gt;=$C225,BV$5&lt;=$D225,$A225&lt;&gt;""),"●","")</x:f>
      </x:c>
      <x:c r="BW225" s="165" t="str">
        <x:f>IF(AND(BW$5&gt;=$C225,BW$5&lt;=$D225,$A225&lt;&gt;""),"●","")</x:f>
      </x:c>
    </x:row>
    <x:row r="226">
      <x:c r="A226" s="159" t="str">
        <x:f>IF('รายการสัญญา'!A226="","",'รายการสัญญา'!A226)</x:f>
      </x:c>
      <x:c r="B226" s="159" t="str">
        <x:f>IF('รายการสัญญา'!A226="","",'รายการสัญญา'!C226)</x:f>
      </x:c>
      <x:c r="C226" s="162" t="str">
        <x:f>IF('รายการสัญญา'!A226="","",'รายการสัญญา'!E226)</x:f>
      </x:c>
      <x:c r="D226" s="162" t="str">
        <x:f>IF('รายการสัญญา'!A226="","",'รายการสัญญา'!G226)</x:f>
      </x:c>
      <x:c r="E226" s="159" t="str">
        <x:f>IF('รายการสัญญา'!A226="","",'รายการสัญญา'!K226)</x:f>
      </x:c>
      <x:c r="F226" s="165" t="str">
        <x:f>IF(AND(F$5&gt;=$C226,F$5&lt;=$D226,$A226&lt;&gt;""),"●","")</x:f>
      </x:c>
      <x:c r="G226" s="165" t="str">
        <x:f>IF(AND(G$5&gt;=$C226,G$5&lt;=$D226,$A226&lt;&gt;""),"●","")</x:f>
      </x:c>
      <x:c r="H226" s="165" t="str">
        <x:f>IF(AND(H$5&gt;=$C226,H$5&lt;=$D226,$A226&lt;&gt;""),"●","")</x:f>
      </x:c>
      <x:c r="I226" s="165" t="str">
        <x:f>IF(AND(I$5&gt;=$C226,I$5&lt;=$D226,$A226&lt;&gt;""),"●","")</x:f>
      </x:c>
      <x:c r="J226" s="165" t="str">
        <x:f>IF(AND(J$5&gt;=$C226,J$5&lt;=$D226,$A226&lt;&gt;""),"●","")</x:f>
      </x:c>
      <x:c r="K226" s="165" t="str">
        <x:f>IF(AND(K$5&gt;=$C226,K$5&lt;=$D226,$A226&lt;&gt;""),"●","")</x:f>
      </x:c>
      <x:c r="L226" s="165" t="str">
        <x:f>IF(AND(L$5&gt;=$C226,L$5&lt;=$D226,$A226&lt;&gt;""),"●","")</x:f>
      </x:c>
      <x:c r="M226" s="165" t="str">
        <x:f>IF(AND(M$5&gt;=$C226,M$5&lt;=$D226,$A226&lt;&gt;""),"●","")</x:f>
      </x:c>
      <x:c r="N226" s="165" t="str">
        <x:f>IF(AND(N$5&gt;=$C226,N$5&lt;=$D226,$A226&lt;&gt;""),"●","")</x:f>
      </x:c>
      <x:c r="O226" s="165" t="str">
        <x:f>IF(AND(O$5&gt;=$C226,O$5&lt;=$D226,$A226&lt;&gt;""),"●","")</x:f>
      </x:c>
      <x:c r="P226" s="165" t="str">
        <x:f>IF(AND(P$5&gt;=$C226,P$5&lt;=$D226,$A226&lt;&gt;""),"●","")</x:f>
      </x:c>
      <x:c r="Q226" s="165" t="str">
        <x:f>IF(AND(Q$5&gt;=$C226,Q$5&lt;=$D226,$A226&lt;&gt;""),"●","")</x:f>
      </x:c>
      <x:c r="R226" s="165" t="str">
        <x:f>IF(AND(R$5&gt;=$C226,R$5&lt;=$D226,$A226&lt;&gt;""),"●","")</x:f>
      </x:c>
      <x:c r="S226" s="165" t="str">
        <x:f>IF(AND(S$5&gt;=$C226,S$5&lt;=$D226,$A226&lt;&gt;""),"●","")</x:f>
      </x:c>
      <x:c r="T226" s="165" t="str">
        <x:f>IF(AND(T$5&gt;=$C226,T$5&lt;=$D226,$A226&lt;&gt;""),"●","")</x:f>
      </x:c>
      <x:c r="U226" s="165" t="str">
        <x:f>IF(AND(U$5&gt;=$C226,U$5&lt;=$D226,$A226&lt;&gt;""),"●","")</x:f>
      </x:c>
      <x:c r="V226" s="165" t="str">
        <x:f>IF(AND(V$5&gt;=$C226,V$5&lt;=$D226,$A226&lt;&gt;""),"●","")</x:f>
      </x:c>
      <x:c r="W226" s="165" t="str">
        <x:f>IF(AND(W$5&gt;=$C226,W$5&lt;=$D226,$A226&lt;&gt;""),"●","")</x:f>
      </x:c>
      <x:c r="X226" s="165" t="str">
        <x:f>IF(AND(X$5&gt;=$C226,X$5&lt;=$D226,$A226&lt;&gt;""),"●","")</x:f>
      </x:c>
      <x:c r="Y226" s="165" t="str">
        <x:f>IF(AND(Y$5&gt;=$C226,Y$5&lt;=$D226,$A226&lt;&gt;""),"●","")</x:f>
      </x:c>
      <x:c r="Z226" s="165" t="str">
        <x:f>IF(AND(Z$5&gt;=$C226,Z$5&lt;=$D226,$A226&lt;&gt;""),"●","")</x:f>
      </x:c>
      <x:c r="AA226" s="165" t="str">
        <x:f>IF(AND(AA$5&gt;=$C226,AA$5&lt;=$D226,$A226&lt;&gt;""),"●","")</x:f>
      </x:c>
      <x:c r="AB226" s="165" t="str">
        <x:f>IF(AND(AB$5&gt;=$C226,AB$5&lt;=$D226,$A226&lt;&gt;""),"●","")</x:f>
      </x:c>
      <x:c r="AC226" s="165" t="str">
        <x:f>IF(AND(AC$5&gt;=$C226,AC$5&lt;=$D226,$A226&lt;&gt;""),"●","")</x:f>
      </x:c>
      <x:c r="AD226" s="165" t="str">
        <x:f>IF(AND(AD$5&gt;=$C226,AD$5&lt;=$D226,$A226&lt;&gt;""),"●","")</x:f>
      </x:c>
      <x:c r="AE226" s="165" t="str">
        <x:f>IF(AND(AE$5&gt;=$C226,AE$5&lt;=$D226,$A226&lt;&gt;""),"●","")</x:f>
      </x:c>
      <x:c r="AF226" s="165" t="str">
        <x:f>IF(AND(AF$5&gt;=$C226,AF$5&lt;=$D226,$A226&lt;&gt;""),"●","")</x:f>
      </x:c>
      <x:c r="AG226" s="165" t="str">
        <x:f>IF(AND(AG$5&gt;=$C226,AG$5&lt;=$D226,$A226&lt;&gt;""),"●","")</x:f>
      </x:c>
      <x:c r="AH226" s="165" t="str">
        <x:f>IF(AND(AH$5&gt;=$C226,AH$5&lt;=$D226,$A226&lt;&gt;""),"●","")</x:f>
      </x:c>
      <x:c r="AI226" s="165" t="str">
        <x:f>IF(AND(AI$5&gt;=$C226,AI$5&lt;=$D226,$A226&lt;&gt;""),"●","")</x:f>
      </x:c>
      <x:c r="AJ226" s="165" t="str">
        <x:f>IF(AND(AJ$5&gt;=$C226,AJ$5&lt;=$D226,$A226&lt;&gt;""),"●","")</x:f>
      </x:c>
      <x:c r="AK226" s="165" t="str">
        <x:f>IF(AND(AK$5&gt;=$C226,AK$5&lt;=$D226,$A226&lt;&gt;""),"●","")</x:f>
      </x:c>
      <x:c r="AL226" s="165" t="str">
        <x:f>IF(AND(AL$5&gt;=$C226,AL$5&lt;=$D226,$A226&lt;&gt;""),"●","")</x:f>
      </x:c>
      <x:c r="AM226" s="165" t="str">
        <x:f>IF(AND(AM$5&gt;=$C226,AM$5&lt;=$D226,$A226&lt;&gt;""),"●","")</x:f>
      </x:c>
      <x:c r="AN226" s="165" t="str">
        <x:f>IF(AND(AN$5&gt;=$C226,AN$5&lt;=$D226,$A226&lt;&gt;""),"●","")</x:f>
      </x:c>
      <x:c r="AO226" s="165" t="str">
        <x:f>IF(AND(AO$5&gt;=$C226,AO$5&lt;=$D226,$A226&lt;&gt;""),"●","")</x:f>
      </x:c>
      <x:c r="AP226" s="165" t="str">
        <x:f>IF(AND(AP$5&gt;=$C226,AP$5&lt;=$D226,$A226&lt;&gt;""),"●","")</x:f>
      </x:c>
      <x:c r="AQ226" s="165" t="str">
        <x:f>IF(AND(AQ$5&gt;=$C226,AQ$5&lt;=$D226,$A226&lt;&gt;""),"●","")</x:f>
      </x:c>
      <x:c r="AR226" s="165" t="str">
        <x:f>IF(AND(AR$5&gt;=$C226,AR$5&lt;=$D226,$A226&lt;&gt;""),"●","")</x:f>
      </x:c>
      <x:c r="AS226" s="165" t="str">
        <x:f>IF(AND(AS$5&gt;=$C226,AS$5&lt;=$D226,$A226&lt;&gt;""),"●","")</x:f>
      </x:c>
      <x:c r="AT226" s="165" t="str">
        <x:f>IF(AND(AT$5&gt;=$C226,AT$5&lt;=$D226,$A226&lt;&gt;""),"●","")</x:f>
      </x:c>
      <x:c r="AU226" s="165" t="str">
        <x:f>IF(AND(AU$5&gt;=$C226,AU$5&lt;=$D226,$A226&lt;&gt;""),"●","")</x:f>
      </x:c>
      <x:c r="AV226" s="165" t="str">
        <x:f>IF(AND(AV$5&gt;=$C226,AV$5&lt;=$D226,$A226&lt;&gt;""),"●","")</x:f>
      </x:c>
      <x:c r="AW226" s="165" t="str">
        <x:f>IF(AND(AW$5&gt;=$C226,AW$5&lt;=$D226,$A226&lt;&gt;""),"●","")</x:f>
      </x:c>
      <x:c r="AX226" s="165" t="str">
        <x:f>IF(AND(AX$5&gt;=$C226,AX$5&lt;=$D226,$A226&lt;&gt;""),"●","")</x:f>
      </x:c>
      <x:c r="AY226" s="165" t="str">
        <x:f>IF(AND(AY$5&gt;=$C226,AY$5&lt;=$D226,$A226&lt;&gt;""),"●","")</x:f>
      </x:c>
      <x:c r="AZ226" s="165" t="str">
        <x:f>IF(AND(AZ$5&gt;=$C226,AZ$5&lt;=$D226,$A226&lt;&gt;""),"●","")</x:f>
      </x:c>
      <x:c r="BA226" s="165" t="str">
        <x:f>IF(AND(BA$5&gt;=$C226,BA$5&lt;=$D226,$A226&lt;&gt;""),"●","")</x:f>
      </x:c>
      <x:c r="BB226" s="165" t="str">
        <x:f>IF(AND(BB$5&gt;=$C226,BB$5&lt;=$D226,$A226&lt;&gt;""),"●","")</x:f>
      </x:c>
      <x:c r="BC226" s="165" t="str">
        <x:f>IF(AND(BC$5&gt;=$C226,BC$5&lt;=$D226,$A226&lt;&gt;""),"●","")</x:f>
      </x:c>
      <x:c r="BD226" s="165" t="str">
        <x:f>IF(AND(BD$5&gt;=$C226,BD$5&lt;=$D226,$A226&lt;&gt;""),"●","")</x:f>
      </x:c>
      <x:c r="BE226" s="165" t="str">
        <x:f>IF(AND(BE$5&gt;=$C226,BE$5&lt;=$D226,$A226&lt;&gt;""),"●","")</x:f>
      </x:c>
      <x:c r="BF226" s="165" t="str">
        <x:f>IF(AND(BF$5&gt;=$C226,BF$5&lt;=$D226,$A226&lt;&gt;""),"●","")</x:f>
      </x:c>
      <x:c r="BG226" s="165" t="str">
        <x:f>IF(AND(BG$5&gt;=$C226,BG$5&lt;=$D226,$A226&lt;&gt;""),"●","")</x:f>
      </x:c>
      <x:c r="BH226" s="165" t="str">
        <x:f>IF(AND(BH$5&gt;=$C226,BH$5&lt;=$D226,$A226&lt;&gt;""),"●","")</x:f>
      </x:c>
      <x:c r="BI226" s="165" t="str">
        <x:f>IF(AND(BI$5&gt;=$C226,BI$5&lt;=$D226,$A226&lt;&gt;""),"●","")</x:f>
      </x:c>
      <x:c r="BJ226" s="165" t="str">
        <x:f>IF(AND(BJ$5&gt;=$C226,BJ$5&lt;=$D226,$A226&lt;&gt;""),"●","")</x:f>
      </x:c>
      <x:c r="BK226" s="165" t="str">
        <x:f>IF(AND(BK$5&gt;=$C226,BK$5&lt;=$D226,$A226&lt;&gt;""),"●","")</x:f>
      </x:c>
      <x:c r="BL226" s="165" t="str">
        <x:f>IF(AND(BL$5&gt;=$C226,BL$5&lt;=$D226,$A226&lt;&gt;""),"●","")</x:f>
      </x:c>
      <x:c r="BM226" s="165" t="str">
        <x:f>IF(AND(BM$5&gt;=$C226,BM$5&lt;=$D226,$A226&lt;&gt;""),"●","")</x:f>
      </x:c>
      <x:c r="BN226" s="165" t="str">
        <x:f>IF(AND(BN$5&gt;=$C226,BN$5&lt;=$D226,$A226&lt;&gt;""),"●","")</x:f>
      </x:c>
      <x:c r="BO226" s="165" t="str">
        <x:f>IF(AND(BO$5&gt;=$C226,BO$5&lt;=$D226,$A226&lt;&gt;""),"●","")</x:f>
      </x:c>
      <x:c r="BP226" s="165" t="str">
        <x:f>IF(AND(BP$5&gt;=$C226,BP$5&lt;=$D226,$A226&lt;&gt;""),"●","")</x:f>
      </x:c>
      <x:c r="BQ226" s="165" t="str">
        <x:f>IF(AND(BQ$5&gt;=$C226,BQ$5&lt;=$D226,$A226&lt;&gt;""),"●","")</x:f>
      </x:c>
      <x:c r="BR226" s="165" t="str">
        <x:f>IF(AND(BR$5&gt;=$C226,BR$5&lt;=$D226,$A226&lt;&gt;""),"●","")</x:f>
      </x:c>
      <x:c r="BS226" s="165" t="str">
        <x:f>IF(AND(BS$5&gt;=$C226,BS$5&lt;=$D226,$A226&lt;&gt;""),"●","")</x:f>
      </x:c>
      <x:c r="BT226" s="165" t="str">
        <x:f>IF(AND(BT$5&gt;=$C226,BT$5&lt;=$D226,$A226&lt;&gt;""),"●","")</x:f>
      </x:c>
      <x:c r="BU226" s="165" t="str">
        <x:f>IF(AND(BU$5&gt;=$C226,BU$5&lt;=$D226,$A226&lt;&gt;""),"●","")</x:f>
      </x:c>
      <x:c r="BV226" s="165" t="str">
        <x:f>IF(AND(BV$5&gt;=$C226,BV$5&lt;=$D226,$A226&lt;&gt;""),"●","")</x:f>
      </x:c>
      <x:c r="BW226" s="165" t="str">
        <x:f>IF(AND(BW$5&gt;=$C226,BW$5&lt;=$D226,$A226&lt;&gt;""),"●","")</x:f>
      </x:c>
    </x:row>
    <x:row r="227">
      <x:c r="A227" s="159" t="str">
        <x:f>IF('รายการสัญญา'!A227="","",'รายการสัญญา'!A227)</x:f>
      </x:c>
      <x:c r="B227" s="159" t="str">
        <x:f>IF('รายการสัญญา'!A227="","",'รายการสัญญา'!C227)</x:f>
      </x:c>
      <x:c r="C227" s="162" t="str">
        <x:f>IF('รายการสัญญา'!A227="","",'รายการสัญญา'!E227)</x:f>
      </x:c>
      <x:c r="D227" s="162" t="str">
        <x:f>IF('รายการสัญญา'!A227="","",'รายการสัญญา'!G227)</x:f>
      </x:c>
      <x:c r="E227" s="159" t="str">
        <x:f>IF('รายการสัญญา'!A227="","",'รายการสัญญา'!K227)</x:f>
      </x:c>
      <x:c r="F227" s="165" t="str">
        <x:f>IF(AND(F$5&gt;=$C227,F$5&lt;=$D227,$A227&lt;&gt;""),"●","")</x:f>
      </x:c>
      <x:c r="G227" s="165" t="str">
        <x:f>IF(AND(G$5&gt;=$C227,G$5&lt;=$D227,$A227&lt;&gt;""),"●","")</x:f>
      </x:c>
      <x:c r="H227" s="165" t="str">
        <x:f>IF(AND(H$5&gt;=$C227,H$5&lt;=$D227,$A227&lt;&gt;""),"●","")</x:f>
      </x:c>
      <x:c r="I227" s="165" t="str">
        <x:f>IF(AND(I$5&gt;=$C227,I$5&lt;=$D227,$A227&lt;&gt;""),"●","")</x:f>
      </x:c>
      <x:c r="J227" s="165" t="str">
        <x:f>IF(AND(J$5&gt;=$C227,J$5&lt;=$D227,$A227&lt;&gt;""),"●","")</x:f>
      </x:c>
      <x:c r="K227" s="165" t="str">
        <x:f>IF(AND(K$5&gt;=$C227,K$5&lt;=$D227,$A227&lt;&gt;""),"●","")</x:f>
      </x:c>
      <x:c r="L227" s="165" t="str">
        <x:f>IF(AND(L$5&gt;=$C227,L$5&lt;=$D227,$A227&lt;&gt;""),"●","")</x:f>
      </x:c>
      <x:c r="M227" s="165" t="str">
        <x:f>IF(AND(M$5&gt;=$C227,M$5&lt;=$D227,$A227&lt;&gt;""),"●","")</x:f>
      </x:c>
      <x:c r="N227" s="165" t="str">
        <x:f>IF(AND(N$5&gt;=$C227,N$5&lt;=$D227,$A227&lt;&gt;""),"●","")</x:f>
      </x:c>
      <x:c r="O227" s="165" t="str">
        <x:f>IF(AND(O$5&gt;=$C227,O$5&lt;=$D227,$A227&lt;&gt;""),"●","")</x:f>
      </x:c>
      <x:c r="P227" s="165" t="str">
        <x:f>IF(AND(P$5&gt;=$C227,P$5&lt;=$D227,$A227&lt;&gt;""),"●","")</x:f>
      </x:c>
      <x:c r="Q227" s="165" t="str">
        <x:f>IF(AND(Q$5&gt;=$C227,Q$5&lt;=$D227,$A227&lt;&gt;""),"●","")</x:f>
      </x:c>
      <x:c r="R227" s="165" t="str">
        <x:f>IF(AND(R$5&gt;=$C227,R$5&lt;=$D227,$A227&lt;&gt;""),"●","")</x:f>
      </x:c>
      <x:c r="S227" s="165" t="str">
        <x:f>IF(AND(S$5&gt;=$C227,S$5&lt;=$D227,$A227&lt;&gt;""),"●","")</x:f>
      </x:c>
      <x:c r="T227" s="165" t="str">
        <x:f>IF(AND(T$5&gt;=$C227,T$5&lt;=$D227,$A227&lt;&gt;""),"●","")</x:f>
      </x:c>
      <x:c r="U227" s="165" t="str">
        <x:f>IF(AND(U$5&gt;=$C227,U$5&lt;=$D227,$A227&lt;&gt;""),"●","")</x:f>
      </x:c>
      <x:c r="V227" s="165" t="str">
        <x:f>IF(AND(V$5&gt;=$C227,V$5&lt;=$D227,$A227&lt;&gt;""),"●","")</x:f>
      </x:c>
      <x:c r="W227" s="165" t="str">
        <x:f>IF(AND(W$5&gt;=$C227,W$5&lt;=$D227,$A227&lt;&gt;""),"●","")</x:f>
      </x:c>
      <x:c r="X227" s="165" t="str">
        <x:f>IF(AND(X$5&gt;=$C227,X$5&lt;=$D227,$A227&lt;&gt;""),"●","")</x:f>
      </x:c>
      <x:c r="Y227" s="165" t="str">
        <x:f>IF(AND(Y$5&gt;=$C227,Y$5&lt;=$D227,$A227&lt;&gt;""),"●","")</x:f>
      </x:c>
      <x:c r="Z227" s="165" t="str">
        <x:f>IF(AND(Z$5&gt;=$C227,Z$5&lt;=$D227,$A227&lt;&gt;""),"●","")</x:f>
      </x:c>
      <x:c r="AA227" s="165" t="str">
        <x:f>IF(AND(AA$5&gt;=$C227,AA$5&lt;=$D227,$A227&lt;&gt;""),"●","")</x:f>
      </x:c>
      <x:c r="AB227" s="165" t="str">
        <x:f>IF(AND(AB$5&gt;=$C227,AB$5&lt;=$D227,$A227&lt;&gt;""),"●","")</x:f>
      </x:c>
      <x:c r="AC227" s="165" t="str">
        <x:f>IF(AND(AC$5&gt;=$C227,AC$5&lt;=$D227,$A227&lt;&gt;""),"●","")</x:f>
      </x:c>
      <x:c r="AD227" s="165" t="str">
        <x:f>IF(AND(AD$5&gt;=$C227,AD$5&lt;=$D227,$A227&lt;&gt;""),"●","")</x:f>
      </x:c>
      <x:c r="AE227" s="165" t="str">
        <x:f>IF(AND(AE$5&gt;=$C227,AE$5&lt;=$D227,$A227&lt;&gt;""),"●","")</x:f>
      </x:c>
      <x:c r="AF227" s="165" t="str">
        <x:f>IF(AND(AF$5&gt;=$C227,AF$5&lt;=$D227,$A227&lt;&gt;""),"●","")</x:f>
      </x:c>
      <x:c r="AG227" s="165" t="str">
        <x:f>IF(AND(AG$5&gt;=$C227,AG$5&lt;=$D227,$A227&lt;&gt;""),"●","")</x:f>
      </x:c>
      <x:c r="AH227" s="165" t="str">
        <x:f>IF(AND(AH$5&gt;=$C227,AH$5&lt;=$D227,$A227&lt;&gt;""),"●","")</x:f>
      </x:c>
      <x:c r="AI227" s="165" t="str">
        <x:f>IF(AND(AI$5&gt;=$C227,AI$5&lt;=$D227,$A227&lt;&gt;""),"●","")</x:f>
      </x:c>
      <x:c r="AJ227" s="165" t="str">
        <x:f>IF(AND(AJ$5&gt;=$C227,AJ$5&lt;=$D227,$A227&lt;&gt;""),"●","")</x:f>
      </x:c>
      <x:c r="AK227" s="165" t="str">
        <x:f>IF(AND(AK$5&gt;=$C227,AK$5&lt;=$D227,$A227&lt;&gt;""),"●","")</x:f>
      </x:c>
      <x:c r="AL227" s="165" t="str">
        <x:f>IF(AND(AL$5&gt;=$C227,AL$5&lt;=$D227,$A227&lt;&gt;""),"●","")</x:f>
      </x:c>
      <x:c r="AM227" s="165" t="str">
        <x:f>IF(AND(AM$5&gt;=$C227,AM$5&lt;=$D227,$A227&lt;&gt;""),"●","")</x:f>
      </x:c>
      <x:c r="AN227" s="165" t="str">
        <x:f>IF(AND(AN$5&gt;=$C227,AN$5&lt;=$D227,$A227&lt;&gt;""),"●","")</x:f>
      </x:c>
      <x:c r="AO227" s="165" t="str">
        <x:f>IF(AND(AO$5&gt;=$C227,AO$5&lt;=$D227,$A227&lt;&gt;""),"●","")</x:f>
      </x:c>
      <x:c r="AP227" s="165" t="str">
        <x:f>IF(AND(AP$5&gt;=$C227,AP$5&lt;=$D227,$A227&lt;&gt;""),"●","")</x:f>
      </x:c>
      <x:c r="AQ227" s="165" t="str">
        <x:f>IF(AND(AQ$5&gt;=$C227,AQ$5&lt;=$D227,$A227&lt;&gt;""),"●","")</x:f>
      </x:c>
      <x:c r="AR227" s="165" t="str">
        <x:f>IF(AND(AR$5&gt;=$C227,AR$5&lt;=$D227,$A227&lt;&gt;""),"●","")</x:f>
      </x:c>
      <x:c r="AS227" s="165" t="str">
        <x:f>IF(AND(AS$5&gt;=$C227,AS$5&lt;=$D227,$A227&lt;&gt;""),"●","")</x:f>
      </x:c>
      <x:c r="AT227" s="165" t="str">
        <x:f>IF(AND(AT$5&gt;=$C227,AT$5&lt;=$D227,$A227&lt;&gt;""),"●","")</x:f>
      </x:c>
      <x:c r="AU227" s="165" t="str">
        <x:f>IF(AND(AU$5&gt;=$C227,AU$5&lt;=$D227,$A227&lt;&gt;""),"●","")</x:f>
      </x:c>
      <x:c r="AV227" s="165" t="str">
        <x:f>IF(AND(AV$5&gt;=$C227,AV$5&lt;=$D227,$A227&lt;&gt;""),"●","")</x:f>
      </x:c>
      <x:c r="AW227" s="165" t="str">
        <x:f>IF(AND(AW$5&gt;=$C227,AW$5&lt;=$D227,$A227&lt;&gt;""),"●","")</x:f>
      </x:c>
      <x:c r="AX227" s="165" t="str">
        <x:f>IF(AND(AX$5&gt;=$C227,AX$5&lt;=$D227,$A227&lt;&gt;""),"●","")</x:f>
      </x:c>
      <x:c r="AY227" s="165" t="str">
        <x:f>IF(AND(AY$5&gt;=$C227,AY$5&lt;=$D227,$A227&lt;&gt;""),"●","")</x:f>
      </x:c>
      <x:c r="AZ227" s="165" t="str">
        <x:f>IF(AND(AZ$5&gt;=$C227,AZ$5&lt;=$D227,$A227&lt;&gt;""),"●","")</x:f>
      </x:c>
      <x:c r="BA227" s="165" t="str">
        <x:f>IF(AND(BA$5&gt;=$C227,BA$5&lt;=$D227,$A227&lt;&gt;""),"●","")</x:f>
      </x:c>
      <x:c r="BB227" s="165" t="str">
        <x:f>IF(AND(BB$5&gt;=$C227,BB$5&lt;=$D227,$A227&lt;&gt;""),"●","")</x:f>
      </x:c>
      <x:c r="BC227" s="165" t="str">
        <x:f>IF(AND(BC$5&gt;=$C227,BC$5&lt;=$D227,$A227&lt;&gt;""),"●","")</x:f>
      </x:c>
      <x:c r="BD227" s="165" t="str">
        <x:f>IF(AND(BD$5&gt;=$C227,BD$5&lt;=$D227,$A227&lt;&gt;""),"●","")</x:f>
      </x:c>
      <x:c r="BE227" s="165" t="str">
        <x:f>IF(AND(BE$5&gt;=$C227,BE$5&lt;=$D227,$A227&lt;&gt;""),"●","")</x:f>
      </x:c>
      <x:c r="BF227" s="165" t="str">
        <x:f>IF(AND(BF$5&gt;=$C227,BF$5&lt;=$D227,$A227&lt;&gt;""),"●","")</x:f>
      </x:c>
      <x:c r="BG227" s="165" t="str">
        <x:f>IF(AND(BG$5&gt;=$C227,BG$5&lt;=$D227,$A227&lt;&gt;""),"●","")</x:f>
      </x:c>
      <x:c r="BH227" s="165" t="str">
        <x:f>IF(AND(BH$5&gt;=$C227,BH$5&lt;=$D227,$A227&lt;&gt;""),"●","")</x:f>
      </x:c>
      <x:c r="BI227" s="165" t="str">
        <x:f>IF(AND(BI$5&gt;=$C227,BI$5&lt;=$D227,$A227&lt;&gt;""),"●","")</x:f>
      </x:c>
      <x:c r="BJ227" s="165" t="str">
        <x:f>IF(AND(BJ$5&gt;=$C227,BJ$5&lt;=$D227,$A227&lt;&gt;""),"●","")</x:f>
      </x:c>
      <x:c r="BK227" s="165" t="str">
        <x:f>IF(AND(BK$5&gt;=$C227,BK$5&lt;=$D227,$A227&lt;&gt;""),"●","")</x:f>
      </x:c>
      <x:c r="BL227" s="165" t="str">
        <x:f>IF(AND(BL$5&gt;=$C227,BL$5&lt;=$D227,$A227&lt;&gt;""),"●","")</x:f>
      </x:c>
      <x:c r="BM227" s="165" t="str">
        <x:f>IF(AND(BM$5&gt;=$C227,BM$5&lt;=$D227,$A227&lt;&gt;""),"●","")</x:f>
      </x:c>
      <x:c r="BN227" s="165" t="str">
        <x:f>IF(AND(BN$5&gt;=$C227,BN$5&lt;=$D227,$A227&lt;&gt;""),"●","")</x:f>
      </x:c>
      <x:c r="BO227" s="165" t="str">
        <x:f>IF(AND(BO$5&gt;=$C227,BO$5&lt;=$D227,$A227&lt;&gt;""),"●","")</x:f>
      </x:c>
      <x:c r="BP227" s="165" t="str">
        <x:f>IF(AND(BP$5&gt;=$C227,BP$5&lt;=$D227,$A227&lt;&gt;""),"●","")</x:f>
      </x:c>
      <x:c r="BQ227" s="165" t="str">
        <x:f>IF(AND(BQ$5&gt;=$C227,BQ$5&lt;=$D227,$A227&lt;&gt;""),"●","")</x:f>
      </x:c>
      <x:c r="BR227" s="165" t="str">
        <x:f>IF(AND(BR$5&gt;=$C227,BR$5&lt;=$D227,$A227&lt;&gt;""),"●","")</x:f>
      </x:c>
      <x:c r="BS227" s="165" t="str">
        <x:f>IF(AND(BS$5&gt;=$C227,BS$5&lt;=$D227,$A227&lt;&gt;""),"●","")</x:f>
      </x:c>
      <x:c r="BT227" s="165" t="str">
        <x:f>IF(AND(BT$5&gt;=$C227,BT$5&lt;=$D227,$A227&lt;&gt;""),"●","")</x:f>
      </x:c>
      <x:c r="BU227" s="165" t="str">
        <x:f>IF(AND(BU$5&gt;=$C227,BU$5&lt;=$D227,$A227&lt;&gt;""),"●","")</x:f>
      </x:c>
      <x:c r="BV227" s="165" t="str">
        <x:f>IF(AND(BV$5&gt;=$C227,BV$5&lt;=$D227,$A227&lt;&gt;""),"●","")</x:f>
      </x:c>
      <x:c r="BW227" s="165" t="str">
        <x:f>IF(AND(BW$5&gt;=$C227,BW$5&lt;=$D227,$A227&lt;&gt;""),"●","")</x:f>
      </x:c>
    </x:row>
    <x:row r="228">
      <x:c r="A228" s="159" t="str">
        <x:f>IF('รายการสัญญา'!A228="","",'รายการสัญญา'!A228)</x:f>
      </x:c>
      <x:c r="B228" s="159" t="str">
        <x:f>IF('รายการสัญญา'!A228="","",'รายการสัญญา'!C228)</x:f>
      </x:c>
      <x:c r="C228" s="162" t="str">
        <x:f>IF('รายการสัญญา'!A228="","",'รายการสัญญา'!E228)</x:f>
      </x:c>
      <x:c r="D228" s="162" t="str">
        <x:f>IF('รายการสัญญา'!A228="","",'รายการสัญญา'!G228)</x:f>
      </x:c>
      <x:c r="E228" s="159" t="str">
        <x:f>IF('รายการสัญญา'!A228="","",'รายการสัญญา'!K228)</x:f>
      </x:c>
      <x:c r="F228" s="165" t="str">
        <x:f>IF(AND(F$5&gt;=$C228,F$5&lt;=$D228,$A228&lt;&gt;""),"●","")</x:f>
      </x:c>
      <x:c r="G228" s="165" t="str">
        <x:f>IF(AND(G$5&gt;=$C228,G$5&lt;=$D228,$A228&lt;&gt;""),"●","")</x:f>
      </x:c>
      <x:c r="H228" s="165" t="str">
        <x:f>IF(AND(H$5&gt;=$C228,H$5&lt;=$D228,$A228&lt;&gt;""),"●","")</x:f>
      </x:c>
      <x:c r="I228" s="165" t="str">
        <x:f>IF(AND(I$5&gt;=$C228,I$5&lt;=$D228,$A228&lt;&gt;""),"●","")</x:f>
      </x:c>
      <x:c r="J228" s="165" t="str">
        <x:f>IF(AND(J$5&gt;=$C228,J$5&lt;=$D228,$A228&lt;&gt;""),"●","")</x:f>
      </x:c>
      <x:c r="K228" s="165" t="str">
        <x:f>IF(AND(K$5&gt;=$C228,K$5&lt;=$D228,$A228&lt;&gt;""),"●","")</x:f>
      </x:c>
      <x:c r="L228" s="165" t="str">
        <x:f>IF(AND(L$5&gt;=$C228,L$5&lt;=$D228,$A228&lt;&gt;""),"●","")</x:f>
      </x:c>
      <x:c r="M228" s="165" t="str">
        <x:f>IF(AND(M$5&gt;=$C228,M$5&lt;=$D228,$A228&lt;&gt;""),"●","")</x:f>
      </x:c>
      <x:c r="N228" s="165" t="str">
        <x:f>IF(AND(N$5&gt;=$C228,N$5&lt;=$D228,$A228&lt;&gt;""),"●","")</x:f>
      </x:c>
      <x:c r="O228" s="165" t="str">
        <x:f>IF(AND(O$5&gt;=$C228,O$5&lt;=$D228,$A228&lt;&gt;""),"●","")</x:f>
      </x:c>
      <x:c r="P228" s="165" t="str">
        <x:f>IF(AND(P$5&gt;=$C228,P$5&lt;=$D228,$A228&lt;&gt;""),"●","")</x:f>
      </x:c>
      <x:c r="Q228" s="165" t="str">
        <x:f>IF(AND(Q$5&gt;=$C228,Q$5&lt;=$D228,$A228&lt;&gt;""),"●","")</x:f>
      </x:c>
      <x:c r="R228" s="165" t="str">
        <x:f>IF(AND(R$5&gt;=$C228,R$5&lt;=$D228,$A228&lt;&gt;""),"●","")</x:f>
      </x:c>
      <x:c r="S228" s="165" t="str">
        <x:f>IF(AND(S$5&gt;=$C228,S$5&lt;=$D228,$A228&lt;&gt;""),"●","")</x:f>
      </x:c>
      <x:c r="T228" s="165" t="str">
        <x:f>IF(AND(T$5&gt;=$C228,T$5&lt;=$D228,$A228&lt;&gt;""),"●","")</x:f>
      </x:c>
      <x:c r="U228" s="165" t="str">
        <x:f>IF(AND(U$5&gt;=$C228,U$5&lt;=$D228,$A228&lt;&gt;""),"●","")</x:f>
      </x:c>
      <x:c r="V228" s="165" t="str">
        <x:f>IF(AND(V$5&gt;=$C228,V$5&lt;=$D228,$A228&lt;&gt;""),"●","")</x:f>
      </x:c>
      <x:c r="W228" s="165" t="str">
        <x:f>IF(AND(W$5&gt;=$C228,W$5&lt;=$D228,$A228&lt;&gt;""),"●","")</x:f>
      </x:c>
      <x:c r="X228" s="165" t="str">
        <x:f>IF(AND(X$5&gt;=$C228,X$5&lt;=$D228,$A228&lt;&gt;""),"●","")</x:f>
      </x:c>
      <x:c r="Y228" s="165" t="str">
        <x:f>IF(AND(Y$5&gt;=$C228,Y$5&lt;=$D228,$A228&lt;&gt;""),"●","")</x:f>
      </x:c>
      <x:c r="Z228" s="165" t="str">
        <x:f>IF(AND(Z$5&gt;=$C228,Z$5&lt;=$D228,$A228&lt;&gt;""),"●","")</x:f>
      </x:c>
      <x:c r="AA228" s="165" t="str">
        <x:f>IF(AND(AA$5&gt;=$C228,AA$5&lt;=$D228,$A228&lt;&gt;""),"●","")</x:f>
      </x:c>
      <x:c r="AB228" s="165" t="str">
        <x:f>IF(AND(AB$5&gt;=$C228,AB$5&lt;=$D228,$A228&lt;&gt;""),"●","")</x:f>
      </x:c>
      <x:c r="AC228" s="165" t="str">
        <x:f>IF(AND(AC$5&gt;=$C228,AC$5&lt;=$D228,$A228&lt;&gt;""),"●","")</x:f>
      </x:c>
      <x:c r="AD228" s="165" t="str">
        <x:f>IF(AND(AD$5&gt;=$C228,AD$5&lt;=$D228,$A228&lt;&gt;""),"●","")</x:f>
      </x:c>
      <x:c r="AE228" s="165" t="str">
        <x:f>IF(AND(AE$5&gt;=$C228,AE$5&lt;=$D228,$A228&lt;&gt;""),"●","")</x:f>
      </x:c>
      <x:c r="AF228" s="165" t="str">
        <x:f>IF(AND(AF$5&gt;=$C228,AF$5&lt;=$D228,$A228&lt;&gt;""),"●","")</x:f>
      </x:c>
      <x:c r="AG228" s="165" t="str">
        <x:f>IF(AND(AG$5&gt;=$C228,AG$5&lt;=$D228,$A228&lt;&gt;""),"●","")</x:f>
      </x:c>
      <x:c r="AH228" s="165" t="str">
        <x:f>IF(AND(AH$5&gt;=$C228,AH$5&lt;=$D228,$A228&lt;&gt;""),"●","")</x:f>
      </x:c>
      <x:c r="AI228" s="165" t="str">
        <x:f>IF(AND(AI$5&gt;=$C228,AI$5&lt;=$D228,$A228&lt;&gt;""),"●","")</x:f>
      </x:c>
      <x:c r="AJ228" s="165" t="str">
        <x:f>IF(AND(AJ$5&gt;=$C228,AJ$5&lt;=$D228,$A228&lt;&gt;""),"●","")</x:f>
      </x:c>
      <x:c r="AK228" s="165" t="str">
        <x:f>IF(AND(AK$5&gt;=$C228,AK$5&lt;=$D228,$A228&lt;&gt;""),"●","")</x:f>
      </x:c>
      <x:c r="AL228" s="165" t="str">
        <x:f>IF(AND(AL$5&gt;=$C228,AL$5&lt;=$D228,$A228&lt;&gt;""),"●","")</x:f>
      </x:c>
      <x:c r="AM228" s="165" t="str">
        <x:f>IF(AND(AM$5&gt;=$C228,AM$5&lt;=$D228,$A228&lt;&gt;""),"●","")</x:f>
      </x:c>
      <x:c r="AN228" s="165" t="str">
        <x:f>IF(AND(AN$5&gt;=$C228,AN$5&lt;=$D228,$A228&lt;&gt;""),"●","")</x:f>
      </x:c>
      <x:c r="AO228" s="165" t="str">
        <x:f>IF(AND(AO$5&gt;=$C228,AO$5&lt;=$D228,$A228&lt;&gt;""),"●","")</x:f>
      </x:c>
      <x:c r="AP228" s="165" t="str">
        <x:f>IF(AND(AP$5&gt;=$C228,AP$5&lt;=$D228,$A228&lt;&gt;""),"●","")</x:f>
      </x:c>
      <x:c r="AQ228" s="165" t="str">
        <x:f>IF(AND(AQ$5&gt;=$C228,AQ$5&lt;=$D228,$A228&lt;&gt;""),"●","")</x:f>
      </x:c>
      <x:c r="AR228" s="165" t="str">
        <x:f>IF(AND(AR$5&gt;=$C228,AR$5&lt;=$D228,$A228&lt;&gt;""),"●","")</x:f>
      </x:c>
      <x:c r="AS228" s="165" t="str">
        <x:f>IF(AND(AS$5&gt;=$C228,AS$5&lt;=$D228,$A228&lt;&gt;""),"●","")</x:f>
      </x:c>
      <x:c r="AT228" s="165" t="str">
        <x:f>IF(AND(AT$5&gt;=$C228,AT$5&lt;=$D228,$A228&lt;&gt;""),"●","")</x:f>
      </x:c>
      <x:c r="AU228" s="165" t="str">
        <x:f>IF(AND(AU$5&gt;=$C228,AU$5&lt;=$D228,$A228&lt;&gt;""),"●","")</x:f>
      </x:c>
      <x:c r="AV228" s="165" t="str">
        <x:f>IF(AND(AV$5&gt;=$C228,AV$5&lt;=$D228,$A228&lt;&gt;""),"●","")</x:f>
      </x:c>
      <x:c r="AW228" s="165" t="str">
        <x:f>IF(AND(AW$5&gt;=$C228,AW$5&lt;=$D228,$A228&lt;&gt;""),"●","")</x:f>
      </x:c>
      <x:c r="AX228" s="165" t="str">
        <x:f>IF(AND(AX$5&gt;=$C228,AX$5&lt;=$D228,$A228&lt;&gt;""),"●","")</x:f>
      </x:c>
      <x:c r="AY228" s="165" t="str">
        <x:f>IF(AND(AY$5&gt;=$C228,AY$5&lt;=$D228,$A228&lt;&gt;""),"●","")</x:f>
      </x:c>
      <x:c r="AZ228" s="165" t="str">
        <x:f>IF(AND(AZ$5&gt;=$C228,AZ$5&lt;=$D228,$A228&lt;&gt;""),"●","")</x:f>
      </x:c>
      <x:c r="BA228" s="165" t="str">
        <x:f>IF(AND(BA$5&gt;=$C228,BA$5&lt;=$D228,$A228&lt;&gt;""),"●","")</x:f>
      </x:c>
      <x:c r="BB228" s="165" t="str">
        <x:f>IF(AND(BB$5&gt;=$C228,BB$5&lt;=$D228,$A228&lt;&gt;""),"●","")</x:f>
      </x:c>
      <x:c r="BC228" s="165" t="str">
        <x:f>IF(AND(BC$5&gt;=$C228,BC$5&lt;=$D228,$A228&lt;&gt;""),"●","")</x:f>
      </x:c>
      <x:c r="BD228" s="165" t="str">
        <x:f>IF(AND(BD$5&gt;=$C228,BD$5&lt;=$D228,$A228&lt;&gt;""),"●","")</x:f>
      </x:c>
      <x:c r="BE228" s="165" t="str">
        <x:f>IF(AND(BE$5&gt;=$C228,BE$5&lt;=$D228,$A228&lt;&gt;""),"●","")</x:f>
      </x:c>
      <x:c r="BF228" s="165" t="str">
        <x:f>IF(AND(BF$5&gt;=$C228,BF$5&lt;=$D228,$A228&lt;&gt;""),"●","")</x:f>
      </x:c>
      <x:c r="BG228" s="165" t="str">
        <x:f>IF(AND(BG$5&gt;=$C228,BG$5&lt;=$D228,$A228&lt;&gt;""),"●","")</x:f>
      </x:c>
      <x:c r="BH228" s="165" t="str">
        <x:f>IF(AND(BH$5&gt;=$C228,BH$5&lt;=$D228,$A228&lt;&gt;""),"●","")</x:f>
      </x:c>
      <x:c r="BI228" s="165" t="str">
        <x:f>IF(AND(BI$5&gt;=$C228,BI$5&lt;=$D228,$A228&lt;&gt;""),"●","")</x:f>
      </x:c>
      <x:c r="BJ228" s="165" t="str">
        <x:f>IF(AND(BJ$5&gt;=$C228,BJ$5&lt;=$D228,$A228&lt;&gt;""),"●","")</x:f>
      </x:c>
      <x:c r="BK228" s="165" t="str">
        <x:f>IF(AND(BK$5&gt;=$C228,BK$5&lt;=$D228,$A228&lt;&gt;""),"●","")</x:f>
      </x:c>
      <x:c r="BL228" s="165" t="str">
        <x:f>IF(AND(BL$5&gt;=$C228,BL$5&lt;=$D228,$A228&lt;&gt;""),"●","")</x:f>
      </x:c>
      <x:c r="BM228" s="165" t="str">
        <x:f>IF(AND(BM$5&gt;=$C228,BM$5&lt;=$D228,$A228&lt;&gt;""),"●","")</x:f>
      </x:c>
      <x:c r="BN228" s="165" t="str">
        <x:f>IF(AND(BN$5&gt;=$C228,BN$5&lt;=$D228,$A228&lt;&gt;""),"●","")</x:f>
      </x:c>
      <x:c r="BO228" s="165" t="str">
        <x:f>IF(AND(BO$5&gt;=$C228,BO$5&lt;=$D228,$A228&lt;&gt;""),"●","")</x:f>
      </x:c>
      <x:c r="BP228" s="165" t="str">
        <x:f>IF(AND(BP$5&gt;=$C228,BP$5&lt;=$D228,$A228&lt;&gt;""),"●","")</x:f>
      </x:c>
      <x:c r="BQ228" s="165" t="str">
        <x:f>IF(AND(BQ$5&gt;=$C228,BQ$5&lt;=$D228,$A228&lt;&gt;""),"●","")</x:f>
      </x:c>
      <x:c r="BR228" s="165" t="str">
        <x:f>IF(AND(BR$5&gt;=$C228,BR$5&lt;=$D228,$A228&lt;&gt;""),"●","")</x:f>
      </x:c>
      <x:c r="BS228" s="165" t="str">
        <x:f>IF(AND(BS$5&gt;=$C228,BS$5&lt;=$D228,$A228&lt;&gt;""),"●","")</x:f>
      </x:c>
      <x:c r="BT228" s="165" t="str">
        <x:f>IF(AND(BT$5&gt;=$C228,BT$5&lt;=$D228,$A228&lt;&gt;""),"●","")</x:f>
      </x:c>
      <x:c r="BU228" s="165" t="str">
        <x:f>IF(AND(BU$5&gt;=$C228,BU$5&lt;=$D228,$A228&lt;&gt;""),"●","")</x:f>
      </x:c>
      <x:c r="BV228" s="165" t="str">
        <x:f>IF(AND(BV$5&gt;=$C228,BV$5&lt;=$D228,$A228&lt;&gt;""),"●","")</x:f>
      </x:c>
      <x:c r="BW228" s="165" t="str">
        <x:f>IF(AND(BW$5&gt;=$C228,BW$5&lt;=$D228,$A228&lt;&gt;""),"●","")</x:f>
      </x:c>
    </x:row>
    <x:row r="229">
      <x:c r="A229" s="159" t="str">
        <x:f>IF('รายการสัญญา'!A229="","",'รายการสัญญา'!A229)</x:f>
      </x:c>
      <x:c r="B229" s="159" t="str">
        <x:f>IF('รายการสัญญา'!A229="","",'รายการสัญญา'!C229)</x:f>
      </x:c>
      <x:c r="C229" s="162" t="str">
        <x:f>IF('รายการสัญญา'!A229="","",'รายการสัญญา'!E229)</x:f>
      </x:c>
      <x:c r="D229" s="162" t="str">
        <x:f>IF('รายการสัญญา'!A229="","",'รายการสัญญา'!G229)</x:f>
      </x:c>
      <x:c r="E229" s="159" t="str">
        <x:f>IF('รายการสัญญา'!A229="","",'รายการสัญญา'!K229)</x:f>
      </x:c>
      <x:c r="F229" s="165" t="str">
        <x:f>IF(AND(F$5&gt;=$C229,F$5&lt;=$D229,$A229&lt;&gt;""),"●","")</x:f>
      </x:c>
      <x:c r="G229" s="165" t="str">
        <x:f>IF(AND(G$5&gt;=$C229,G$5&lt;=$D229,$A229&lt;&gt;""),"●","")</x:f>
      </x:c>
      <x:c r="H229" s="165" t="str">
        <x:f>IF(AND(H$5&gt;=$C229,H$5&lt;=$D229,$A229&lt;&gt;""),"●","")</x:f>
      </x:c>
      <x:c r="I229" s="165" t="str">
        <x:f>IF(AND(I$5&gt;=$C229,I$5&lt;=$D229,$A229&lt;&gt;""),"●","")</x:f>
      </x:c>
      <x:c r="J229" s="165" t="str">
        <x:f>IF(AND(J$5&gt;=$C229,J$5&lt;=$D229,$A229&lt;&gt;""),"●","")</x:f>
      </x:c>
      <x:c r="K229" s="165" t="str">
        <x:f>IF(AND(K$5&gt;=$C229,K$5&lt;=$D229,$A229&lt;&gt;""),"●","")</x:f>
      </x:c>
      <x:c r="L229" s="165" t="str">
        <x:f>IF(AND(L$5&gt;=$C229,L$5&lt;=$D229,$A229&lt;&gt;""),"●","")</x:f>
      </x:c>
      <x:c r="M229" s="165" t="str">
        <x:f>IF(AND(M$5&gt;=$C229,M$5&lt;=$D229,$A229&lt;&gt;""),"●","")</x:f>
      </x:c>
      <x:c r="N229" s="165" t="str">
        <x:f>IF(AND(N$5&gt;=$C229,N$5&lt;=$D229,$A229&lt;&gt;""),"●","")</x:f>
      </x:c>
      <x:c r="O229" s="165" t="str">
        <x:f>IF(AND(O$5&gt;=$C229,O$5&lt;=$D229,$A229&lt;&gt;""),"●","")</x:f>
      </x:c>
      <x:c r="P229" s="165" t="str">
        <x:f>IF(AND(P$5&gt;=$C229,P$5&lt;=$D229,$A229&lt;&gt;""),"●","")</x:f>
      </x:c>
      <x:c r="Q229" s="165" t="str">
        <x:f>IF(AND(Q$5&gt;=$C229,Q$5&lt;=$D229,$A229&lt;&gt;""),"●","")</x:f>
      </x:c>
      <x:c r="R229" s="165" t="str">
        <x:f>IF(AND(R$5&gt;=$C229,R$5&lt;=$D229,$A229&lt;&gt;""),"●","")</x:f>
      </x:c>
      <x:c r="S229" s="165" t="str">
        <x:f>IF(AND(S$5&gt;=$C229,S$5&lt;=$D229,$A229&lt;&gt;""),"●","")</x:f>
      </x:c>
      <x:c r="T229" s="165" t="str">
        <x:f>IF(AND(T$5&gt;=$C229,T$5&lt;=$D229,$A229&lt;&gt;""),"●","")</x:f>
      </x:c>
      <x:c r="U229" s="165" t="str">
        <x:f>IF(AND(U$5&gt;=$C229,U$5&lt;=$D229,$A229&lt;&gt;""),"●","")</x:f>
      </x:c>
      <x:c r="V229" s="165" t="str">
        <x:f>IF(AND(V$5&gt;=$C229,V$5&lt;=$D229,$A229&lt;&gt;""),"●","")</x:f>
      </x:c>
      <x:c r="W229" s="165" t="str">
        <x:f>IF(AND(W$5&gt;=$C229,W$5&lt;=$D229,$A229&lt;&gt;""),"●","")</x:f>
      </x:c>
      <x:c r="X229" s="165" t="str">
        <x:f>IF(AND(X$5&gt;=$C229,X$5&lt;=$D229,$A229&lt;&gt;""),"●","")</x:f>
      </x:c>
      <x:c r="Y229" s="165" t="str">
        <x:f>IF(AND(Y$5&gt;=$C229,Y$5&lt;=$D229,$A229&lt;&gt;""),"●","")</x:f>
      </x:c>
      <x:c r="Z229" s="165" t="str">
        <x:f>IF(AND(Z$5&gt;=$C229,Z$5&lt;=$D229,$A229&lt;&gt;""),"●","")</x:f>
      </x:c>
      <x:c r="AA229" s="165" t="str">
        <x:f>IF(AND(AA$5&gt;=$C229,AA$5&lt;=$D229,$A229&lt;&gt;""),"●","")</x:f>
      </x:c>
      <x:c r="AB229" s="165" t="str">
        <x:f>IF(AND(AB$5&gt;=$C229,AB$5&lt;=$D229,$A229&lt;&gt;""),"●","")</x:f>
      </x:c>
      <x:c r="AC229" s="165" t="str">
        <x:f>IF(AND(AC$5&gt;=$C229,AC$5&lt;=$D229,$A229&lt;&gt;""),"●","")</x:f>
      </x:c>
      <x:c r="AD229" s="165" t="str">
        <x:f>IF(AND(AD$5&gt;=$C229,AD$5&lt;=$D229,$A229&lt;&gt;""),"●","")</x:f>
      </x:c>
      <x:c r="AE229" s="165" t="str">
        <x:f>IF(AND(AE$5&gt;=$C229,AE$5&lt;=$D229,$A229&lt;&gt;""),"●","")</x:f>
      </x:c>
      <x:c r="AF229" s="165" t="str">
        <x:f>IF(AND(AF$5&gt;=$C229,AF$5&lt;=$D229,$A229&lt;&gt;""),"●","")</x:f>
      </x:c>
      <x:c r="AG229" s="165" t="str">
        <x:f>IF(AND(AG$5&gt;=$C229,AG$5&lt;=$D229,$A229&lt;&gt;""),"●","")</x:f>
      </x:c>
      <x:c r="AH229" s="165" t="str">
        <x:f>IF(AND(AH$5&gt;=$C229,AH$5&lt;=$D229,$A229&lt;&gt;""),"●","")</x:f>
      </x:c>
      <x:c r="AI229" s="165" t="str">
        <x:f>IF(AND(AI$5&gt;=$C229,AI$5&lt;=$D229,$A229&lt;&gt;""),"●","")</x:f>
      </x:c>
      <x:c r="AJ229" s="165" t="str">
        <x:f>IF(AND(AJ$5&gt;=$C229,AJ$5&lt;=$D229,$A229&lt;&gt;""),"●","")</x:f>
      </x:c>
      <x:c r="AK229" s="165" t="str">
        <x:f>IF(AND(AK$5&gt;=$C229,AK$5&lt;=$D229,$A229&lt;&gt;""),"●","")</x:f>
      </x:c>
      <x:c r="AL229" s="165" t="str">
        <x:f>IF(AND(AL$5&gt;=$C229,AL$5&lt;=$D229,$A229&lt;&gt;""),"●","")</x:f>
      </x:c>
      <x:c r="AM229" s="165" t="str">
        <x:f>IF(AND(AM$5&gt;=$C229,AM$5&lt;=$D229,$A229&lt;&gt;""),"●","")</x:f>
      </x:c>
      <x:c r="AN229" s="165" t="str">
        <x:f>IF(AND(AN$5&gt;=$C229,AN$5&lt;=$D229,$A229&lt;&gt;""),"●","")</x:f>
      </x:c>
      <x:c r="AO229" s="165" t="str">
        <x:f>IF(AND(AO$5&gt;=$C229,AO$5&lt;=$D229,$A229&lt;&gt;""),"●","")</x:f>
      </x:c>
      <x:c r="AP229" s="165" t="str">
        <x:f>IF(AND(AP$5&gt;=$C229,AP$5&lt;=$D229,$A229&lt;&gt;""),"●","")</x:f>
      </x:c>
      <x:c r="AQ229" s="165" t="str">
        <x:f>IF(AND(AQ$5&gt;=$C229,AQ$5&lt;=$D229,$A229&lt;&gt;""),"●","")</x:f>
      </x:c>
      <x:c r="AR229" s="165" t="str">
        <x:f>IF(AND(AR$5&gt;=$C229,AR$5&lt;=$D229,$A229&lt;&gt;""),"●","")</x:f>
      </x:c>
      <x:c r="AS229" s="165" t="str">
        <x:f>IF(AND(AS$5&gt;=$C229,AS$5&lt;=$D229,$A229&lt;&gt;""),"●","")</x:f>
      </x:c>
      <x:c r="AT229" s="165" t="str">
        <x:f>IF(AND(AT$5&gt;=$C229,AT$5&lt;=$D229,$A229&lt;&gt;""),"●","")</x:f>
      </x:c>
      <x:c r="AU229" s="165" t="str">
        <x:f>IF(AND(AU$5&gt;=$C229,AU$5&lt;=$D229,$A229&lt;&gt;""),"●","")</x:f>
      </x:c>
      <x:c r="AV229" s="165" t="str">
        <x:f>IF(AND(AV$5&gt;=$C229,AV$5&lt;=$D229,$A229&lt;&gt;""),"●","")</x:f>
      </x:c>
      <x:c r="AW229" s="165" t="str">
        <x:f>IF(AND(AW$5&gt;=$C229,AW$5&lt;=$D229,$A229&lt;&gt;""),"●","")</x:f>
      </x:c>
      <x:c r="AX229" s="165" t="str">
        <x:f>IF(AND(AX$5&gt;=$C229,AX$5&lt;=$D229,$A229&lt;&gt;""),"●","")</x:f>
      </x:c>
      <x:c r="AY229" s="165" t="str">
        <x:f>IF(AND(AY$5&gt;=$C229,AY$5&lt;=$D229,$A229&lt;&gt;""),"●","")</x:f>
      </x:c>
      <x:c r="AZ229" s="165" t="str">
        <x:f>IF(AND(AZ$5&gt;=$C229,AZ$5&lt;=$D229,$A229&lt;&gt;""),"●","")</x:f>
      </x:c>
      <x:c r="BA229" s="165" t="str">
        <x:f>IF(AND(BA$5&gt;=$C229,BA$5&lt;=$D229,$A229&lt;&gt;""),"●","")</x:f>
      </x:c>
      <x:c r="BB229" s="165" t="str">
        <x:f>IF(AND(BB$5&gt;=$C229,BB$5&lt;=$D229,$A229&lt;&gt;""),"●","")</x:f>
      </x:c>
      <x:c r="BC229" s="165" t="str">
        <x:f>IF(AND(BC$5&gt;=$C229,BC$5&lt;=$D229,$A229&lt;&gt;""),"●","")</x:f>
      </x:c>
      <x:c r="BD229" s="165" t="str">
        <x:f>IF(AND(BD$5&gt;=$C229,BD$5&lt;=$D229,$A229&lt;&gt;""),"●","")</x:f>
      </x:c>
      <x:c r="BE229" s="165" t="str">
        <x:f>IF(AND(BE$5&gt;=$C229,BE$5&lt;=$D229,$A229&lt;&gt;""),"●","")</x:f>
      </x:c>
      <x:c r="BF229" s="165" t="str">
        <x:f>IF(AND(BF$5&gt;=$C229,BF$5&lt;=$D229,$A229&lt;&gt;""),"●","")</x:f>
      </x:c>
      <x:c r="BG229" s="165" t="str">
        <x:f>IF(AND(BG$5&gt;=$C229,BG$5&lt;=$D229,$A229&lt;&gt;""),"●","")</x:f>
      </x:c>
      <x:c r="BH229" s="165" t="str">
        <x:f>IF(AND(BH$5&gt;=$C229,BH$5&lt;=$D229,$A229&lt;&gt;""),"●","")</x:f>
      </x:c>
      <x:c r="BI229" s="165" t="str">
        <x:f>IF(AND(BI$5&gt;=$C229,BI$5&lt;=$D229,$A229&lt;&gt;""),"●","")</x:f>
      </x:c>
      <x:c r="BJ229" s="165" t="str">
        <x:f>IF(AND(BJ$5&gt;=$C229,BJ$5&lt;=$D229,$A229&lt;&gt;""),"●","")</x:f>
      </x:c>
      <x:c r="BK229" s="165" t="str">
        <x:f>IF(AND(BK$5&gt;=$C229,BK$5&lt;=$D229,$A229&lt;&gt;""),"●","")</x:f>
      </x:c>
      <x:c r="BL229" s="165" t="str">
        <x:f>IF(AND(BL$5&gt;=$C229,BL$5&lt;=$D229,$A229&lt;&gt;""),"●","")</x:f>
      </x:c>
      <x:c r="BM229" s="165" t="str">
        <x:f>IF(AND(BM$5&gt;=$C229,BM$5&lt;=$D229,$A229&lt;&gt;""),"●","")</x:f>
      </x:c>
      <x:c r="BN229" s="165" t="str">
        <x:f>IF(AND(BN$5&gt;=$C229,BN$5&lt;=$D229,$A229&lt;&gt;""),"●","")</x:f>
      </x:c>
      <x:c r="BO229" s="165" t="str">
        <x:f>IF(AND(BO$5&gt;=$C229,BO$5&lt;=$D229,$A229&lt;&gt;""),"●","")</x:f>
      </x:c>
      <x:c r="BP229" s="165" t="str">
        <x:f>IF(AND(BP$5&gt;=$C229,BP$5&lt;=$D229,$A229&lt;&gt;""),"●","")</x:f>
      </x:c>
      <x:c r="BQ229" s="165" t="str">
        <x:f>IF(AND(BQ$5&gt;=$C229,BQ$5&lt;=$D229,$A229&lt;&gt;""),"●","")</x:f>
      </x:c>
      <x:c r="BR229" s="165" t="str">
        <x:f>IF(AND(BR$5&gt;=$C229,BR$5&lt;=$D229,$A229&lt;&gt;""),"●","")</x:f>
      </x:c>
      <x:c r="BS229" s="165" t="str">
        <x:f>IF(AND(BS$5&gt;=$C229,BS$5&lt;=$D229,$A229&lt;&gt;""),"●","")</x:f>
      </x:c>
      <x:c r="BT229" s="165" t="str">
        <x:f>IF(AND(BT$5&gt;=$C229,BT$5&lt;=$D229,$A229&lt;&gt;""),"●","")</x:f>
      </x:c>
      <x:c r="BU229" s="165" t="str">
        <x:f>IF(AND(BU$5&gt;=$C229,BU$5&lt;=$D229,$A229&lt;&gt;""),"●","")</x:f>
      </x:c>
      <x:c r="BV229" s="165" t="str">
        <x:f>IF(AND(BV$5&gt;=$C229,BV$5&lt;=$D229,$A229&lt;&gt;""),"●","")</x:f>
      </x:c>
      <x:c r="BW229" s="165" t="str">
        <x:f>IF(AND(BW$5&gt;=$C229,BW$5&lt;=$D229,$A229&lt;&gt;""),"●","")</x:f>
      </x:c>
    </x:row>
    <x:row r="230">
      <x:c r="A230" s="159" t="str">
        <x:f>IF('รายการสัญญา'!A230="","",'รายการสัญญา'!A230)</x:f>
      </x:c>
      <x:c r="B230" s="159" t="str">
        <x:f>IF('รายการสัญญา'!A230="","",'รายการสัญญา'!C230)</x:f>
      </x:c>
      <x:c r="C230" s="162" t="str">
        <x:f>IF('รายการสัญญา'!A230="","",'รายการสัญญา'!E230)</x:f>
      </x:c>
      <x:c r="D230" s="162" t="str">
        <x:f>IF('รายการสัญญา'!A230="","",'รายการสัญญา'!G230)</x:f>
      </x:c>
      <x:c r="E230" s="159" t="str">
        <x:f>IF('รายการสัญญา'!A230="","",'รายการสัญญา'!K230)</x:f>
      </x:c>
      <x:c r="F230" s="165" t="str">
        <x:f>IF(AND(F$5&gt;=$C230,F$5&lt;=$D230,$A230&lt;&gt;""),"●","")</x:f>
      </x:c>
      <x:c r="G230" s="165" t="str">
        <x:f>IF(AND(G$5&gt;=$C230,G$5&lt;=$D230,$A230&lt;&gt;""),"●","")</x:f>
      </x:c>
      <x:c r="H230" s="165" t="str">
        <x:f>IF(AND(H$5&gt;=$C230,H$5&lt;=$D230,$A230&lt;&gt;""),"●","")</x:f>
      </x:c>
      <x:c r="I230" s="165" t="str">
        <x:f>IF(AND(I$5&gt;=$C230,I$5&lt;=$D230,$A230&lt;&gt;""),"●","")</x:f>
      </x:c>
      <x:c r="J230" s="165" t="str">
        <x:f>IF(AND(J$5&gt;=$C230,J$5&lt;=$D230,$A230&lt;&gt;""),"●","")</x:f>
      </x:c>
      <x:c r="K230" s="165" t="str">
        <x:f>IF(AND(K$5&gt;=$C230,K$5&lt;=$D230,$A230&lt;&gt;""),"●","")</x:f>
      </x:c>
      <x:c r="L230" s="165" t="str">
        <x:f>IF(AND(L$5&gt;=$C230,L$5&lt;=$D230,$A230&lt;&gt;""),"●","")</x:f>
      </x:c>
      <x:c r="M230" s="165" t="str">
        <x:f>IF(AND(M$5&gt;=$C230,M$5&lt;=$D230,$A230&lt;&gt;""),"●","")</x:f>
      </x:c>
      <x:c r="N230" s="165" t="str">
        <x:f>IF(AND(N$5&gt;=$C230,N$5&lt;=$D230,$A230&lt;&gt;""),"●","")</x:f>
      </x:c>
      <x:c r="O230" s="165" t="str">
        <x:f>IF(AND(O$5&gt;=$C230,O$5&lt;=$D230,$A230&lt;&gt;""),"●","")</x:f>
      </x:c>
      <x:c r="P230" s="165" t="str">
        <x:f>IF(AND(P$5&gt;=$C230,P$5&lt;=$D230,$A230&lt;&gt;""),"●","")</x:f>
      </x:c>
      <x:c r="Q230" s="165" t="str">
        <x:f>IF(AND(Q$5&gt;=$C230,Q$5&lt;=$D230,$A230&lt;&gt;""),"●","")</x:f>
      </x:c>
      <x:c r="R230" s="165" t="str">
        <x:f>IF(AND(R$5&gt;=$C230,R$5&lt;=$D230,$A230&lt;&gt;""),"●","")</x:f>
      </x:c>
      <x:c r="S230" s="165" t="str">
        <x:f>IF(AND(S$5&gt;=$C230,S$5&lt;=$D230,$A230&lt;&gt;""),"●","")</x:f>
      </x:c>
      <x:c r="T230" s="165" t="str">
        <x:f>IF(AND(T$5&gt;=$C230,T$5&lt;=$D230,$A230&lt;&gt;""),"●","")</x:f>
      </x:c>
      <x:c r="U230" s="165" t="str">
        <x:f>IF(AND(U$5&gt;=$C230,U$5&lt;=$D230,$A230&lt;&gt;""),"●","")</x:f>
      </x:c>
      <x:c r="V230" s="165" t="str">
        <x:f>IF(AND(V$5&gt;=$C230,V$5&lt;=$D230,$A230&lt;&gt;""),"●","")</x:f>
      </x:c>
      <x:c r="W230" s="165" t="str">
        <x:f>IF(AND(W$5&gt;=$C230,W$5&lt;=$D230,$A230&lt;&gt;""),"●","")</x:f>
      </x:c>
      <x:c r="X230" s="165" t="str">
        <x:f>IF(AND(X$5&gt;=$C230,X$5&lt;=$D230,$A230&lt;&gt;""),"●","")</x:f>
      </x:c>
      <x:c r="Y230" s="165" t="str">
        <x:f>IF(AND(Y$5&gt;=$C230,Y$5&lt;=$D230,$A230&lt;&gt;""),"●","")</x:f>
      </x:c>
      <x:c r="Z230" s="165" t="str">
        <x:f>IF(AND(Z$5&gt;=$C230,Z$5&lt;=$D230,$A230&lt;&gt;""),"●","")</x:f>
      </x:c>
      <x:c r="AA230" s="165" t="str">
        <x:f>IF(AND(AA$5&gt;=$C230,AA$5&lt;=$D230,$A230&lt;&gt;""),"●","")</x:f>
      </x:c>
      <x:c r="AB230" s="165" t="str">
        <x:f>IF(AND(AB$5&gt;=$C230,AB$5&lt;=$D230,$A230&lt;&gt;""),"●","")</x:f>
      </x:c>
      <x:c r="AC230" s="165" t="str">
        <x:f>IF(AND(AC$5&gt;=$C230,AC$5&lt;=$D230,$A230&lt;&gt;""),"●","")</x:f>
      </x:c>
      <x:c r="AD230" s="165" t="str">
        <x:f>IF(AND(AD$5&gt;=$C230,AD$5&lt;=$D230,$A230&lt;&gt;""),"●","")</x:f>
      </x:c>
      <x:c r="AE230" s="165" t="str">
        <x:f>IF(AND(AE$5&gt;=$C230,AE$5&lt;=$D230,$A230&lt;&gt;""),"●","")</x:f>
      </x:c>
      <x:c r="AF230" s="165" t="str">
        <x:f>IF(AND(AF$5&gt;=$C230,AF$5&lt;=$D230,$A230&lt;&gt;""),"●","")</x:f>
      </x:c>
      <x:c r="AG230" s="165" t="str">
        <x:f>IF(AND(AG$5&gt;=$C230,AG$5&lt;=$D230,$A230&lt;&gt;""),"●","")</x:f>
      </x:c>
      <x:c r="AH230" s="165" t="str">
        <x:f>IF(AND(AH$5&gt;=$C230,AH$5&lt;=$D230,$A230&lt;&gt;""),"●","")</x:f>
      </x:c>
      <x:c r="AI230" s="165" t="str">
        <x:f>IF(AND(AI$5&gt;=$C230,AI$5&lt;=$D230,$A230&lt;&gt;""),"●","")</x:f>
      </x:c>
      <x:c r="AJ230" s="165" t="str">
        <x:f>IF(AND(AJ$5&gt;=$C230,AJ$5&lt;=$D230,$A230&lt;&gt;""),"●","")</x:f>
      </x:c>
      <x:c r="AK230" s="165" t="str">
        <x:f>IF(AND(AK$5&gt;=$C230,AK$5&lt;=$D230,$A230&lt;&gt;""),"●","")</x:f>
      </x:c>
      <x:c r="AL230" s="165" t="str">
        <x:f>IF(AND(AL$5&gt;=$C230,AL$5&lt;=$D230,$A230&lt;&gt;""),"●","")</x:f>
      </x:c>
      <x:c r="AM230" s="165" t="str">
        <x:f>IF(AND(AM$5&gt;=$C230,AM$5&lt;=$D230,$A230&lt;&gt;""),"●","")</x:f>
      </x:c>
      <x:c r="AN230" s="165" t="str">
        <x:f>IF(AND(AN$5&gt;=$C230,AN$5&lt;=$D230,$A230&lt;&gt;""),"●","")</x:f>
      </x:c>
      <x:c r="AO230" s="165" t="str">
        <x:f>IF(AND(AO$5&gt;=$C230,AO$5&lt;=$D230,$A230&lt;&gt;""),"●","")</x:f>
      </x:c>
      <x:c r="AP230" s="165" t="str">
        <x:f>IF(AND(AP$5&gt;=$C230,AP$5&lt;=$D230,$A230&lt;&gt;""),"●","")</x:f>
      </x:c>
      <x:c r="AQ230" s="165" t="str">
        <x:f>IF(AND(AQ$5&gt;=$C230,AQ$5&lt;=$D230,$A230&lt;&gt;""),"●","")</x:f>
      </x:c>
      <x:c r="AR230" s="165" t="str">
        <x:f>IF(AND(AR$5&gt;=$C230,AR$5&lt;=$D230,$A230&lt;&gt;""),"●","")</x:f>
      </x:c>
      <x:c r="AS230" s="165" t="str">
        <x:f>IF(AND(AS$5&gt;=$C230,AS$5&lt;=$D230,$A230&lt;&gt;""),"●","")</x:f>
      </x:c>
      <x:c r="AT230" s="165" t="str">
        <x:f>IF(AND(AT$5&gt;=$C230,AT$5&lt;=$D230,$A230&lt;&gt;""),"●","")</x:f>
      </x:c>
      <x:c r="AU230" s="165" t="str">
        <x:f>IF(AND(AU$5&gt;=$C230,AU$5&lt;=$D230,$A230&lt;&gt;""),"●","")</x:f>
      </x:c>
      <x:c r="AV230" s="165" t="str">
        <x:f>IF(AND(AV$5&gt;=$C230,AV$5&lt;=$D230,$A230&lt;&gt;""),"●","")</x:f>
      </x:c>
      <x:c r="AW230" s="165" t="str">
        <x:f>IF(AND(AW$5&gt;=$C230,AW$5&lt;=$D230,$A230&lt;&gt;""),"●","")</x:f>
      </x:c>
      <x:c r="AX230" s="165" t="str">
        <x:f>IF(AND(AX$5&gt;=$C230,AX$5&lt;=$D230,$A230&lt;&gt;""),"●","")</x:f>
      </x:c>
      <x:c r="AY230" s="165" t="str">
        <x:f>IF(AND(AY$5&gt;=$C230,AY$5&lt;=$D230,$A230&lt;&gt;""),"●","")</x:f>
      </x:c>
      <x:c r="AZ230" s="165" t="str">
        <x:f>IF(AND(AZ$5&gt;=$C230,AZ$5&lt;=$D230,$A230&lt;&gt;""),"●","")</x:f>
      </x:c>
      <x:c r="BA230" s="165" t="str">
        <x:f>IF(AND(BA$5&gt;=$C230,BA$5&lt;=$D230,$A230&lt;&gt;""),"●","")</x:f>
      </x:c>
      <x:c r="BB230" s="165" t="str">
        <x:f>IF(AND(BB$5&gt;=$C230,BB$5&lt;=$D230,$A230&lt;&gt;""),"●","")</x:f>
      </x:c>
      <x:c r="BC230" s="165" t="str">
        <x:f>IF(AND(BC$5&gt;=$C230,BC$5&lt;=$D230,$A230&lt;&gt;""),"●","")</x:f>
      </x:c>
      <x:c r="BD230" s="165" t="str">
        <x:f>IF(AND(BD$5&gt;=$C230,BD$5&lt;=$D230,$A230&lt;&gt;""),"●","")</x:f>
      </x:c>
      <x:c r="BE230" s="165" t="str">
        <x:f>IF(AND(BE$5&gt;=$C230,BE$5&lt;=$D230,$A230&lt;&gt;""),"●","")</x:f>
      </x:c>
      <x:c r="BF230" s="165" t="str">
        <x:f>IF(AND(BF$5&gt;=$C230,BF$5&lt;=$D230,$A230&lt;&gt;""),"●","")</x:f>
      </x:c>
      <x:c r="BG230" s="165" t="str">
        <x:f>IF(AND(BG$5&gt;=$C230,BG$5&lt;=$D230,$A230&lt;&gt;""),"●","")</x:f>
      </x:c>
      <x:c r="BH230" s="165" t="str">
        <x:f>IF(AND(BH$5&gt;=$C230,BH$5&lt;=$D230,$A230&lt;&gt;""),"●","")</x:f>
      </x:c>
      <x:c r="BI230" s="165" t="str">
        <x:f>IF(AND(BI$5&gt;=$C230,BI$5&lt;=$D230,$A230&lt;&gt;""),"●","")</x:f>
      </x:c>
      <x:c r="BJ230" s="165" t="str">
        <x:f>IF(AND(BJ$5&gt;=$C230,BJ$5&lt;=$D230,$A230&lt;&gt;""),"●","")</x:f>
      </x:c>
      <x:c r="BK230" s="165" t="str">
        <x:f>IF(AND(BK$5&gt;=$C230,BK$5&lt;=$D230,$A230&lt;&gt;""),"●","")</x:f>
      </x:c>
      <x:c r="BL230" s="165" t="str">
        <x:f>IF(AND(BL$5&gt;=$C230,BL$5&lt;=$D230,$A230&lt;&gt;""),"●","")</x:f>
      </x:c>
      <x:c r="BM230" s="165" t="str">
        <x:f>IF(AND(BM$5&gt;=$C230,BM$5&lt;=$D230,$A230&lt;&gt;""),"●","")</x:f>
      </x:c>
      <x:c r="BN230" s="165" t="str">
        <x:f>IF(AND(BN$5&gt;=$C230,BN$5&lt;=$D230,$A230&lt;&gt;""),"●","")</x:f>
      </x:c>
      <x:c r="BO230" s="165" t="str">
        <x:f>IF(AND(BO$5&gt;=$C230,BO$5&lt;=$D230,$A230&lt;&gt;""),"●","")</x:f>
      </x:c>
      <x:c r="BP230" s="165" t="str">
        <x:f>IF(AND(BP$5&gt;=$C230,BP$5&lt;=$D230,$A230&lt;&gt;""),"●","")</x:f>
      </x:c>
      <x:c r="BQ230" s="165" t="str">
        <x:f>IF(AND(BQ$5&gt;=$C230,BQ$5&lt;=$D230,$A230&lt;&gt;""),"●","")</x:f>
      </x:c>
      <x:c r="BR230" s="165" t="str">
        <x:f>IF(AND(BR$5&gt;=$C230,BR$5&lt;=$D230,$A230&lt;&gt;""),"●","")</x:f>
      </x:c>
      <x:c r="BS230" s="165" t="str">
        <x:f>IF(AND(BS$5&gt;=$C230,BS$5&lt;=$D230,$A230&lt;&gt;""),"●","")</x:f>
      </x:c>
      <x:c r="BT230" s="165" t="str">
        <x:f>IF(AND(BT$5&gt;=$C230,BT$5&lt;=$D230,$A230&lt;&gt;""),"●","")</x:f>
      </x:c>
      <x:c r="BU230" s="165" t="str">
        <x:f>IF(AND(BU$5&gt;=$C230,BU$5&lt;=$D230,$A230&lt;&gt;""),"●","")</x:f>
      </x:c>
      <x:c r="BV230" s="165" t="str">
        <x:f>IF(AND(BV$5&gt;=$C230,BV$5&lt;=$D230,$A230&lt;&gt;""),"●","")</x:f>
      </x:c>
      <x:c r="BW230" s="165" t="str">
        <x:f>IF(AND(BW$5&gt;=$C230,BW$5&lt;=$D230,$A230&lt;&gt;""),"●","")</x:f>
      </x:c>
    </x:row>
    <x:row r="231">
      <x:c r="A231" s="159" t="str">
        <x:f>IF('รายการสัญญา'!A231="","",'รายการสัญญา'!A231)</x:f>
      </x:c>
      <x:c r="B231" s="159" t="str">
        <x:f>IF('รายการสัญญา'!A231="","",'รายการสัญญา'!C231)</x:f>
      </x:c>
      <x:c r="C231" s="162" t="str">
        <x:f>IF('รายการสัญญา'!A231="","",'รายการสัญญา'!E231)</x:f>
      </x:c>
      <x:c r="D231" s="162" t="str">
        <x:f>IF('รายการสัญญา'!A231="","",'รายการสัญญา'!G231)</x:f>
      </x:c>
      <x:c r="E231" s="159" t="str">
        <x:f>IF('รายการสัญญา'!A231="","",'รายการสัญญา'!K231)</x:f>
      </x:c>
      <x:c r="F231" s="165" t="str">
        <x:f>IF(AND(F$5&gt;=$C231,F$5&lt;=$D231,$A231&lt;&gt;""),"●","")</x:f>
      </x:c>
      <x:c r="G231" s="165" t="str">
        <x:f>IF(AND(G$5&gt;=$C231,G$5&lt;=$D231,$A231&lt;&gt;""),"●","")</x:f>
      </x:c>
      <x:c r="H231" s="165" t="str">
        <x:f>IF(AND(H$5&gt;=$C231,H$5&lt;=$D231,$A231&lt;&gt;""),"●","")</x:f>
      </x:c>
      <x:c r="I231" s="165" t="str">
        <x:f>IF(AND(I$5&gt;=$C231,I$5&lt;=$D231,$A231&lt;&gt;""),"●","")</x:f>
      </x:c>
      <x:c r="J231" s="165" t="str">
        <x:f>IF(AND(J$5&gt;=$C231,J$5&lt;=$D231,$A231&lt;&gt;""),"●","")</x:f>
      </x:c>
      <x:c r="K231" s="165" t="str">
        <x:f>IF(AND(K$5&gt;=$C231,K$5&lt;=$D231,$A231&lt;&gt;""),"●","")</x:f>
      </x:c>
      <x:c r="L231" s="165" t="str">
        <x:f>IF(AND(L$5&gt;=$C231,L$5&lt;=$D231,$A231&lt;&gt;""),"●","")</x:f>
      </x:c>
      <x:c r="M231" s="165" t="str">
        <x:f>IF(AND(M$5&gt;=$C231,M$5&lt;=$D231,$A231&lt;&gt;""),"●","")</x:f>
      </x:c>
      <x:c r="N231" s="165" t="str">
        <x:f>IF(AND(N$5&gt;=$C231,N$5&lt;=$D231,$A231&lt;&gt;""),"●","")</x:f>
      </x:c>
      <x:c r="O231" s="165" t="str">
        <x:f>IF(AND(O$5&gt;=$C231,O$5&lt;=$D231,$A231&lt;&gt;""),"●","")</x:f>
      </x:c>
      <x:c r="P231" s="165" t="str">
        <x:f>IF(AND(P$5&gt;=$C231,P$5&lt;=$D231,$A231&lt;&gt;""),"●","")</x:f>
      </x:c>
      <x:c r="Q231" s="165" t="str">
        <x:f>IF(AND(Q$5&gt;=$C231,Q$5&lt;=$D231,$A231&lt;&gt;""),"●","")</x:f>
      </x:c>
      <x:c r="R231" s="165" t="str">
        <x:f>IF(AND(R$5&gt;=$C231,R$5&lt;=$D231,$A231&lt;&gt;""),"●","")</x:f>
      </x:c>
      <x:c r="S231" s="165" t="str">
        <x:f>IF(AND(S$5&gt;=$C231,S$5&lt;=$D231,$A231&lt;&gt;""),"●","")</x:f>
      </x:c>
      <x:c r="T231" s="165" t="str">
        <x:f>IF(AND(T$5&gt;=$C231,T$5&lt;=$D231,$A231&lt;&gt;""),"●","")</x:f>
      </x:c>
      <x:c r="U231" s="165" t="str">
        <x:f>IF(AND(U$5&gt;=$C231,U$5&lt;=$D231,$A231&lt;&gt;""),"●","")</x:f>
      </x:c>
      <x:c r="V231" s="165" t="str">
        <x:f>IF(AND(V$5&gt;=$C231,V$5&lt;=$D231,$A231&lt;&gt;""),"●","")</x:f>
      </x:c>
      <x:c r="W231" s="165" t="str">
        <x:f>IF(AND(W$5&gt;=$C231,W$5&lt;=$D231,$A231&lt;&gt;""),"●","")</x:f>
      </x:c>
      <x:c r="X231" s="165" t="str">
        <x:f>IF(AND(X$5&gt;=$C231,X$5&lt;=$D231,$A231&lt;&gt;""),"●","")</x:f>
      </x:c>
      <x:c r="Y231" s="165" t="str">
        <x:f>IF(AND(Y$5&gt;=$C231,Y$5&lt;=$D231,$A231&lt;&gt;""),"●","")</x:f>
      </x:c>
      <x:c r="Z231" s="165" t="str">
        <x:f>IF(AND(Z$5&gt;=$C231,Z$5&lt;=$D231,$A231&lt;&gt;""),"●","")</x:f>
      </x:c>
      <x:c r="AA231" s="165" t="str">
        <x:f>IF(AND(AA$5&gt;=$C231,AA$5&lt;=$D231,$A231&lt;&gt;""),"●","")</x:f>
      </x:c>
      <x:c r="AB231" s="165" t="str">
        <x:f>IF(AND(AB$5&gt;=$C231,AB$5&lt;=$D231,$A231&lt;&gt;""),"●","")</x:f>
      </x:c>
      <x:c r="AC231" s="165" t="str">
        <x:f>IF(AND(AC$5&gt;=$C231,AC$5&lt;=$D231,$A231&lt;&gt;""),"●","")</x:f>
      </x:c>
      <x:c r="AD231" s="165" t="str">
        <x:f>IF(AND(AD$5&gt;=$C231,AD$5&lt;=$D231,$A231&lt;&gt;""),"●","")</x:f>
      </x:c>
      <x:c r="AE231" s="165" t="str">
        <x:f>IF(AND(AE$5&gt;=$C231,AE$5&lt;=$D231,$A231&lt;&gt;""),"●","")</x:f>
      </x:c>
      <x:c r="AF231" s="165" t="str">
        <x:f>IF(AND(AF$5&gt;=$C231,AF$5&lt;=$D231,$A231&lt;&gt;""),"●","")</x:f>
      </x:c>
      <x:c r="AG231" s="165" t="str">
        <x:f>IF(AND(AG$5&gt;=$C231,AG$5&lt;=$D231,$A231&lt;&gt;""),"●","")</x:f>
      </x:c>
      <x:c r="AH231" s="165" t="str">
        <x:f>IF(AND(AH$5&gt;=$C231,AH$5&lt;=$D231,$A231&lt;&gt;""),"●","")</x:f>
      </x:c>
      <x:c r="AI231" s="165" t="str">
        <x:f>IF(AND(AI$5&gt;=$C231,AI$5&lt;=$D231,$A231&lt;&gt;""),"●","")</x:f>
      </x:c>
      <x:c r="AJ231" s="165" t="str">
        <x:f>IF(AND(AJ$5&gt;=$C231,AJ$5&lt;=$D231,$A231&lt;&gt;""),"●","")</x:f>
      </x:c>
      <x:c r="AK231" s="165" t="str">
        <x:f>IF(AND(AK$5&gt;=$C231,AK$5&lt;=$D231,$A231&lt;&gt;""),"●","")</x:f>
      </x:c>
      <x:c r="AL231" s="165" t="str">
        <x:f>IF(AND(AL$5&gt;=$C231,AL$5&lt;=$D231,$A231&lt;&gt;""),"●","")</x:f>
      </x:c>
      <x:c r="AM231" s="165" t="str">
        <x:f>IF(AND(AM$5&gt;=$C231,AM$5&lt;=$D231,$A231&lt;&gt;""),"●","")</x:f>
      </x:c>
      <x:c r="AN231" s="165" t="str">
        <x:f>IF(AND(AN$5&gt;=$C231,AN$5&lt;=$D231,$A231&lt;&gt;""),"●","")</x:f>
      </x:c>
      <x:c r="AO231" s="165" t="str">
        <x:f>IF(AND(AO$5&gt;=$C231,AO$5&lt;=$D231,$A231&lt;&gt;""),"●","")</x:f>
      </x:c>
      <x:c r="AP231" s="165" t="str">
        <x:f>IF(AND(AP$5&gt;=$C231,AP$5&lt;=$D231,$A231&lt;&gt;""),"●","")</x:f>
      </x:c>
      <x:c r="AQ231" s="165" t="str">
        <x:f>IF(AND(AQ$5&gt;=$C231,AQ$5&lt;=$D231,$A231&lt;&gt;""),"●","")</x:f>
      </x:c>
      <x:c r="AR231" s="165" t="str">
        <x:f>IF(AND(AR$5&gt;=$C231,AR$5&lt;=$D231,$A231&lt;&gt;""),"●","")</x:f>
      </x:c>
      <x:c r="AS231" s="165" t="str">
        <x:f>IF(AND(AS$5&gt;=$C231,AS$5&lt;=$D231,$A231&lt;&gt;""),"●","")</x:f>
      </x:c>
      <x:c r="AT231" s="165" t="str">
        <x:f>IF(AND(AT$5&gt;=$C231,AT$5&lt;=$D231,$A231&lt;&gt;""),"●","")</x:f>
      </x:c>
      <x:c r="AU231" s="165" t="str">
        <x:f>IF(AND(AU$5&gt;=$C231,AU$5&lt;=$D231,$A231&lt;&gt;""),"●","")</x:f>
      </x:c>
      <x:c r="AV231" s="165" t="str">
        <x:f>IF(AND(AV$5&gt;=$C231,AV$5&lt;=$D231,$A231&lt;&gt;""),"●","")</x:f>
      </x:c>
      <x:c r="AW231" s="165" t="str">
        <x:f>IF(AND(AW$5&gt;=$C231,AW$5&lt;=$D231,$A231&lt;&gt;""),"●","")</x:f>
      </x:c>
      <x:c r="AX231" s="165" t="str">
        <x:f>IF(AND(AX$5&gt;=$C231,AX$5&lt;=$D231,$A231&lt;&gt;""),"●","")</x:f>
      </x:c>
      <x:c r="AY231" s="165" t="str">
        <x:f>IF(AND(AY$5&gt;=$C231,AY$5&lt;=$D231,$A231&lt;&gt;""),"●","")</x:f>
      </x:c>
      <x:c r="AZ231" s="165" t="str">
        <x:f>IF(AND(AZ$5&gt;=$C231,AZ$5&lt;=$D231,$A231&lt;&gt;""),"●","")</x:f>
      </x:c>
      <x:c r="BA231" s="165" t="str">
        <x:f>IF(AND(BA$5&gt;=$C231,BA$5&lt;=$D231,$A231&lt;&gt;""),"●","")</x:f>
      </x:c>
      <x:c r="BB231" s="165" t="str">
        <x:f>IF(AND(BB$5&gt;=$C231,BB$5&lt;=$D231,$A231&lt;&gt;""),"●","")</x:f>
      </x:c>
      <x:c r="BC231" s="165" t="str">
        <x:f>IF(AND(BC$5&gt;=$C231,BC$5&lt;=$D231,$A231&lt;&gt;""),"●","")</x:f>
      </x:c>
      <x:c r="BD231" s="165" t="str">
        <x:f>IF(AND(BD$5&gt;=$C231,BD$5&lt;=$D231,$A231&lt;&gt;""),"●","")</x:f>
      </x:c>
      <x:c r="BE231" s="165" t="str">
        <x:f>IF(AND(BE$5&gt;=$C231,BE$5&lt;=$D231,$A231&lt;&gt;""),"●","")</x:f>
      </x:c>
      <x:c r="BF231" s="165" t="str">
        <x:f>IF(AND(BF$5&gt;=$C231,BF$5&lt;=$D231,$A231&lt;&gt;""),"●","")</x:f>
      </x:c>
      <x:c r="BG231" s="165" t="str">
        <x:f>IF(AND(BG$5&gt;=$C231,BG$5&lt;=$D231,$A231&lt;&gt;""),"●","")</x:f>
      </x:c>
      <x:c r="BH231" s="165" t="str">
        <x:f>IF(AND(BH$5&gt;=$C231,BH$5&lt;=$D231,$A231&lt;&gt;""),"●","")</x:f>
      </x:c>
      <x:c r="BI231" s="165" t="str">
        <x:f>IF(AND(BI$5&gt;=$C231,BI$5&lt;=$D231,$A231&lt;&gt;""),"●","")</x:f>
      </x:c>
      <x:c r="BJ231" s="165" t="str">
        <x:f>IF(AND(BJ$5&gt;=$C231,BJ$5&lt;=$D231,$A231&lt;&gt;""),"●","")</x:f>
      </x:c>
      <x:c r="BK231" s="165" t="str">
        <x:f>IF(AND(BK$5&gt;=$C231,BK$5&lt;=$D231,$A231&lt;&gt;""),"●","")</x:f>
      </x:c>
      <x:c r="BL231" s="165" t="str">
        <x:f>IF(AND(BL$5&gt;=$C231,BL$5&lt;=$D231,$A231&lt;&gt;""),"●","")</x:f>
      </x:c>
      <x:c r="BM231" s="165" t="str">
        <x:f>IF(AND(BM$5&gt;=$C231,BM$5&lt;=$D231,$A231&lt;&gt;""),"●","")</x:f>
      </x:c>
      <x:c r="BN231" s="165" t="str">
        <x:f>IF(AND(BN$5&gt;=$C231,BN$5&lt;=$D231,$A231&lt;&gt;""),"●","")</x:f>
      </x:c>
      <x:c r="BO231" s="165" t="str">
        <x:f>IF(AND(BO$5&gt;=$C231,BO$5&lt;=$D231,$A231&lt;&gt;""),"●","")</x:f>
      </x:c>
      <x:c r="BP231" s="165" t="str">
        <x:f>IF(AND(BP$5&gt;=$C231,BP$5&lt;=$D231,$A231&lt;&gt;""),"●","")</x:f>
      </x:c>
      <x:c r="BQ231" s="165" t="str">
        <x:f>IF(AND(BQ$5&gt;=$C231,BQ$5&lt;=$D231,$A231&lt;&gt;""),"●","")</x:f>
      </x:c>
      <x:c r="BR231" s="165" t="str">
        <x:f>IF(AND(BR$5&gt;=$C231,BR$5&lt;=$D231,$A231&lt;&gt;""),"●","")</x:f>
      </x:c>
      <x:c r="BS231" s="165" t="str">
        <x:f>IF(AND(BS$5&gt;=$C231,BS$5&lt;=$D231,$A231&lt;&gt;""),"●","")</x:f>
      </x:c>
      <x:c r="BT231" s="165" t="str">
        <x:f>IF(AND(BT$5&gt;=$C231,BT$5&lt;=$D231,$A231&lt;&gt;""),"●","")</x:f>
      </x:c>
      <x:c r="BU231" s="165" t="str">
        <x:f>IF(AND(BU$5&gt;=$C231,BU$5&lt;=$D231,$A231&lt;&gt;""),"●","")</x:f>
      </x:c>
      <x:c r="BV231" s="165" t="str">
        <x:f>IF(AND(BV$5&gt;=$C231,BV$5&lt;=$D231,$A231&lt;&gt;""),"●","")</x:f>
      </x:c>
      <x:c r="BW231" s="165" t="str">
        <x:f>IF(AND(BW$5&gt;=$C231,BW$5&lt;=$D231,$A231&lt;&gt;""),"●","")</x:f>
      </x:c>
    </x:row>
    <x:row r="232">
      <x:c r="A232" s="159" t="str">
        <x:f>IF('รายการสัญญา'!A232="","",'รายการสัญญา'!A232)</x:f>
      </x:c>
      <x:c r="B232" s="159" t="str">
        <x:f>IF('รายการสัญญา'!A232="","",'รายการสัญญา'!C232)</x:f>
      </x:c>
      <x:c r="C232" s="162" t="str">
        <x:f>IF('รายการสัญญา'!A232="","",'รายการสัญญา'!E232)</x:f>
      </x:c>
      <x:c r="D232" s="162" t="str">
        <x:f>IF('รายการสัญญา'!A232="","",'รายการสัญญา'!G232)</x:f>
      </x:c>
      <x:c r="E232" s="159" t="str">
        <x:f>IF('รายการสัญญา'!A232="","",'รายการสัญญา'!K232)</x:f>
      </x:c>
      <x:c r="F232" s="165" t="str">
        <x:f>IF(AND(F$5&gt;=$C232,F$5&lt;=$D232,$A232&lt;&gt;""),"●","")</x:f>
      </x:c>
      <x:c r="G232" s="165" t="str">
        <x:f>IF(AND(G$5&gt;=$C232,G$5&lt;=$D232,$A232&lt;&gt;""),"●","")</x:f>
      </x:c>
      <x:c r="H232" s="165" t="str">
        <x:f>IF(AND(H$5&gt;=$C232,H$5&lt;=$D232,$A232&lt;&gt;""),"●","")</x:f>
      </x:c>
      <x:c r="I232" s="165" t="str">
        <x:f>IF(AND(I$5&gt;=$C232,I$5&lt;=$D232,$A232&lt;&gt;""),"●","")</x:f>
      </x:c>
      <x:c r="J232" s="165" t="str">
        <x:f>IF(AND(J$5&gt;=$C232,J$5&lt;=$D232,$A232&lt;&gt;""),"●","")</x:f>
      </x:c>
      <x:c r="K232" s="165" t="str">
        <x:f>IF(AND(K$5&gt;=$C232,K$5&lt;=$D232,$A232&lt;&gt;""),"●","")</x:f>
      </x:c>
      <x:c r="L232" s="165" t="str">
        <x:f>IF(AND(L$5&gt;=$C232,L$5&lt;=$D232,$A232&lt;&gt;""),"●","")</x:f>
      </x:c>
      <x:c r="M232" s="165" t="str">
        <x:f>IF(AND(M$5&gt;=$C232,M$5&lt;=$D232,$A232&lt;&gt;""),"●","")</x:f>
      </x:c>
      <x:c r="N232" s="165" t="str">
        <x:f>IF(AND(N$5&gt;=$C232,N$5&lt;=$D232,$A232&lt;&gt;""),"●","")</x:f>
      </x:c>
      <x:c r="O232" s="165" t="str">
        <x:f>IF(AND(O$5&gt;=$C232,O$5&lt;=$D232,$A232&lt;&gt;""),"●","")</x:f>
      </x:c>
      <x:c r="P232" s="165" t="str">
        <x:f>IF(AND(P$5&gt;=$C232,P$5&lt;=$D232,$A232&lt;&gt;""),"●","")</x:f>
      </x:c>
      <x:c r="Q232" s="165" t="str">
        <x:f>IF(AND(Q$5&gt;=$C232,Q$5&lt;=$D232,$A232&lt;&gt;""),"●","")</x:f>
      </x:c>
      <x:c r="R232" s="165" t="str">
        <x:f>IF(AND(R$5&gt;=$C232,R$5&lt;=$D232,$A232&lt;&gt;""),"●","")</x:f>
      </x:c>
      <x:c r="S232" s="165" t="str">
        <x:f>IF(AND(S$5&gt;=$C232,S$5&lt;=$D232,$A232&lt;&gt;""),"●","")</x:f>
      </x:c>
      <x:c r="T232" s="165" t="str">
        <x:f>IF(AND(T$5&gt;=$C232,T$5&lt;=$D232,$A232&lt;&gt;""),"●","")</x:f>
      </x:c>
      <x:c r="U232" s="165" t="str">
        <x:f>IF(AND(U$5&gt;=$C232,U$5&lt;=$D232,$A232&lt;&gt;""),"●","")</x:f>
      </x:c>
      <x:c r="V232" s="165" t="str">
        <x:f>IF(AND(V$5&gt;=$C232,V$5&lt;=$D232,$A232&lt;&gt;""),"●","")</x:f>
      </x:c>
      <x:c r="W232" s="165" t="str">
        <x:f>IF(AND(W$5&gt;=$C232,W$5&lt;=$D232,$A232&lt;&gt;""),"●","")</x:f>
      </x:c>
      <x:c r="X232" s="165" t="str">
        <x:f>IF(AND(X$5&gt;=$C232,X$5&lt;=$D232,$A232&lt;&gt;""),"●","")</x:f>
      </x:c>
      <x:c r="Y232" s="165" t="str">
        <x:f>IF(AND(Y$5&gt;=$C232,Y$5&lt;=$D232,$A232&lt;&gt;""),"●","")</x:f>
      </x:c>
      <x:c r="Z232" s="165" t="str">
        <x:f>IF(AND(Z$5&gt;=$C232,Z$5&lt;=$D232,$A232&lt;&gt;""),"●","")</x:f>
      </x:c>
      <x:c r="AA232" s="165" t="str">
        <x:f>IF(AND(AA$5&gt;=$C232,AA$5&lt;=$D232,$A232&lt;&gt;""),"●","")</x:f>
      </x:c>
      <x:c r="AB232" s="165" t="str">
        <x:f>IF(AND(AB$5&gt;=$C232,AB$5&lt;=$D232,$A232&lt;&gt;""),"●","")</x:f>
      </x:c>
      <x:c r="AC232" s="165" t="str">
        <x:f>IF(AND(AC$5&gt;=$C232,AC$5&lt;=$D232,$A232&lt;&gt;""),"●","")</x:f>
      </x:c>
      <x:c r="AD232" s="165" t="str">
        <x:f>IF(AND(AD$5&gt;=$C232,AD$5&lt;=$D232,$A232&lt;&gt;""),"●","")</x:f>
      </x:c>
      <x:c r="AE232" s="165" t="str">
        <x:f>IF(AND(AE$5&gt;=$C232,AE$5&lt;=$D232,$A232&lt;&gt;""),"●","")</x:f>
      </x:c>
      <x:c r="AF232" s="165" t="str">
        <x:f>IF(AND(AF$5&gt;=$C232,AF$5&lt;=$D232,$A232&lt;&gt;""),"●","")</x:f>
      </x:c>
      <x:c r="AG232" s="165" t="str">
        <x:f>IF(AND(AG$5&gt;=$C232,AG$5&lt;=$D232,$A232&lt;&gt;""),"●","")</x:f>
      </x:c>
      <x:c r="AH232" s="165" t="str">
        <x:f>IF(AND(AH$5&gt;=$C232,AH$5&lt;=$D232,$A232&lt;&gt;""),"●","")</x:f>
      </x:c>
      <x:c r="AI232" s="165" t="str">
        <x:f>IF(AND(AI$5&gt;=$C232,AI$5&lt;=$D232,$A232&lt;&gt;""),"●","")</x:f>
      </x:c>
      <x:c r="AJ232" s="165" t="str">
        <x:f>IF(AND(AJ$5&gt;=$C232,AJ$5&lt;=$D232,$A232&lt;&gt;""),"●","")</x:f>
      </x:c>
      <x:c r="AK232" s="165" t="str">
        <x:f>IF(AND(AK$5&gt;=$C232,AK$5&lt;=$D232,$A232&lt;&gt;""),"●","")</x:f>
      </x:c>
      <x:c r="AL232" s="165" t="str">
        <x:f>IF(AND(AL$5&gt;=$C232,AL$5&lt;=$D232,$A232&lt;&gt;""),"●","")</x:f>
      </x:c>
      <x:c r="AM232" s="165" t="str">
        <x:f>IF(AND(AM$5&gt;=$C232,AM$5&lt;=$D232,$A232&lt;&gt;""),"●","")</x:f>
      </x:c>
      <x:c r="AN232" s="165" t="str">
        <x:f>IF(AND(AN$5&gt;=$C232,AN$5&lt;=$D232,$A232&lt;&gt;""),"●","")</x:f>
      </x:c>
      <x:c r="AO232" s="165" t="str">
        <x:f>IF(AND(AO$5&gt;=$C232,AO$5&lt;=$D232,$A232&lt;&gt;""),"●","")</x:f>
      </x:c>
      <x:c r="AP232" s="165" t="str">
        <x:f>IF(AND(AP$5&gt;=$C232,AP$5&lt;=$D232,$A232&lt;&gt;""),"●","")</x:f>
      </x:c>
      <x:c r="AQ232" s="165" t="str">
        <x:f>IF(AND(AQ$5&gt;=$C232,AQ$5&lt;=$D232,$A232&lt;&gt;""),"●","")</x:f>
      </x:c>
      <x:c r="AR232" s="165" t="str">
        <x:f>IF(AND(AR$5&gt;=$C232,AR$5&lt;=$D232,$A232&lt;&gt;""),"●","")</x:f>
      </x:c>
      <x:c r="AS232" s="165" t="str">
        <x:f>IF(AND(AS$5&gt;=$C232,AS$5&lt;=$D232,$A232&lt;&gt;""),"●","")</x:f>
      </x:c>
      <x:c r="AT232" s="165" t="str">
        <x:f>IF(AND(AT$5&gt;=$C232,AT$5&lt;=$D232,$A232&lt;&gt;""),"●","")</x:f>
      </x:c>
      <x:c r="AU232" s="165" t="str">
        <x:f>IF(AND(AU$5&gt;=$C232,AU$5&lt;=$D232,$A232&lt;&gt;""),"●","")</x:f>
      </x:c>
      <x:c r="AV232" s="165" t="str">
        <x:f>IF(AND(AV$5&gt;=$C232,AV$5&lt;=$D232,$A232&lt;&gt;""),"●","")</x:f>
      </x:c>
      <x:c r="AW232" s="165" t="str">
        <x:f>IF(AND(AW$5&gt;=$C232,AW$5&lt;=$D232,$A232&lt;&gt;""),"●","")</x:f>
      </x:c>
      <x:c r="AX232" s="165" t="str">
        <x:f>IF(AND(AX$5&gt;=$C232,AX$5&lt;=$D232,$A232&lt;&gt;""),"●","")</x:f>
      </x:c>
      <x:c r="AY232" s="165" t="str">
        <x:f>IF(AND(AY$5&gt;=$C232,AY$5&lt;=$D232,$A232&lt;&gt;""),"●","")</x:f>
      </x:c>
      <x:c r="AZ232" s="165" t="str">
        <x:f>IF(AND(AZ$5&gt;=$C232,AZ$5&lt;=$D232,$A232&lt;&gt;""),"●","")</x:f>
      </x:c>
      <x:c r="BA232" s="165" t="str">
        <x:f>IF(AND(BA$5&gt;=$C232,BA$5&lt;=$D232,$A232&lt;&gt;""),"●","")</x:f>
      </x:c>
      <x:c r="BB232" s="165" t="str">
        <x:f>IF(AND(BB$5&gt;=$C232,BB$5&lt;=$D232,$A232&lt;&gt;""),"●","")</x:f>
      </x:c>
      <x:c r="BC232" s="165" t="str">
        <x:f>IF(AND(BC$5&gt;=$C232,BC$5&lt;=$D232,$A232&lt;&gt;""),"●","")</x:f>
      </x:c>
      <x:c r="BD232" s="165" t="str">
        <x:f>IF(AND(BD$5&gt;=$C232,BD$5&lt;=$D232,$A232&lt;&gt;""),"●","")</x:f>
      </x:c>
      <x:c r="BE232" s="165" t="str">
        <x:f>IF(AND(BE$5&gt;=$C232,BE$5&lt;=$D232,$A232&lt;&gt;""),"●","")</x:f>
      </x:c>
      <x:c r="BF232" s="165" t="str">
        <x:f>IF(AND(BF$5&gt;=$C232,BF$5&lt;=$D232,$A232&lt;&gt;""),"●","")</x:f>
      </x:c>
      <x:c r="BG232" s="165" t="str">
        <x:f>IF(AND(BG$5&gt;=$C232,BG$5&lt;=$D232,$A232&lt;&gt;""),"●","")</x:f>
      </x:c>
      <x:c r="BH232" s="165" t="str">
        <x:f>IF(AND(BH$5&gt;=$C232,BH$5&lt;=$D232,$A232&lt;&gt;""),"●","")</x:f>
      </x:c>
      <x:c r="BI232" s="165" t="str">
        <x:f>IF(AND(BI$5&gt;=$C232,BI$5&lt;=$D232,$A232&lt;&gt;""),"●","")</x:f>
      </x:c>
      <x:c r="BJ232" s="165" t="str">
        <x:f>IF(AND(BJ$5&gt;=$C232,BJ$5&lt;=$D232,$A232&lt;&gt;""),"●","")</x:f>
      </x:c>
      <x:c r="BK232" s="165" t="str">
        <x:f>IF(AND(BK$5&gt;=$C232,BK$5&lt;=$D232,$A232&lt;&gt;""),"●","")</x:f>
      </x:c>
      <x:c r="BL232" s="165" t="str">
        <x:f>IF(AND(BL$5&gt;=$C232,BL$5&lt;=$D232,$A232&lt;&gt;""),"●","")</x:f>
      </x:c>
      <x:c r="BM232" s="165" t="str">
        <x:f>IF(AND(BM$5&gt;=$C232,BM$5&lt;=$D232,$A232&lt;&gt;""),"●","")</x:f>
      </x:c>
      <x:c r="BN232" s="165" t="str">
        <x:f>IF(AND(BN$5&gt;=$C232,BN$5&lt;=$D232,$A232&lt;&gt;""),"●","")</x:f>
      </x:c>
      <x:c r="BO232" s="165" t="str">
        <x:f>IF(AND(BO$5&gt;=$C232,BO$5&lt;=$D232,$A232&lt;&gt;""),"●","")</x:f>
      </x:c>
      <x:c r="BP232" s="165" t="str">
        <x:f>IF(AND(BP$5&gt;=$C232,BP$5&lt;=$D232,$A232&lt;&gt;""),"●","")</x:f>
      </x:c>
      <x:c r="BQ232" s="165" t="str">
        <x:f>IF(AND(BQ$5&gt;=$C232,BQ$5&lt;=$D232,$A232&lt;&gt;""),"●","")</x:f>
      </x:c>
      <x:c r="BR232" s="165" t="str">
        <x:f>IF(AND(BR$5&gt;=$C232,BR$5&lt;=$D232,$A232&lt;&gt;""),"●","")</x:f>
      </x:c>
      <x:c r="BS232" s="165" t="str">
        <x:f>IF(AND(BS$5&gt;=$C232,BS$5&lt;=$D232,$A232&lt;&gt;""),"●","")</x:f>
      </x:c>
      <x:c r="BT232" s="165" t="str">
        <x:f>IF(AND(BT$5&gt;=$C232,BT$5&lt;=$D232,$A232&lt;&gt;""),"●","")</x:f>
      </x:c>
      <x:c r="BU232" s="165" t="str">
        <x:f>IF(AND(BU$5&gt;=$C232,BU$5&lt;=$D232,$A232&lt;&gt;""),"●","")</x:f>
      </x:c>
      <x:c r="BV232" s="165" t="str">
        <x:f>IF(AND(BV$5&gt;=$C232,BV$5&lt;=$D232,$A232&lt;&gt;""),"●","")</x:f>
      </x:c>
      <x:c r="BW232" s="165" t="str">
        <x:f>IF(AND(BW$5&gt;=$C232,BW$5&lt;=$D232,$A232&lt;&gt;""),"●","")</x:f>
      </x:c>
    </x:row>
    <x:row r="233">
      <x:c r="A233" s="159" t="str">
        <x:f>IF('รายการสัญญา'!A233="","",'รายการสัญญา'!A233)</x:f>
      </x:c>
      <x:c r="B233" s="159" t="str">
        <x:f>IF('รายการสัญญา'!A233="","",'รายการสัญญา'!C233)</x:f>
      </x:c>
      <x:c r="C233" s="162" t="str">
        <x:f>IF('รายการสัญญา'!A233="","",'รายการสัญญา'!E233)</x:f>
      </x:c>
      <x:c r="D233" s="162" t="str">
        <x:f>IF('รายการสัญญา'!A233="","",'รายการสัญญา'!G233)</x:f>
      </x:c>
      <x:c r="E233" s="159" t="str">
        <x:f>IF('รายการสัญญา'!A233="","",'รายการสัญญา'!K233)</x:f>
      </x:c>
      <x:c r="F233" s="165" t="str">
        <x:f>IF(AND(F$5&gt;=$C233,F$5&lt;=$D233,$A233&lt;&gt;""),"●","")</x:f>
      </x:c>
      <x:c r="G233" s="165" t="str">
        <x:f>IF(AND(G$5&gt;=$C233,G$5&lt;=$D233,$A233&lt;&gt;""),"●","")</x:f>
      </x:c>
      <x:c r="H233" s="165" t="str">
        <x:f>IF(AND(H$5&gt;=$C233,H$5&lt;=$D233,$A233&lt;&gt;""),"●","")</x:f>
      </x:c>
      <x:c r="I233" s="165" t="str">
        <x:f>IF(AND(I$5&gt;=$C233,I$5&lt;=$D233,$A233&lt;&gt;""),"●","")</x:f>
      </x:c>
      <x:c r="J233" s="165" t="str">
        <x:f>IF(AND(J$5&gt;=$C233,J$5&lt;=$D233,$A233&lt;&gt;""),"●","")</x:f>
      </x:c>
      <x:c r="K233" s="165" t="str">
        <x:f>IF(AND(K$5&gt;=$C233,K$5&lt;=$D233,$A233&lt;&gt;""),"●","")</x:f>
      </x:c>
      <x:c r="L233" s="165" t="str">
        <x:f>IF(AND(L$5&gt;=$C233,L$5&lt;=$D233,$A233&lt;&gt;""),"●","")</x:f>
      </x:c>
      <x:c r="M233" s="165" t="str">
        <x:f>IF(AND(M$5&gt;=$C233,M$5&lt;=$D233,$A233&lt;&gt;""),"●","")</x:f>
      </x:c>
      <x:c r="N233" s="165" t="str">
        <x:f>IF(AND(N$5&gt;=$C233,N$5&lt;=$D233,$A233&lt;&gt;""),"●","")</x:f>
      </x:c>
      <x:c r="O233" s="165" t="str">
        <x:f>IF(AND(O$5&gt;=$C233,O$5&lt;=$D233,$A233&lt;&gt;""),"●","")</x:f>
      </x:c>
      <x:c r="P233" s="165" t="str">
        <x:f>IF(AND(P$5&gt;=$C233,P$5&lt;=$D233,$A233&lt;&gt;""),"●","")</x:f>
      </x:c>
      <x:c r="Q233" s="165" t="str">
        <x:f>IF(AND(Q$5&gt;=$C233,Q$5&lt;=$D233,$A233&lt;&gt;""),"●","")</x:f>
      </x:c>
      <x:c r="R233" s="165" t="str">
        <x:f>IF(AND(R$5&gt;=$C233,R$5&lt;=$D233,$A233&lt;&gt;""),"●","")</x:f>
      </x:c>
      <x:c r="S233" s="165" t="str">
        <x:f>IF(AND(S$5&gt;=$C233,S$5&lt;=$D233,$A233&lt;&gt;""),"●","")</x:f>
      </x:c>
      <x:c r="T233" s="165" t="str">
        <x:f>IF(AND(T$5&gt;=$C233,T$5&lt;=$D233,$A233&lt;&gt;""),"●","")</x:f>
      </x:c>
      <x:c r="U233" s="165" t="str">
        <x:f>IF(AND(U$5&gt;=$C233,U$5&lt;=$D233,$A233&lt;&gt;""),"●","")</x:f>
      </x:c>
      <x:c r="V233" s="165" t="str">
        <x:f>IF(AND(V$5&gt;=$C233,V$5&lt;=$D233,$A233&lt;&gt;""),"●","")</x:f>
      </x:c>
      <x:c r="W233" s="165" t="str">
        <x:f>IF(AND(W$5&gt;=$C233,W$5&lt;=$D233,$A233&lt;&gt;""),"●","")</x:f>
      </x:c>
      <x:c r="X233" s="165" t="str">
        <x:f>IF(AND(X$5&gt;=$C233,X$5&lt;=$D233,$A233&lt;&gt;""),"●","")</x:f>
      </x:c>
      <x:c r="Y233" s="165" t="str">
        <x:f>IF(AND(Y$5&gt;=$C233,Y$5&lt;=$D233,$A233&lt;&gt;""),"●","")</x:f>
      </x:c>
      <x:c r="Z233" s="165" t="str">
        <x:f>IF(AND(Z$5&gt;=$C233,Z$5&lt;=$D233,$A233&lt;&gt;""),"●","")</x:f>
      </x:c>
      <x:c r="AA233" s="165" t="str">
        <x:f>IF(AND(AA$5&gt;=$C233,AA$5&lt;=$D233,$A233&lt;&gt;""),"●","")</x:f>
      </x:c>
      <x:c r="AB233" s="165" t="str">
        <x:f>IF(AND(AB$5&gt;=$C233,AB$5&lt;=$D233,$A233&lt;&gt;""),"●","")</x:f>
      </x:c>
      <x:c r="AC233" s="165" t="str">
        <x:f>IF(AND(AC$5&gt;=$C233,AC$5&lt;=$D233,$A233&lt;&gt;""),"●","")</x:f>
      </x:c>
      <x:c r="AD233" s="165" t="str">
        <x:f>IF(AND(AD$5&gt;=$C233,AD$5&lt;=$D233,$A233&lt;&gt;""),"●","")</x:f>
      </x:c>
      <x:c r="AE233" s="165" t="str">
        <x:f>IF(AND(AE$5&gt;=$C233,AE$5&lt;=$D233,$A233&lt;&gt;""),"●","")</x:f>
      </x:c>
      <x:c r="AF233" s="165" t="str">
        <x:f>IF(AND(AF$5&gt;=$C233,AF$5&lt;=$D233,$A233&lt;&gt;""),"●","")</x:f>
      </x:c>
      <x:c r="AG233" s="165" t="str">
        <x:f>IF(AND(AG$5&gt;=$C233,AG$5&lt;=$D233,$A233&lt;&gt;""),"●","")</x:f>
      </x:c>
      <x:c r="AH233" s="165" t="str">
        <x:f>IF(AND(AH$5&gt;=$C233,AH$5&lt;=$D233,$A233&lt;&gt;""),"●","")</x:f>
      </x:c>
      <x:c r="AI233" s="165" t="str">
        <x:f>IF(AND(AI$5&gt;=$C233,AI$5&lt;=$D233,$A233&lt;&gt;""),"●","")</x:f>
      </x:c>
      <x:c r="AJ233" s="165" t="str">
        <x:f>IF(AND(AJ$5&gt;=$C233,AJ$5&lt;=$D233,$A233&lt;&gt;""),"●","")</x:f>
      </x:c>
      <x:c r="AK233" s="165" t="str">
        <x:f>IF(AND(AK$5&gt;=$C233,AK$5&lt;=$D233,$A233&lt;&gt;""),"●","")</x:f>
      </x:c>
      <x:c r="AL233" s="165" t="str">
        <x:f>IF(AND(AL$5&gt;=$C233,AL$5&lt;=$D233,$A233&lt;&gt;""),"●","")</x:f>
      </x:c>
      <x:c r="AM233" s="165" t="str">
        <x:f>IF(AND(AM$5&gt;=$C233,AM$5&lt;=$D233,$A233&lt;&gt;""),"●","")</x:f>
      </x:c>
      <x:c r="AN233" s="165" t="str">
        <x:f>IF(AND(AN$5&gt;=$C233,AN$5&lt;=$D233,$A233&lt;&gt;""),"●","")</x:f>
      </x:c>
      <x:c r="AO233" s="165" t="str">
        <x:f>IF(AND(AO$5&gt;=$C233,AO$5&lt;=$D233,$A233&lt;&gt;""),"●","")</x:f>
      </x:c>
      <x:c r="AP233" s="165" t="str">
        <x:f>IF(AND(AP$5&gt;=$C233,AP$5&lt;=$D233,$A233&lt;&gt;""),"●","")</x:f>
      </x:c>
      <x:c r="AQ233" s="165" t="str">
        <x:f>IF(AND(AQ$5&gt;=$C233,AQ$5&lt;=$D233,$A233&lt;&gt;""),"●","")</x:f>
      </x:c>
      <x:c r="AR233" s="165" t="str">
        <x:f>IF(AND(AR$5&gt;=$C233,AR$5&lt;=$D233,$A233&lt;&gt;""),"●","")</x:f>
      </x:c>
      <x:c r="AS233" s="165" t="str">
        <x:f>IF(AND(AS$5&gt;=$C233,AS$5&lt;=$D233,$A233&lt;&gt;""),"●","")</x:f>
      </x:c>
      <x:c r="AT233" s="165" t="str">
        <x:f>IF(AND(AT$5&gt;=$C233,AT$5&lt;=$D233,$A233&lt;&gt;""),"●","")</x:f>
      </x:c>
      <x:c r="AU233" s="165" t="str">
        <x:f>IF(AND(AU$5&gt;=$C233,AU$5&lt;=$D233,$A233&lt;&gt;""),"●","")</x:f>
      </x:c>
      <x:c r="AV233" s="165" t="str">
        <x:f>IF(AND(AV$5&gt;=$C233,AV$5&lt;=$D233,$A233&lt;&gt;""),"●","")</x:f>
      </x:c>
      <x:c r="AW233" s="165" t="str">
        <x:f>IF(AND(AW$5&gt;=$C233,AW$5&lt;=$D233,$A233&lt;&gt;""),"●","")</x:f>
      </x:c>
      <x:c r="AX233" s="165" t="str">
        <x:f>IF(AND(AX$5&gt;=$C233,AX$5&lt;=$D233,$A233&lt;&gt;""),"●","")</x:f>
      </x:c>
      <x:c r="AY233" s="165" t="str">
        <x:f>IF(AND(AY$5&gt;=$C233,AY$5&lt;=$D233,$A233&lt;&gt;""),"●","")</x:f>
      </x:c>
      <x:c r="AZ233" s="165" t="str">
        <x:f>IF(AND(AZ$5&gt;=$C233,AZ$5&lt;=$D233,$A233&lt;&gt;""),"●","")</x:f>
      </x:c>
      <x:c r="BA233" s="165" t="str">
        <x:f>IF(AND(BA$5&gt;=$C233,BA$5&lt;=$D233,$A233&lt;&gt;""),"●","")</x:f>
      </x:c>
      <x:c r="BB233" s="165" t="str">
        <x:f>IF(AND(BB$5&gt;=$C233,BB$5&lt;=$D233,$A233&lt;&gt;""),"●","")</x:f>
      </x:c>
      <x:c r="BC233" s="165" t="str">
        <x:f>IF(AND(BC$5&gt;=$C233,BC$5&lt;=$D233,$A233&lt;&gt;""),"●","")</x:f>
      </x:c>
      <x:c r="BD233" s="165" t="str">
        <x:f>IF(AND(BD$5&gt;=$C233,BD$5&lt;=$D233,$A233&lt;&gt;""),"●","")</x:f>
      </x:c>
      <x:c r="BE233" s="165" t="str">
        <x:f>IF(AND(BE$5&gt;=$C233,BE$5&lt;=$D233,$A233&lt;&gt;""),"●","")</x:f>
      </x:c>
      <x:c r="BF233" s="165" t="str">
        <x:f>IF(AND(BF$5&gt;=$C233,BF$5&lt;=$D233,$A233&lt;&gt;""),"●","")</x:f>
      </x:c>
      <x:c r="BG233" s="165" t="str">
        <x:f>IF(AND(BG$5&gt;=$C233,BG$5&lt;=$D233,$A233&lt;&gt;""),"●","")</x:f>
      </x:c>
      <x:c r="BH233" s="165" t="str">
        <x:f>IF(AND(BH$5&gt;=$C233,BH$5&lt;=$D233,$A233&lt;&gt;""),"●","")</x:f>
      </x:c>
      <x:c r="BI233" s="165" t="str">
        <x:f>IF(AND(BI$5&gt;=$C233,BI$5&lt;=$D233,$A233&lt;&gt;""),"●","")</x:f>
      </x:c>
      <x:c r="BJ233" s="165" t="str">
        <x:f>IF(AND(BJ$5&gt;=$C233,BJ$5&lt;=$D233,$A233&lt;&gt;""),"●","")</x:f>
      </x:c>
      <x:c r="BK233" s="165" t="str">
        <x:f>IF(AND(BK$5&gt;=$C233,BK$5&lt;=$D233,$A233&lt;&gt;""),"●","")</x:f>
      </x:c>
      <x:c r="BL233" s="165" t="str">
        <x:f>IF(AND(BL$5&gt;=$C233,BL$5&lt;=$D233,$A233&lt;&gt;""),"●","")</x:f>
      </x:c>
      <x:c r="BM233" s="165" t="str">
        <x:f>IF(AND(BM$5&gt;=$C233,BM$5&lt;=$D233,$A233&lt;&gt;""),"●","")</x:f>
      </x:c>
      <x:c r="BN233" s="165" t="str">
        <x:f>IF(AND(BN$5&gt;=$C233,BN$5&lt;=$D233,$A233&lt;&gt;""),"●","")</x:f>
      </x:c>
      <x:c r="BO233" s="165" t="str">
        <x:f>IF(AND(BO$5&gt;=$C233,BO$5&lt;=$D233,$A233&lt;&gt;""),"●","")</x:f>
      </x:c>
      <x:c r="BP233" s="165" t="str">
        <x:f>IF(AND(BP$5&gt;=$C233,BP$5&lt;=$D233,$A233&lt;&gt;""),"●","")</x:f>
      </x:c>
      <x:c r="BQ233" s="165" t="str">
        <x:f>IF(AND(BQ$5&gt;=$C233,BQ$5&lt;=$D233,$A233&lt;&gt;""),"●","")</x:f>
      </x:c>
      <x:c r="BR233" s="165" t="str">
        <x:f>IF(AND(BR$5&gt;=$C233,BR$5&lt;=$D233,$A233&lt;&gt;""),"●","")</x:f>
      </x:c>
      <x:c r="BS233" s="165" t="str">
        <x:f>IF(AND(BS$5&gt;=$C233,BS$5&lt;=$D233,$A233&lt;&gt;""),"●","")</x:f>
      </x:c>
      <x:c r="BT233" s="165" t="str">
        <x:f>IF(AND(BT$5&gt;=$C233,BT$5&lt;=$D233,$A233&lt;&gt;""),"●","")</x:f>
      </x:c>
      <x:c r="BU233" s="165" t="str">
        <x:f>IF(AND(BU$5&gt;=$C233,BU$5&lt;=$D233,$A233&lt;&gt;""),"●","")</x:f>
      </x:c>
      <x:c r="BV233" s="165" t="str">
        <x:f>IF(AND(BV$5&gt;=$C233,BV$5&lt;=$D233,$A233&lt;&gt;""),"●","")</x:f>
      </x:c>
      <x:c r="BW233" s="165" t="str">
        <x:f>IF(AND(BW$5&gt;=$C233,BW$5&lt;=$D233,$A233&lt;&gt;""),"●","")</x:f>
      </x:c>
    </x:row>
    <x:row r="234">
      <x:c r="A234" s="159" t="str">
        <x:f>IF('รายการสัญญา'!A234="","",'รายการสัญญา'!A234)</x:f>
      </x:c>
      <x:c r="B234" s="159" t="str">
        <x:f>IF('รายการสัญญา'!A234="","",'รายการสัญญา'!C234)</x:f>
      </x:c>
      <x:c r="C234" s="162" t="str">
        <x:f>IF('รายการสัญญา'!A234="","",'รายการสัญญา'!E234)</x:f>
      </x:c>
      <x:c r="D234" s="162" t="str">
        <x:f>IF('รายการสัญญา'!A234="","",'รายการสัญญา'!G234)</x:f>
      </x:c>
      <x:c r="E234" s="159" t="str">
        <x:f>IF('รายการสัญญา'!A234="","",'รายการสัญญา'!K234)</x:f>
      </x:c>
      <x:c r="F234" s="165" t="str">
        <x:f>IF(AND(F$5&gt;=$C234,F$5&lt;=$D234,$A234&lt;&gt;""),"●","")</x:f>
      </x:c>
      <x:c r="G234" s="165" t="str">
        <x:f>IF(AND(G$5&gt;=$C234,G$5&lt;=$D234,$A234&lt;&gt;""),"●","")</x:f>
      </x:c>
      <x:c r="H234" s="165" t="str">
        <x:f>IF(AND(H$5&gt;=$C234,H$5&lt;=$D234,$A234&lt;&gt;""),"●","")</x:f>
      </x:c>
      <x:c r="I234" s="165" t="str">
        <x:f>IF(AND(I$5&gt;=$C234,I$5&lt;=$D234,$A234&lt;&gt;""),"●","")</x:f>
      </x:c>
      <x:c r="J234" s="165" t="str">
        <x:f>IF(AND(J$5&gt;=$C234,J$5&lt;=$D234,$A234&lt;&gt;""),"●","")</x:f>
      </x:c>
      <x:c r="K234" s="165" t="str">
        <x:f>IF(AND(K$5&gt;=$C234,K$5&lt;=$D234,$A234&lt;&gt;""),"●","")</x:f>
      </x:c>
      <x:c r="L234" s="165" t="str">
        <x:f>IF(AND(L$5&gt;=$C234,L$5&lt;=$D234,$A234&lt;&gt;""),"●","")</x:f>
      </x:c>
      <x:c r="M234" s="165" t="str">
        <x:f>IF(AND(M$5&gt;=$C234,M$5&lt;=$D234,$A234&lt;&gt;""),"●","")</x:f>
      </x:c>
      <x:c r="N234" s="165" t="str">
        <x:f>IF(AND(N$5&gt;=$C234,N$5&lt;=$D234,$A234&lt;&gt;""),"●","")</x:f>
      </x:c>
      <x:c r="O234" s="165" t="str">
        <x:f>IF(AND(O$5&gt;=$C234,O$5&lt;=$D234,$A234&lt;&gt;""),"●","")</x:f>
      </x:c>
      <x:c r="P234" s="165" t="str">
        <x:f>IF(AND(P$5&gt;=$C234,P$5&lt;=$D234,$A234&lt;&gt;""),"●","")</x:f>
      </x:c>
      <x:c r="Q234" s="165" t="str">
        <x:f>IF(AND(Q$5&gt;=$C234,Q$5&lt;=$D234,$A234&lt;&gt;""),"●","")</x:f>
      </x:c>
      <x:c r="R234" s="165" t="str">
        <x:f>IF(AND(R$5&gt;=$C234,R$5&lt;=$D234,$A234&lt;&gt;""),"●","")</x:f>
      </x:c>
      <x:c r="S234" s="165" t="str">
        <x:f>IF(AND(S$5&gt;=$C234,S$5&lt;=$D234,$A234&lt;&gt;""),"●","")</x:f>
      </x:c>
      <x:c r="T234" s="165" t="str">
        <x:f>IF(AND(T$5&gt;=$C234,T$5&lt;=$D234,$A234&lt;&gt;""),"●","")</x:f>
      </x:c>
      <x:c r="U234" s="165" t="str">
        <x:f>IF(AND(U$5&gt;=$C234,U$5&lt;=$D234,$A234&lt;&gt;""),"●","")</x:f>
      </x:c>
      <x:c r="V234" s="165" t="str">
        <x:f>IF(AND(V$5&gt;=$C234,V$5&lt;=$D234,$A234&lt;&gt;""),"●","")</x:f>
      </x:c>
      <x:c r="W234" s="165" t="str">
        <x:f>IF(AND(W$5&gt;=$C234,W$5&lt;=$D234,$A234&lt;&gt;""),"●","")</x:f>
      </x:c>
      <x:c r="X234" s="165" t="str">
        <x:f>IF(AND(X$5&gt;=$C234,X$5&lt;=$D234,$A234&lt;&gt;""),"●","")</x:f>
      </x:c>
      <x:c r="Y234" s="165" t="str">
        <x:f>IF(AND(Y$5&gt;=$C234,Y$5&lt;=$D234,$A234&lt;&gt;""),"●","")</x:f>
      </x:c>
      <x:c r="Z234" s="165" t="str">
        <x:f>IF(AND(Z$5&gt;=$C234,Z$5&lt;=$D234,$A234&lt;&gt;""),"●","")</x:f>
      </x:c>
      <x:c r="AA234" s="165" t="str">
        <x:f>IF(AND(AA$5&gt;=$C234,AA$5&lt;=$D234,$A234&lt;&gt;""),"●","")</x:f>
      </x:c>
      <x:c r="AB234" s="165" t="str">
        <x:f>IF(AND(AB$5&gt;=$C234,AB$5&lt;=$D234,$A234&lt;&gt;""),"●","")</x:f>
      </x:c>
      <x:c r="AC234" s="165" t="str">
        <x:f>IF(AND(AC$5&gt;=$C234,AC$5&lt;=$D234,$A234&lt;&gt;""),"●","")</x:f>
      </x:c>
      <x:c r="AD234" s="165" t="str">
        <x:f>IF(AND(AD$5&gt;=$C234,AD$5&lt;=$D234,$A234&lt;&gt;""),"●","")</x:f>
      </x:c>
      <x:c r="AE234" s="165" t="str">
        <x:f>IF(AND(AE$5&gt;=$C234,AE$5&lt;=$D234,$A234&lt;&gt;""),"●","")</x:f>
      </x:c>
      <x:c r="AF234" s="165" t="str">
        <x:f>IF(AND(AF$5&gt;=$C234,AF$5&lt;=$D234,$A234&lt;&gt;""),"●","")</x:f>
      </x:c>
      <x:c r="AG234" s="165" t="str">
        <x:f>IF(AND(AG$5&gt;=$C234,AG$5&lt;=$D234,$A234&lt;&gt;""),"●","")</x:f>
      </x:c>
      <x:c r="AH234" s="165" t="str">
        <x:f>IF(AND(AH$5&gt;=$C234,AH$5&lt;=$D234,$A234&lt;&gt;""),"●","")</x:f>
      </x:c>
      <x:c r="AI234" s="165" t="str">
        <x:f>IF(AND(AI$5&gt;=$C234,AI$5&lt;=$D234,$A234&lt;&gt;""),"●","")</x:f>
      </x:c>
      <x:c r="AJ234" s="165" t="str">
        <x:f>IF(AND(AJ$5&gt;=$C234,AJ$5&lt;=$D234,$A234&lt;&gt;""),"●","")</x:f>
      </x:c>
      <x:c r="AK234" s="165" t="str">
        <x:f>IF(AND(AK$5&gt;=$C234,AK$5&lt;=$D234,$A234&lt;&gt;""),"●","")</x:f>
      </x:c>
      <x:c r="AL234" s="165" t="str">
        <x:f>IF(AND(AL$5&gt;=$C234,AL$5&lt;=$D234,$A234&lt;&gt;""),"●","")</x:f>
      </x:c>
      <x:c r="AM234" s="165" t="str">
        <x:f>IF(AND(AM$5&gt;=$C234,AM$5&lt;=$D234,$A234&lt;&gt;""),"●","")</x:f>
      </x:c>
      <x:c r="AN234" s="165" t="str">
        <x:f>IF(AND(AN$5&gt;=$C234,AN$5&lt;=$D234,$A234&lt;&gt;""),"●","")</x:f>
      </x:c>
      <x:c r="AO234" s="165" t="str">
        <x:f>IF(AND(AO$5&gt;=$C234,AO$5&lt;=$D234,$A234&lt;&gt;""),"●","")</x:f>
      </x:c>
      <x:c r="AP234" s="165" t="str">
        <x:f>IF(AND(AP$5&gt;=$C234,AP$5&lt;=$D234,$A234&lt;&gt;""),"●","")</x:f>
      </x:c>
      <x:c r="AQ234" s="165" t="str">
        <x:f>IF(AND(AQ$5&gt;=$C234,AQ$5&lt;=$D234,$A234&lt;&gt;""),"●","")</x:f>
      </x:c>
      <x:c r="AR234" s="165" t="str">
        <x:f>IF(AND(AR$5&gt;=$C234,AR$5&lt;=$D234,$A234&lt;&gt;""),"●","")</x:f>
      </x:c>
      <x:c r="AS234" s="165" t="str">
        <x:f>IF(AND(AS$5&gt;=$C234,AS$5&lt;=$D234,$A234&lt;&gt;""),"●","")</x:f>
      </x:c>
      <x:c r="AT234" s="165" t="str">
        <x:f>IF(AND(AT$5&gt;=$C234,AT$5&lt;=$D234,$A234&lt;&gt;""),"●","")</x:f>
      </x:c>
      <x:c r="AU234" s="165" t="str">
        <x:f>IF(AND(AU$5&gt;=$C234,AU$5&lt;=$D234,$A234&lt;&gt;""),"●","")</x:f>
      </x:c>
      <x:c r="AV234" s="165" t="str">
        <x:f>IF(AND(AV$5&gt;=$C234,AV$5&lt;=$D234,$A234&lt;&gt;""),"●","")</x:f>
      </x:c>
      <x:c r="AW234" s="165" t="str">
        <x:f>IF(AND(AW$5&gt;=$C234,AW$5&lt;=$D234,$A234&lt;&gt;""),"●","")</x:f>
      </x:c>
      <x:c r="AX234" s="165" t="str">
        <x:f>IF(AND(AX$5&gt;=$C234,AX$5&lt;=$D234,$A234&lt;&gt;""),"●","")</x:f>
      </x:c>
      <x:c r="AY234" s="165" t="str">
        <x:f>IF(AND(AY$5&gt;=$C234,AY$5&lt;=$D234,$A234&lt;&gt;""),"●","")</x:f>
      </x:c>
      <x:c r="AZ234" s="165" t="str">
        <x:f>IF(AND(AZ$5&gt;=$C234,AZ$5&lt;=$D234,$A234&lt;&gt;""),"●","")</x:f>
      </x:c>
      <x:c r="BA234" s="165" t="str">
        <x:f>IF(AND(BA$5&gt;=$C234,BA$5&lt;=$D234,$A234&lt;&gt;""),"●","")</x:f>
      </x:c>
      <x:c r="BB234" s="165" t="str">
        <x:f>IF(AND(BB$5&gt;=$C234,BB$5&lt;=$D234,$A234&lt;&gt;""),"●","")</x:f>
      </x:c>
      <x:c r="BC234" s="165" t="str">
        <x:f>IF(AND(BC$5&gt;=$C234,BC$5&lt;=$D234,$A234&lt;&gt;""),"●","")</x:f>
      </x:c>
      <x:c r="BD234" s="165" t="str">
        <x:f>IF(AND(BD$5&gt;=$C234,BD$5&lt;=$D234,$A234&lt;&gt;""),"●","")</x:f>
      </x:c>
      <x:c r="BE234" s="165" t="str">
        <x:f>IF(AND(BE$5&gt;=$C234,BE$5&lt;=$D234,$A234&lt;&gt;""),"●","")</x:f>
      </x:c>
      <x:c r="BF234" s="165" t="str">
        <x:f>IF(AND(BF$5&gt;=$C234,BF$5&lt;=$D234,$A234&lt;&gt;""),"●","")</x:f>
      </x:c>
      <x:c r="BG234" s="165" t="str">
        <x:f>IF(AND(BG$5&gt;=$C234,BG$5&lt;=$D234,$A234&lt;&gt;""),"●","")</x:f>
      </x:c>
      <x:c r="BH234" s="165" t="str">
        <x:f>IF(AND(BH$5&gt;=$C234,BH$5&lt;=$D234,$A234&lt;&gt;""),"●","")</x:f>
      </x:c>
      <x:c r="BI234" s="165" t="str">
        <x:f>IF(AND(BI$5&gt;=$C234,BI$5&lt;=$D234,$A234&lt;&gt;""),"●","")</x:f>
      </x:c>
      <x:c r="BJ234" s="165" t="str">
        <x:f>IF(AND(BJ$5&gt;=$C234,BJ$5&lt;=$D234,$A234&lt;&gt;""),"●","")</x:f>
      </x:c>
      <x:c r="BK234" s="165" t="str">
        <x:f>IF(AND(BK$5&gt;=$C234,BK$5&lt;=$D234,$A234&lt;&gt;""),"●","")</x:f>
      </x:c>
      <x:c r="BL234" s="165" t="str">
        <x:f>IF(AND(BL$5&gt;=$C234,BL$5&lt;=$D234,$A234&lt;&gt;""),"●","")</x:f>
      </x:c>
      <x:c r="BM234" s="165" t="str">
        <x:f>IF(AND(BM$5&gt;=$C234,BM$5&lt;=$D234,$A234&lt;&gt;""),"●","")</x:f>
      </x:c>
      <x:c r="BN234" s="165" t="str">
        <x:f>IF(AND(BN$5&gt;=$C234,BN$5&lt;=$D234,$A234&lt;&gt;""),"●","")</x:f>
      </x:c>
      <x:c r="BO234" s="165" t="str">
        <x:f>IF(AND(BO$5&gt;=$C234,BO$5&lt;=$D234,$A234&lt;&gt;""),"●","")</x:f>
      </x:c>
      <x:c r="BP234" s="165" t="str">
        <x:f>IF(AND(BP$5&gt;=$C234,BP$5&lt;=$D234,$A234&lt;&gt;""),"●","")</x:f>
      </x:c>
      <x:c r="BQ234" s="165" t="str">
        <x:f>IF(AND(BQ$5&gt;=$C234,BQ$5&lt;=$D234,$A234&lt;&gt;""),"●","")</x:f>
      </x:c>
      <x:c r="BR234" s="165" t="str">
        <x:f>IF(AND(BR$5&gt;=$C234,BR$5&lt;=$D234,$A234&lt;&gt;""),"●","")</x:f>
      </x:c>
      <x:c r="BS234" s="165" t="str">
        <x:f>IF(AND(BS$5&gt;=$C234,BS$5&lt;=$D234,$A234&lt;&gt;""),"●","")</x:f>
      </x:c>
      <x:c r="BT234" s="165" t="str">
        <x:f>IF(AND(BT$5&gt;=$C234,BT$5&lt;=$D234,$A234&lt;&gt;""),"●","")</x:f>
      </x:c>
      <x:c r="BU234" s="165" t="str">
        <x:f>IF(AND(BU$5&gt;=$C234,BU$5&lt;=$D234,$A234&lt;&gt;""),"●","")</x:f>
      </x:c>
      <x:c r="BV234" s="165" t="str">
        <x:f>IF(AND(BV$5&gt;=$C234,BV$5&lt;=$D234,$A234&lt;&gt;""),"●","")</x:f>
      </x:c>
      <x:c r="BW234" s="165" t="str">
        <x:f>IF(AND(BW$5&gt;=$C234,BW$5&lt;=$D234,$A234&lt;&gt;""),"●","")</x:f>
      </x:c>
    </x:row>
    <x:row r="235">
      <x:c r="A235" s="159" t="str">
        <x:f>IF('รายการสัญญา'!A235="","",'รายการสัญญา'!A235)</x:f>
      </x:c>
      <x:c r="B235" s="159" t="str">
        <x:f>IF('รายการสัญญา'!A235="","",'รายการสัญญา'!C235)</x:f>
      </x:c>
      <x:c r="C235" s="162" t="str">
        <x:f>IF('รายการสัญญา'!A235="","",'รายการสัญญา'!E235)</x:f>
      </x:c>
      <x:c r="D235" s="162" t="str">
        <x:f>IF('รายการสัญญา'!A235="","",'รายการสัญญา'!G235)</x:f>
      </x:c>
      <x:c r="E235" s="159" t="str">
        <x:f>IF('รายการสัญญา'!A235="","",'รายการสัญญา'!K235)</x:f>
      </x:c>
      <x:c r="F235" s="165" t="str">
        <x:f>IF(AND(F$5&gt;=$C235,F$5&lt;=$D235,$A235&lt;&gt;""),"●","")</x:f>
      </x:c>
      <x:c r="G235" s="165" t="str">
        <x:f>IF(AND(G$5&gt;=$C235,G$5&lt;=$D235,$A235&lt;&gt;""),"●","")</x:f>
      </x:c>
      <x:c r="H235" s="165" t="str">
        <x:f>IF(AND(H$5&gt;=$C235,H$5&lt;=$D235,$A235&lt;&gt;""),"●","")</x:f>
      </x:c>
      <x:c r="I235" s="165" t="str">
        <x:f>IF(AND(I$5&gt;=$C235,I$5&lt;=$D235,$A235&lt;&gt;""),"●","")</x:f>
      </x:c>
      <x:c r="J235" s="165" t="str">
        <x:f>IF(AND(J$5&gt;=$C235,J$5&lt;=$D235,$A235&lt;&gt;""),"●","")</x:f>
      </x:c>
      <x:c r="K235" s="165" t="str">
        <x:f>IF(AND(K$5&gt;=$C235,K$5&lt;=$D235,$A235&lt;&gt;""),"●","")</x:f>
      </x:c>
      <x:c r="L235" s="165" t="str">
        <x:f>IF(AND(L$5&gt;=$C235,L$5&lt;=$D235,$A235&lt;&gt;""),"●","")</x:f>
      </x:c>
      <x:c r="M235" s="165" t="str">
        <x:f>IF(AND(M$5&gt;=$C235,M$5&lt;=$D235,$A235&lt;&gt;""),"●","")</x:f>
      </x:c>
      <x:c r="N235" s="165" t="str">
        <x:f>IF(AND(N$5&gt;=$C235,N$5&lt;=$D235,$A235&lt;&gt;""),"●","")</x:f>
      </x:c>
      <x:c r="O235" s="165" t="str">
        <x:f>IF(AND(O$5&gt;=$C235,O$5&lt;=$D235,$A235&lt;&gt;""),"●","")</x:f>
      </x:c>
      <x:c r="P235" s="165" t="str">
        <x:f>IF(AND(P$5&gt;=$C235,P$5&lt;=$D235,$A235&lt;&gt;""),"●","")</x:f>
      </x:c>
      <x:c r="Q235" s="165" t="str">
        <x:f>IF(AND(Q$5&gt;=$C235,Q$5&lt;=$D235,$A235&lt;&gt;""),"●","")</x:f>
      </x:c>
      <x:c r="R235" s="165" t="str">
        <x:f>IF(AND(R$5&gt;=$C235,R$5&lt;=$D235,$A235&lt;&gt;""),"●","")</x:f>
      </x:c>
      <x:c r="S235" s="165" t="str">
        <x:f>IF(AND(S$5&gt;=$C235,S$5&lt;=$D235,$A235&lt;&gt;""),"●","")</x:f>
      </x:c>
      <x:c r="T235" s="165" t="str">
        <x:f>IF(AND(T$5&gt;=$C235,T$5&lt;=$D235,$A235&lt;&gt;""),"●","")</x:f>
      </x:c>
      <x:c r="U235" s="165" t="str">
        <x:f>IF(AND(U$5&gt;=$C235,U$5&lt;=$D235,$A235&lt;&gt;""),"●","")</x:f>
      </x:c>
      <x:c r="V235" s="165" t="str">
        <x:f>IF(AND(V$5&gt;=$C235,V$5&lt;=$D235,$A235&lt;&gt;""),"●","")</x:f>
      </x:c>
      <x:c r="W235" s="165" t="str">
        <x:f>IF(AND(W$5&gt;=$C235,W$5&lt;=$D235,$A235&lt;&gt;""),"●","")</x:f>
      </x:c>
      <x:c r="X235" s="165" t="str">
        <x:f>IF(AND(X$5&gt;=$C235,X$5&lt;=$D235,$A235&lt;&gt;""),"●","")</x:f>
      </x:c>
      <x:c r="Y235" s="165" t="str">
        <x:f>IF(AND(Y$5&gt;=$C235,Y$5&lt;=$D235,$A235&lt;&gt;""),"●","")</x:f>
      </x:c>
      <x:c r="Z235" s="165" t="str">
        <x:f>IF(AND(Z$5&gt;=$C235,Z$5&lt;=$D235,$A235&lt;&gt;""),"●","")</x:f>
      </x:c>
      <x:c r="AA235" s="165" t="str">
        <x:f>IF(AND(AA$5&gt;=$C235,AA$5&lt;=$D235,$A235&lt;&gt;""),"●","")</x:f>
      </x:c>
      <x:c r="AB235" s="165" t="str">
        <x:f>IF(AND(AB$5&gt;=$C235,AB$5&lt;=$D235,$A235&lt;&gt;""),"●","")</x:f>
      </x:c>
      <x:c r="AC235" s="165" t="str">
        <x:f>IF(AND(AC$5&gt;=$C235,AC$5&lt;=$D235,$A235&lt;&gt;""),"●","")</x:f>
      </x:c>
      <x:c r="AD235" s="165" t="str">
        <x:f>IF(AND(AD$5&gt;=$C235,AD$5&lt;=$D235,$A235&lt;&gt;""),"●","")</x:f>
      </x:c>
      <x:c r="AE235" s="165" t="str">
        <x:f>IF(AND(AE$5&gt;=$C235,AE$5&lt;=$D235,$A235&lt;&gt;""),"●","")</x:f>
      </x:c>
      <x:c r="AF235" s="165" t="str">
        <x:f>IF(AND(AF$5&gt;=$C235,AF$5&lt;=$D235,$A235&lt;&gt;""),"●","")</x:f>
      </x:c>
      <x:c r="AG235" s="165" t="str">
        <x:f>IF(AND(AG$5&gt;=$C235,AG$5&lt;=$D235,$A235&lt;&gt;""),"●","")</x:f>
      </x:c>
      <x:c r="AH235" s="165" t="str">
        <x:f>IF(AND(AH$5&gt;=$C235,AH$5&lt;=$D235,$A235&lt;&gt;""),"●","")</x:f>
      </x:c>
      <x:c r="AI235" s="165" t="str">
        <x:f>IF(AND(AI$5&gt;=$C235,AI$5&lt;=$D235,$A235&lt;&gt;""),"●","")</x:f>
      </x:c>
      <x:c r="AJ235" s="165" t="str">
        <x:f>IF(AND(AJ$5&gt;=$C235,AJ$5&lt;=$D235,$A235&lt;&gt;""),"●","")</x:f>
      </x:c>
      <x:c r="AK235" s="165" t="str">
        <x:f>IF(AND(AK$5&gt;=$C235,AK$5&lt;=$D235,$A235&lt;&gt;""),"●","")</x:f>
      </x:c>
      <x:c r="AL235" s="165" t="str">
        <x:f>IF(AND(AL$5&gt;=$C235,AL$5&lt;=$D235,$A235&lt;&gt;""),"●","")</x:f>
      </x:c>
      <x:c r="AM235" s="165" t="str">
        <x:f>IF(AND(AM$5&gt;=$C235,AM$5&lt;=$D235,$A235&lt;&gt;""),"●","")</x:f>
      </x:c>
      <x:c r="AN235" s="165" t="str">
        <x:f>IF(AND(AN$5&gt;=$C235,AN$5&lt;=$D235,$A235&lt;&gt;""),"●","")</x:f>
      </x:c>
      <x:c r="AO235" s="165" t="str">
        <x:f>IF(AND(AO$5&gt;=$C235,AO$5&lt;=$D235,$A235&lt;&gt;""),"●","")</x:f>
      </x:c>
      <x:c r="AP235" s="165" t="str">
        <x:f>IF(AND(AP$5&gt;=$C235,AP$5&lt;=$D235,$A235&lt;&gt;""),"●","")</x:f>
      </x:c>
      <x:c r="AQ235" s="165" t="str">
        <x:f>IF(AND(AQ$5&gt;=$C235,AQ$5&lt;=$D235,$A235&lt;&gt;""),"●","")</x:f>
      </x:c>
      <x:c r="AR235" s="165" t="str">
        <x:f>IF(AND(AR$5&gt;=$C235,AR$5&lt;=$D235,$A235&lt;&gt;""),"●","")</x:f>
      </x:c>
      <x:c r="AS235" s="165" t="str">
        <x:f>IF(AND(AS$5&gt;=$C235,AS$5&lt;=$D235,$A235&lt;&gt;""),"●","")</x:f>
      </x:c>
      <x:c r="AT235" s="165" t="str">
        <x:f>IF(AND(AT$5&gt;=$C235,AT$5&lt;=$D235,$A235&lt;&gt;""),"●","")</x:f>
      </x:c>
      <x:c r="AU235" s="165" t="str">
        <x:f>IF(AND(AU$5&gt;=$C235,AU$5&lt;=$D235,$A235&lt;&gt;""),"●","")</x:f>
      </x:c>
      <x:c r="AV235" s="165" t="str">
        <x:f>IF(AND(AV$5&gt;=$C235,AV$5&lt;=$D235,$A235&lt;&gt;""),"●","")</x:f>
      </x:c>
      <x:c r="AW235" s="165" t="str">
        <x:f>IF(AND(AW$5&gt;=$C235,AW$5&lt;=$D235,$A235&lt;&gt;""),"●","")</x:f>
      </x:c>
      <x:c r="AX235" s="165" t="str">
        <x:f>IF(AND(AX$5&gt;=$C235,AX$5&lt;=$D235,$A235&lt;&gt;""),"●","")</x:f>
      </x:c>
      <x:c r="AY235" s="165" t="str">
        <x:f>IF(AND(AY$5&gt;=$C235,AY$5&lt;=$D235,$A235&lt;&gt;""),"●","")</x:f>
      </x:c>
      <x:c r="AZ235" s="165" t="str">
        <x:f>IF(AND(AZ$5&gt;=$C235,AZ$5&lt;=$D235,$A235&lt;&gt;""),"●","")</x:f>
      </x:c>
      <x:c r="BA235" s="165" t="str">
        <x:f>IF(AND(BA$5&gt;=$C235,BA$5&lt;=$D235,$A235&lt;&gt;""),"●","")</x:f>
      </x:c>
      <x:c r="BB235" s="165" t="str">
        <x:f>IF(AND(BB$5&gt;=$C235,BB$5&lt;=$D235,$A235&lt;&gt;""),"●","")</x:f>
      </x:c>
      <x:c r="BC235" s="165" t="str">
        <x:f>IF(AND(BC$5&gt;=$C235,BC$5&lt;=$D235,$A235&lt;&gt;""),"●","")</x:f>
      </x:c>
      <x:c r="BD235" s="165" t="str">
        <x:f>IF(AND(BD$5&gt;=$C235,BD$5&lt;=$D235,$A235&lt;&gt;""),"●","")</x:f>
      </x:c>
      <x:c r="BE235" s="165" t="str">
        <x:f>IF(AND(BE$5&gt;=$C235,BE$5&lt;=$D235,$A235&lt;&gt;""),"●","")</x:f>
      </x:c>
      <x:c r="BF235" s="165" t="str">
        <x:f>IF(AND(BF$5&gt;=$C235,BF$5&lt;=$D235,$A235&lt;&gt;""),"●","")</x:f>
      </x:c>
      <x:c r="BG235" s="165" t="str">
        <x:f>IF(AND(BG$5&gt;=$C235,BG$5&lt;=$D235,$A235&lt;&gt;""),"●","")</x:f>
      </x:c>
      <x:c r="BH235" s="165" t="str">
        <x:f>IF(AND(BH$5&gt;=$C235,BH$5&lt;=$D235,$A235&lt;&gt;""),"●","")</x:f>
      </x:c>
      <x:c r="BI235" s="165" t="str">
        <x:f>IF(AND(BI$5&gt;=$C235,BI$5&lt;=$D235,$A235&lt;&gt;""),"●","")</x:f>
      </x:c>
      <x:c r="BJ235" s="165" t="str">
        <x:f>IF(AND(BJ$5&gt;=$C235,BJ$5&lt;=$D235,$A235&lt;&gt;""),"●","")</x:f>
      </x:c>
      <x:c r="BK235" s="165" t="str">
        <x:f>IF(AND(BK$5&gt;=$C235,BK$5&lt;=$D235,$A235&lt;&gt;""),"●","")</x:f>
      </x:c>
      <x:c r="BL235" s="165" t="str">
        <x:f>IF(AND(BL$5&gt;=$C235,BL$5&lt;=$D235,$A235&lt;&gt;""),"●","")</x:f>
      </x:c>
      <x:c r="BM235" s="165" t="str">
        <x:f>IF(AND(BM$5&gt;=$C235,BM$5&lt;=$D235,$A235&lt;&gt;""),"●","")</x:f>
      </x:c>
      <x:c r="BN235" s="165" t="str">
        <x:f>IF(AND(BN$5&gt;=$C235,BN$5&lt;=$D235,$A235&lt;&gt;""),"●","")</x:f>
      </x:c>
      <x:c r="BO235" s="165" t="str">
        <x:f>IF(AND(BO$5&gt;=$C235,BO$5&lt;=$D235,$A235&lt;&gt;""),"●","")</x:f>
      </x:c>
      <x:c r="BP235" s="165" t="str">
        <x:f>IF(AND(BP$5&gt;=$C235,BP$5&lt;=$D235,$A235&lt;&gt;""),"●","")</x:f>
      </x:c>
      <x:c r="BQ235" s="165" t="str">
        <x:f>IF(AND(BQ$5&gt;=$C235,BQ$5&lt;=$D235,$A235&lt;&gt;""),"●","")</x:f>
      </x:c>
      <x:c r="BR235" s="165" t="str">
        <x:f>IF(AND(BR$5&gt;=$C235,BR$5&lt;=$D235,$A235&lt;&gt;""),"●","")</x:f>
      </x:c>
      <x:c r="BS235" s="165" t="str">
        <x:f>IF(AND(BS$5&gt;=$C235,BS$5&lt;=$D235,$A235&lt;&gt;""),"●","")</x:f>
      </x:c>
      <x:c r="BT235" s="165" t="str">
        <x:f>IF(AND(BT$5&gt;=$C235,BT$5&lt;=$D235,$A235&lt;&gt;""),"●","")</x:f>
      </x:c>
      <x:c r="BU235" s="165" t="str">
        <x:f>IF(AND(BU$5&gt;=$C235,BU$5&lt;=$D235,$A235&lt;&gt;""),"●","")</x:f>
      </x:c>
      <x:c r="BV235" s="165" t="str">
        <x:f>IF(AND(BV$5&gt;=$C235,BV$5&lt;=$D235,$A235&lt;&gt;""),"●","")</x:f>
      </x:c>
      <x:c r="BW235" s="165" t="str">
        <x:f>IF(AND(BW$5&gt;=$C235,BW$5&lt;=$D235,$A235&lt;&gt;""),"●","")</x:f>
      </x:c>
    </x:row>
    <x:row r="236">
      <x:c r="A236" s="159" t="str">
        <x:f>IF('รายการสัญญา'!A236="","",'รายการสัญญา'!A236)</x:f>
      </x:c>
      <x:c r="B236" s="159" t="str">
        <x:f>IF('รายการสัญญา'!A236="","",'รายการสัญญา'!C236)</x:f>
      </x:c>
      <x:c r="C236" s="162" t="str">
        <x:f>IF('รายการสัญญา'!A236="","",'รายการสัญญา'!E236)</x:f>
      </x:c>
      <x:c r="D236" s="162" t="str">
        <x:f>IF('รายการสัญญา'!A236="","",'รายการสัญญา'!G236)</x:f>
      </x:c>
      <x:c r="E236" s="159" t="str">
        <x:f>IF('รายการสัญญา'!A236="","",'รายการสัญญา'!K236)</x:f>
      </x:c>
      <x:c r="F236" s="165" t="str">
        <x:f>IF(AND(F$5&gt;=$C236,F$5&lt;=$D236,$A236&lt;&gt;""),"●","")</x:f>
      </x:c>
      <x:c r="G236" s="165" t="str">
        <x:f>IF(AND(G$5&gt;=$C236,G$5&lt;=$D236,$A236&lt;&gt;""),"●","")</x:f>
      </x:c>
      <x:c r="H236" s="165" t="str">
        <x:f>IF(AND(H$5&gt;=$C236,H$5&lt;=$D236,$A236&lt;&gt;""),"●","")</x:f>
      </x:c>
      <x:c r="I236" s="165" t="str">
        <x:f>IF(AND(I$5&gt;=$C236,I$5&lt;=$D236,$A236&lt;&gt;""),"●","")</x:f>
      </x:c>
      <x:c r="J236" s="165" t="str">
        <x:f>IF(AND(J$5&gt;=$C236,J$5&lt;=$D236,$A236&lt;&gt;""),"●","")</x:f>
      </x:c>
      <x:c r="K236" s="165" t="str">
        <x:f>IF(AND(K$5&gt;=$C236,K$5&lt;=$D236,$A236&lt;&gt;""),"●","")</x:f>
      </x:c>
      <x:c r="L236" s="165" t="str">
        <x:f>IF(AND(L$5&gt;=$C236,L$5&lt;=$D236,$A236&lt;&gt;""),"●","")</x:f>
      </x:c>
      <x:c r="M236" s="165" t="str">
        <x:f>IF(AND(M$5&gt;=$C236,M$5&lt;=$D236,$A236&lt;&gt;""),"●","")</x:f>
      </x:c>
      <x:c r="N236" s="165" t="str">
        <x:f>IF(AND(N$5&gt;=$C236,N$5&lt;=$D236,$A236&lt;&gt;""),"●","")</x:f>
      </x:c>
      <x:c r="O236" s="165" t="str">
        <x:f>IF(AND(O$5&gt;=$C236,O$5&lt;=$D236,$A236&lt;&gt;""),"●","")</x:f>
      </x:c>
      <x:c r="P236" s="165" t="str">
        <x:f>IF(AND(P$5&gt;=$C236,P$5&lt;=$D236,$A236&lt;&gt;""),"●","")</x:f>
      </x:c>
      <x:c r="Q236" s="165" t="str">
        <x:f>IF(AND(Q$5&gt;=$C236,Q$5&lt;=$D236,$A236&lt;&gt;""),"●","")</x:f>
      </x:c>
      <x:c r="R236" s="165" t="str">
        <x:f>IF(AND(R$5&gt;=$C236,R$5&lt;=$D236,$A236&lt;&gt;""),"●","")</x:f>
      </x:c>
      <x:c r="S236" s="165" t="str">
        <x:f>IF(AND(S$5&gt;=$C236,S$5&lt;=$D236,$A236&lt;&gt;""),"●","")</x:f>
      </x:c>
      <x:c r="T236" s="165" t="str">
        <x:f>IF(AND(T$5&gt;=$C236,T$5&lt;=$D236,$A236&lt;&gt;""),"●","")</x:f>
      </x:c>
      <x:c r="U236" s="165" t="str">
        <x:f>IF(AND(U$5&gt;=$C236,U$5&lt;=$D236,$A236&lt;&gt;""),"●","")</x:f>
      </x:c>
      <x:c r="V236" s="165" t="str">
        <x:f>IF(AND(V$5&gt;=$C236,V$5&lt;=$D236,$A236&lt;&gt;""),"●","")</x:f>
      </x:c>
      <x:c r="W236" s="165" t="str">
        <x:f>IF(AND(W$5&gt;=$C236,W$5&lt;=$D236,$A236&lt;&gt;""),"●","")</x:f>
      </x:c>
      <x:c r="X236" s="165" t="str">
        <x:f>IF(AND(X$5&gt;=$C236,X$5&lt;=$D236,$A236&lt;&gt;""),"●","")</x:f>
      </x:c>
      <x:c r="Y236" s="165" t="str">
        <x:f>IF(AND(Y$5&gt;=$C236,Y$5&lt;=$D236,$A236&lt;&gt;""),"●","")</x:f>
      </x:c>
      <x:c r="Z236" s="165" t="str">
        <x:f>IF(AND(Z$5&gt;=$C236,Z$5&lt;=$D236,$A236&lt;&gt;""),"●","")</x:f>
      </x:c>
      <x:c r="AA236" s="165" t="str">
        <x:f>IF(AND(AA$5&gt;=$C236,AA$5&lt;=$D236,$A236&lt;&gt;""),"●","")</x:f>
      </x:c>
      <x:c r="AB236" s="165" t="str">
        <x:f>IF(AND(AB$5&gt;=$C236,AB$5&lt;=$D236,$A236&lt;&gt;""),"●","")</x:f>
      </x:c>
      <x:c r="AC236" s="165" t="str">
        <x:f>IF(AND(AC$5&gt;=$C236,AC$5&lt;=$D236,$A236&lt;&gt;""),"●","")</x:f>
      </x:c>
      <x:c r="AD236" s="165" t="str">
        <x:f>IF(AND(AD$5&gt;=$C236,AD$5&lt;=$D236,$A236&lt;&gt;""),"●","")</x:f>
      </x:c>
      <x:c r="AE236" s="165" t="str">
        <x:f>IF(AND(AE$5&gt;=$C236,AE$5&lt;=$D236,$A236&lt;&gt;""),"●","")</x:f>
      </x:c>
      <x:c r="AF236" s="165" t="str">
        <x:f>IF(AND(AF$5&gt;=$C236,AF$5&lt;=$D236,$A236&lt;&gt;""),"●","")</x:f>
      </x:c>
      <x:c r="AG236" s="165" t="str">
        <x:f>IF(AND(AG$5&gt;=$C236,AG$5&lt;=$D236,$A236&lt;&gt;""),"●","")</x:f>
      </x:c>
      <x:c r="AH236" s="165" t="str">
        <x:f>IF(AND(AH$5&gt;=$C236,AH$5&lt;=$D236,$A236&lt;&gt;""),"●","")</x:f>
      </x:c>
      <x:c r="AI236" s="165" t="str">
        <x:f>IF(AND(AI$5&gt;=$C236,AI$5&lt;=$D236,$A236&lt;&gt;""),"●","")</x:f>
      </x:c>
      <x:c r="AJ236" s="165" t="str">
        <x:f>IF(AND(AJ$5&gt;=$C236,AJ$5&lt;=$D236,$A236&lt;&gt;""),"●","")</x:f>
      </x:c>
      <x:c r="AK236" s="165" t="str">
        <x:f>IF(AND(AK$5&gt;=$C236,AK$5&lt;=$D236,$A236&lt;&gt;""),"●","")</x:f>
      </x:c>
      <x:c r="AL236" s="165" t="str">
        <x:f>IF(AND(AL$5&gt;=$C236,AL$5&lt;=$D236,$A236&lt;&gt;""),"●","")</x:f>
      </x:c>
      <x:c r="AM236" s="165" t="str">
        <x:f>IF(AND(AM$5&gt;=$C236,AM$5&lt;=$D236,$A236&lt;&gt;""),"●","")</x:f>
      </x:c>
      <x:c r="AN236" s="165" t="str">
        <x:f>IF(AND(AN$5&gt;=$C236,AN$5&lt;=$D236,$A236&lt;&gt;""),"●","")</x:f>
      </x:c>
      <x:c r="AO236" s="165" t="str">
        <x:f>IF(AND(AO$5&gt;=$C236,AO$5&lt;=$D236,$A236&lt;&gt;""),"●","")</x:f>
      </x:c>
      <x:c r="AP236" s="165" t="str">
        <x:f>IF(AND(AP$5&gt;=$C236,AP$5&lt;=$D236,$A236&lt;&gt;""),"●","")</x:f>
      </x:c>
      <x:c r="AQ236" s="165" t="str">
        <x:f>IF(AND(AQ$5&gt;=$C236,AQ$5&lt;=$D236,$A236&lt;&gt;""),"●","")</x:f>
      </x:c>
      <x:c r="AR236" s="165" t="str">
        <x:f>IF(AND(AR$5&gt;=$C236,AR$5&lt;=$D236,$A236&lt;&gt;""),"●","")</x:f>
      </x:c>
      <x:c r="AS236" s="165" t="str">
        <x:f>IF(AND(AS$5&gt;=$C236,AS$5&lt;=$D236,$A236&lt;&gt;""),"●","")</x:f>
      </x:c>
      <x:c r="AT236" s="165" t="str">
        <x:f>IF(AND(AT$5&gt;=$C236,AT$5&lt;=$D236,$A236&lt;&gt;""),"●","")</x:f>
      </x:c>
      <x:c r="AU236" s="165" t="str">
        <x:f>IF(AND(AU$5&gt;=$C236,AU$5&lt;=$D236,$A236&lt;&gt;""),"●","")</x:f>
      </x:c>
      <x:c r="AV236" s="165" t="str">
        <x:f>IF(AND(AV$5&gt;=$C236,AV$5&lt;=$D236,$A236&lt;&gt;""),"●","")</x:f>
      </x:c>
      <x:c r="AW236" s="165" t="str">
        <x:f>IF(AND(AW$5&gt;=$C236,AW$5&lt;=$D236,$A236&lt;&gt;""),"●","")</x:f>
      </x:c>
      <x:c r="AX236" s="165" t="str">
        <x:f>IF(AND(AX$5&gt;=$C236,AX$5&lt;=$D236,$A236&lt;&gt;""),"●","")</x:f>
      </x:c>
      <x:c r="AY236" s="165" t="str">
        <x:f>IF(AND(AY$5&gt;=$C236,AY$5&lt;=$D236,$A236&lt;&gt;""),"●","")</x:f>
      </x:c>
      <x:c r="AZ236" s="165" t="str">
        <x:f>IF(AND(AZ$5&gt;=$C236,AZ$5&lt;=$D236,$A236&lt;&gt;""),"●","")</x:f>
      </x:c>
      <x:c r="BA236" s="165" t="str">
        <x:f>IF(AND(BA$5&gt;=$C236,BA$5&lt;=$D236,$A236&lt;&gt;""),"●","")</x:f>
      </x:c>
      <x:c r="BB236" s="165" t="str">
        <x:f>IF(AND(BB$5&gt;=$C236,BB$5&lt;=$D236,$A236&lt;&gt;""),"●","")</x:f>
      </x:c>
      <x:c r="BC236" s="165" t="str">
        <x:f>IF(AND(BC$5&gt;=$C236,BC$5&lt;=$D236,$A236&lt;&gt;""),"●","")</x:f>
      </x:c>
      <x:c r="BD236" s="165" t="str">
        <x:f>IF(AND(BD$5&gt;=$C236,BD$5&lt;=$D236,$A236&lt;&gt;""),"●","")</x:f>
      </x:c>
      <x:c r="BE236" s="165" t="str">
        <x:f>IF(AND(BE$5&gt;=$C236,BE$5&lt;=$D236,$A236&lt;&gt;""),"●","")</x:f>
      </x:c>
      <x:c r="BF236" s="165" t="str">
        <x:f>IF(AND(BF$5&gt;=$C236,BF$5&lt;=$D236,$A236&lt;&gt;""),"●","")</x:f>
      </x:c>
      <x:c r="BG236" s="165" t="str">
        <x:f>IF(AND(BG$5&gt;=$C236,BG$5&lt;=$D236,$A236&lt;&gt;""),"●","")</x:f>
      </x:c>
      <x:c r="BH236" s="165" t="str">
        <x:f>IF(AND(BH$5&gt;=$C236,BH$5&lt;=$D236,$A236&lt;&gt;""),"●","")</x:f>
      </x:c>
      <x:c r="BI236" s="165" t="str">
        <x:f>IF(AND(BI$5&gt;=$C236,BI$5&lt;=$D236,$A236&lt;&gt;""),"●","")</x:f>
      </x:c>
      <x:c r="BJ236" s="165" t="str">
        <x:f>IF(AND(BJ$5&gt;=$C236,BJ$5&lt;=$D236,$A236&lt;&gt;""),"●","")</x:f>
      </x:c>
      <x:c r="BK236" s="165" t="str">
        <x:f>IF(AND(BK$5&gt;=$C236,BK$5&lt;=$D236,$A236&lt;&gt;""),"●","")</x:f>
      </x:c>
      <x:c r="BL236" s="165" t="str">
        <x:f>IF(AND(BL$5&gt;=$C236,BL$5&lt;=$D236,$A236&lt;&gt;""),"●","")</x:f>
      </x:c>
      <x:c r="BM236" s="165" t="str">
        <x:f>IF(AND(BM$5&gt;=$C236,BM$5&lt;=$D236,$A236&lt;&gt;""),"●","")</x:f>
      </x:c>
      <x:c r="BN236" s="165" t="str">
        <x:f>IF(AND(BN$5&gt;=$C236,BN$5&lt;=$D236,$A236&lt;&gt;""),"●","")</x:f>
      </x:c>
      <x:c r="BO236" s="165" t="str">
        <x:f>IF(AND(BO$5&gt;=$C236,BO$5&lt;=$D236,$A236&lt;&gt;""),"●","")</x:f>
      </x:c>
      <x:c r="BP236" s="165" t="str">
        <x:f>IF(AND(BP$5&gt;=$C236,BP$5&lt;=$D236,$A236&lt;&gt;""),"●","")</x:f>
      </x:c>
      <x:c r="BQ236" s="165" t="str">
        <x:f>IF(AND(BQ$5&gt;=$C236,BQ$5&lt;=$D236,$A236&lt;&gt;""),"●","")</x:f>
      </x:c>
      <x:c r="BR236" s="165" t="str">
        <x:f>IF(AND(BR$5&gt;=$C236,BR$5&lt;=$D236,$A236&lt;&gt;""),"●","")</x:f>
      </x:c>
      <x:c r="BS236" s="165" t="str">
        <x:f>IF(AND(BS$5&gt;=$C236,BS$5&lt;=$D236,$A236&lt;&gt;""),"●","")</x:f>
      </x:c>
      <x:c r="BT236" s="165" t="str">
        <x:f>IF(AND(BT$5&gt;=$C236,BT$5&lt;=$D236,$A236&lt;&gt;""),"●","")</x:f>
      </x:c>
      <x:c r="BU236" s="165" t="str">
        <x:f>IF(AND(BU$5&gt;=$C236,BU$5&lt;=$D236,$A236&lt;&gt;""),"●","")</x:f>
      </x:c>
      <x:c r="BV236" s="165" t="str">
        <x:f>IF(AND(BV$5&gt;=$C236,BV$5&lt;=$D236,$A236&lt;&gt;""),"●","")</x:f>
      </x:c>
      <x:c r="BW236" s="165" t="str">
        <x:f>IF(AND(BW$5&gt;=$C236,BW$5&lt;=$D236,$A236&lt;&gt;""),"●","")</x:f>
      </x:c>
    </x:row>
    <x:row r="237">
      <x:c r="A237" s="159" t="str">
        <x:f>IF('รายการสัญญา'!A237="","",'รายการสัญญา'!A237)</x:f>
      </x:c>
      <x:c r="B237" s="159" t="str">
        <x:f>IF('รายการสัญญา'!A237="","",'รายการสัญญา'!C237)</x:f>
      </x:c>
      <x:c r="C237" s="162" t="str">
        <x:f>IF('รายการสัญญา'!A237="","",'รายการสัญญา'!E237)</x:f>
      </x:c>
      <x:c r="D237" s="162" t="str">
        <x:f>IF('รายการสัญญา'!A237="","",'รายการสัญญา'!G237)</x:f>
      </x:c>
      <x:c r="E237" s="159" t="str">
        <x:f>IF('รายการสัญญา'!A237="","",'รายการสัญญา'!K237)</x:f>
      </x:c>
      <x:c r="F237" s="165" t="str">
        <x:f>IF(AND(F$5&gt;=$C237,F$5&lt;=$D237,$A237&lt;&gt;""),"●","")</x:f>
      </x:c>
      <x:c r="G237" s="165" t="str">
        <x:f>IF(AND(G$5&gt;=$C237,G$5&lt;=$D237,$A237&lt;&gt;""),"●","")</x:f>
      </x:c>
      <x:c r="H237" s="165" t="str">
        <x:f>IF(AND(H$5&gt;=$C237,H$5&lt;=$D237,$A237&lt;&gt;""),"●","")</x:f>
      </x:c>
      <x:c r="I237" s="165" t="str">
        <x:f>IF(AND(I$5&gt;=$C237,I$5&lt;=$D237,$A237&lt;&gt;""),"●","")</x:f>
      </x:c>
      <x:c r="J237" s="165" t="str">
        <x:f>IF(AND(J$5&gt;=$C237,J$5&lt;=$D237,$A237&lt;&gt;""),"●","")</x:f>
      </x:c>
      <x:c r="K237" s="165" t="str">
        <x:f>IF(AND(K$5&gt;=$C237,K$5&lt;=$D237,$A237&lt;&gt;""),"●","")</x:f>
      </x:c>
      <x:c r="L237" s="165" t="str">
        <x:f>IF(AND(L$5&gt;=$C237,L$5&lt;=$D237,$A237&lt;&gt;""),"●","")</x:f>
      </x:c>
      <x:c r="M237" s="165" t="str">
        <x:f>IF(AND(M$5&gt;=$C237,M$5&lt;=$D237,$A237&lt;&gt;""),"●","")</x:f>
      </x:c>
      <x:c r="N237" s="165" t="str">
        <x:f>IF(AND(N$5&gt;=$C237,N$5&lt;=$D237,$A237&lt;&gt;""),"●","")</x:f>
      </x:c>
      <x:c r="O237" s="165" t="str">
        <x:f>IF(AND(O$5&gt;=$C237,O$5&lt;=$D237,$A237&lt;&gt;""),"●","")</x:f>
      </x:c>
      <x:c r="P237" s="165" t="str">
        <x:f>IF(AND(P$5&gt;=$C237,P$5&lt;=$D237,$A237&lt;&gt;""),"●","")</x:f>
      </x:c>
      <x:c r="Q237" s="165" t="str">
        <x:f>IF(AND(Q$5&gt;=$C237,Q$5&lt;=$D237,$A237&lt;&gt;""),"●","")</x:f>
      </x:c>
      <x:c r="R237" s="165" t="str">
        <x:f>IF(AND(R$5&gt;=$C237,R$5&lt;=$D237,$A237&lt;&gt;""),"●","")</x:f>
      </x:c>
      <x:c r="S237" s="165" t="str">
        <x:f>IF(AND(S$5&gt;=$C237,S$5&lt;=$D237,$A237&lt;&gt;""),"●","")</x:f>
      </x:c>
      <x:c r="T237" s="165" t="str">
        <x:f>IF(AND(T$5&gt;=$C237,T$5&lt;=$D237,$A237&lt;&gt;""),"●","")</x:f>
      </x:c>
      <x:c r="U237" s="165" t="str">
        <x:f>IF(AND(U$5&gt;=$C237,U$5&lt;=$D237,$A237&lt;&gt;""),"●","")</x:f>
      </x:c>
      <x:c r="V237" s="165" t="str">
        <x:f>IF(AND(V$5&gt;=$C237,V$5&lt;=$D237,$A237&lt;&gt;""),"●","")</x:f>
      </x:c>
      <x:c r="W237" s="165" t="str">
        <x:f>IF(AND(W$5&gt;=$C237,W$5&lt;=$D237,$A237&lt;&gt;""),"●","")</x:f>
      </x:c>
      <x:c r="X237" s="165" t="str">
        <x:f>IF(AND(X$5&gt;=$C237,X$5&lt;=$D237,$A237&lt;&gt;""),"●","")</x:f>
      </x:c>
      <x:c r="Y237" s="165" t="str">
        <x:f>IF(AND(Y$5&gt;=$C237,Y$5&lt;=$D237,$A237&lt;&gt;""),"●","")</x:f>
      </x:c>
      <x:c r="Z237" s="165" t="str">
        <x:f>IF(AND(Z$5&gt;=$C237,Z$5&lt;=$D237,$A237&lt;&gt;""),"●","")</x:f>
      </x:c>
      <x:c r="AA237" s="165" t="str">
        <x:f>IF(AND(AA$5&gt;=$C237,AA$5&lt;=$D237,$A237&lt;&gt;""),"●","")</x:f>
      </x:c>
      <x:c r="AB237" s="165" t="str">
        <x:f>IF(AND(AB$5&gt;=$C237,AB$5&lt;=$D237,$A237&lt;&gt;""),"●","")</x:f>
      </x:c>
      <x:c r="AC237" s="165" t="str">
        <x:f>IF(AND(AC$5&gt;=$C237,AC$5&lt;=$D237,$A237&lt;&gt;""),"●","")</x:f>
      </x:c>
      <x:c r="AD237" s="165" t="str">
        <x:f>IF(AND(AD$5&gt;=$C237,AD$5&lt;=$D237,$A237&lt;&gt;""),"●","")</x:f>
      </x:c>
      <x:c r="AE237" s="165" t="str">
        <x:f>IF(AND(AE$5&gt;=$C237,AE$5&lt;=$D237,$A237&lt;&gt;""),"●","")</x:f>
      </x:c>
      <x:c r="AF237" s="165" t="str">
        <x:f>IF(AND(AF$5&gt;=$C237,AF$5&lt;=$D237,$A237&lt;&gt;""),"●","")</x:f>
      </x:c>
      <x:c r="AG237" s="165" t="str">
        <x:f>IF(AND(AG$5&gt;=$C237,AG$5&lt;=$D237,$A237&lt;&gt;""),"●","")</x:f>
      </x:c>
      <x:c r="AH237" s="165" t="str">
        <x:f>IF(AND(AH$5&gt;=$C237,AH$5&lt;=$D237,$A237&lt;&gt;""),"●","")</x:f>
      </x:c>
      <x:c r="AI237" s="165" t="str">
        <x:f>IF(AND(AI$5&gt;=$C237,AI$5&lt;=$D237,$A237&lt;&gt;""),"●","")</x:f>
      </x:c>
      <x:c r="AJ237" s="165" t="str">
        <x:f>IF(AND(AJ$5&gt;=$C237,AJ$5&lt;=$D237,$A237&lt;&gt;""),"●","")</x:f>
      </x:c>
      <x:c r="AK237" s="165" t="str">
        <x:f>IF(AND(AK$5&gt;=$C237,AK$5&lt;=$D237,$A237&lt;&gt;""),"●","")</x:f>
      </x:c>
      <x:c r="AL237" s="165" t="str">
        <x:f>IF(AND(AL$5&gt;=$C237,AL$5&lt;=$D237,$A237&lt;&gt;""),"●","")</x:f>
      </x:c>
      <x:c r="AM237" s="165" t="str">
        <x:f>IF(AND(AM$5&gt;=$C237,AM$5&lt;=$D237,$A237&lt;&gt;""),"●","")</x:f>
      </x:c>
      <x:c r="AN237" s="165" t="str">
        <x:f>IF(AND(AN$5&gt;=$C237,AN$5&lt;=$D237,$A237&lt;&gt;""),"●","")</x:f>
      </x:c>
      <x:c r="AO237" s="165" t="str">
        <x:f>IF(AND(AO$5&gt;=$C237,AO$5&lt;=$D237,$A237&lt;&gt;""),"●","")</x:f>
      </x:c>
      <x:c r="AP237" s="165" t="str">
        <x:f>IF(AND(AP$5&gt;=$C237,AP$5&lt;=$D237,$A237&lt;&gt;""),"●","")</x:f>
      </x:c>
      <x:c r="AQ237" s="165" t="str">
        <x:f>IF(AND(AQ$5&gt;=$C237,AQ$5&lt;=$D237,$A237&lt;&gt;""),"●","")</x:f>
      </x:c>
      <x:c r="AR237" s="165" t="str">
        <x:f>IF(AND(AR$5&gt;=$C237,AR$5&lt;=$D237,$A237&lt;&gt;""),"●","")</x:f>
      </x:c>
      <x:c r="AS237" s="165" t="str">
        <x:f>IF(AND(AS$5&gt;=$C237,AS$5&lt;=$D237,$A237&lt;&gt;""),"●","")</x:f>
      </x:c>
      <x:c r="AT237" s="165" t="str">
        <x:f>IF(AND(AT$5&gt;=$C237,AT$5&lt;=$D237,$A237&lt;&gt;""),"●","")</x:f>
      </x:c>
      <x:c r="AU237" s="165" t="str">
        <x:f>IF(AND(AU$5&gt;=$C237,AU$5&lt;=$D237,$A237&lt;&gt;""),"●","")</x:f>
      </x:c>
      <x:c r="AV237" s="165" t="str">
        <x:f>IF(AND(AV$5&gt;=$C237,AV$5&lt;=$D237,$A237&lt;&gt;""),"●","")</x:f>
      </x:c>
      <x:c r="AW237" s="165" t="str">
        <x:f>IF(AND(AW$5&gt;=$C237,AW$5&lt;=$D237,$A237&lt;&gt;""),"●","")</x:f>
      </x:c>
      <x:c r="AX237" s="165" t="str">
        <x:f>IF(AND(AX$5&gt;=$C237,AX$5&lt;=$D237,$A237&lt;&gt;""),"●","")</x:f>
      </x:c>
      <x:c r="AY237" s="165" t="str">
        <x:f>IF(AND(AY$5&gt;=$C237,AY$5&lt;=$D237,$A237&lt;&gt;""),"●","")</x:f>
      </x:c>
      <x:c r="AZ237" s="165" t="str">
        <x:f>IF(AND(AZ$5&gt;=$C237,AZ$5&lt;=$D237,$A237&lt;&gt;""),"●","")</x:f>
      </x:c>
      <x:c r="BA237" s="165" t="str">
        <x:f>IF(AND(BA$5&gt;=$C237,BA$5&lt;=$D237,$A237&lt;&gt;""),"●","")</x:f>
      </x:c>
      <x:c r="BB237" s="165" t="str">
        <x:f>IF(AND(BB$5&gt;=$C237,BB$5&lt;=$D237,$A237&lt;&gt;""),"●","")</x:f>
      </x:c>
      <x:c r="BC237" s="165" t="str">
        <x:f>IF(AND(BC$5&gt;=$C237,BC$5&lt;=$D237,$A237&lt;&gt;""),"●","")</x:f>
      </x:c>
      <x:c r="BD237" s="165" t="str">
        <x:f>IF(AND(BD$5&gt;=$C237,BD$5&lt;=$D237,$A237&lt;&gt;""),"●","")</x:f>
      </x:c>
      <x:c r="BE237" s="165" t="str">
        <x:f>IF(AND(BE$5&gt;=$C237,BE$5&lt;=$D237,$A237&lt;&gt;""),"●","")</x:f>
      </x:c>
      <x:c r="BF237" s="165" t="str">
        <x:f>IF(AND(BF$5&gt;=$C237,BF$5&lt;=$D237,$A237&lt;&gt;""),"●","")</x:f>
      </x:c>
      <x:c r="BG237" s="165" t="str">
        <x:f>IF(AND(BG$5&gt;=$C237,BG$5&lt;=$D237,$A237&lt;&gt;""),"●","")</x:f>
      </x:c>
      <x:c r="BH237" s="165" t="str">
        <x:f>IF(AND(BH$5&gt;=$C237,BH$5&lt;=$D237,$A237&lt;&gt;""),"●","")</x:f>
      </x:c>
      <x:c r="BI237" s="165" t="str">
        <x:f>IF(AND(BI$5&gt;=$C237,BI$5&lt;=$D237,$A237&lt;&gt;""),"●","")</x:f>
      </x:c>
      <x:c r="BJ237" s="165" t="str">
        <x:f>IF(AND(BJ$5&gt;=$C237,BJ$5&lt;=$D237,$A237&lt;&gt;""),"●","")</x:f>
      </x:c>
      <x:c r="BK237" s="165" t="str">
        <x:f>IF(AND(BK$5&gt;=$C237,BK$5&lt;=$D237,$A237&lt;&gt;""),"●","")</x:f>
      </x:c>
      <x:c r="BL237" s="165" t="str">
        <x:f>IF(AND(BL$5&gt;=$C237,BL$5&lt;=$D237,$A237&lt;&gt;""),"●","")</x:f>
      </x:c>
      <x:c r="BM237" s="165" t="str">
        <x:f>IF(AND(BM$5&gt;=$C237,BM$5&lt;=$D237,$A237&lt;&gt;""),"●","")</x:f>
      </x:c>
      <x:c r="BN237" s="165" t="str">
        <x:f>IF(AND(BN$5&gt;=$C237,BN$5&lt;=$D237,$A237&lt;&gt;""),"●","")</x:f>
      </x:c>
      <x:c r="BO237" s="165" t="str">
        <x:f>IF(AND(BO$5&gt;=$C237,BO$5&lt;=$D237,$A237&lt;&gt;""),"●","")</x:f>
      </x:c>
      <x:c r="BP237" s="165" t="str">
        <x:f>IF(AND(BP$5&gt;=$C237,BP$5&lt;=$D237,$A237&lt;&gt;""),"●","")</x:f>
      </x:c>
      <x:c r="BQ237" s="165" t="str">
        <x:f>IF(AND(BQ$5&gt;=$C237,BQ$5&lt;=$D237,$A237&lt;&gt;""),"●","")</x:f>
      </x:c>
      <x:c r="BR237" s="165" t="str">
        <x:f>IF(AND(BR$5&gt;=$C237,BR$5&lt;=$D237,$A237&lt;&gt;""),"●","")</x:f>
      </x:c>
      <x:c r="BS237" s="165" t="str">
        <x:f>IF(AND(BS$5&gt;=$C237,BS$5&lt;=$D237,$A237&lt;&gt;""),"●","")</x:f>
      </x:c>
      <x:c r="BT237" s="165" t="str">
        <x:f>IF(AND(BT$5&gt;=$C237,BT$5&lt;=$D237,$A237&lt;&gt;""),"●","")</x:f>
      </x:c>
      <x:c r="BU237" s="165" t="str">
        <x:f>IF(AND(BU$5&gt;=$C237,BU$5&lt;=$D237,$A237&lt;&gt;""),"●","")</x:f>
      </x:c>
      <x:c r="BV237" s="165" t="str">
        <x:f>IF(AND(BV$5&gt;=$C237,BV$5&lt;=$D237,$A237&lt;&gt;""),"●","")</x:f>
      </x:c>
      <x:c r="BW237" s="165" t="str">
        <x:f>IF(AND(BW$5&gt;=$C237,BW$5&lt;=$D237,$A237&lt;&gt;""),"●","")</x:f>
      </x:c>
    </x:row>
    <x:row r="238">
      <x:c r="A238" s="159" t="str">
        <x:f>IF('รายการสัญญา'!A238="","",'รายการสัญญา'!A238)</x:f>
      </x:c>
      <x:c r="B238" s="159" t="str">
        <x:f>IF('รายการสัญญา'!A238="","",'รายการสัญญา'!C238)</x:f>
      </x:c>
      <x:c r="C238" s="162" t="str">
        <x:f>IF('รายการสัญญา'!A238="","",'รายการสัญญา'!E238)</x:f>
      </x:c>
      <x:c r="D238" s="162" t="str">
        <x:f>IF('รายการสัญญา'!A238="","",'รายการสัญญา'!G238)</x:f>
      </x:c>
      <x:c r="E238" s="159" t="str">
        <x:f>IF('รายการสัญญา'!A238="","",'รายการสัญญา'!K238)</x:f>
      </x:c>
      <x:c r="F238" s="165" t="str">
        <x:f>IF(AND(F$5&gt;=$C238,F$5&lt;=$D238,$A238&lt;&gt;""),"●","")</x:f>
      </x:c>
      <x:c r="G238" s="165" t="str">
        <x:f>IF(AND(G$5&gt;=$C238,G$5&lt;=$D238,$A238&lt;&gt;""),"●","")</x:f>
      </x:c>
      <x:c r="H238" s="165" t="str">
        <x:f>IF(AND(H$5&gt;=$C238,H$5&lt;=$D238,$A238&lt;&gt;""),"●","")</x:f>
      </x:c>
      <x:c r="I238" s="165" t="str">
        <x:f>IF(AND(I$5&gt;=$C238,I$5&lt;=$D238,$A238&lt;&gt;""),"●","")</x:f>
      </x:c>
      <x:c r="J238" s="165" t="str">
        <x:f>IF(AND(J$5&gt;=$C238,J$5&lt;=$D238,$A238&lt;&gt;""),"●","")</x:f>
      </x:c>
      <x:c r="K238" s="165" t="str">
        <x:f>IF(AND(K$5&gt;=$C238,K$5&lt;=$D238,$A238&lt;&gt;""),"●","")</x:f>
      </x:c>
      <x:c r="L238" s="165" t="str">
        <x:f>IF(AND(L$5&gt;=$C238,L$5&lt;=$D238,$A238&lt;&gt;""),"●","")</x:f>
      </x:c>
      <x:c r="M238" s="165" t="str">
        <x:f>IF(AND(M$5&gt;=$C238,M$5&lt;=$D238,$A238&lt;&gt;""),"●","")</x:f>
      </x:c>
      <x:c r="N238" s="165" t="str">
        <x:f>IF(AND(N$5&gt;=$C238,N$5&lt;=$D238,$A238&lt;&gt;""),"●","")</x:f>
      </x:c>
      <x:c r="O238" s="165" t="str">
        <x:f>IF(AND(O$5&gt;=$C238,O$5&lt;=$D238,$A238&lt;&gt;""),"●","")</x:f>
      </x:c>
      <x:c r="P238" s="165" t="str">
        <x:f>IF(AND(P$5&gt;=$C238,P$5&lt;=$D238,$A238&lt;&gt;""),"●","")</x:f>
      </x:c>
      <x:c r="Q238" s="165" t="str">
        <x:f>IF(AND(Q$5&gt;=$C238,Q$5&lt;=$D238,$A238&lt;&gt;""),"●","")</x:f>
      </x:c>
      <x:c r="R238" s="165" t="str">
        <x:f>IF(AND(R$5&gt;=$C238,R$5&lt;=$D238,$A238&lt;&gt;""),"●","")</x:f>
      </x:c>
      <x:c r="S238" s="165" t="str">
        <x:f>IF(AND(S$5&gt;=$C238,S$5&lt;=$D238,$A238&lt;&gt;""),"●","")</x:f>
      </x:c>
      <x:c r="T238" s="165" t="str">
        <x:f>IF(AND(T$5&gt;=$C238,T$5&lt;=$D238,$A238&lt;&gt;""),"●","")</x:f>
      </x:c>
      <x:c r="U238" s="165" t="str">
        <x:f>IF(AND(U$5&gt;=$C238,U$5&lt;=$D238,$A238&lt;&gt;""),"●","")</x:f>
      </x:c>
      <x:c r="V238" s="165" t="str">
        <x:f>IF(AND(V$5&gt;=$C238,V$5&lt;=$D238,$A238&lt;&gt;""),"●","")</x:f>
      </x:c>
      <x:c r="W238" s="165" t="str">
        <x:f>IF(AND(W$5&gt;=$C238,W$5&lt;=$D238,$A238&lt;&gt;""),"●","")</x:f>
      </x:c>
      <x:c r="X238" s="165" t="str">
        <x:f>IF(AND(X$5&gt;=$C238,X$5&lt;=$D238,$A238&lt;&gt;""),"●","")</x:f>
      </x:c>
      <x:c r="Y238" s="165" t="str">
        <x:f>IF(AND(Y$5&gt;=$C238,Y$5&lt;=$D238,$A238&lt;&gt;""),"●","")</x:f>
      </x:c>
      <x:c r="Z238" s="165" t="str">
        <x:f>IF(AND(Z$5&gt;=$C238,Z$5&lt;=$D238,$A238&lt;&gt;""),"●","")</x:f>
      </x:c>
      <x:c r="AA238" s="165" t="str">
        <x:f>IF(AND(AA$5&gt;=$C238,AA$5&lt;=$D238,$A238&lt;&gt;""),"●","")</x:f>
      </x:c>
      <x:c r="AB238" s="165" t="str">
        <x:f>IF(AND(AB$5&gt;=$C238,AB$5&lt;=$D238,$A238&lt;&gt;""),"●","")</x:f>
      </x:c>
      <x:c r="AC238" s="165" t="str">
        <x:f>IF(AND(AC$5&gt;=$C238,AC$5&lt;=$D238,$A238&lt;&gt;""),"●","")</x:f>
      </x:c>
      <x:c r="AD238" s="165" t="str">
        <x:f>IF(AND(AD$5&gt;=$C238,AD$5&lt;=$D238,$A238&lt;&gt;""),"●","")</x:f>
      </x:c>
      <x:c r="AE238" s="165" t="str">
        <x:f>IF(AND(AE$5&gt;=$C238,AE$5&lt;=$D238,$A238&lt;&gt;""),"●","")</x:f>
      </x:c>
      <x:c r="AF238" s="165" t="str">
        <x:f>IF(AND(AF$5&gt;=$C238,AF$5&lt;=$D238,$A238&lt;&gt;""),"●","")</x:f>
      </x:c>
      <x:c r="AG238" s="165" t="str">
        <x:f>IF(AND(AG$5&gt;=$C238,AG$5&lt;=$D238,$A238&lt;&gt;""),"●","")</x:f>
      </x:c>
      <x:c r="AH238" s="165" t="str">
        <x:f>IF(AND(AH$5&gt;=$C238,AH$5&lt;=$D238,$A238&lt;&gt;""),"●","")</x:f>
      </x:c>
      <x:c r="AI238" s="165" t="str">
        <x:f>IF(AND(AI$5&gt;=$C238,AI$5&lt;=$D238,$A238&lt;&gt;""),"●","")</x:f>
      </x:c>
      <x:c r="AJ238" s="165" t="str">
        <x:f>IF(AND(AJ$5&gt;=$C238,AJ$5&lt;=$D238,$A238&lt;&gt;""),"●","")</x:f>
      </x:c>
      <x:c r="AK238" s="165" t="str">
        <x:f>IF(AND(AK$5&gt;=$C238,AK$5&lt;=$D238,$A238&lt;&gt;""),"●","")</x:f>
      </x:c>
      <x:c r="AL238" s="165" t="str">
        <x:f>IF(AND(AL$5&gt;=$C238,AL$5&lt;=$D238,$A238&lt;&gt;""),"●","")</x:f>
      </x:c>
      <x:c r="AM238" s="165" t="str">
        <x:f>IF(AND(AM$5&gt;=$C238,AM$5&lt;=$D238,$A238&lt;&gt;""),"●","")</x:f>
      </x:c>
      <x:c r="AN238" s="165" t="str">
        <x:f>IF(AND(AN$5&gt;=$C238,AN$5&lt;=$D238,$A238&lt;&gt;""),"●","")</x:f>
      </x:c>
      <x:c r="AO238" s="165" t="str">
        <x:f>IF(AND(AO$5&gt;=$C238,AO$5&lt;=$D238,$A238&lt;&gt;""),"●","")</x:f>
      </x:c>
      <x:c r="AP238" s="165" t="str">
        <x:f>IF(AND(AP$5&gt;=$C238,AP$5&lt;=$D238,$A238&lt;&gt;""),"●","")</x:f>
      </x:c>
      <x:c r="AQ238" s="165" t="str">
        <x:f>IF(AND(AQ$5&gt;=$C238,AQ$5&lt;=$D238,$A238&lt;&gt;""),"●","")</x:f>
      </x:c>
      <x:c r="AR238" s="165" t="str">
        <x:f>IF(AND(AR$5&gt;=$C238,AR$5&lt;=$D238,$A238&lt;&gt;""),"●","")</x:f>
      </x:c>
      <x:c r="AS238" s="165" t="str">
        <x:f>IF(AND(AS$5&gt;=$C238,AS$5&lt;=$D238,$A238&lt;&gt;""),"●","")</x:f>
      </x:c>
      <x:c r="AT238" s="165" t="str">
        <x:f>IF(AND(AT$5&gt;=$C238,AT$5&lt;=$D238,$A238&lt;&gt;""),"●","")</x:f>
      </x:c>
      <x:c r="AU238" s="165" t="str">
        <x:f>IF(AND(AU$5&gt;=$C238,AU$5&lt;=$D238,$A238&lt;&gt;""),"●","")</x:f>
      </x:c>
      <x:c r="AV238" s="165" t="str">
        <x:f>IF(AND(AV$5&gt;=$C238,AV$5&lt;=$D238,$A238&lt;&gt;""),"●","")</x:f>
      </x:c>
      <x:c r="AW238" s="165" t="str">
        <x:f>IF(AND(AW$5&gt;=$C238,AW$5&lt;=$D238,$A238&lt;&gt;""),"●","")</x:f>
      </x:c>
      <x:c r="AX238" s="165" t="str">
        <x:f>IF(AND(AX$5&gt;=$C238,AX$5&lt;=$D238,$A238&lt;&gt;""),"●","")</x:f>
      </x:c>
      <x:c r="AY238" s="165" t="str">
        <x:f>IF(AND(AY$5&gt;=$C238,AY$5&lt;=$D238,$A238&lt;&gt;""),"●","")</x:f>
      </x:c>
      <x:c r="AZ238" s="165" t="str">
        <x:f>IF(AND(AZ$5&gt;=$C238,AZ$5&lt;=$D238,$A238&lt;&gt;""),"●","")</x:f>
      </x:c>
      <x:c r="BA238" s="165" t="str">
        <x:f>IF(AND(BA$5&gt;=$C238,BA$5&lt;=$D238,$A238&lt;&gt;""),"●","")</x:f>
      </x:c>
      <x:c r="BB238" s="165" t="str">
        <x:f>IF(AND(BB$5&gt;=$C238,BB$5&lt;=$D238,$A238&lt;&gt;""),"●","")</x:f>
      </x:c>
      <x:c r="BC238" s="165" t="str">
        <x:f>IF(AND(BC$5&gt;=$C238,BC$5&lt;=$D238,$A238&lt;&gt;""),"●","")</x:f>
      </x:c>
      <x:c r="BD238" s="165" t="str">
        <x:f>IF(AND(BD$5&gt;=$C238,BD$5&lt;=$D238,$A238&lt;&gt;""),"●","")</x:f>
      </x:c>
      <x:c r="BE238" s="165" t="str">
        <x:f>IF(AND(BE$5&gt;=$C238,BE$5&lt;=$D238,$A238&lt;&gt;""),"●","")</x:f>
      </x:c>
      <x:c r="BF238" s="165" t="str">
        <x:f>IF(AND(BF$5&gt;=$C238,BF$5&lt;=$D238,$A238&lt;&gt;""),"●","")</x:f>
      </x:c>
      <x:c r="BG238" s="165" t="str">
        <x:f>IF(AND(BG$5&gt;=$C238,BG$5&lt;=$D238,$A238&lt;&gt;""),"●","")</x:f>
      </x:c>
      <x:c r="BH238" s="165" t="str">
        <x:f>IF(AND(BH$5&gt;=$C238,BH$5&lt;=$D238,$A238&lt;&gt;""),"●","")</x:f>
      </x:c>
      <x:c r="BI238" s="165" t="str">
        <x:f>IF(AND(BI$5&gt;=$C238,BI$5&lt;=$D238,$A238&lt;&gt;""),"●","")</x:f>
      </x:c>
      <x:c r="BJ238" s="165" t="str">
        <x:f>IF(AND(BJ$5&gt;=$C238,BJ$5&lt;=$D238,$A238&lt;&gt;""),"●","")</x:f>
      </x:c>
      <x:c r="BK238" s="165" t="str">
        <x:f>IF(AND(BK$5&gt;=$C238,BK$5&lt;=$D238,$A238&lt;&gt;""),"●","")</x:f>
      </x:c>
      <x:c r="BL238" s="165" t="str">
        <x:f>IF(AND(BL$5&gt;=$C238,BL$5&lt;=$D238,$A238&lt;&gt;""),"●","")</x:f>
      </x:c>
      <x:c r="BM238" s="165" t="str">
        <x:f>IF(AND(BM$5&gt;=$C238,BM$5&lt;=$D238,$A238&lt;&gt;""),"●","")</x:f>
      </x:c>
      <x:c r="BN238" s="165" t="str">
        <x:f>IF(AND(BN$5&gt;=$C238,BN$5&lt;=$D238,$A238&lt;&gt;""),"●","")</x:f>
      </x:c>
      <x:c r="BO238" s="165" t="str">
        <x:f>IF(AND(BO$5&gt;=$C238,BO$5&lt;=$D238,$A238&lt;&gt;""),"●","")</x:f>
      </x:c>
      <x:c r="BP238" s="165" t="str">
        <x:f>IF(AND(BP$5&gt;=$C238,BP$5&lt;=$D238,$A238&lt;&gt;""),"●","")</x:f>
      </x:c>
      <x:c r="BQ238" s="165" t="str">
        <x:f>IF(AND(BQ$5&gt;=$C238,BQ$5&lt;=$D238,$A238&lt;&gt;""),"●","")</x:f>
      </x:c>
      <x:c r="BR238" s="165" t="str">
        <x:f>IF(AND(BR$5&gt;=$C238,BR$5&lt;=$D238,$A238&lt;&gt;""),"●","")</x:f>
      </x:c>
      <x:c r="BS238" s="165" t="str">
        <x:f>IF(AND(BS$5&gt;=$C238,BS$5&lt;=$D238,$A238&lt;&gt;""),"●","")</x:f>
      </x:c>
      <x:c r="BT238" s="165" t="str">
        <x:f>IF(AND(BT$5&gt;=$C238,BT$5&lt;=$D238,$A238&lt;&gt;""),"●","")</x:f>
      </x:c>
      <x:c r="BU238" s="165" t="str">
        <x:f>IF(AND(BU$5&gt;=$C238,BU$5&lt;=$D238,$A238&lt;&gt;""),"●","")</x:f>
      </x:c>
      <x:c r="BV238" s="165" t="str">
        <x:f>IF(AND(BV$5&gt;=$C238,BV$5&lt;=$D238,$A238&lt;&gt;""),"●","")</x:f>
      </x:c>
      <x:c r="BW238" s="165" t="str">
        <x:f>IF(AND(BW$5&gt;=$C238,BW$5&lt;=$D238,$A238&lt;&gt;""),"●","")</x:f>
      </x:c>
    </x:row>
    <x:row r="239">
      <x:c r="A239" s="159" t="str">
        <x:f>IF('รายการสัญญา'!A239="","",'รายการสัญญา'!A239)</x:f>
      </x:c>
      <x:c r="B239" s="159" t="str">
        <x:f>IF('รายการสัญญา'!A239="","",'รายการสัญญา'!C239)</x:f>
      </x:c>
      <x:c r="C239" s="162" t="str">
        <x:f>IF('รายการสัญญา'!A239="","",'รายการสัญญา'!E239)</x:f>
      </x:c>
      <x:c r="D239" s="162" t="str">
        <x:f>IF('รายการสัญญา'!A239="","",'รายการสัญญา'!G239)</x:f>
      </x:c>
      <x:c r="E239" s="159" t="str">
        <x:f>IF('รายการสัญญา'!A239="","",'รายการสัญญา'!K239)</x:f>
      </x:c>
      <x:c r="F239" s="165" t="str">
        <x:f>IF(AND(F$5&gt;=$C239,F$5&lt;=$D239,$A239&lt;&gt;""),"●","")</x:f>
      </x:c>
      <x:c r="G239" s="165" t="str">
        <x:f>IF(AND(G$5&gt;=$C239,G$5&lt;=$D239,$A239&lt;&gt;""),"●","")</x:f>
      </x:c>
      <x:c r="H239" s="165" t="str">
        <x:f>IF(AND(H$5&gt;=$C239,H$5&lt;=$D239,$A239&lt;&gt;""),"●","")</x:f>
      </x:c>
      <x:c r="I239" s="165" t="str">
        <x:f>IF(AND(I$5&gt;=$C239,I$5&lt;=$D239,$A239&lt;&gt;""),"●","")</x:f>
      </x:c>
      <x:c r="J239" s="165" t="str">
        <x:f>IF(AND(J$5&gt;=$C239,J$5&lt;=$D239,$A239&lt;&gt;""),"●","")</x:f>
      </x:c>
      <x:c r="K239" s="165" t="str">
        <x:f>IF(AND(K$5&gt;=$C239,K$5&lt;=$D239,$A239&lt;&gt;""),"●","")</x:f>
      </x:c>
      <x:c r="L239" s="165" t="str">
        <x:f>IF(AND(L$5&gt;=$C239,L$5&lt;=$D239,$A239&lt;&gt;""),"●","")</x:f>
      </x:c>
      <x:c r="M239" s="165" t="str">
        <x:f>IF(AND(M$5&gt;=$C239,M$5&lt;=$D239,$A239&lt;&gt;""),"●","")</x:f>
      </x:c>
      <x:c r="N239" s="165" t="str">
        <x:f>IF(AND(N$5&gt;=$C239,N$5&lt;=$D239,$A239&lt;&gt;""),"●","")</x:f>
      </x:c>
      <x:c r="O239" s="165" t="str">
        <x:f>IF(AND(O$5&gt;=$C239,O$5&lt;=$D239,$A239&lt;&gt;""),"●","")</x:f>
      </x:c>
      <x:c r="P239" s="165" t="str">
        <x:f>IF(AND(P$5&gt;=$C239,P$5&lt;=$D239,$A239&lt;&gt;""),"●","")</x:f>
      </x:c>
      <x:c r="Q239" s="165" t="str">
        <x:f>IF(AND(Q$5&gt;=$C239,Q$5&lt;=$D239,$A239&lt;&gt;""),"●","")</x:f>
      </x:c>
      <x:c r="R239" s="165" t="str">
        <x:f>IF(AND(R$5&gt;=$C239,R$5&lt;=$D239,$A239&lt;&gt;""),"●","")</x:f>
      </x:c>
      <x:c r="S239" s="165" t="str">
        <x:f>IF(AND(S$5&gt;=$C239,S$5&lt;=$D239,$A239&lt;&gt;""),"●","")</x:f>
      </x:c>
      <x:c r="T239" s="165" t="str">
        <x:f>IF(AND(T$5&gt;=$C239,T$5&lt;=$D239,$A239&lt;&gt;""),"●","")</x:f>
      </x:c>
      <x:c r="U239" s="165" t="str">
        <x:f>IF(AND(U$5&gt;=$C239,U$5&lt;=$D239,$A239&lt;&gt;""),"●","")</x:f>
      </x:c>
      <x:c r="V239" s="165" t="str">
        <x:f>IF(AND(V$5&gt;=$C239,V$5&lt;=$D239,$A239&lt;&gt;""),"●","")</x:f>
      </x:c>
      <x:c r="W239" s="165" t="str">
        <x:f>IF(AND(W$5&gt;=$C239,W$5&lt;=$D239,$A239&lt;&gt;""),"●","")</x:f>
      </x:c>
      <x:c r="X239" s="165" t="str">
        <x:f>IF(AND(X$5&gt;=$C239,X$5&lt;=$D239,$A239&lt;&gt;""),"●","")</x:f>
      </x:c>
      <x:c r="Y239" s="165" t="str">
        <x:f>IF(AND(Y$5&gt;=$C239,Y$5&lt;=$D239,$A239&lt;&gt;""),"●","")</x:f>
      </x:c>
      <x:c r="Z239" s="165" t="str">
        <x:f>IF(AND(Z$5&gt;=$C239,Z$5&lt;=$D239,$A239&lt;&gt;""),"●","")</x:f>
      </x:c>
      <x:c r="AA239" s="165" t="str">
        <x:f>IF(AND(AA$5&gt;=$C239,AA$5&lt;=$D239,$A239&lt;&gt;""),"●","")</x:f>
      </x:c>
      <x:c r="AB239" s="165" t="str">
        <x:f>IF(AND(AB$5&gt;=$C239,AB$5&lt;=$D239,$A239&lt;&gt;""),"●","")</x:f>
      </x:c>
      <x:c r="AC239" s="165" t="str">
        <x:f>IF(AND(AC$5&gt;=$C239,AC$5&lt;=$D239,$A239&lt;&gt;""),"●","")</x:f>
      </x:c>
      <x:c r="AD239" s="165" t="str">
        <x:f>IF(AND(AD$5&gt;=$C239,AD$5&lt;=$D239,$A239&lt;&gt;""),"●","")</x:f>
      </x:c>
      <x:c r="AE239" s="165" t="str">
        <x:f>IF(AND(AE$5&gt;=$C239,AE$5&lt;=$D239,$A239&lt;&gt;""),"●","")</x:f>
      </x:c>
      <x:c r="AF239" s="165" t="str">
        <x:f>IF(AND(AF$5&gt;=$C239,AF$5&lt;=$D239,$A239&lt;&gt;""),"●","")</x:f>
      </x:c>
      <x:c r="AG239" s="165" t="str">
        <x:f>IF(AND(AG$5&gt;=$C239,AG$5&lt;=$D239,$A239&lt;&gt;""),"●","")</x:f>
      </x:c>
      <x:c r="AH239" s="165" t="str">
        <x:f>IF(AND(AH$5&gt;=$C239,AH$5&lt;=$D239,$A239&lt;&gt;""),"●","")</x:f>
      </x:c>
      <x:c r="AI239" s="165" t="str">
        <x:f>IF(AND(AI$5&gt;=$C239,AI$5&lt;=$D239,$A239&lt;&gt;""),"●","")</x:f>
      </x:c>
      <x:c r="AJ239" s="165" t="str">
        <x:f>IF(AND(AJ$5&gt;=$C239,AJ$5&lt;=$D239,$A239&lt;&gt;""),"●","")</x:f>
      </x:c>
      <x:c r="AK239" s="165" t="str">
        <x:f>IF(AND(AK$5&gt;=$C239,AK$5&lt;=$D239,$A239&lt;&gt;""),"●","")</x:f>
      </x:c>
      <x:c r="AL239" s="165" t="str">
        <x:f>IF(AND(AL$5&gt;=$C239,AL$5&lt;=$D239,$A239&lt;&gt;""),"●","")</x:f>
      </x:c>
      <x:c r="AM239" s="165" t="str">
        <x:f>IF(AND(AM$5&gt;=$C239,AM$5&lt;=$D239,$A239&lt;&gt;""),"●","")</x:f>
      </x:c>
      <x:c r="AN239" s="165" t="str">
        <x:f>IF(AND(AN$5&gt;=$C239,AN$5&lt;=$D239,$A239&lt;&gt;""),"●","")</x:f>
      </x:c>
      <x:c r="AO239" s="165" t="str">
        <x:f>IF(AND(AO$5&gt;=$C239,AO$5&lt;=$D239,$A239&lt;&gt;""),"●","")</x:f>
      </x:c>
      <x:c r="AP239" s="165" t="str">
        <x:f>IF(AND(AP$5&gt;=$C239,AP$5&lt;=$D239,$A239&lt;&gt;""),"●","")</x:f>
      </x:c>
      <x:c r="AQ239" s="165" t="str">
        <x:f>IF(AND(AQ$5&gt;=$C239,AQ$5&lt;=$D239,$A239&lt;&gt;""),"●","")</x:f>
      </x:c>
      <x:c r="AR239" s="165" t="str">
        <x:f>IF(AND(AR$5&gt;=$C239,AR$5&lt;=$D239,$A239&lt;&gt;""),"●","")</x:f>
      </x:c>
      <x:c r="AS239" s="165" t="str">
        <x:f>IF(AND(AS$5&gt;=$C239,AS$5&lt;=$D239,$A239&lt;&gt;""),"●","")</x:f>
      </x:c>
      <x:c r="AT239" s="165" t="str">
        <x:f>IF(AND(AT$5&gt;=$C239,AT$5&lt;=$D239,$A239&lt;&gt;""),"●","")</x:f>
      </x:c>
      <x:c r="AU239" s="165" t="str">
        <x:f>IF(AND(AU$5&gt;=$C239,AU$5&lt;=$D239,$A239&lt;&gt;""),"●","")</x:f>
      </x:c>
      <x:c r="AV239" s="165" t="str">
        <x:f>IF(AND(AV$5&gt;=$C239,AV$5&lt;=$D239,$A239&lt;&gt;""),"●","")</x:f>
      </x:c>
      <x:c r="AW239" s="165" t="str">
        <x:f>IF(AND(AW$5&gt;=$C239,AW$5&lt;=$D239,$A239&lt;&gt;""),"●","")</x:f>
      </x:c>
      <x:c r="AX239" s="165" t="str">
        <x:f>IF(AND(AX$5&gt;=$C239,AX$5&lt;=$D239,$A239&lt;&gt;""),"●","")</x:f>
      </x:c>
      <x:c r="AY239" s="165" t="str">
        <x:f>IF(AND(AY$5&gt;=$C239,AY$5&lt;=$D239,$A239&lt;&gt;""),"●","")</x:f>
      </x:c>
      <x:c r="AZ239" s="165" t="str">
        <x:f>IF(AND(AZ$5&gt;=$C239,AZ$5&lt;=$D239,$A239&lt;&gt;""),"●","")</x:f>
      </x:c>
      <x:c r="BA239" s="165" t="str">
        <x:f>IF(AND(BA$5&gt;=$C239,BA$5&lt;=$D239,$A239&lt;&gt;""),"●","")</x:f>
      </x:c>
      <x:c r="BB239" s="165" t="str">
        <x:f>IF(AND(BB$5&gt;=$C239,BB$5&lt;=$D239,$A239&lt;&gt;""),"●","")</x:f>
      </x:c>
      <x:c r="BC239" s="165" t="str">
        <x:f>IF(AND(BC$5&gt;=$C239,BC$5&lt;=$D239,$A239&lt;&gt;""),"●","")</x:f>
      </x:c>
      <x:c r="BD239" s="165" t="str">
        <x:f>IF(AND(BD$5&gt;=$C239,BD$5&lt;=$D239,$A239&lt;&gt;""),"●","")</x:f>
      </x:c>
      <x:c r="BE239" s="165" t="str">
        <x:f>IF(AND(BE$5&gt;=$C239,BE$5&lt;=$D239,$A239&lt;&gt;""),"●","")</x:f>
      </x:c>
      <x:c r="BF239" s="165" t="str">
        <x:f>IF(AND(BF$5&gt;=$C239,BF$5&lt;=$D239,$A239&lt;&gt;""),"●","")</x:f>
      </x:c>
      <x:c r="BG239" s="165" t="str">
        <x:f>IF(AND(BG$5&gt;=$C239,BG$5&lt;=$D239,$A239&lt;&gt;""),"●","")</x:f>
      </x:c>
      <x:c r="BH239" s="165" t="str">
        <x:f>IF(AND(BH$5&gt;=$C239,BH$5&lt;=$D239,$A239&lt;&gt;""),"●","")</x:f>
      </x:c>
      <x:c r="BI239" s="165" t="str">
        <x:f>IF(AND(BI$5&gt;=$C239,BI$5&lt;=$D239,$A239&lt;&gt;""),"●","")</x:f>
      </x:c>
      <x:c r="BJ239" s="165" t="str">
        <x:f>IF(AND(BJ$5&gt;=$C239,BJ$5&lt;=$D239,$A239&lt;&gt;""),"●","")</x:f>
      </x:c>
      <x:c r="BK239" s="165" t="str">
        <x:f>IF(AND(BK$5&gt;=$C239,BK$5&lt;=$D239,$A239&lt;&gt;""),"●","")</x:f>
      </x:c>
      <x:c r="BL239" s="165" t="str">
        <x:f>IF(AND(BL$5&gt;=$C239,BL$5&lt;=$D239,$A239&lt;&gt;""),"●","")</x:f>
      </x:c>
      <x:c r="BM239" s="165" t="str">
        <x:f>IF(AND(BM$5&gt;=$C239,BM$5&lt;=$D239,$A239&lt;&gt;""),"●","")</x:f>
      </x:c>
      <x:c r="BN239" s="165" t="str">
        <x:f>IF(AND(BN$5&gt;=$C239,BN$5&lt;=$D239,$A239&lt;&gt;""),"●","")</x:f>
      </x:c>
      <x:c r="BO239" s="165" t="str">
        <x:f>IF(AND(BO$5&gt;=$C239,BO$5&lt;=$D239,$A239&lt;&gt;""),"●","")</x:f>
      </x:c>
      <x:c r="BP239" s="165" t="str">
        <x:f>IF(AND(BP$5&gt;=$C239,BP$5&lt;=$D239,$A239&lt;&gt;""),"●","")</x:f>
      </x:c>
      <x:c r="BQ239" s="165" t="str">
        <x:f>IF(AND(BQ$5&gt;=$C239,BQ$5&lt;=$D239,$A239&lt;&gt;""),"●","")</x:f>
      </x:c>
      <x:c r="BR239" s="165" t="str">
        <x:f>IF(AND(BR$5&gt;=$C239,BR$5&lt;=$D239,$A239&lt;&gt;""),"●","")</x:f>
      </x:c>
      <x:c r="BS239" s="165" t="str">
        <x:f>IF(AND(BS$5&gt;=$C239,BS$5&lt;=$D239,$A239&lt;&gt;""),"●","")</x:f>
      </x:c>
      <x:c r="BT239" s="165" t="str">
        <x:f>IF(AND(BT$5&gt;=$C239,BT$5&lt;=$D239,$A239&lt;&gt;""),"●","")</x:f>
      </x:c>
      <x:c r="BU239" s="165" t="str">
        <x:f>IF(AND(BU$5&gt;=$C239,BU$5&lt;=$D239,$A239&lt;&gt;""),"●","")</x:f>
      </x:c>
      <x:c r="BV239" s="165" t="str">
        <x:f>IF(AND(BV$5&gt;=$C239,BV$5&lt;=$D239,$A239&lt;&gt;""),"●","")</x:f>
      </x:c>
      <x:c r="BW239" s="165" t="str">
        <x:f>IF(AND(BW$5&gt;=$C239,BW$5&lt;=$D239,$A239&lt;&gt;""),"●","")</x:f>
      </x:c>
    </x:row>
    <x:row r="240">
      <x:c r="A240" s="159" t="str">
        <x:f>IF('รายการสัญญา'!A240="","",'รายการสัญญา'!A240)</x:f>
      </x:c>
      <x:c r="B240" s="159" t="str">
        <x:f>IF('รายการสัญญา'!A240="","",'รายการสัญญา'!C240)</x:f>
      </x:c>
      <x:c r="C240" s="162" t="str">
        <x:f>IF('รายการสัญญา'!A240="","",'รายการสัญญา'!E240)</x:f>
      </x:c>
      <x:c r="D240" s="162" t="str">
        <x:f>IF('รายการสัญญา'!A240="","",'รายการสัญญา'!G240)</x:f>
      </x:c>
      <x:c r="E240" s="159" t="str">
        <x:f>IF('รายการสัญญา'!A240="","",'รายการสัญญา'!K240)</x:f>
      </x:c>
      <x:c r="F240" s="165" t="str">
        <x:f>IF(AND(F$5&gt;=$C240,F$5&lt;=$D240,$A240&lt;&gt;""),"●","")</x:f>
      </x:c>
      <x:c r="G240" s="165" t="str">
        <x:f>IF(AND(G$5&gt;=$C240,G$5&lt;=$D240,$A240&lt;&gt;""),"●","")</x:f>
      </x:c>
      <x:c r="H240" s="165" t="str">
        <x:f>IF(AND(H$5&gt;=$C240,H$5&lt;=$D240,$A240&lt;&gt;""),"●","")</x:f>
      </x:c>
      <x:c r="I240" s="165" t="str">
        <x:f>IF(AND(I$5&gt;=$C240,I$5&lt;=$D240,$A240&lt;&gt;""),"●","")</x:f>
      </x:c>
      <x:c r="J240" s="165" t="str">
        <x:f>IF(AND(J$5&gt;=$C240,J$5&lt;=$D240,$A240&lt;&gt;""),"●","")</x:f>
      </x:c>
      <x:c r="K240" s="165" t="str">
        <x:f>IF(AND(K$5&gt;=$C240,K$5&lt;=$D240,$A240&lt;&gt;""),"●","")</x:f>
      </x:c>
      <x:c r="L240" s="165" t="str">
        <x:f>IF(AND(L$5&gt;=$C240,L$5&lt;=$D240,$A240&lt;&gt;""),"●","")</x:f>
      </x:c>
      <x:c r="M240" s="165" t="str">
        <x:f>IF(AND(M$5&gt;=$C240,M$5&lt;=$D240,$A240&lt;&gt;""),"●","")</x:f>
      </x:c>
      <x:c r="N240" s="165" t="str">
        <x:f>IF(AND(N$5&gt;=$C240,N$5&lt;=$D240,$A240&lt;&gt;""),"●","")</x:f>
      </x:c>
      <x:c r="O240" s="165" t="str">
        <x:f>IF(AND(O$5&gt;=$C240,O$5&lt;=$D240,$A240&lt;&gt;""),"●","")</x:f>
      </x:c>
      <x:c r="P240" s="165" t="str">
        <x:f>IF(AND(P$5&gt;=$C240,P$5&lt;=$D240,$A240&lt;&gt;""),"●","")</x:f>
      </x:c>
      <x:c r="Q240" s="165" t="str">
        <x:f>IF(AND(Q$5&gt;=$C240,Q$5&lt;=$D240,$A240&lt;&gt;""),"●","")</x:f>
      </x:c>
      <x:c r="R240" s="165" t="str">
        <x:f>IF(AND(R$5&gt;=$C240,R$5&lt;=$D240,$A240&lt;&gt;""),"●","")</x:f>
      </x:c>
      <x:c r="S240" s="165" t="str">
        <x:f>IF(AND(S$5&gt;=$C240,S$5&lt;=$D240,$A240&lt;&gt;""),"●","")</x:f>
      </x:c>
      <x:c r="T240" s="165" t="str">
        <x:f>IF(AND(T$5&gt;=$C240,T$5&lt;=$D240,$A240&lt;&gt;""),"●","")</x:f>
      </x:c>
      <x:c r="U240" s="165" t="str">
        <x:f>IF(AND(U$5&gt;=$C240,U$5&lt;=$D240,$A240&lt;&gt;""),"●","")</x:f>
      </x:c>
      <x:c r="V240" s="165" t="str">
        <x:f>IF(AND(V$5&gt;=$C240,V$5&lt;=$D240,$A240&lt;&gt;""),"●","")</x:f>
      </x:c>
      <x:c r="W240" s="165" t="str">
        <x:f>IF(AND(W$5&gt;=$C240,W$5&lt;=$D240,$A240&lt;&gt;""),"●","")</x:f>
      </x:c>
      <x:c r="X240" s="165" t="str">
        <x:f>IF(AND(X$5&gt;=$C240,X$5&lt;=$D240,$A240&lt;&gt;""),"●","")</x:f>
      </x:c>
      <x:c r="Y240" s="165" t="str">
        <x:f>IF(AND(Y$5&gt;=$C240,Y$5&lt;=$D240,$A240&lt;&gt;""),"●","")</x:f>
      </x:c>
      <x:c r="Z240" s="165" t="str">
        <x:f>IF(AND(Z$5&gt;=$C240,Z$5&lt;=$D240,$A240&lt;&gt;""),"●","")</x:f>
      </x:c>
      <x:c r="AA240" s="165" t="str">
        <x:f>IF(AND(AA$5&gt;=$C240,AA$5&lt;=$D240,$A240&lt;&gt;""),"●","")</x:f>
      </x:c>
      <x:c r="AB240" s="165" t="str">
        <x:f>IF(AND(AB$5&gt;=$C240,AB$5&lt;=$D240,$A240&lt;&gt;""),"●","")</x:f>
      </x:c>
      <x:c r="AC240" s="165" t="str">
        <x:f>IF(AND(AC$5&gt;=$C240,AC$5&lt;=$D240,$A240&lt;&gt;""),"●","")</x:f>
      </x:c>
      <x:c r="AD240" s="165" t="str">
        <x:f>IF(AND(AD$5&gt;=$C240,AD$5&lt;=$D240,$A240&lt;&gt;""),"●","")</x:f>
      </x:c>
      <x:c r="AE240" s="165" t="str">
        <x:f>IF(AND(AE$5&gt;=$C240,AE$5&lt;=$D240,$A240&lt;&gt;""),"●","")</x:f>
      </x:c>
      <x:c r="AF240" s="165" t="str">
        <x:f>IF(AND(AF$5&gt;=$C240,AF$5&lt;=$D240,$A240&lt;&gt;""),"●","")</x:f>
      </x:c>
      <x:c r="AG240" s="165" t="str">
        <x:f>IF(AND(AG$5&gt;=$C240,AG$5&lt;=$D240,$A240&lt;&gt;""),"●","")</x:f>
      </x:c>
      <x:c r="AH240" s="165" t="str">
        <x:f>IF(AND(AH$5&gt;=$C240,AH$5&lt;=$D240,$A240&lt;&gt;""),"●","")</x:f>
      </x:c>
      <x:c r="AI240" s="165" t="str">
        <x:f>IF(AND(AI$5&gt;=$C240,AI$5&lt;=$D240,$A240&lt;&gt;""),"●","")</x:f>
      </x:c>
      <x:c r="AJ240" s="165" t="str">
        <x:f>IF(AND(AJ$5&gt;=$C240,AJ$5&lt;=$D240,$A240&lt;&gt;""),"●","")</x:f>
      </x:c>
      <x:c r="AK240" s="165" t="str">
        <x:f>IF(AND(AK$5&gt;=$C240,AK$5&lt;=$D240,$A240&lt;&gt;""),"●","")</x:f>
      </x:c>
      <x:c r="AL240" s="165" t="str">
        <x:f>IF(AND(AL$5&gt;=$C240,AL$5&lt;=$D240,$A240&lt;&gt;""),"●","")</x:f>
      </x:c>
      <x:c r="AM240" s="165" t="str">
        <x:f>IF(AND(AM$5&gt;=$C240,AM$5&lt;=$D240,$A240&lt;&gt;""),"●","")</x:f>
      </x:c>
      <x:c r="AN240" s="165" t="str">
        <x:f>IF(AND(AN$5&gt;=$C240,AN$5&lt;=$D240,$A240&lt;&gt;""),"●","")</x:f>
      </x:c>
      <x:c r="AO240" s="165" t="str">
        <x:f>IF(AND(AO$5&gt;=$C240,AO$5&lt;=$D240,$A240&lt;&gt;""),"●","")</x:f>
      </x:c>
      <x:c r="AP240" s="165" t="str">
        <x:f>IF(AND(AP$5&gt;=$C240,AP$5&lt;=$D240,$A240&lt;&gt;""),"●","")</x:f>
      </x:c>
      <x:c r="AQ240" s="165" t="str">
        <x:f>IF(AND(AQ$5&gt;=$C240,AQ$5&lt;=$D240,$A240&lt;&gt;""),"●","")</x:f>
      </x:c>
      <x:c r="AR240" s="165" t="str">
        <x:f>IF(AND(AR$5&gt;=$C240,AR$5&lt;=$D240,$A240&lt;&gt;""),"●","")</x:f>
      </x:c>
      <x:c r="AS240" s="165" t="str">
        <x:f>IF(AND(AS$5&gt;=$C240,AS$5&lt;=$D240,$A240&lt;&gt;""),"●","")</x:f>
      </x:c>
      <x:c r="AT240" s="165" t="str">
        <x:f>IF(AND(AT$5&gt;=$C240,AT$5&lt;=$D240,$A240&lt;&gt;""),"●","")</x:f>
      </x:c>
      <x:c r="AU240" s="165" t="str">
        <x:f>IF(AND(AU$5&gt;=$C240,AU$5&lt;=$D240,$A240&lt;&gt;""),"●","")</x:f>
      </x:c>
      <x:c r="AV240" s="165" t="str">
        <x:f>IF(AND(AV$5&gt;=$C240,AV$5&lt;=$D240,$A240&lt;&gt;""),"●","")</x:f>
      </x:c>
      <x:c r="AW240" s="165" t="str">
        <x:f>IF(AND(AW$5&gt;=$C240,AW$5&lt;=$D240,$A240&lt;&gt;""),"●","")</x:f>
      </x:c>
      <x:c r="AX240" s="165" t="str">
        <x:f>IF(AND(AX$5&gt;=$C240,AX$5&lt;=$D240,$A240&lt;&gt;""),"●","")</x:f>
      </x:c>
      <x:c r="AY240" s="165" t="str">
        <x:f>IF(AND(AY$5&gt;=$C240,AY$5&lt;=$D240,$A240&lt;&gt;""),"●","")</x:f>
      </x:c>
      <x:c r="AZ240" s="165" t="str">
        <x:f>IF(AND(AZ$5&gt;=$C240,AZ$5&lt;=$D240,$A240&lt;&gt;""),"●","")</x:f>
      </x:c>
      <x:c r="BA240" s="165" t="str">
        <x:f>IF(AND(BA$5&gt;=$C240,BA$5&lt;=$D240,$A240&lt;&gt;""),"●","")</x:f>
      </x:c>
      <x:c r="BB240" s="165" t="str">
        <x:f>IF(AND(BB$5&gt;=$C240,BB$5&lt;=$D240,$A240&lt;&gt;""),"●","")</x:f>
      </x:c>
      <x:c r="BC240" s="165" t="str">
        <x:f>IF(AND(BC$5&gt;=$C240,BC$5&lt;=$D240,$A240&lt;&gt;""),"●","")</x:f>
      </x:c>
      <x:c r="BD240" s="165" t="str">
        <x:f>IF(AND(BD$5&gt;=$C240,BD$5&lt;=$D240,$A240&lt;&gt;""),"●","")</x:f>
      </x:c>
      <x:c r="BE240" s="165" t="str">
        <x:f>IF(AND(BE$5&gt;=$C240,BE$5&lt;=$D240,$A240&lt;&gt;""),"●","")</x:f>
      </x:c>
      <x:c r="BF240" s="165" t="str">
        <x:f>IF(AND(BF$5&gt;=$C240,BF$5&lt;=$D240,$A240&lt;&gt;""),"●","")</x:f>
      </x:c>
      <x:c r="BG240" s="165" t="str">
        <x:f>IF(AND(BG$5&gt;=$C240,BG$5&lt;=$D240,$A240&lt;&gt;""),"●","")</x:f>
      </x:c>
      <x:c r="BH240" s="165" t="str">
        <x:f>IF(AND(BH$5&gt;=$C240,BH$5&lt;=$D240,$A240&lt;&gt;""),"●","")</x:f>
      </x:c>
      <x:c r="BI240" s="165" t="str">
        <x:f>IF(AND(BI$5&gt;=$C240,BI$5&lt;=$D240,$A240&lt;&gt;""),"●","")</x:f>
      </x:c>
      <x:c r="BJ240" s="165" t="str">
        <x:f>IF(AND(BJ$5&gt;=$C240,BJ$5&lt;=$D240,$A240&lt;&gt;""),"●","")</x:f>
      </x:c>
      <x:c r="BK240" s="165" t="str">
        <x:f>IF(AND(BK$5&gt;=$C240,BK$5&lt;=$D240,$A240&lt;&gt;""),"●","")</x:f>
      </x:c>
      <x:c r="BL240" s="165" t="str">
        <x:f>IF(AND(BL$5&gt;=$C240,BL$5&lt;=$D240,$A240&lt;&gt;""),"●","")</x:f>
      </x:c>
      <x:c r="BM240" s="165" t="str">
        <x:f>IF(AND(BM$5&gt;=$C240,BM$5&lt;=$D240,$A240&lt;&gt;""),"●","")</x:f>
      </x:c>
      <x:c r="BN240" s="165" t="str">
        <x:f>IF(AND(BN$5&gt;=$C240,BN$5&lt;=$D240,$A240&lt;&gt;""),"●","")</x:f>
      </x:c>
      <x:c r="BO240" s="165" t="str">
        <x:f>IF(AND(BO$5&gt;=$C240,BO$5&lt;=$D240,$A240&lt;&gt;""),"●","")</x:f>
      </x:c>
      <x:c r="BP240" s="165" t="str">
        <x:f>IF(AND(BP$5&gt;=$C240,BP$5&lt;=$D240,$A240&lt;&gt;""),"●","")</x:f>
      </x:c>
      <x:c r="BQ240" s="165" t="str">
        <x:f>IF(AND(BQ$5&gt;=$C240,BQ$5&lt;=$D240,$A240&lt;&gt;""),"●","")</x:f>
      </x:c>
      <x:c r="BR240" s="165" t="str">
        <x:f>IF(AND(BR$5&gt;=$C240,BR$5&lt;=$D240,$A240&lt;&gt;""),"●","")</x:f>
      </x:c>
      <x:c r="BS240" s="165" t="str">
        <x:f>IF(AND(BS$5&gt;=$C240,BS$5&lt;=$D240,$A240&lt;&gt;""),"●","")</x:f>
      </x:c>
      <x:c r="BT240" s="165" t="str">
        <x:f>IF(AND(BT$5&gt;=$C240,BT$5&lt;=$D240,$A240&lt;&gt;""),"●","")</x:f>
      </x:c>
      <x:c r="BU240" s="165" t="str">
        <x:f>IF(AND(BU$5&gt;=$C240,BU$5&lt;=$D240,$A240&lt;&gt;""),"●","")</x:f>
      </x:c>
      <x:c r="BV240" s="165" t="str">
        <x:f>IF(AND(BV$5&gt;=$C240,BV$5&lt;=$D240,$A240&lt;&gt;""),"●","")</x:f>
      </x:c>
      <x:c r="BW240" s="165" t="str">
        <x:f>IF(AND(BW$5&gt;=$C240,BW$5&lt;=$D240,$A240&lt;&gt;""),"●","")</x:f>
      </x:c>
    </x:row>
    <x:row r="241">
      <x:c r="A241" s="159" t="str">
        <x:f>IF('รายการสัญญา'!A241="","",'รายการสัญญา'!A241)</x:f>
      </x:c>
      <x:c r="B241" s="159" t="str">
        <x:f>IF('รายการสัญญา'!A241="","",'รายการสัญญา'!C241)</x:f>
      </x:c>
      <x:c r="C241" s="162" t="str">
        <x:f>IF('รายการสัญญา'!A241="","",'รายการสัญญา'!E241)</x:f>
      </x:c>
      <x:c r="D241" s="162" t="str">
        <x:f>IF('รายการสัญญา'!A241="","",'รายการสัญญา'!G241)</x:f>
      </x:c>
      <x:c r="E241" s="159" t="str">
        <x:f>IF('รายการสัญญา'!A241="","",'รายการสัญญา'!K241)</x:f>
      </x:c>
      <x:c r="F241" s="165" t="str">
        <x:f>IF(AND(F$5&gt;=$C241,F$5&lt;=$D241,$A241&lt;&gt;""),"●","")</x:f>
      </x:c>
      <x:c r="G241" s="165" t="str">
        <x:f>IF(AND(G$5&gt;=$C241,G$5&lt;=$D241,$A241&lt;&gt;""),"●","")</x:f>
      </x:c>
      <x:c r="H241" s="165" t="str">
        <x:f>IF(AND(H$5&gt;=$C241,H$5&lt;=$D241,$A241&lt;&gt;""),"●","")</x:f>
      </x:c>
      <x:c r="I241" s="165" t="str">
        <x:f>IF(AND(I$5&gt;=$C241,I$5&lt;=$D241,$A241&lt;&gt;""),"●","")</x:f>
      </x:c>
      <x:c r="J241" s="165" t="str">
        <x:f>IF(AND(J$5&gt;=$C241,J$5&lt;=$D241,$A241&lt;&gt;""),"●","")</x:f>
      </x:c>
      <x:c r="K241" s="165" t="str">
        <x:f>IF(AND(K$5&gt;=$C241,K$5&lt;=$D241,$A241&lt;&gt;""),"●","")</x:f>
      </x:c>
      <x:c r="L241" s="165" t="str">
        <x:f>IF(AND(L$5&gt;=$C241,L$5&lt;=$D241,$A241&lt;&gt;""),"●","")</x:f>
      </x:c>
      <x:c r="M241" s="165" t="str">
        <x:f>IF(AND(M$5&gt;=$C241,M$5&lt;=$D241,$A241&lt;&gt;""),"●","")</x:f>
      </x:c>
      <x:c r="N241" s="165" t="str">
        <x:f>IF(AND(N$5&gt;=$C241,N$5&lt;=$D241,$A241&lt;&gt;""),"●","")</x:f>
      </x:c>
      <x:c r="O241" s="165" t="str">
        <x:f>IF(AND(O$5&gt;=$C241,O$5&lt;=$D241,$A241&lt;&gt;""),"●","")</x:f>
      </x:c>
      <x:c r="P241" s="165" t="str">
        <x:f>IF(AND(P$5&gt;=$C241,P$5&lt;=$D241,$A241&lt;&gt;""),"●","")</x:f>
      </x:c>
      <x:c r="Q241" s="165" t="str">
        <x:f>IF(AND(Q$5&gt;=$C241,Q$5&lt;=$D241,$A241&lt;&gt;""),"●","")</x:f>
      </x:c>
      <x:c r="R241" s="165" t="str">
        <x:f>IF(AND(R$5&gt;=$C241,R$5&lt;=$D241,$A241&lt;&gt;""),"●","")</x:f>
      </x:c>
      <x:c r="S241" s="165" t="str">
        <x:f>IF(AND(S$5&gt;=$C241,S$5&lt;=$D241,$A241&lt;&gt;""),"●","")</x:f>
      </x:c>
      <x:c r="T241" s="165" t="str">
        <x:f>IF(AND(T$5&gt;=$C241,T$5&lt;=$D241,$A241&lt;&gt;""),"●","")</x:f>
      </x:c>
      <x:c r="U241" s="165" t="str">
        <x:f>IF(AND(U$5&gt;=$C241,U$5&lt;=$D241,$A241&lt;&gt;""),"●","")</x:f>
      </x:c>
      <x:c r="V241" s="165" t="str">
        <x:f>IF(AND(V$5&gt;=$C241,V$5&lt;=$D241,$A241&lt;&gt;""),"●","")</x:f>
      </x:c>
      <x:c r="W241" s="165" t="str">
        <x:f>IF(AND(W$5&gt;=$C241,W$5&lt;=$D241,$A241&lt;&gt;""),"●","")</x:f>
      </x:c>
      <x:c r="X241" s="165" t="str">
        <x:f>IF(AND(X$5&gt;=$C241,X$5&lt;=$D241,$A241&lt;&gt;""),"●","")</x:f>
      </x:c>
      <x:c r="Y241" s="165" t="str">
        <x:f>IF(AND(Y$5&gt;=$C241,Y$5&lt;=$D241,$A241&lt;&gt;""),"●","")</x:f>
      </x:c>
      <x:c r="Z241" s="165" t="str">
        <x:f>IF(AND(Z$5&gt;=$C241,Z$5&lt;=$D241,$A241&lt;&gt;""),"●","")</x:f>
      </x:c>
      <x:c r="AA241" s="165" t="str">
        <x:f>IF(AND(AA$5&gt;=$C241,AA$5&lt;=$D241,$A241&lt;&gt;""),"●","")</x:f>
      </x:c>
      <x:c r="AB241" s="165" t="str">
        <x:f>IF(AND(AB$5&gt;=$C241,AB$5&lt;=$D241,$A241&lt;&gt;""),"●","")</x:f>
      </x:c>
      <x:c r="AC241" s="165" t="str">
        <x:f>IF(AND(AC$5&gt;=$C241,AC$5&lt;=$D241,$A241&lt;&gt;""),"●","")</x:f>
      </x:c>
      <x:c r="AD241" s="165" t="str">
        <x:f>IF(AND(AD$5&gt;=$C241,AD$5&lt;=$D241,$A241&lt;&gt;""),"●","")</x:f>
      </x:c>
      <x:c r="AE241" s="165" t="str">
        <x:f>IF(AND(AE$5&gt;=$C241,AE$5&lt;=$D241,$A241&lt;&gt;""),"●","")</x:f>
      </x:c>
      <x:c r="AF241" s="165" t="str">
        <x:f>IF(AND(AF$5&gt;=$C241,AF$5&lt;=$D241,$A241&lt;&gt;""),"●","")</x:f>
      </x:c>
      <x:c r="AG241" s="165" t="str">
        <x:f>IF(AND(AG$5&gt;=$C241,AG$5&lt;=$D241,$A241&lt;&gt;""),"●","")</x:f>
      </x:c>
      <x:c r="AH241" s="165" t="str">
        <x:f>IF(AND(AH$5&gt;=$C241,AH$5&lt;=$D241,$A241&lt;&gt;""),"●","")</x:f>
      </x:c>
      <x:c r="AI241" s="165" t="str">
        <x:f>IF(AND(AI$5&gt;=$C241,AI$5&lt;=$D241,$A241&lt;&gt;""),"●","")</x:f>
      </x:c>
      <x:c r="AJ241" s="165" t="str">
        <x:f>IF(AND(AJ$5&gt;=$C241,AJ$5&lt;=$D241,$A241&lt;&gt;""),"●","")</x:f>
      </x:c>
      <x:c r="AK241" s="165" t="str">
        <x:f>IF(AND(AK$5&gt;=$C241,AK$5&lt;=$D241,$A241&lt;&gt;""),"●","")</x:f>
      </x:c>
      <x:c r="AL241" s="165" t="str">
        <x:f>IF(AND(AL$5&gt;=$C241,AL$5&lt;=$D241,$A241&lt;&gt;""),"●","")</x:f>
      </x:c>
      <x:c r="AM241" s="165" t="str">
        <x:f>IF(AND(AM$5&gt;=$C241,AM$5&lt;=$D241,$A241&lt;&gt;""),"●","")</x:f>
      </x:c>
      <x:c r="AN241" s="165" t="str">
        <x:f>IF(AND(AN$5&gt;=$C241,AN$5&lt;=$D241,$A241&lt;&gt;""),"●","")</x:f>
      </x:c>
      <x:c r="AO241" s="165" t="str">
        <x:f>IF(AND(AO$5&gt;=$C241,AO$5&lt;=$D241,$A241&lt;&gt;""),"●","")</x:f>
      </x:c>
      <x:c r="AP241" s="165" t="str">
        <x:f>IF(AND(AP$5&gt;=$C241,AP$5&lt;=$D241,$A241&lt;&gt;""),"●","")</x:f>
      </x:c>
      <x:c r="AQ241" s="165" t="str">
        <x:f>IF(AND(AQ$5&gt;=$C241,AQ$5&lt;=$D241,$A241&lt;&gt;""),"●","")</x:f>
      </x:c>
      <x:c r="AR241" s="165" t="str">
        <x:f>IF(AND(AR$5&gt;=$C241,AR$5&lt;=$D241,$A241&lt;&gt;""),"●","")</x:f>
      </x:c>
      <x:c r="AS241" s="165" t="str">
        <x:f>IF(AND(AS$5&gt;=$C241,AS$5&lt;=$D241,$A241&lt;&gt;""),"●","")</x:f>
      </x:c>
      <x:c r="AT241" s="165" t="str">
        <x:f>IF(AND(AT$5&gt;=$C241,AT$5&lt;=$D241,$A241&lt;&gt;""),"●","")</x:f>
      </x:c>
      <x:c r="AU241" s="165" t="str">
        <x:f>IF(AND(AU$5&gt;=$C241,AU$5&lt;=$D241,$A241&lt;&gt;""),"●","")</x:f>
      </x:c>
      <x:c r="AV241" s="165" t="str">
        <x:f>IF(AND(AV$5&gt;=$C241,AV$5&lt;=$D241,$A241&lt;&gt;""),"●","")</x:f>
      </x:c>
      <x:c r="AW241" s="165" t="str">
        <x:f>IF(AND(AW$5&gt;=$C241,AW$5&lt;=$D241,$A241&lt;&gt;""),"●","")</x:f>
      </x:c>
      <x:c r="AX241" s="165" t="str">
        <x:f>IF(AND(AX$5&gt;=$C241,AX$5&lt;=$D241,$A241&lt;&gt;""),"●","")</x:f>
      </x:c>
      <x:c r="AY241" s="165" t="str">
        <x:f>IF(AND(AY$5&gt;=$C241,AY$5&lt;=$D241,$A241&lt;&gt;""),"●","")</x:f>
      </x:c>
      <x:c r="AZ241" s="165" t="str">
        <x:f>IF(AND(AZ$5&gt;=$C241,AZ$5&lt;=$D241,$A241&lt;&gt;""),"●","")</x:f>
      </x:c>
      <x:c r="BA241" s="165" t="str">
        <x:f>IF(AND(BA$5&gt;=$C241,BA$5&lt;=$D241,$A241&lt;&gt;""),"●","")</x:f>
      </x:c>
      <x:c r="BB241" s="165" t="str">
        <x:f>IF(AND(BB$5&gt;=$C241,BB$5&lt;=$D241,$A241&lt;&gt;""),"●","")</x:f>
      </x:c>
      <x:c r="BC241" s="165" t="str">
        <x:f>IF(AND(BC$5&gt;=$C241,BC$5&lt;=$D241,$A241&lt;&gt;""),"●","")</x:f>
      </x:c>
      <x:c r="BD241" s="165" t="str">
        <x:f>IF(AND(BD$5&gt;=$C241,BD$5&lt;=$D241,$A241&lt;&gt;""),"●","")</x:f>
      </x:c>
      <x:c r="BE241" s="165" t="str">
        <x:f>IF(AND(BE$5&gt;=$C241,BE$5&lt;=$D241,$A241&lt;&gt;""),"●","")</x:f>
      </x:c>
      <x:c r="BF241" s="165" t="str">
        <x:f>IF(AND(BF$5&gt;=$C241,BF$5&lt;=$D241,$A241&lt;&gt;""),"●","")</x:f>
      </x:c>
      <x:c r="BG241" s="165" t="str">
        <x:f>IF(AND(BG$5&gt;=$C241,BG$5&lt;=$D241,$A241&lt;&gt;""),"●","")</x:f>
      </x:c>
      <x:c r="BH241" s="165" t="str">
        <x:f>IF(AND(BH$5&gt;=$C241,BH$5&lt;=$D241,$A241&lt;&gt;""),"●","")</x:f>
      </x:c>
      <x:c r="BI241" s="165" t="str">
        <x:f>IF(AND(BI$5&gt;=$C241,BI$5&lt;=$D241,$A241&lt;&gt;""),"●","")</x:f>
      </x:c>
      <x:c r="BJ241" s="165" t="str">
        <x:f>IF(AND(BJ$5&gt;=$C241,BJ$5&lt;=$D241,$A241&lt;&gt;""),"●","")</x:f>
      </x:c>
      <x:c r="BK241" s="165" t="str">
        <x:f>IF(AND(BK$5&gt;=$C241,BK$5&lt;=$D241,$A241&lt;&gt;""),"●","")</x:f>
      </x:c>
      <x:c r="BL241" s="165" t="str">
        <x:f>IF(AND(BL$5&gt;=$C241,BL$5&lt;=$D241,$A241&lt;&gt;""),"●","")</x:f>
      </x:c>
      <x:c r="BM241" s="165" t="str">
        <x:f>IF(AND(BM$5&gt;=$C241,BM$5&lt;=$D241,$A241&lt;&gt;""),"●","")</x:f>
      </x:c>
      <x:c r="BN241" s="165" t="str">
        <x:f>IF(AND(BN$5&gt;=$C241,BN$5&lt;=$D241,$A241&lt;&gt;""),"●","")</x:f>
      </x:c>
      <x:c r="BO241" s="165" t="str">
        <x:f>IF(AND(BO$5&gt;=$C241,BO$5&lt;=$D241,$A241&lt;&gt;""),"●","")</x:f>
      </x:c>
      <x:c r="BP241" s="165" t="str">
        <x:f>IF(AND(BP$5&gt;=$C241,BP$5&lt;=$D241,$A241&lt;&gt;""),"●","")</x:f>
      </x:c>
      <x:c r="BQ241" s="165" t="str">
        <x:f>IF(AND(BQ$5&gt;=$C241,BQ$5&lt;=$D241,$A241&lt;&gt;""),"●","")</x:f>
      </x:c>
      <x:c r="BR241" s="165" t="str">
        <x:f>IF(AND(BR$5&gt;=$C241,BR$5&lt;=$D241,$A241&lt;&gt;""),"●","")</x:f>
      </x:c>
      <x:c r="BS241" s="165" t="str">
        <x:f>IF(AND(BS$5&gt;=$C241,BS$5&lt;=$D241,$A241&lt;&gt;""),"●","")</x:f>
      </x:c>
      <x:c r="BT241" s="165" t="str">
        <x:f>IF(AND(BT$5&gt;=$C241,BT$5&lt;=$D241,$A241&lt;&gt;""),"●","")</x:f>
      </x:c>
      <x:c r="BU241" s="165" t="str">
        <x:f>IF(AND(BU$5&gt;=$C241,BU$5&lt;=$D241,$A241&lt;&gt;""),"●","")</x:f>
      </x:c>
      <x:c r="BV241" s="165" t="str">
        <x:f>IF(AND(BV$5&gt;=$C241,BV$5&lt;=$D241,$A241&lt;&gt;""),"●","")</x:f>
      </x:c>
      <x:c r="BW241" s="165" t="str">
        <x:f>IF(AND(BW$5&gt;=$C241,BW$5&lt;=$D241,$A241&lt;&gt;""),"●","")</x:f>
      </x:c>
    </x:row>
    <x:row r="242">
      <x:c r="A242" s="159" t="str">
        <x:f>IF('รายการสัญญา'!A242="","",'รายการสัญญา'!A242)</x:f>
      </x:c>
      <x:c r="B242" s="159" t="str">
        <x:f>IF('รายการสัญญา'!A242="","",'รายการสัญญา'!C242)</x:f>
      </x:c>
      <x:c r="C242" s="162" t="str">
        <x:f>IF('รายการสัญญา'!A242="","",'รายการสัญญา'!E242)</x:f>
      </x:c>
      <x:c r="D242" s="162" t="str">
        <x:f>IF('รายการสัญญา'!A242="","",'รายการสัญญา'!G242)</x:f>
      </x:c>
      <x:c r="E242" s="159" t="str">
        <x:f>IF('รายการสัญญา'!A242="","",'รายการสัญญา'!K242)</x:f>
      </x:c>
      <x:c r="F242" s="165" t="str">
        <x:f>IF(AND(F$5&gt;=$C242,F$5&lt;=$D242,$A242&lt;&gt;""),"●","")</x:f>
      </x:c>
      <x:c r="G242" s="165" t="str">
        <x:f>IF(AND(G$5&gt;=$C242,G$5&lt;=$D242,$A242&lt;&gt;""),"●","")</x:f>
      </x:c>
      <x:c r="H242" s="165" t="str">
        <x:f>IF(AND(H$5&gt;=$C242,H$5&lt;=$D242,$A242&lt;&gt;""),"●","")</x:f>
      </x:c>
      <x:c r="I242" s="165" t="str">
        <x:f>IF(AND(I$5&gt;=$C242,I$5&lt;=$D242,$A242&lt;&gt;""),"●","")</x:f>
      </x:c>
      <x:c r="J242" s="165" t="str">
        <x:f>IF(AND(J$5&gt;=$C242,J$5&lt;=$D242,$A242&lt;&gt;""),"●","")</x:f>
      </x:c>
      <x:c r="K242" s="165" t="str">
        <x:f>IF(AND(K$5&gt;=$C242,K$5&lt;=$D242,$A242&lt;&gt;""),"●","")</x:f>
      </x:c>
      <x:c r="L242" s="165" t="str">
        <x:f>IF(AND(L$5&gt;=$C242,L$5&lt;=$D242,$A242&lt;&gt;""),"●","")</x:f>
      </x:c>
      <x:c r="M242" s="165" t="str">
        <x:f>IF(AND(M$5&gt;=$C242,M$5&lt;=$D242,$A242&lt;&gt;""),"●","")</x:f>
      </x:c>
      <x:c r="N242" s="165" t="str">
        <x:f>IF(AND(N$5&gt;=$C242,N$5&lt;=$D242,$A242&lt;&gt;""),"●","")</x:f>
      </x:c>
      <x:c r="O242" s="165" t="str">
        <x:f>IF(AND(O$5&gt;=$C242,O$5&lt;=$D242,$A242&lt;&gt;""),"●","")</x:f>
      </x:c>
      <x:c r="P242" s="165" t="str">
        <x:f>IF(AND(P$5&gt;=$C242,P$5&lt;=$D242,$A242&lt;&gt;""),"●","")</x:f>
      </x:c>
      <x:c r="Q242" s="165" t="str">
        <x:f>IF(AND(Q$5&gt;=$C242,Q$5&lt;=$D242,$A242&lt;&gt;""),"●","")</x:f>
      </x:c>
      <x:c r="R242" s="165" t="str">
        <x:f>IF(AND(R$5&gt;=$C242,R$5&lt;=$D242,$A242&lt;&gt;""),"●","")</x:f>
      </x:c>
      <x:c r="S242" s="165" t="str">
        <x:f>IF(AND(S$5&gt;=$C242,S$5&lt;=$D242,$A242&lt;&gt;""),"●","")</x:f>
      </x:c>
      <x:c r="T242" s="165" t="str">
        <x:f>IF(AND(T$5&gt;=$C242,T$5&lt;=$D242,$A242&lt;&gt;""),"●","")</x:f>
      </x:c>
      <x:c r="U242" s="165" t="str">
        <x:f>IF(AND(U$5&gt;=$C242,U$5&lt;=$D242,$A242&lt;&gt;""),"●","")</x:f>
      </x:c>
      <x:c r="V242" s="165" t="str">
        <x:f>IF(AND(V$5&gt;=$C242,V$5&lt;=$D242,$A242&lt;&gt;""),"●","")</x:f>
      </x:c>
      <x:c r="W242" s="165" t="str">
        <x:f>IF(AND(W$5&gt;=$C242,W$5&lt;=$D242,$A242&lt;&gt;""),"●","")</x:f>
      </x:c>
      <x:c r="X242" s="165" t="str">
        <x:f>IF(AND(X$5&gt;=$C242,X$5&lt;=$D242,$A242&lt;&gt;""),"●","")</x:f>
      </x:c>
      <x:c r="Y242" s="165" t="str">
        <x:f>IF(AND(Y$5&gt;=$C242,Y$5&lt;=$D242,$A242&lt;&gt;""),"●","")</x:f>
      </x:c>
      <x:c r="Z242" s="165" t="str">
        <x:f>IF(AND(Z$5&gt;=$C242,Z$5&lt;=$D242,$A242&lt;&gt;""),"●","")</x:f>
      </x:c>
      <x:c r="AA242" s="165" t="str">
        <x:f>IF(AND(AA$5&gt;=$C242,AA$5&lt;=$D242,$A242&lt;&gt;""),"●","")</x:f>
      </x:c>
      <x:c r="AB242" s="165" t="str">
        <x:f>IF(AND(AB$5&gt;=$C242,AB$5&lt;=$D242,$A242&lt;&gt;""),"●","")</x:f>
      </x:c>
      <x:c r="AC242" s="165" t="str">
        <x:f>IF(AND(AC$5&gt;=$C242,AC$5&lt;=$D242,$A242&lt;&gt;""),"●","")</x:f>
      </x:c>
      <x:c r="AD242" s="165" t="str">
        <x:f>IF(AND(AD$5&gt;=$C242,AD$5&lt;=$D242,$A242&lt;&gt;""),"●","")</x:f>
      </x:c>
      <x:c r="AE242" s="165" t="str">
        <x:f>IF(AND(AE$5&gt;=$C242,AE$5&lt;=$D242,$A242&lt;&gt;""),"●","")</x:f>
      </x:c>
      <x:c r="AF242" s="165" t="str">
        <x:f>IF(AND(AF$5&gt;=$C242,AF$5&lt;=$D242,$A242&lt;&gt;""),"●","")</x:f>
      </x:c>
      <x:c r="AG242" s="165" t="str">
        <x:f>IF(AND(AG$5&gt;=$C242,AG$5&lt;=$D242,$A242&lt;&gt;""),"●","")</x:f>
      </x:c>
      <x:c r="AH242" s="165" t="str">
        <x:f>IF(AND(AH$5&gt;=$C242,AH$5&lt;=$D242,$A242&lt;&gt;""),"●","")</x:f>
      </x:c>
      <x:c r="AI242" s="165" t="str">
        <x:f>IF(AND(AI$5&gt;=$C242,AI$5&lt;=$D242,$A242&lt;&gt;""),"●","")</x:f>
      </x:c>
      <x:c r="AJ242" s="165" t="str">
        <x:f>IF(AND(AJ$5&gt;=$C242,AJ$5&lt;=$D242,$A242&lt;&gt;""),"●","")</x:f>
      </x:c>
      <x:c r="AK242" s="165" t="str">
        <x:f>IF(AND(AK$5&gt;=$C242,AK$5&lt;=$D242,$A242&lt;&gt;""),"●","")</x:f>
      </x:c>
      <x:c r="AL242" s="165" t="str">
        <x:f>IF(AND(AL$5&gt;=$C242,AL$5&lt;=$D242,$A242&lt;&gt;""),"●","")</x:f>
      </x:c>
      <x:c r="AM242" s="165" t="str">
        <x:f>IF(AND(AM$5&gt;=$C242,AM$5&lt;=$D242,$A242&lt;&gt;""),"●","")</x:f>
      </x:c>
      <x:c r="AN242" s="165" t="str">
        <x:f>IF(AND(AN$5&gt;=$C242,AN$5&lt;=$D242,$A242&lt;&gt;""),"●","")</x:f>
      </x:c>
      <x:c r="AO242" s="165" t="str">
        <x:f>IF(AND(AO$5&gt;=$C242,AO$5&lt;=$D242,$A242&lt;&gt;""),"●","")</x:f>
      </x:c>
      <x:c r="AP242" s="165" t="str">
        <x:f>IF(AND(AP$5&gt;=$C242,AP$5&lt;=$D242,$A242&lt;&gt;""),"●","")</x:f>
      </x:c>
      <x:c r="AQ242" s="165" t="str">
        <x:f>IF(AND(AQ$5&gt;=$C242,AQ$5&lt;=$D242,$A242&lt;&gt;""),"●","")</x:f>
      </x:c>
      <x:c r="AR242" s="165" t="str">
        <x:f>IF(AND(AR$5&gt;=$C242,AR$5&lt;=$D242,$A242&lt;&gt;""),"●","")</x:f>
      </x:c>
      <x:c r="AS242" s="165" t="str">
        <x:f>IF(AND(AS$5&gt;=$C242,AS$5&lt;=$D242,$A242&lt;&gt;""),"●","")</x:f>
      </x:c>
      <x:c r="AT242" s="165" t="str">
        <x:f>IF(AND(AT$5&gt;=$C242,AT$5&lt;=$D242,$A242&lt;&gt;""),"●","")</x:f>
      </x:c>
      <x:c r="AU242" s="165" t="str">
        <x:f>IF(AND(AU$5&gt;=$C242,AU$5&lt;=$D242,$A242&lt;&gt;""),"●","")</x:f>
      </x:c>
      <x:c r="AV242" s="165" t="str">
        <x:f>IF(AND(AV$5&gt;=$C242,AV$5&lt;=$D242,$A242&lt;&gt;""),"●","")</x:f>
      </x:c>
      <x:c r="AW242" s="165" t="str">
        <x:f>IF(AND(AW$5&gt;=$C242,AW$5&lt;=$D242,$A242&lt;&gt;""),"●","")</x:f>
      </x:c>
      <x:c r="AX242" s="165" t="str">
        <x:f>IF(AND(AX$5&gt;=$C242,AX$5&lt;=$D242,$A242&lt;&gt;""),"●","")</x:f>
      </x:c>
      <x:c r="AY242" s="165" t="str">
        <x:f>IF(AND(AY$5&gt;=$C242,AY$5&lt;=$D242,$A242&lt;&gt;""),"●","")</x:f>
      </x:c>
      <x:c r="AZ242" s="165" t="str">
        <x:f>IF(AND(AZ$5&gt;=$C242,AZ$5&lt;=$D242,$A242&lt;&gt;""),"●","")</x:f>
      </x:c>
      <x:c r="BA242" s="165" t="str">
        <x:f>IF(AND(BA$5&gt;=$C242,BA$5&lt;=$D242,$A242&lt;&gt;""),"●","")</x:f>
      </x:c>
      <x:c r="BB242" s="165" t="str">
        <x:f>IF(AND(BB$5&gt;=$C242,BB$5&lt;=$D242,$A242&lt;&gt;""),"●","")</x:f>
      </x:c>
      <x:c r="BC242" s="165" t="str">
        <x:f>IF(AND(BC$5&gt;=$C242,BC$5&lt;=$D242,$A242&lt;&gt;""),"●","")</x:f>
      </x:c>
      <x:c r="BD242" s="165" t="str">
        <x:f>IF(AND(BD$5&gt;=$C242,BD$5&lt;=$D242,$A242&lt;&gt;""),"●","")</x:f>
      </x:c>
      <x:c r="BE242" s="165" t="str">
        <x:f>IF(AND(BE$5&gt;=$C242,BE$5&lt;=$D242,$A242&lt;&gt;""),"●","")</x:f>
      </x:c>
      <x:c r="BF242" s="165" t="str">
        <x:f>IF(AND(BF$5&gt;=$C242,BF$5&lt;=$D242,$A242&lt;&gt;""),"●","")</x:f>
      </x:c>
      <x:c r="BG242" s="165" t="str">
        <x:f>IF(AND(BG$5&gt;=$C242,BG$5&lt;=$D242,$A242&lt;&gt;""),"●","")</x:f>
      </x:c>
      <x:c r="BH242" s="165" t="str">
        <x:f>IF(AND(BH$5&gt;=$C242,BH$5&lt;=$D242,$A242&lt;&gt;""),"●","")</x:f>
      </x:c>
      <x:c r="BI242" s="165" t="str">
        <x:f>IF(AND(BI$5&gt;=$C242,BI$5&lt;=$D242,$A242&lt;&gt;""),"●","")</x:f>
      </x:c>
      <x:c r="BJ242" s="165" t="str">
        <x:f>IF(AND(BJ$5&gt;=$C242,BJ$5&lt;=$D242,$A242&lt;&gt;""),"●","")</x:f>
      </x:c>
      <x:c r="BK242" s="165" t="str">
        <x:f>IF(AND(BK$5&gt;=$C242,BK$5&lt;=$D242,$A242&lt;&gt;""),"●","")</x:f>
      </x:c>
      <x:c r="BL242" s="165" t="str">
        <x:f>IF(AND(BL$5&gt;=$C242,BL$5&lt;=$D242,$A242&lt;&gt;""),"●","")</x:f>
      </x:c>
      <x:c r="BM242" s="165" t="str">
        <x:f>IF(AND(BM$5&gt;=$C242,BM$5&lt;=$D242,$A242&lt;&gt;""),"●","")</x:f>
      </x:c>
      <x:c r="BN242" s="165" t="str">
        <x:f>IF(AND(BN$5&gt;=$C242,BN$5&lt;=$D242,$A242&lt;&gt;""),"●","")</x:f>
      </x:c>
      <x:c r="BO242" s="165" t="str">
        <x:f>IF(AND(BO$5&gt;=$C242,BO$5&lt;=$D242,$A242&lt;&gt;""),"●","")</x:f>
      </x:c>
      <x:c r="BP242" s="165" t="str">
        <x:f>IF(AND(BP$5&gt;=$C242,BP$5&lt;=$D242,$A242&lt;&gt;""),"●","")</x:f>
      </x:c>
      <x:c r="BQ242" s="165" t="str">
        <x:f>IF(AND(BQ$5&gt;=$C242,BQ$5&lt;=$D242,$A242&lt;&gt;""),"●","")</x:f>
      </x:c>
      <x:c r="BR242" s="165" t="str">
        <x:f>IF(AND(BR$5&gt;=$C242,BR$5&lt;=$D242,$A242&lt;&gt;""),"●","")</x:f>
      </x:c>
      <x:c r="BS242" s="165" t="str">
        <x:f>IF(AND(BS$5&gt;=$C242,BS$5&lt;=$D242,$A242&lt;&gt;""),"●","")</x:f>
      </x:c>
      <x:c r="BT242" s="165" t="str">
        <x:f>IF(AND(BT$5&gt;=$C242,BT$5&lt;=$D242,$A242&lt;&gt;""),"●","")</x:f>
      </x:c>
      <x:c r="BU242" s="165" t="str">
        <x:f>IF(AND(BU$5&gt;=$C242,BU$5&lt;=$D242,$A242&lt;&gt;""),"●","")</x:f>
      </x:c>
      <x:c r="BV242" s="165" t="str">
        <x:f>IF(AND(BV$5&gt;=$C242,BV$5&lt;=$D242,$A242&lt;&gt;""),"●","")</x:f>
      </x:c>
      <x:c r="BW242" s="165" t="str">
        <x:f>IF(AND(BW$5&gt;=$C242,BW$5&lt;=$D242,$A242&lt;&gt;""),"●","")</x:f>
      </x:c>
    </x:row>
    <x:row r="243">
      <x:c r="A243" s="159" t="str">
        <x:f>IF('รายการสัญญา'!A243="","",'รายการสัญญา'!A243)</x:f>
      </x:c>
      <x:c r="B243" s="159" t="str">
        <x:f>IF('รายการสัญญา'!A243="","",'รายการสัญญา'!C243)</x:f>
      </x:c>
      <x:c r="C243" s="162" t="str">
        <x:f>IF('รายการสัญญา'!A243="","",'รายการสัญญา'!E243)</x:f>
      </x:c>
      <x:c r="D243" s="162" t="str">
        <x:f>IF('รายการสัญญา'!A243="","",'รายการสัญญา'!G243)</x:f>
      </x:c>
      <x:c r="E243" s="159" t="str">
        <x:f>IF('รายการสัญญา'!A243="","",'รายการสัญญา'!K243)</x:f>
      </x:c>
      <x:c r="F243" s="165" t="str">
        <x:f>IF(AND(F$5&gt;=$C243,F$5&lt;=$D243,$A243&lt;&gt;""),"●","")</x:f>
      </x:c>
      <x:c r="G243" s="165" t="str">
        <x:f>IF(AND(G$5&gt;=$C243,G$5&lt;=$D243,$A243&lt;&gt;""),"●","")</x:f>
      </x:c>
      <x:c r="H243" s="165" t="str">
        <x:f>IF(AND(H$5&gt;=$C243,H$5&lt;=$D243,$A243&lt;&gt;""),"●","")</x:f>
      </x:c>
      <x:c r="I243" s="165" t="str">
        <x:f>IF(AND(I$5&gt;=$C243,I$5&lt;=$D243,$A243&lt;&gt;""),"●","")</x:f>
      </x:c>
      <x:c r="J243" s="165" t="str">
        <x:f>IF(AND(J$5&gt;=$C243,J$5&lt;=$D243,$A243&lt;&gt;""),"●","")</x:f>
      </x:c>
      <x:c r="K243" s="165" t="str">
        <x:f>IF(AND(K$5&gt;=$C243,K$5&lt;=$D243,$A243&lt;&gt;""),"●","")</x:f>
      </x:c>
      <x:c r="L243" s="165" t="str">
        <x:f>IF(AND(L$5&gt;=$C243,L$5&lt;=$D243,$A243&lt;&gt;""),"●","")</x:f>
      </x:c>
      <x:c r="M243" s="165" t="str">
        <x:f>IF(AND(M$5&gt;=$C243,M$5&lt;=$D243,$A243&lt;&gt;""),"●","")</x:f>
      </x:c>
      <x:c r="N243" s="165" t="str">
        <x:f>IF(AND(N$5&gt;=$C243,N$5&lt;=$D243,$A243&lt;&gt;""),"●","")</x:f>
      </x:c>
      <x:c r="O243" s="165" t="str">
        <x:f>IF(AND(O$5&gt;=$C243,O$5&lt;=$D243,$A243&lt;&gt;""),"●","")</x:f>
      </x:c>
      <x:c r="P243" s="165" t="str">
        <x:f>IF(AND(P$5&gt;=$C243,P$5&lt;=$D243,$A243&lt;&gt;""),"●","")</x:f>
      </x:c>
      <x:c r="Q243" s="165" t="str">
        <x:f>IF(AND(Q$5&gt;=$C243,Q$5&lt;=$D243,$A243&lt;&gt;""),"●","")</x:f>
      </x:c>
      <x:c r="R243" s="165" t="str">
        <x:f>IF(AND(R$5&gt;=$C243,R$5&lt;=$D243,$A243&lt;&gt;""),"●","")</x:f>
      </x:c>
      <x:c r="S243" s="165" t="str">
        <x:f>IF(AND(S$5&gt;=$C243,S$5&lt;=$D243,$A243&lt;&gt;""),"●","")</x:f>
      </x:c>
      <x:c r="T243" s="165" t="str">
        <x:f>IF(AND(T$5&gt;=$C243,T$5&lt;=$D243,$A243&lt;&gt;""),"●","")</x:f>
      </x:c>
      <x:c r="U243" s="165" t="str">
        <x:f>IF(AND(U$5&gt;=$C243,U$5&lt;=$D243,$A243&lt;&gt;""),"●","")</x:f>
      </x:c>
      <x:c r="V243" s="165" t="str">
        <x:f>IF(AND(V$5&gt;=$C243,V$5&lt;=$D243,$A243&lt;&gt;""),"●","")</x:f>
      </x:c>
      <x:c r="W243" s="165" t="str">
        <x:f>IF(AND(W$5&gt;=$C243,W$5&lt;=$D243,$A243&lt;&gt;""),"●","")</x:f>
      </x:c>
      <x:c r="X243" s="165" t="str">
        <x:f>IF(AND(X$5&gt;=$C243,X$5&lt;=$D243,$A243&lt;&gt;""),"●","")</x:f>
      </x:c>
      <x:c r="Y243" s="165" t="str">
        <x:f>IF(AND(Y$5&gt;=$C243,Y$5&lt;=$D243,$A243&lt;&gt;""),"●","")</x:f>
      </x:c>
      <x:c r="Z243" s="165" t="str">
        <x:f>IF(AND(Z$5&gt;=$C243,Z$5&lt;=$D243,$A243&lt;&gt;""),"●","")</x:f>
      </x:c>
      <x:c r="AA243" s="165" t="str">
        <x:f>IF(AND(AA$5&gt;=$C243,AA$5&lt;=$D243,$A243&lt;&gt;""),"●","")</x:f>
      </x:c>
      <x:c r="AB243" s="165" t="str">
        <x:f>IF(AND(AB$5&gt;=$C243,AB$5&lt;=$D243,$A243&lt;&gt;""),"●","")</x:f>
      </x:c>
      <x:c r="AC243" s="165" t="str">
        <x:f>IF(AND(AC$5&gt;=$C243,AC$5&lt;=$D243,$A243&lt;&gt;""),"●","")</x:f>
      </x:c>
      <x:c r="AD243" s="165" t="str">
        <x:f>IF(AND(AD$5&gt;=$C243,AD$5&lt;=$D243,$A243&lt;&gt;""),"●","")</x:f>
      </x:c>
      <x:c r="AE243" s="165" t="str">
        <x:f>IF(AND(AE$5&gt;=$C243,AE$5&lt;=$D243,$A243&lt;&gt;""),"●","")</x:f>
      </x:c>
      <x:c r="AF243" s="165" t="str">
        <x:f>IF(AND(AF$5&gt;=$C243,AF$5&lt;=$D243,$A243&lt;&gt;""),"●","")</x:f>
      </x:c>
      <x:c r="AG243" s="165" t="str">
        <x:f>IF(AND(AG$5&gt;=$C243,AG$5&lt;=$D243,$A243&lt;&gt;""),"●","")</x:f>
      </x:c>
      <x:c r="AH243" s="165" t="str">
        <x:f>IF(AND(AH$5&gt;=$C243,AH$5&lt;=$D243,$A243&lt;&gt;""),"●","")</x:f>
      </x:c>
      <x:c r="AI243" s="165" t="str">
        <x:f>IF(AND(AI$5&gt;=$C243,AI$5&lt;=$D243,$A243&lt;&gt;""),"●","")</x:f>
      </x:c>
      <x:c r="AJ243" s="165" t="str">
        <x:f>IF(AND(AJ$5&gt;=$C243,AJ$5&lt;=$D243,$A243&lt;&gt;""),"●","")</x:f>
      </x:c>
      <x:c r="AK243" s="165" t="str">
        <x:f>IF(AND(AK$5&gt;=$C243,AK$5&lt;=$D243,$A243&lt;&gt;""),"●","")</x:f>
      </x:c>
      <x:c r="AL243" s="165" t="str">
        <x:f>IF(AND(AL$5&gt;=$C243,AL$5&lt;=$D243,$A243&lt;&gt;""),"●","")</x:f>
      </x:c>
      <x:c r="AM243" s="165" t="str">
        <x:f>IF(AND(AM$5&gt;=$C243,AM$5&lt;=$D243,$A243&lt;&gt;""),"●","")</x:f>
      </x:c>
      <x:c r="AN243" s="165" t="str">
        <x:f>IF(AND(AN$5&gt;=$C243,AN$5&lt;=$D243,$A243&lt;&gt;""),"●","")</x:f>
      </x:c>
      <x:c r="AO243" s="165" t="str">
        <x:f>IF(AND(AO$5&gt;=$C243,AO$5&lt;=$D243,$A243&lt;&gt;""),"●","")</x:f>
      </x:c>
      <x:c r="AP243" s="165" t="str">
        <x:f>IF(AND(AP$5&gt;=$C243,AP$5&lt;=$D243,$A243&lt;&gt;""),"●","")</x:f>
      </x:c>
      <x:c r="AQ243" s="165" t="str">
        <x:f>IF(AND(AQ$5&gt;=$C243,AQ$5&lt;=$D243,$A243&lt;&gt;""),"●","")</x:f>
      </x:c>
      <x:c r="AR243" s="165" t="str">
        <x:f>IF(AND(AR$5&gt;=$C243,AR$5&lt;=$D243,$A243&lt;&gt;""),"●","")</x:f>
      </x:c>
      <x:c r="AS243" s="165" t="str">
        <x:f>IF(AND(AS$5&gt;=$C243,AS$5&lt;=$D243,$A243&lt;&gt;""),"●","")</x:f>
      </x:c>
      <x:c r="AT243" s="165" t="str">
        <x:f>IF(AND(AT$5&gt;=$C243,AT$5&lt;=$D243,$A243&lt;&gt;""),"●","")</x:f>
      </x:c>
      <x:c r="AU243" s="165" t="str">
        <x:f>IF(AND(AU$5&gt;=$C243,AU$5&lt;=$D243,$A243&lt;&gt;""),"●","")</x:f>
      </x:c>
      <x:c r="AV243" s="165" t="str">
        <x:f>IF(AND(AV$5&gt;=$C243,AV$5&lt;=$D243,$A243&lt;&gt;""),"●","")</x:f>
      </x:c>
      <x:c r="AW243" s="165" t="str">
        <x:f>IF(AND(AW$5&gt;=$C243,AW$5&lt;=$D243,$A243&lt;&gt;""),"●","")</x:f>
      </x:c>
      <x:c r="AX243" s="165" t="str">
        <x:f>IF(AND(AX$5&gt;=$C243,AX$5&lt;=$D243,$A243&lt;&gt;""),"●","")</x:f>
      </x:c>
      <x:c r="AY243" s="165" t="str">
        <x:f>IF(AND(AY$5&gt;=$C243,AY$5&lt;=$D243,$A243&lt;&gt;""),"●","")</x:f>
      </x:c>
      <x:c r="AZ243" s="165" t="str">
        <x:f>IF(AND(AZ$5&gt;=$C243,AZ$5&lt;=$D243,$A243&lt;&gt;""),"●","")</x:f>
      </x:c>
      <x:c r="BA243" s="165" t="str">
        <x:f>IF(AND(BA$5&gt;=$C243,BA$5&lt;=$D243,$A243&lt;&gt;""),"●","")</x:f>
      </x:c>
      <x:c r="BB243" s="165" t="str">
        <x:f>IF(AND(BB$5&gt;=$C243,BB$5&lt;=$D243,$A243&lt;&gt;""),"●","")</x:f>
      </x:c>
      <x:c r="BC243" s="165" t="str">
        <x:f>IF(AND(BC$5&gt;=$C243,BC$5&lt;=$D243,$A243&lt;&gt;""),"●","")</x:f>
      </x:c>
      <x:c r="BD243" s="165" t="str">
        <x:f>IF(AND(BD$5&gt;=$C243,BD$5&lt;=$D243,$A243&lt;&gt;""),"●","")</x:f>
      </x:c>
      <x:c r="BE243" s="165" t="str">
        <x:f>IF(AND(BE$5&gt;=$C243,BE$5&lt;=$D243,$A243&lt;&gt;""),"●","")</x:f>
      </x:c>
      <x:c r="BF243" s="165" t="str">
        <x:f>IF(AND(BF$5&gt;=$C243,BF$5&lt;=$D243,$A243&lt;&gt;""),"●","")</x:f>
      </x:c>
      <x:c r="BG243" s="165" t="str">
        <x:f>IF(AND(BG$5&gt;=$C243,BG$5&lt;=$D243,$A243&lt;&gt;""),"●","")</x:f>
      </x:c>
      <x:c r="BH243" s="165" t="str">
        <x:f>IF(AND(BH$5&gt;=$C243,BH$5&lt;=$D243,$A243&lt;&gt;""),"●","")</x:f>
      </x:c>
      <x:c r="BI243" s="165" t="str">
        <x:f>IF(AND(BI$5&gt;=$C243,BI$5&lt;=$D243,$A243&lt;&gt;""),"●","")</x:f>
      </x:c>
      <x:c r="BJ243" s="165" t="str">
        <x:f>IF(AND(BJ$5&gt;=$C243,BJ$5&lt;=$D243,$A243&lt;&gt;""),"●","")</x:f>
      </x:c>
      <x:c r="BK243" s="165" t="str">
        <x:f>IF(AND(BK$5&gt;=$C243,BK$5&lt;=$D243,$A243&lt;&gt;""),"●","")</x:f>
      </x:c>
      <x:c r="BL243" s="165" t="str">
        <x:f>IF(AND(BL$5&gt;=$C243,BL$5&lt;=$D243,$A243&lt;&gt;""),"●","")</x:f>
      </x:c>
      <x:c r="BM243" s="165" t="str">
        <x:f>IF(AND(BM$5&gt;=$C243,BM$5&lt;=$D243,$A243&lt;&gt;""),"●","")</x:f>
      </x:c>
      <x:c r="BN243" s="165" t="str">
        <x:f>IF(AND(BN$5&gt;=$C243,BN$5&lt;=$D243,$A243&lt;&gt;""),"●","")</x:f>
      </x:c>
      <x:c r="BO243" s="165" t="str">
        <x:f>IF(AND(BO$5&gt;=$C243,BO$5&lt;=$D243,$A243&lt;&gt;""),"●","")</x:f>
      </x:c>
      <x:c r="BP243" s="165" t="str">
        <x:f>IF(AND(BP$5&gt;=$C243,BP$5&lt;=$D243,$A243&lt;&gt;""),"●","")</x:f>
      </x:c>
      <x:c r="BQ243" s="165" t="str">
        <x:f>IF(AND(BQ$5&gt;=$C243,BQ$5&lt;=$D243,$A243&lt;&gt;""),"●","")</x:f>
      </x:c>
      <x:c r="BR243" s="165" t="str">
        <x:f>IF(AND(BR$5&gt;=$C243,BR$5&lt;=$D243,$A243&lt;&gt;""),"●","")</x:f>
      </x:c>
      <x:c r="BS243" s="165" t="str">
        <x:f>IF(AND(BS$5&gt;=$C243,BS$5&lt;=$D243,$A243&lt;&gt;""),"●","")</x:f>
      </x:c>
      <x:c r="BT243" s="165" t="str">
        <x:f>IF(AND(BT$5&gt;=$C243,BT$5&lt;=$D243,$A243&lt;&gt;""),"●","")</x:f>
      </x:c>
      <x:c r="BU243" s="165" t="str">
        <x:f>IF(AND(BU$5&gt;=$C243,BU$5&lt;=$D243,$A243&lt;&gt;""),"●","")</x:f>
      </x:c>
      <x:c r="BV243" s="165" t="str">
        <x:f>IF(AND(BV$5&gt;=$C243,BV$5&lt;=$D243,$A243&lt;&gt;""),"●","")</x:f>
      </x:c>
      <x:c r="BW243" s="165" t="str">
        <x:f>IF(AND(BW$5&gt;=$C243,BW$5&lt;=$D243,$A243&lt;&gt;""),"●","")</x:f>
      </x:c>
    </x:row>
    <x:row r="244">
      <x:c r="A244" s="159" t="str">
        <x:f>IF('รายการสัญญา'!A244="","",'รายการสัญญา'!A244)</x:f>
      </x:c>
      <x:c r="B244" s="159" t="str">
        <x:f>IF('รายการสัญญา'!A244="","",'รายการสัญญา'!C244)</x:f>
      </x:c>
      <x:c r="C244" s="162" t="str">
        <x:f>IF('รายการสัญญา'!A244="","",'รายการสัญญา'!E244)</x:f>
      </x:c>
      <x:c r="D244" s="162" t="str">
        <x:f>IF('รายการสัญญา'!A244="","",'รายการสัญญา'!G244)</x:f>
      </x:c>
      <x:c r="E244" s="159" t="str">
        <x:f>IF('รายการสัญญา'!A244="","",'รายการสัญญา'!K244)</x:f>
      </x:c>
      <x:c r="F244" s="165" t="str">
        <x:f>IF(AND(F$5&gt;=$C244,F$5&lt;=$D244,$A244&lt;&gt;""),"●","")</x:f>
      </x:c>
      <x:c r="G244" s="165" t="str">
        <x:f>IF(AND(G$5&gt;=$C244,G$5&lt;=$D244,$A244&lt;&gt;""),"●","")</x:f>
      </x:c>
      <x:c r="H244" s="165" t="str">
        <x:f>IF(AND(H$5&gt;=$C244,H$5&lt;=$D244,$A244&lt;&gt;""),"●","")</x:f>
      </x:c>
      <x:c r="I244" s="165" t="str">
        <x:f>IF(AND(I$5&gt;=$C244,I$5&lt;=$D244,$A244&lt;&gt;""),"●","")</x:f>
      </x:c>
      <x:c r="J244" s="165" t="str">
        <x:f>IF(AND(J$5&gt;=$C244,J$5&lt;=$D244,$A244&lt;&gt;""),"●","")</x:f>
      </x:c>
      <x:c r="K244" s="165" t="str">
        <x:f>IF(AND(K$5&gt;=$C244,K$5&lt;=$D244,$A244&lt;&gt;""),"●","")</x:f>
      </x:c>
      <x:c r="L244" s="165" t="str">
        <x:f>IF(AND(L$5&gt;=$C244,L$5&lt;=$D244,$A244&lt;&gt;""),"●","")</x:f>
      </x:c>
      <x:c r="M244" s="165" t="str">
        <x:f>IF(AND(M$5&gt;=$C244,M$5&lt;=$D244,$A244&lt;&gt;""),"●","")</x:f>
      </x:c>
      <x:c r="N244" s="165" t="str">
        <x:f>IF(AND(N$5&gt;=$C244,N$5&lt;=$D244,$A244&lt;&gt;""),"●","")</x:f>
      </x:c>
      <x:c r="O244" s="165" t="str">
        <x:f>IF(AND(O$5&gt;=$C244,O$5&lt;=$D244,$A244&lt;&gt;""),"●","")</x:f>
      </x:c>
      <x:c r="P244" s="165" t="str">
        <x:f>IF(AND(P$5&gt;=$C244,P$5&lt;=$D244,$A244&lt;&gt;""),"●","")</x:f>
      </x:c>
      <x:c r="Q244" s="165" t="str">
        <x:f>IF(AND(Q$5&gt;=$C244,Q$5&lt;=$D244,$A244&lt;&gt;""),"●","")</x:f>
      </x:c>
      <x:c r="R244" s="165" t="str">
        <x:f>IF(AND(R$5&gt;=$C244,R$5&lt;=$D244,$A244&lt;&gt;""),"●","")</x:f>
      </x:c>
      <x:c r="S244" s="165" t="str">
        <x:f>IF(AND(S$5&gt;=$C244,S$5&lt;=$D244,$A244&lt;&gt;""),"●","")</x:f>
      </x:c>
      <x:c r="T244" s="165" t="str">
        <x:f>IF(AND(T$5&gt;=$C244,T$5&lt;=$D244,$A244&lt;&gt;""),"●","")</x:f>
      </x:c>
      <x:c r="U244" s="165" t="str">
        <x:f>IF(AND(U$5&gt;=$C244,U$5&lt;=$D244,$A244&lt;&gt;""),"●","")</x:f>
      </x:c>
      <x:c r="V244" s="165" t="str">
        <x:f>IF(AND(V$5&gt;=$C244,V$5&lt;=$D244,$A244&lt;&gt;""),"●","")</x:f>
      </x:c>
      <x:c r="W244" s="165" t="str">
        <x:f>IF(AND(W$5&gt;=$C244,W$5&lt;=$D244,$A244&lt;&gt;""),"●","")</x:f>
      </x:c>
      <x:c r="X244" s="165" t="str">
        <x:f>IF(AND(X$5&gt;=$C244,X$5&lt;=$D244,$A244&lt;&gt;""),"●","")</x:f>
      </x:c>
      <x:c r="Y244" s="165" t="str">
        <x:f>IF(AND(Y$5&gt;=$C244,Y$5&lt;=$D244,$A244&lt;&gt;""),"●","")</x:f>
      </x:c>
      <x:c r="Z244" s="165" t="str">
        <x:f>IF(AND(Z$5&gt;=$C244,Z$5&lt;=$D244,$A244&lt;&gt;""),"●","")</x:f>
      </x:c>
      <x:c r="AA244" s="165" t="str">
        <x:f>IF(AND(AA$5&gt;=$C244,AA$5&lt;=$D244,$A244&lt;&gt;""),"●","")</x:f>
      </x:c>
      <x:c r="AB244" s="165" t="str">
        <x:f>IF(AND(AB$5&gt;=$C244,AB$5&lt;=$D244,$A244&lt;&gt;""),"●","")</x:f>
      </x:c>
      <x:c r="AC244" s="165" t="str">
        <x:f>IF(AND(AC$5&gt;=$C244,AC$5&lt;=$D244,$A244&lt;&gt;""),"●","")</x:f>
      </x:c>
      <x:c r="AD244" s="165" t="str">
        <x:f>IF(AND(AD$5&gt;=$C244,AD$5&lt;=$D244,$A244&lt;&gt;""),"●","")</x:f>
      </x:c>
      <x:c r="AE244" s="165" t="str">
        <x:f>IF(AND(AE$5&gt;=$C244,AE$5&lt;=$D244,$A244&lt;&gt;""),"●","")</x:f>
      </x:c>
      <x:c r="AF244" s="165" t="str">
        <x:f>IF(AND(AF$5&gt;=$C244,AF$5&lt;=$D244,$A244&lt;&gt;""),"●","")</x:f>
      </x:c>
      <x:c r="AG244" s="165" t="str">
        <x:f>IF(AND(AG$5&gt;=$C244,AG$5&lt;=$D244,$A244&lt;&gt;""),"●","")</x:f>
      </x:c>
      <x:c r="AH244" s="165" t="str">
        <x:f>IF(AND(AH$5&gt;=$C244,AH$5&lt;=$D244,$A244&lt;&gt;""),"●","")</x:f>
      </x:c>
      <x:c r="AI244" s="165" t="str">
        <x:f>IF(AND(AI$5&gt;=$C244,AI$5&lt;=$D244,$A244&lt;&gt;""),"●","")</x:f>
      </x:c>
      <x:c r="AJ244" s="165" t="str">
        <x:f>IF(AND(AJ$5&gt;=$C244,AJ$5&lt;=$D244,$A244&lt;&gt;""),"●","")</x:f>
      </x:c>
      <x:c r="AK244" s="165" t="str">
        <x:f>IF(AND(AK$5&gt;=$C244,AK$5&lt;=$D244,$A244&lt;&gt;""),"●","")</x:f>
      </x:c>
      <x:c r="AL244" s="165" t="str">
        <x:f>IF(AND(AL$5&gt;=$C244,AL$5&lt;=$D244,$A244&lt;&gt;""),"●","")</x:f>
      </x:c>
      <x:c r="AM244" s="165" t="str">
        <x:f>IF(AND(AM$5&gt;=$C244,AM$5&lt;=$D244,$A244&lt;&gt;""),"●","")</x:f>
      </x:c>
      <x:c r="AN244" s="165" t="str">
        <x:f>IF(AND(AN$5&gt;=$C244,AN$5&lt;=$D244,$A244&lt;&gt;""),"●","")</x:f>
      </x:c>
      <x:c r="AO244" s="165" t="str">
        <x:f>IF(AND(AO$5&gt;=$C244,AO$5&lt;=$D244,$A244&lt;&gt;""),"●","")</x:f>
      </x:c>
      <x:c r="AP244" s="165" t="str">
        <x:f>IF(AND(AP$5&gt;=$C244,AP$5&lt;=$D244,$A244&lt;&gt;""),"●","")</x:f>
      </x:c>
      <x:c r="AQ244" s="165" t="str">
        <x:f>IF(AND(AQ$5&gt;=$C244,AQ$5&lt;=$D244,$A244&lt;&gt;""),"●","")</x:f>
      </x:c>
      <x:c r="AR244" s="165" t="str">
        <x:f>IF(AND(AR$5&gt;=$C244,AR$5&lt;=$D244,$A244&lt;&gt;""),"●","")</x:f>
      </x:c>
      <x:c r="AS244" s="165" t="str">
        <x:f>IF(AND(AS$5&gt;=$C244,AS$5&lt;=$D244,$A244&lt;&gt;""),"●","")</x:f>
      </x:c>
      <x:c r="AT244" s="165" t="str">
        <x:f>IF(AND(AT$5&gt;=$C244,AT$5&lt;=$D244,$A244&lt;&gt;""),"●","")</x:f>
      </x:c>
      <x:c r="AU244" s="165" t="str">
        <x:f>IF(AND(AU$5&gt;=$C244,AU$5&lt;=$D244,$A244&lt;&gt;""),"●","")</x:f>
      </x:c>
      <x:c r="AV244" s="165" t="str">
        <x:f>IF(AND(AV$5&gt;=$C244,AV$5&lt;=$D244,$A244&lt;&gt;""),"●","")</x:f>
      </x:c>
      <x:c r="AW244" s="165" t="str">
        <x:f>IF(AND(AW$5&gt;=$C244,AW$5&lt;=$D244,$A244&lt;&gt;""),"●","")</x:f>
      </x:c>
      <x:c r="AX244" s="165" t="str">
        <x:f>IF(AND(AX$5&gt;=$C244,AX$5&lt;=$D244,$A244&lt;&gt;""),"●","")</x:f>
      </x:c>
      <x:c r="AY244" s="165" t="str">
        <x:f>IF(AND(AY$5&gt;=$C244,AY$5&lt;=$D244,$A244&lt;&gt;""),"●","")</x:f>
      </x:c>
      <x:c r="AZ244" s="165" t="str">
        <x:f>IF(AND(AZ$5&gt;=$C244,AZ$5&lt;=$D244,$A244&lt;&gt;""),"●","")</x:f>
      </x:c>
      <x:c r="BA244" s="165" t="str">
        <x:f>IF(AND(BA$5&gt;=$C244,BA$5&lt;=$D244,$A244&lt;&gt;""),"●","")</x:f>
      </x:c>
      <x:c r="BB244" s="165" t="str">
        <x:f>IF(AND(BB$5&gt;=$C244,BB$5&lt;=$D244,$A244&lt;&gt;""),"●","")</x:f>
      </x:c>
      <x:c r="BC244" s="165" t="str">
        <x:f>IF(AND(BC$5&gt;=$C244,BC$5&lt;=$D244,$A244&lt;&gt;""),"●","")</x:f>
      </x:c>
      <x:c r="BD244" s="165" t="str">
        <x:f>IF(AND(BD$5&gt;=$C244,BD$5&lt;=$D244,$A244&lt;&gt;""),"●","")</x:f>
      </x:c>
      <x:c r="BE244" s="165" t="str">
        <x:f>IF(AND(BE$5&gt;=$C244,BE$5&lt;=$D244,$A244&lt;&gt;""),"●","")</x:f>
      </x:c>
      <x:c r="BF244" s="165" t="str">
        <x:f>IF(AND(BF$5&gt;=$C244,BF$5&lt;=$D244,$A244&lt;&gt;""),"●","")</x:f>
      </x:c>
      <x:c r="BG244" s="165" t="str">
        <x:f>IF(AND(BG$5&gt;=$C244,BG$5&lt;=$D244,$A244&lt;&gt;""),"●","")</x:f>
      </x:c>
      <x:c r="BH244" s="165" t="str">
        <x:f>IF(AND(BH$5&gt;=$C244,BH$5&lt;=$D244,$A244&lt;&gt;""),"●","")</x:f>
      </x:c>
      <x:c r="BI244" s="165" t="str">
        <x:f>IF(AND(BI$5&gt;=$C244,BI$5&lt;=$D244,$A244&lt;&gt;""),"●","")</x:f>
      </x:c>
      <x:c r="BJ244" s="165" t="str">
        <x:f>IF(AND(BJ$5&gt;=$C244,BJ$5&lt;=$D244,$A244&lt;&gt;""),"●","")</x:f>
      </x:c>
      <x:c r="BK244" s="165" t="str">
        <x:f>IF(AND(BK$5&gt;=$C244,BK$5&lt;=$D244,$A244&lt;&gt;""),"●","")</x:f>
      </x:c>
      <x:c r="BL244" s="165" t="str">
        <x:f>IF(AND(BL$5&gt;=$C244,BL$5&lt;=$D244,$A244&lt;&gt;""),"●","")</x:f>
      </x:c>
      <x:c r="BM244" s="165" t="str">
        <x:f>IF(AND(BM$5&gt;=$C244,BM$5&lt;=$D244,$A244&lt;&gt;""),"●","")</x:f>
      </x:c>
      <x:c r="BN244" s="165" t="str">
        <x:f>IF(AND(BN$5&gt;=$C244,BN$5&lt;=$D244,$A244&lt;&gt;""),"●","")</x:f>
      </x:c>
      <x:c r="BO244" s="165" t="str">
        <x:f>IF(AND(BO$5&gt;=$C244,BO$5&lt;=$D244,$A244&lt;&gt;""),"●","")</x:f>
      </x:c>
      <x:c r="BP244" s="165" t="str">
        <x:f>IF(AND(BP$5&gt;=$C244,BP$5&lt;=$D244,$A244&lt;&gt;""),"●","")</x:f>
      </x:c>
      <x:c r="BQ244" s="165" t="str">
        <x:f>IF(AND(BQ$5&gt;=$C244,BQ$5&lt;=$D244,$A244&lt;&gt;""),"●","")</x:f>
      </x:c>
      <x:c r="BR244" s="165" t="str">
        <x:f>IF(AND(BR$5&gt;=$C244,BR$5&lt;=$D244,$A244&lt;&gt;""),"●","")</x:f>
      </x:c>
      <x:c r="BS244" s="165" t="str">
        <x:f>IF(AND(BS$5&gt;=$C244,BS$5&lt;=$D244,$A244&lt;&gt;""),"●","")</x:f>
      </x:c>
      <x:c r="BT244" s="165" t="str">
        <x:f>IF(AND(BT$5&gt;=$C244,BT$5&lt;=$D244,$A244&lt;&gt;""),"●","")</x:f>
      </x:c>
      <x:c r="BU244" s="165" t="str">
        <x:f>IF(AND(BU$5&gt;=$C244,BU$5&lt;=$D244,$A244&lt;&gt;""),"●","")</x:f>
      </x:c>
      <x:c r="BV244" s="165" t="str">
        <x:f>IF(AND(BV$5&gt;=$C244,BV$5&lt;=$D244,$A244&lt;&gt;""),"●","")</x:f>
      </x:c>
      <x:c r="BW244" s="165" t="str">
        <x:f>IF(AND(BW$5&gt;=$C244,BW$5&lt;=$D244,$A244&lt;&gt;""),"●","")</x:f>
      </x:c>
    </x:row>
    <x:row r="245">
      <x:c r="A245" s="159" t="str">
        <x:f>IF('รายการสัญญา'!A245="","",'รายการสัญญา'!A245)</x:f>
      </x:c>
      <x:c r="B245" s="159" t="str">
        <x:f>IF('รายการสัญญา'!A245="","",'รายการสัญญา'!C245)</x:f>
      </x:c>
      <x:c r="C245" s="162" t="str">
        <x:f>IF('รายการสัญญา'!A245="","",'รายการสัญญา'!E245)</x:f>
      </x:c>
      <x:c r="D245" s="162" t="str">
        <x:f>IF('รายการสัญญา'!A245="","",'รายการสัญญา'!G245)</x:f>
      </x:c>
      <x:c r="E245" s="159" t="str">
        <x:f>IF('รายการสัญญา'!A245="","",'รายการสัญญา'!K245)</x:f>
      </x:c>
      <x:c r="F245" s="165" t="str">
        <x:f>IF(AND(F$5&gt;=$C245,F$5&lt;=$D245,$A245&lt;&gt;""),"●","")</x:f>
      </x:c>
      <x:c r="G245" s="165" t="str">
        <x:f>IF(AND(G$5&gt;=$C245,G$5&lt;=$D245,$A245&lt;&gt;""),"●","")</x:f>
      </x:c>
      <x:c r="H245" s="165" t="str">
        <x:f>IF(AND(H$5&gt;=$C245,H$5&lt;=$D245,$A245&lt;&gt;""),"●","")</x:f>
      </x:c>
      <x:c r="I245" s="165" t="str">
        <x:f>IF(AND(I$5&gt;=$C245,I$5&lt;=$D245,$A245&lt;&gt;""),"●","")</x:f>
      </x:c>
      <x:c r="J245" s="165" t="str">
        <x:f>IF(AND(J$5&gt;=$C245,J$5&lt;=$D245,$A245&lt;&gt;""),"●","")</x:f>
      </x:c>
      <x:c r="K245" s="165" t="str">
        <x:f>IF(AND(K$5&gt;=$C245,K$5&lt;=$D245,$A245&lt;&gt;""),"●","")</x:f>
      </x:c>
      <x:c r="L245" s="165" t="str">
        <x:f>IF(AND(L$5&gt;=$C245,L$5&lt;=$D245,$A245&lt;&gt;""),"●","")</x:f>
      </x:c>
      <x:c r="M245" s="165" t="str">
        <x:f>IF(AND(M$5&gt;=$C245,M$5&lt;=$D245,$A245&lt;&gt;""),"●","")</x:f>
      </x:c>
      <x:c r="N245" s="165" t="str">
        <x:f>IF(AND(N$5&gt;=$C245,N$5&lt;=$D245,$A245&lt;&gt;""),"●","")</x:f>
      </x:c>
      <x:c r="O245" s="165" t="str">
        <x:f>IF(AND(O$5&gt;=$C245,O$5&lt;=$D245,$A245&lt;&gt;""),"●","")</x:f>
      </x:c>
      <x:c r="P245" s="165" t="str">
        <x:f>IF(AND(P$5&gt;=$C245,P$5&lt;=$D245,$A245&lt;&gt;""),"●","")</x:f>
      </x:c>
      <x:c r="Q245" s="165" t="str">
        <x:f>IF(AND(Q$5&gt;=$C245,Q$5&lt;=$D245,$A245&lt;&gt;""),"●","")</x:f>
      </x:c>
      <x:c r="R245" s="165" t="str">
        <x:f>IF(AND(R$5&gt;=$C245,R$5&lt;=$D245,$A245&lt;&gt;""),"●","")</x:f>
      </x:c>
      <x:c r="S245" s="165" t="str">
        <x:f>IF(AND(S$5&gt;=$C245,S$5&lt;=$D245,$A245&lt;&gt;""),"●","")</x:f>
      </x:c>
      <x:c r="T245" s="165" t="str">
        <x:f>IF(AND(T$5&gt;=$C245,T$5&lt;=$D245,$A245&lt;&gt;""),"●","")</x:f>
      </x:c>
      <x:c r="U245" s="165" t="str">
        <x:f>IF(AND(U$5&gt;=$C245,U$5&lt;=$D245,$A245&lt;&gt;""),"●","")</x:f>
      </x:c>
      <x:c r="V245" s="165" t="str">
        <x:f>IF(AND(V$5&gt;=$C245,V$5&lt;=$D245,$A245&lt;&gt;""),"●","")</x:f>
      </x:c>
      <x:c r="W245" s="165" t="str">
        <x:f>IF(AND(W$5&gt;=$C245,W$5&lt;=$D245,$A245&lt;&gt;""),"●","")</x:f>
      </x:c>
      <x:c r="X245" s="165" t="str">
        <x:f>IF(AND(X$5&gt;=$C245,X$5&lt;=$D245,$A245&lt;&gt;""),"●","")</x:f>
      </x:c>
      <x:c r="Y245" s="165" t="str">
        <x:f>IF(AND(Y$5&gt;=$C245,Y$5&lt;=$D245,$A245&lt;&gt;""),"●","")</x:f>
      </x:c>
      <x:c r="Z245" s="165" t="str">
        <x:f>IF(AND(Z$5&gt;=$C245,Z$5&lt;=$D245,$A245&lt;&gt;""),"●","")</x:f>
      </x:c>
      <x:c r="AA245" s="165" t="str">
        <x:f>IF(AND(AA$5&gt;=$C245,AA$5&lt;=$D245,$A245&lt;&gt;""),"●","")</x:f>
      </x:c>
      <x:c r="AB245" s="165" t="str">
        <x:f>IF(AND(AB$5&gt;=$C245,AB$5&lt;=$D245,$A245&lt;&gt;""),"●","")</x:f>
      </x:c>
      <x:c r="AC245" s="165" t="str">
        <x:f>IF(AND(AC$5&gt;=$C245,AC$5&lt;=$D245,$A245&lt;&gt;""),"●","")</x:f>
      </x:c>
      <x:c r="AD245" s="165" t="str">
        <x:f>IF(AND(AD$5&gt;=$C245,AD$5&lt;=$D245,$A245&lt;&gt;""),"●","")</x:f>
      </x:c>
      <x:c r="AE245" s="165" t="str">
        <x:f>IF(AND(AE$5&gt;=$C245,AE$5&lt;=$D245,$A245&lt;&gt;""),"●","")</x:f>
      </x:c>
      <x:c r="AF245" s="165" t="str">
        <x:f>IF(AND(AF$5&gt;=$C245,AF$5&lt;=$D245,$A245&lt;&gt;""),"●","")</x:f>
      </x:c>
      <x:c r="AG245" s="165" t="str">
        <x:f>IF(AND(AG$5&gt;=$C245,AG$5&lt;=$D245,$A245&lt;&gt;""),"●","")</x:f>
      </x:c>
      <x:c r="AH245" s="165" t="str">
        <x:f>IF(AND(AH$5&gt;=$C245,AH$5&lt;=$D245,$A245&lt;&gt;""),"●","")</x:f>
      </x:c>
      <x:c r="AI245" s="165" t="str">
        <x:f>IF(AND(AI$5&gt;=$C245,AI$5&lt;=$D245,$A245&lt;&gt;""),"●","")</x:f>
      </x:c>
      <x:c r="AJ245" s="165" t="str">
        <x:f>IF(AND(AJ$5&gt;=$C245,AJ$5&lt;=$D245,$A245&lt;&gt;""),"●","")</x:f>
      </x:c>
      <x:c r="AK245" s="165" t="str">
        <x:f>IF(AND(AK$5&gt;=$C245,AK$5&lt;=$D245,$A245&lt;&gt;""),"●","")</x:f>
      </x:c>
      <x:c r="AL245" s="165" t="str">
        <x:f>IF(AND(AL$5&gt;=$C245,AL$5&lt;=$D245,$A245&lt;&gt;""),"●","")</x:f>
      </x:c>
      <x:c r="AM245" s="165" t="str">
        <x:f>IF(AND(AM$5&gt;=$C245,AM$5&lt;=$D245,$A245&lt;&gt;""),"●","")</x:f>
      </x:c>
      <x:c r="AN245" s="165" t="str">
        <x:f>IF(AND(AN$5&gt;=$C245,AN$5&lt;=$D245,$A245&lt;&gt;""),"●","")</x:f>
      </x:c>
      <x:c r="AO245" s="165" t="str">
        <x:f>IF(AND(AO$5&gt;=$C245,AO$5&lt;=$D245,$A245&lt;&gt;""),"●","")</x:f>
      </x:c>
      <x:c r="AP245" s="165" t="str">
        <x:f>IF(AND(AP$5&gt;=$C245,AP$5&lt;=$D245,$A245&lt;&gt;""),"●","")</x:f>
      </x:c>
      <x:c r="AQ245" s="165" t="str">
        <x:f>IF(AND(AQ$5&gt;=$C245,AQ$5&lt;=$D245,$A245&lt;&gt;""),"●","")</x:f>
      </x:c>
      <x:c r="AR245" s="165" t="str">
        <x:f>IF(AND(AR$5&gt;=$C245,AR$5&lt;=$D245,$A245&lt;&gt;""),"●","")</x:f>
      </x:c>
      <x:c r="AS245" s="165" t="str">
        <x:f>IF(AND(AS$5&gt;=$C245,AS$5&lt;=$D245,$A245&lt;&gt;""),"●","")</x:f>
      </x:c>
      <x:c r="AT245" s="165" t="str">
        <x:f>IF(AND(AT$5&gt;=$C245,AT$5&lt;=$D245,$A245&lt;&gt;""),"●","")</x:f>
      </x:c>
      <x:c r="AU245" s="165" t="str">
        <x:f>IF(AND(AU$5&gt;=$C245,AU$5&lt;=$D245,$A245&lt;&gt;""),"●","")</x:f>
      </x:c>
      <x:c r="AV245" s="165" t="str">
        <x:f>IF(AND(AV$5&gt;=$C245,AV$5&lt;=$D245,$A245&lt;&gt;""),"●","")</x:f>
      </x:c>
      <x:c r="AW245" s="165" t="str">
        <x:f>IF(AND(AW$5&gt;=$C245,AW$5&lt;=$D245,$A245&lt;&gt;""),"●","")</x:f>
      </x:c>
      <x:c r="AX245" s="165" t="str">
        <x:f>IF(AND(AX$5&gt;=$C245,AX$5&lt;=$D245,$A245&lt;&gt;""),"●","")</x:f>
      </x:c>
      <x:c r="AY245" s="165" t="str">
        <x:f>IF(AND(AY$5&gt;=$C245,AY$5&lt;=$D245,$A245&lt;&gt;""),"●","")</x:f>
      </x:c>
      <x:c r="AZ245" s="165" t="str">
        <x:f>IF(AND(AZ$5&gt;=$C245,AZ$5&lt;=$D245,$A245&lt;&gt;""),"●","")</x:f>
      </x:c>
      <x:c r="BA245" s="165" t="str">
        <x:f>IF(AND(BA$5&gt;=$C245,BA$5&lt;=$D245,$A245&lt;&gt;""),"●","")</x:f>
      </x:c>
      <x:c r="BB245" s="165" t="str">
        <x:f>IF(AND(BB$5&gt;=$C245,BB$5&lt;=$D245,$A245&lt;&gt;""),"●","")</x:f>
      </x:c>
      <x:c r="BC245" s="165" t="str">
        <x:f>IF(AND(BC$5&gt;=$C245,BC$5&lt;=$D245,$A245&lt;&gt;""),"●","")</x:f>
      </x:c>
      <x:c r="BD245" s="165" t="str">
        <x:f>IF(AND(BD$5&gt;=$C245,BD$5&lt;=$D245,$A245&lt;&gt;""),"●","")</x:f>
      </x:c>
      <x:c r="BE245" s="165" t="str">
        <x:f>IF(AND(BE$5&gt;=$C245,BE$5&lt;=$D245,$A245&lt;&gt;""),"●","")</x:f>
      </x:c>
      <x:c r="BF245" s="165" t="str">
        <x:f>IF(AND(BF$5&gt;=$C245,BF$5&lt;=$D245,$A245&lt;&gt;""),"●","")</x:f>
      </x:c>
      <x:c r="BG245" s="165" t="str">
        <x:f>IF(AND(BG$5&gt;=$C245,BG$5&lt;=$D245,$A245&lt;&gt;""),"●","")</x:f>
      </x:c>
      <x:c r="BH245" s="165" t="str">
        <x:f>IF(AND(BH$5&gt;=$C245,BH$5&lt;=$D245,$A245&lt;&gt;""),"●","")</x:f>
      </x:c>
      <x:c r="BI245" s="165" t="str">
        <x:f>IF(AND(BI$5&gt;=$C245,BI$5&lt;=$D245,$A245&lt;&gt;""),"●","")</x:f>
      </x:c>
      <x:c r="BJ245" s="165" t="str">
        <x:f>IF(AND(BJ$5&gt;=$C245,BJ$5&lt;=$D245,$A245&lt;&gt;""),"●","")</x:f>
      </x:c>
      <x:c r="BK245" s="165" t="str">
        <x:f>IF(AND(BK$5&gt;=$C245,BK$5&lt;=$D245,$A245&lt;&gt;""),"●","")</x:f>
      </x:c>
      <x:c r="BL245" s="165" t="str">
        <x:f>IF(AND(BL$5&gt;=$C245,BL$5&lt;=$D245,$A245&lt;&gt;""),"●","")</x:f>
      </x:c>
      <x:c r="BM245" s="165" t="str">
        <x:f>IF(AND(BM$5&gt;=$C245,BM$5&lt;=$D245,$A245&lt;&gt;""),"●","")</x:f>
      </x:c>
      <x:c r="BN245" s="165" t="str">
        <x:f>IF(AND(BN$5&gt;=$C245,BN$5&lt;=$D245,$A245&lt;&gt;""),"●","")</x:f>
      </x:c>
      <x:c r="BO245" s="165" t="str">
        <x:f>IF(AND(BO$5&gt;=$C245,BO$5&lt;=$D245,$A245&lt;&gt;""),"●","")</x:f>
      </x:c>
      <x:c r="BP245" s="165" t="str">
        <x:f>IF(AND(BP$5&gt;=$C245,BP$5&lt;=$D245,$A245&lt;&gt;""),"●","")</x:f>
      </x:c>
      <x:c r="BQ245" s="165" t="str">
        <x:f>IF(AND(BQ$5&gt;=$C245,BQ$5&lt;=$D245,$A245&lt;&gt;""),"●","")</x:f>
      </x:c>
      <x:c r="BR245" s="165" t="str">
        <x:f>IF(AND(BR$5&gt;=$C245,BR$5&lt;=$D245,$A245&lt;&gt;""),"●","")</x:f>
      </x:c>
      <x:c r="BS245" s="165" t="str">
        <x:f>IF(AND(BS$5&gt;=$C245,BS$5&lt;=$D245,$A245&lt;&gt;""),"●","")</x:f>
      </x:c>
      <x:c r="BT245" s="165" t="str">
        <x:f>IF(AND(BT$5&gt;=$C245,BT$5&lt;=$D245,$A245&lt;&gt;""),"●","")</x:f>
      </x:c>
      <x:c r="BU245" s="165" t="str">
        <x:f>IF(AND(BU$5&gt;=$C245,BU$5&lt;=$D245,$A245&lt;&gt;""),"●","")</x:f>
      </x:c>
      <x:c r="BV245" s="165" t="str">
        <x:f>IF(AND(BV$5&gt;=$C245,BV$5&lt;=$D245,$A245&lt;&gt;""),"●","")</x:f>
      </x:c>
      <x:c r="BW245" s="165" t="str">
        <x:f>IF(AND(BW$5&gt;=$C245,BW$5&lt;=$D245,$A245&lt;&gt;""),"●","")</x:f>
      </x:c>
    </x:row>
    <x:row r="246">
      <x:c r="A246" s="159" t="str">
        <x:f>IF('รายการสัญญา'!A246="","",'รายการสัญญา'!A246)</x:f>
      </x:c>
      <x:c r="B246" s="159" t="str">
        <x:f>IF('รายการสัญญา'!A246="","",'รายการสัญญา'!C246)</x:f>
      </x:c>
      <x:c r="C246" s="162" t="str">
        <x:f>IF('รายการสัญญา'!A246="","",'รายการสัญญา'!E246)</x:f>
      </x:c>
      <x:c r="D246" s="162" t="str">
        <x:f>IF('รายการสัญญา'!A246="","",'รายการสัญญา'!G246)</x:f>
      </x:c>
      <x:c r="E246" s="159" t="str">
        <x:f>IF('รายการสัญญา'!A246="","",'รายการสัญญา'!K246)</x:f>
      </x:c>
      <x:c r="F246" s="165" t="str">
        <x:f>IF(AND(F$5&gt;=$C246,F$5&lt;=$D246,$A246&lt;&gt;""),"●","")</x:f>
      </x:c>
      <x:c r="G246" s="165" t="str">
        <x:f>IF(AND(G$5&gt;=$C246,G$5&lt;=$D246,$A246&lt;&gt;""),"●","")</x:f>
      </x:c>
      <x:c r="H246" s="165" t="str">
        <x:f>IF(AND(H$5&gt;=$C246,H$5&lt;=$D246,$A246&lt;&gt;""),"●","")</x:f>
      </x:c>
      <x:c r="I246" s="165" t="str">
        <x:f>IF(AND(I$5&gt;=$C246,I$5&lt;=$D246,$A246&lt;&gt;""),"●","")</x:f>
      </x:c>
      <x:c r="J246" s="165" t="str">
        <x:f>IF(AND(J$5&gt;=$C246,J$5&lt;=$D246,$A246&lt;&gt;""),"●","")</x:f>
      </x:c>
      <x:c r="K246" s="165" t="str">
        <x:f>IF(AND(K$5&gt;=$C246,K$5&lt;=$D246,$A246&lt;&gt;""),"●","")</x:f>
      </x:c>
      <x:c r="L246" s="165" t="str">
        <x:f>IF(AND(L$5&gt;=$C246,L$5&lt;=$D246,$A246&lt;&gt;""),"●","")</x:f>
      </x:c>
      <x:c r="M246" s="165" t="str">
        <x:f>IF(AND(M$5&gt;=$C246,M$5&lt;=$D246,$A246&lt;&gt;""),"●","")</x:f>
      </x:c>
      <x:c r="N246" s="165" t="str">
        <x:f>IF(AND(N$5&gt;=$C246,N$5&lt;=$D246,$A246&lt;&gt;""),"●","")</x:f>
      </x:c>
      <x:c r="O246" s="165" t="str">
        <x:f>IF(AND(O$5&gt;=$C246,O$5&lt;=$D246,$A246&lt;&gt;""),"●","")</x:f>
      </x:c>
      <x:c r="P246" s="165" t="str">
        <x:f>IF(AND(P$5&gt;=$C246,P$5&lt;=$D246,$A246&lt;&gt;""),"●","")</x:f>
      </x:c>
      <x:c r="Q246" s="165" t="str">
        <x:f>IF(AND(Q$5&gt;=$C246,Q$5&lt;=$D246,$A246&lt;&gt;""),"●","")</x:f>
      </x:c>
      <x:c r="R246" s="165" t="str">
        <x:f>IF(AND(R$5&gt;=$C246,R$5&lt;=$D246,$A246&lt;&gt;""),"●","")</x:f>
      </x:c>
      <x:c r="S246" s="165" t="str">
        <x:f>IF(AND(S$5&gt;=$C246,S$5&lt;=$D246,$A246&lt;&gt;""),"●","")</x:f>
      </x:c>
      <x:c r="T246" s="165" t="str">
        <x:f>IF(AND(T$5&gt;=$C246,T$5&lt;=$D246,$A246&lt;&gt;""),"●","")</x:f>
      </x:c>
      <x:c r="U246" s="165" t="str">
        <x:f>IF(AND(U$5&gt;=$C246,U$5&lt;=$D246,$A246&lt;&gt;""),"●","")</x:f>
      </x:c>
      <x:c r="V246" s="165" t="str">
        <x:f>IF(AND(V$5&gt;=$C246,V$5&lt;=$D246,$A246&lt;&gt;""),"●","")</x:f>
      </x:c>
      <x:c r="W246" s="165" t="str">
        <x:f>IF(AND(W$5&gt;=$C246,W$5&lt;=$D246,$A246&lt;&gt;""),"●","")</x:f>
      </x:c>
      <x:c r="X246" s="165" t="str">
        <x:f>IF(AND(X$5&gt;=$C246,X$5&lt;=$D246,$A246&lt;&gt;""),"●","")</x:f>
      </x:c>
      <x:c r="Y246" s="165" t="str">
        <x:f>IF(AND(Y$5&gt;=$C246,Y$5&lt;=$D246,$A246&lt;&gt;""),"●","")</x:f>
      </x:c>
      <x:c r="Z246" s="165" t="str">
        <x:f>IF(AND(Z$5&gt;=$C246,Z$5&lt;=$D246,$A246&lt;&gt;""),"●","")</x:f>
      </x:c>
      <x:c r="AA246" s="165" t="str">
        <x:f>IF(AND(AA$5&gt;=$C246,AA$5&lt;=$D246,$A246&lt;&gt;""),"●","")</x:f>
      </x:c>
      <x:c r="AB246" s="165" t="str">
        <x:f>IF(AND(AB$5&gt;=$C246,AB$5&lt;=$D246,$A246&lt;&gt;""),"●","")</x:f>
      </x:c>
      <x:c r="AC246" s="165" t="str">
        <x:f>IF(AND(AC$5&gt;=$C246,AC$5&lt;=$D246,$A246&lt;&gt;""),"●","")</x:f>
      </x:c>
      <x:c r="AD246" s="165" t="str">
        <x:f>IF(AND(AD$5&gt;=$C246,AD$5&lt;=$D246,$A246&lt;&gt;""),"●","")</x:f>
      </x:c>
      <x:c r="AE246" s="165" t="str">
        <x:f>IF(AND(AE$5&gt;=$C246,AE$5&lt;=$D246,$A246&lt;&gt;""),"●","")</x:f>
      </x:c>
      <x:c r="AF246" s="165" t="str">
        <x:f>IF(AND(AF$5&gt;=$C246,AF$5&lt;=$D246,$A246&lt;&gt;""),"●","")</x:f>
      </x:c>
      <x:c r="AG246" s="165" t="str">
        <x:f>IF(AND(AG$5&gt;=$C246,AG$5&lt;=$D246,$A246&lt;&gt;""),"●","")</x:f>
      </x:c>
      <x:c r="AH246" s="165" t="str">
        <x:f>IF(AND(AH$5&gt;=$C246,AH$5&lt;=$D246,$A246&lt;&gt;""),"●","")</x:f>
      </x:c>
      <x:c r="AI246" s="165" t="str">
        <x:f>IF(AND(AI$5&gt;=$C246,AI$5&lt;=$D246,$A246&lt;&gt;""),"●","")</x:f>
      </x:c>
      <x:c r="AJ246" s="165" t="str">
        <x:f>IF(AND(AJ$5&gt;=$C246,AJ$5&lt;=$D246,$A246&lt;&gt;""),"●","")</x:f>
      </x:c>
      <x:c r="AK246" s="165" t="str">
        <x:f>IF(AND(AK$5&gt;=$C246,AK$5&lt;=$D246,$A246&lt;&gt;""),"●","")</x:f>
      </x:c>
      <x:c r="AL246" s="165" t="str">
        <x:f>IF(AND(AL$5&gt;=$C246,AL$5&lt;=$D246,$A246&lt;&gt;""),"●","")</x:f>
      </x:c>
      <x:c r="AM246" s="165" t="str">
        <x:f>IF(AND(AM$5&gt;=$C246,AM$5&lt;=$D246,$A246&lt;&gt;""),"●","")</x:f>
      </x:c>
      <x:c r="AN246" s="165" t="str">
        <x:f>IF(AND(AN$5&gt;=$C246,AN$5&lt;=$D246,$A246&lt;&gt;""),"●","")</x:f>
      </x:c>
      <x:c r="AO246" s="165" t="str">
        <x:f>IF(AND(AO$5&gt;=$C246,AO$5&lt;=$D246,$A246&lt;&gt;""),"●","")</x:f>
      </x:c>
      <x:c r="AP246" s="165" t="str">
        <x:f>IF(AND(AP$5&gt;=$C246,AP$5&lt;=$D246,$A246&lt;&gt;""),"●","")</x:f>
      </x:c>
      <x:c r="AQ246" s="165" t="str">
        <x:f>IF(AND(AQ$5&gt;=$C246,AQ$5&lt;=$D246,$A246&lt;&gt;""),"●","")</x:f>
      </x:c>
      <x:c r="AR246" s="165" t="str">
        <x:f>IF(AND(AR$5&gt;=$C246,AR$5&lt;=$D246,$A246&lt;&gt;""),"●","")</x:f>
      </x:c>
      <x:c r="AS246" s="165" t="str">
        <x:f>IF(AND(AS$5&gt;=$C246,AS$5&lt;=$D246,$A246&lt;&gt;""),"●","")</x:f>
      </x:c>
      <x:c r="AT246" s="165" t="str">
        <x:f>IF(AND(AT$5&gt;=$C246,AT$5&lt;=$D246,$A246&lt;&gt;""),"●","")</x:f>
      </x:c>
      <x:c r="AU246" s="165" t="str">
        <x:f>IF(AND(AU$5&gt;=$C246,AU$5&lt;=$D246,$A246&lt;&gt;""),"●","")</x:f>
      </x:c>
      <x:c r="AV246" s="165" t="str">
        <x:f>IF(AND(AV$5&gt;=$C246,AV$5&lt;=$D246,$A246&lt;&gt;""),"●","")</x:f>
      </x:c>
      <x:c r="AW246" s="165" t="str">
        <x:f>IF(AND(AW$5&gt;=$C246,AW$5&lt;=$D246,$A246&lt;&gt;""),"●","")</x:f>
      </x:c>
      <x:c r="AX246" s="165" t="str">
        <x:f>IF(AND(AX$5&gt;=$C246,AX$5&lt;=$D246,$A246&lt;&gt;""),"●","")</x:f>
      </x:c>
      <x:c r="AY246" s="165" t="str">
        <x:f>IF(AND(AY$5&gt;=$C246,AY$5&lt;=$D246,$A246&lt;&gt;""),"●","")</x:f>
      </x:c>
      <x:c r="AZ246" s="165" t="str">
        <x:f>IF(AND(AZ$5&gt;=$C246,AZ$5&lt;=$D246,$A246&lt;&gt;""),"●","")</x:f>
      </x:c>
      <x:c r="BA246" s="165" t="str">
        <x:f>IF(AND(BA$5&gt;=$C246,BA$5&lt;=$D246,$A246&lt;&gt;""),"●","")</x:f>
      </x:c>
      <x:c r="BB246" s="165" t="str">
        <x:f>IF(AND(BB$5&gt;=$C246,BB$5&lt;=$D246,$A246&lt;&gt;""),"●","")</x:f>
      </x:c>
      <x:c r="BC246" s="165" t="str">
        <x:f>IF(AND(BC$5&gt;=$C246,BC$5&lt;=$D246,$A246&lt;&gt;""),"●","")</x:f>
      </x:c>
      <x:c r="BD246" s="165" t="str">
        <x:f>IF(AND(BD$5&gt;=$C246,BD$5&lt;=$D246,$A246&lt;&gt;""),"●","")</x:f>
      </x:c>
      <x:c r="BE246" s="165" t="str">
        <x:f>IF(AND(BE$5&gt;=$C246,BE$5&lt;=$D246,$A246&lt;&gt;""),"●","")</x:f>
      </x:c>
      <x:c r="BF246" s="165" t="str">
        <x:f>IF(AND(BF$5&gt;=$C246,BF$5&lt;=$D246,$A246&lt;&gt;""),"●","")</x:f>
      </x:c>
      <x:c r="BG246" s="165" t="str">
        <x:f>IF(AND(BG$5&gt;=$C246,BG$5&lt;=$D246,$A246&lt;&gt;""),"●","")</x:f>
      </x:c>
      <x:c r="BH246" s="165" t="str">
        <x:f>IF(AND(BH$5&gt;=$C246,BH$5&lt;=$D246,$A246&lt;&gt;""),"●","")</x:f>
      </x:c>
      <x:c r="BI246" s="165" t="str">
        <x:f>IF(AND(BI$5&gt;=$C246,BI$5&lt;=$D246,$A246&lt;&gt;""),"●","")</x:f>
      </x:c>
      <x:c r="BJ246" s="165" t="str">
        <x:f>IF(AND(BJ$5&gt;=$C246,BJ$5&lt;=$D246,$A246&lt;&gt;""),"●","")</x:f>
      </x:c>
      <x:c r="BK246" s="165" t="str">
        <x:f>IF(AND(BK$5&gt;=$C246,BK$5&lt;=$D246,$A246&lt;&gt;""),"●","")</x:f>
      </x:c>
      <x:c r="BL246" s="165" t="str">
        <x:f>IF(AND(BL$5&gt;=$C246,BL$5&lt;=$D246,$A246&lt;&gt;""),"●","")</x:f>
      </x:c>
      <x:c r="BM246" s="165" t="str">
        <x:f>IF(AND(BM$5&gt;=$C246,BM$5&lt;=$D246,$A246&lt;&gt;""),"●","")</x:f>
      </x:c>
      <x:c r="BN246" s="165" t="str">
        <x:f>IF(AND(BN$5&gt;=$C246,BN$5&lt;=$D246,$A246&lt;&gt;""),"●","")</x:f>
      </x:c>
      <x:c r="BO246" s="165" t="str">
        <x:f>IF(AND(BO$5&gt;=$C246,BO$5&lt;=$D246,$A246&lt;&gt;""),"●","")</x:f>
      </x:c>
      <x:c r="BP246" s="165" t="str">
        <x:f>IF(AND(BP$5&gt;=$C246,BP$5&lt;=$D246,$A246&lt;&gt;""),"●","")</x:f>
      </x:c>
      <x:c r="BQ246" s="165" t="str">
        <x:f>IF(AND(BQ$5&gt;=$C246,BQ$5&lt;=$D246,$A246&lt;&gt;""),"●","")</x:f>
      </x:c>
      <x:c r="BR246" s="165" t="str">
        <x:f>IF(AND(BR$5&gt;=$C246,BR$5&lt;=$D246,$A246&lt;&gt;""),"●","")</x:f>
      </x:c>
      <x:c r="BS246" s="165" t="str">
        <x:f>IF(AND(BS$5&gt;=$C246,BS$5&lt;=$D246,$A246&lt;&gt;""),"●","")</x:f>
      </x:c>
      <x:c r="BT246" s="165" t="str">
        <x:f>IF(AND(BT$5&gt;=$C246,BT$5&lt;=$D246,$A246&lt;&gt;""),"●","")</x:f>
      </x:c>
      <x:c r="BU246" s="165" t="str">
        <x:f>IF(AND(BU$5&gt;=$C246,BU$5&lt;=$D246,$A246&lt;&gt;""),"●","")</x:f>
      </x:c>
      <x:c r="BV246" s="165" t="str">
        <x:f>IF(AND(BV$5&gt;=$C246,BV$5&lt;=$D246,$A246&lt;&gt;""),"●","")</x:f>
      </x:c>
      <x:c r="BW246" s="165" t="str">
        <x:f>IF(AND(BW$5&gt;=$C246,BW$5&lt;=$D246,$A246&lt;&gt;""),"●","")</x:f>
      </x:c>
    </x:row>
    <x:row r="247">
      <x:c r="A247" s="159" t="str">
        <x:f>IF('รายการสัญญา'!A247="","",'รายการสัญญา'!A247)</x:f>
      </x:c>
      <x:c r="B247" s="159" t="str">
        <x:f>IF('รายการสัญญา'!A247="","",'รายการสัญญา'!C247)</x:f>
      </x:c>
      <x:c r="C247" s="162" t="str">
        <x:f>IF('รายการสัญญา'!A247="","",'รายการสัญญา'!E247)</x:f>
      </x:c>
      <x:c r="D247" s="162" t="str">
        <x:f>IF('รายการสัญญา'!A247="","",'รายการสัญญา'!G247)</x:f>
      </x:c>
      <x:c r="E247" s="159" t="str">
        <x:f>IF('รายการสัญญา'!A247="","",'รายการสัญญา'!K247)</x:f>
      </x:c>
      <x:c r="F247" s="165" t="str">
        <x:f>IF(AND(F$5&gt;=$C247,F$5&lt;=$D247,$A247&lt;&gt;""),"●","")</x:f>
      </x:c>
      <x:c r="G247" s="165" t="str">
        <x:f>IF(AND(G$5&gt;=$C247,G$5&lt;=$D247,$A247&lt;&gt;""),"●","")</x:f>
      </x:c>
      <x:c r="H247" s="165" t="str">
        <x:f>IF(AND(H$5&gt;=$C247,H$5&lt;=$D247,$A247&lt;&gt;""),"●","")</x:f>
      </x:c>
      <x:c r="I247" s="165" t="str">
        <x:f>IF(AND(I$5&gt;=$C247,I$5&lt;=$D247,$A247&lt;&gt;""),"●","")</x:f>
      </x:c>
      <x:c r="J247" s="165" t="str">
        <x:f>IF(AND(J$5&gt;=$C247,J$5&lt;=$D247,$A247&lt;&gt;""),"●","")</x:f>
      </x:c>
      <x:c r="K247" s="165" t="str">
        <x:f>IF(AND(K$5&gt;=$C247,K$5&lt;=$D247,$A247&lt;&gt;""),"●","")</x:f>
      </x:c>
      <x:c r="L247" s="165" t="str">
        <x:f>IF(AND(L$5&gt;=$C247,L$5&lt;=$D247,$A247&lt;&gt;""),"●","")</x:f>
      </x:c>
      <x:c r="M247" s="165" t="str">
        <x:f>IF(AND(M$5&gt;=$C247,M$5&lt;=$D247,$A247&lt;&gt;""),"●","")</x:f>
      </x:c>
      <x:c r="N247" s="165" t="str">
        <x:f>IF(AND(N$5&gt;=$C247,N$5&lt;=$D247,$A247&lt;&gt;""),"●","")</x:f>
      </x:c>
      <x:c r="O247" s="165" t="str">
        <x:f>IF(AND(O$5&gt;=$C247,O$5&lt;=$D247,$A247&lt;&gt;""),"●","")</x:f>
      </x:c>
      <x:c r="P247" s="165" t="str">
        <x:f>IF(AND(P$5&gt;=$C247,P$5&lt;=$D247,$A247&lt;&gt;""),"●","")</x:f>
      </x:c>
      <x:c r="Q247" s="165" t="str">
        <x:f>IF(AND(Q$5&gt;=$C247,Q$5&lt;=$D247,$A247&lt;&gt;""),"●","")</x:f>
      </x:c>
      <x:c r="R247" s="165" t="str">
        <x:f>IF(AND(R$5&gt;=$C247,R$5&lt;=$D247,$A247&lt;&gt;""),"●","")</x:f>
      </x:c>
      <x:c r="S247" s="165" t="str">
        <x:f>IF(AND(S$5&gt;=$C247,S$5&lt;=$D247,$A247&lt;&gt;""),"●","")</x:f>
      </x:c>
      <x:c r="T247" s="165" t="str">
        <x:f>IF(AND(T$5&gt;=$C247,T$5&lt;=$D247,$A247&lt;&gt;""),"●","")</x:f>
      </x:c>
      <x:c r="U247" s="165" t="str">
        <x:f>IF(AND(U$5&gt;=$C247,U$5&lt;=$D247,$A247&lt;&gt;""),"●","")</x:f>
      </x:c>
      <x:c r="V247" s="165" t="str">
        <x:f>IF(AND(V$5&gt;=$C247,V$5&lt;=$D247,$A247&lt;&gt;""),"●","")</x:f>
      </x:c>
      <x:c r="W247" s="165" t="str">
        <x:f>IF(AND(W$5&gt;=$C247,W$5&lt;=$D247,$A247&lt;&gt;""),"●","")</x:f>
      </x:c>
      <x:c r="X247" s="165" t="str">
        <x:f>IF(AND(X$5&gt;=$C247,X$5&lt;=$D247,$A247&lt;&gt;""),"●","")</x:f>
      </x:c>
      <x:c r="Y247" s="165" t="str">
        <x:f>IF(AND(Y$5&gt;=$C247,Y$5&lt;=$D247,$A247&lt;&gt;""),"●","")</x:f>
      </x:c>
      <x:c r="Z247" s="165" t="str">
        <x:f>IF(AND(Z$5&gt;=$C247,Z$5&lt;=$D247,$A247&lt;&gt;""),"●","")</x:f>
      </x:c>
      <x:c r="AA247" s="165" t="str">
        <x:f>IF(AND(AA$5&gt;=$C247,AA$5&lt;=$D247,$A247&lt;&gt;""),"●","")</x:f>
      </x:c>
      <x:c r="AB247" s="165" t="str">
        <x:f>IF(AND(AB$5&gt;=$C247,AB$5&lt;=$D247,$A247&lt;&gt;""),"●","")</x:f>
      </x:c>
      <x:c r="AC247" s="165" t="str">
        <x:f>IF(AND(AC$5&gt;=$C247,AC$5&lt;=$D247,$A247&lt;&gt;""),"●","")</x:f>
      </x:c>
      <x:c r="AD247" s="165" t="str">
        <x:f>IF(AND(AD$5&gt;=$C247,AD$5&lt;=$D247,$A247&lt;&gt;""),"●","")</x:f>
      </x:c>
      <x:c r="AE247" s="165" t="str">
        <x:f>IF(AND(AE$5&gt;=$C247,AE$5&lt;=$D247,$A247&lt;&gt;""),"●","")</x:f>
      </x:c>
      <x:c r="AF247" s="165" t="str">
        <x:f>IF(AND(AF$5&gt;=$C247,AF$5&lt;=$D247,$A247&lt;&gt;""),"●","")</x:f>
      </x:c>
      <x:c r="AG247" s="165" t="str">
        <x:f>IF(AND(AG$5&gt;=$C247,AG$5&lt;=$D247,$A247&lt;&gt;""),"●","")</x:f>
      </x:c>
      <x:c r="AH247" s="165" t="str">
        <x:f>IF(AND(AH$5&gt;=$C247,AH$5&lt;=$D247,$A247&lt;&gt;""),"●","")</x:f>
      </x:c>
      <x:c r="AI247" s="165" t="str">
        <x:f>IF(AND(AI$5&gt;=$C247,AI$5&lt;=$D247,$A247&lt;&gt;""),"●","")</x:f>
      </x:c>
      <x:c r="AJ247" s="165" t="str">
        <x:f>IF(AND(AJ$5&gt;=$C247,AJ$5&lt;=$D247,$A247&lt;&gt;""),"●","")</x:f>
      </x:c>
      <x:c r="AK247" s="165" t="str">
        <x:f>IF(AND(AK$5&gt;=$C247,AK$5&lt;=$D247,$A247&lt;&gt;""),"●","")</x:f>
      </x:c>
      <x:c r="AL247" s="165" t="str">
        <x:f>IF(AND(AL$5&gt;=$C247,AL$5&lt;=$D247,$A247&lt;&gt;""),"●","")</x:f>
      </x:c>
      <x:c r="AM247" s="165" t="str">
        <x:f>IF(AND(AM$5&gt;=$C247,AM$5&lt;=$D247,$A247&lt;&gt;""),"●","")</x:f>
      </x:c>
      <x:c r="AN247" s="165" t="str">
        <x:f>IF(AND(AN$5&gt;=$C247,AN$5&lt;=$D247,$A247&lt;&gt;""),"●","")</x:f>
      </x:c>
      <x:c r="AO247" s="165" t="str">
        <x:f>IF(AND(AO$5&gt;=$C247,AO$5&lt;=$D247,$A247&lt;&gt;""),"●","")</x:f>
      </x:c>
      <x:c r="AP247" s="165" t="str">
        <x:f>IF(AND(AP$5&gt;=$C247,AP$5&lt;=$D247,$A247&lt;&gt;""),"●","")</x:f>
      </x:c>
      <x:c r="AQ247" s="165" t="str">
        <x:f>IF(AND(AQ$5&gt;=$C247,AQ$5&lt;=$D247,$A247&lt;&gt;""),"●","")</x:f>
      </x:c>
      <x:c r="AR247" s="165" t="str">
        <x:f>IF(AND(AR$5&gt;=$C247,AR$5&lt;=$D247,$A247&lt;&gt;""),"●","")</x:f>
      </x:c>
      <x:c r="AS247" s="165" t="str">
        <x:f>IF(AND(AS$5&gt;=$C247,AS$5&lt;=$D247,$A247&lt;&gt;""),"●","")</x:f>
      </x:c>
      <x:c r="AT247" s="165" t="str">
        <x:f>IF(AND(AT$5&gt;=$C247,AT$5&lt;=$D247,$A247&lt;&gt;""),"●","")</x:f>
      </x:c>
      <x:c r="AU247" s="165" t="str">
        <x:f>IF(AND(AU$5&gt;=$C247,AU$5&lt;=$D247,$A247&lt;&gt;""),"●","")</x:f>
      </x:c>
      <x:c r="AV247" s="165" t="str">
        <x:f>IF(AND(AV$5&gt;=$C247,AV$5&lt;=$D247,$A247&lt;&gt;""),"●","")</x:f>
      </x:c>
      <x:c r="AW247" s="165" t="str">
        <x:f>IF(AND(AW$5&gt;=$C247,AW$5&lt;=$D247,$A247&lt;&gt;""),"●","")</x:f>
      </x:c>
      <x:c r="AX247" s="165" t="str">
        <x:f>IF(AND(AX$5&gt;=$C247,AX$5&lt;=$D247,$A247&lt;&gt;""),"●","")</x:f>
      </x:c>
      <x:c r="AY247" s="165" t="str">
        <x:f>IF(AND(AY$5&gt;=$C247,AY$5&lt;=$D247,$A247&lt;&gt;""),"●","")</x:f>
      </x:c>
      <x:c r="AZ247" s="165" t="str">
        <x:f>IF(AND(AZ$5&gt;=$C247,AZ$5&lt;=$D247,$A247&lt;&gt;""),"●","")</x:f>
      </x:c>
      <x:c r="BA247" s="165" t="str">
        <x:f>IF(AND(BA$5&gt;=$C247,BA$5&lt;=$D247,$A247&lt;&gt;""),"●","")</x:f>
      </x:c>
      <x:c r="BB247" s="165" t="str">
        <x:f>IF(AND(BB$5&gt;=$C247,BB$5&lt;=$D247,$A247&lt;&gt;""),"●","")</x:f>
      </x:c>
      <x:c r="BC247" s="165" t="str">
        <x:f>IF(AND(BC$5&gt;=$C247,BC$5&lt;=$D247,$A247&lt;&gt;""),"●","")</x:f>
      </x:c>
      <x:c r="BD247" s="165" t="str">
        <x:f>IF(AND(BD$5&gt;=$C247,BD$5&lt;=$D247,$A247&lt;&gt;""),"●","")</x:f>
      </x:c>
      <x:c r="BE247" s="165" t="str">
        <x:f>IF(AND(BE$5&gt;=$C247,BE$5&lt;=$D247,$A247&lt;&gt;""),"●","")</x:f>
      </x:c>
      <x:c r="BF247" s="165" t="str">
        <x:f>IF(AND(BF$5&gt;=$C247,BF$5&lt;=$D247,$A247&lt;&gt;""),"●","")</x:f>
      </x:c>
      <x:c r="BG247" s="165" t="str">
        <x:f>IF(AND(BG$5&gt;=$C247,BG$5&lt;=$D247,$A247&lt;&gt;""),"●","")</x:f>
      </x:c>
      <x:c r="BH247" s="165" t="str">
        <x:f>IF(AND(BH$5&gt;=$C247,BH$5&lt;=$D247,$A247&lt;&gt;""),"●","")</x:f>
      </x:c>
      <x:c r="BI247" s="165" t="str">
        <x:f>IF(AND(BI$5&gt;=$C247,BI$5&lt;=$D247,$A247&lt;&gt;""),"●","")</x:f>
      </x:c>
      <x:c r="BJ247" s="165" t="str">
        <x:f>IF(AND(BJ$5&gt;=$C247,BJ$5&lt;=$D247,$A247&lt;&gt;""),"●","")</x:f>
      </x:c>
      <x:c r="BK247" s="165" t="str">
        <x:f>IF(AND(BK$5&gt;=$C247,BK$5&lt;=$D247,$A247&lt;&gt;""),"●","")</x:f>
      </x:c>
      <x:c r="BL247" s="165" t="str">
        <x:f>IF(AND(BL$5&gt;=$C247,BL$5&lt;=$D247,$A247&lt;&gt;""),"●","")</x:f>
      </x:c>
      <x:c r="BM247" s="165" t="str">
        <x:f>IF(AND(BM$5&gt;=$C247,BM$5&lt;=$D247,$A247&lt;&gt;""),"●","")</x:f>
      </x:c>
      <x:c r="BN247" s="165" t="str">
        <x:f>IF(AND(BN$5&gt;=$C247,BN$5&lt;=$D247,$A247&lt;&gt;""),"●","")</x:f>
      </x:c>
      <x:c r="BO247" s="165" t="str">
        <x:f>IF(AND(BO$5&gt;=$C247,BO$5&lt;=$D247,$A247&lt;&gt;""),"●","")</x:f>
      </x:c>
      <x:c r="BP247" s="165" t="str">
        <x:f>IF(AND(BP$5&gt;=$C247,BP$5&lt;=$D247,$A247&lt;&gt;""),"●","")</x:f>
      </x:c>
      <x:c r="BQ247" s="165" t="str">
        <x:f>IF(AND(BQ$5&gt;=$C247,BQ$5&lt;=$D247,$A247&lt;&gt;""),"●","")</x:f>
      </x:c>
      <x:c r="BR247" s="165" t="str">
        <x:f>IF(AND(BR$5&gt;=$C247,BR$5&lt;=$D247,$A247&lt;&gt;""),"●","")</x:f>
      </x:c>
      <x:c r="BS247" s="165" t="str">
        <x:f>IF(AND(BS$5&gt;=$C247,BS$5&lt;=$D247,$A247&lt;&gt;""),"●","")</x:f>
      </x:c>
      <x:c r="BT247" s="165" t="str">
        <x:f>IF(AND(BT$5&gt;=$C247,BT$5&lt;=$D247,$A247&lt;&gt;""),"●","")</x:f>
      </x:c>
      <x:c r="BU247" s="165" t="str">
        <x:f>IF(AND(BU$5&gt;=$C247,BU$5&lt;=$D247,$A247&lt;&gt;""),"●","")</x:f>
      </x:c>
      <x:c r="BV247" s="165" t="str">
        <x:f>IF(AND(BV$5&gt;=$C247,BV$5&lt;=$D247,$A247&lt;&gt;""),"●","")</x:f>
      </x:c>
      <x:c r="BW247" s="165" t="str">
        <x:f>IF(AND(BW$5&gt;=$C247,BW$5&lt;=$D247,$A247&lt;&gt;""),"●","")</x:f>
      </x:c>
    </x:row>
    <x:row r="248">
      <x:c r="A248" s="159" t="str">
        <x:f>IF('รายการสัญญา'!A248="","",'รายการสัญญา'!A248)</x:f>
      </x:c>
      <x:c r="B248" s="159" t="str">
        <x:f>IF('รายการสัญญา'!A248="","",'รายการสัญญา'!C248)</x:f>
      </x:c>
      <x:c r="C248" s="162" t="str">
        <x:f>IF('รายการสัญญา'!A248="","",'รายการสัญญา'!E248)</x:f>
      </x:c>
      <x:c r="D248" s="162" t="str">
        <x:f>IF('รายการสัญญา'!A248="","",'รายการสัญญา'!G248)</x:f>
      </x:c>
      <x:c r="E248" s="159" t="str">
        <x:f>IF('รายการสัญญา'!A248="","",'รายการสัญญา'!K248)</x:f>
      </x:c>
      <x:c r="F248" s="165" t="str">
        <x:f>IF(AND(F$5&gt;=$C248,F$5&lt;=$D248,$A248&lt;&gt;""),"●","")</x:f>
      </x:c>
      <x:c r="G248" s="165" t="str">
        <x:f>IF(AND(G$5&gt;=$C248,G$5&lt;=$D248,$A248&lt;&gt;""),"●","")</x:f>
      </x:c>
      <x:c r="H248" s="165" t="str">
        <x:f>IF(AND(H$5&gt;=$C248,H$5&lt;=$D248,$A248&lt;&gt;""),"●","")</x:f>
      </x:c>
      <x:c r="I248" s="165" t="str">
        <x:f>IF(AND(I$5&gt;=$C248,I$5&lt;=$D248,$A248&lt;&gt;""),"●","")</x:f>
      </x:c>
      <x:c r="J248" s="165" t="str">
        <x:f>IF(AND(J$5&gt;=$C248,J$5&lt;=$D248,$A248&lt;&gt;""),"●","")</x:f>
      </x:c>
      <x:c r="K248" s="165" t="str">
        <x:f>IF(AND(K$5&gt;=$C248,K$5&lt;=$D248,$A248&lt;&gt;""),"●","")</x:f>
      </x:c>
      <x:c r="L248" s="165" t="str">
        <x:f>IF(AND(L$5&gt;=$C248,L$5&lt;=$D248,$A248&lt;&gt;""),"●","")</x:f>
      </x:c>
      <x:c r="M248" s="165" t="str">
        <x:f>IF(AND(M$5&gt;=$C248,M$5&lt;=$D248,$A248&lt;&gt;""),"●","")</x:f>
      </x:c>
      <x:c r="N248" s="165" t="str">
        <x:f>IF(AND(N$5&gt;=$C248,N$5&lt;=$D248,$A248&lt;&gt;""),"●","")</x:f>
      </x:c>
      <x:c r="O248" s="165" t="str">
        <x:f>IF(AND(O$5&gt;=$C248,O$5&lt;=$D248,$A248&lt;&gt;""),"●","")</x:f>
      </x:c>
      <x:c r="P248" s="165" t="str">
        <x:f>IF(AND(P$5&gt;=$C248,P$5&lt;=$D248,$A248&lt;&gt;""),"●","")</x:f>
      </x:c>
      <x:c r="Q248" s="165" t="str">
        <x:f>IF(AND(Q$5&gt;=$C248,Q$5&lt;=$D248,$A248&lt;&gt;""),"●","")</x:f>
      </x:c>
      <x:c r="R248" s="165" t="str">
        <x:f>IF(AND(R$5&gt;=$C248,R$5&lt;=$D248,$A248&lt;&gt;""),"●","")</x:f>
      </x:c>
      <x:c r="S248" s="165" t="str">
        <x:f>IF(AND(S$5&gt;=$C248,S$5&lt;=$D248,$A248&lt;&gt;""),"●","")</x:f>
      </x:c>
      <x:c r="T248" s="165" t="str">
        <x:f>IF(AND(T$5&gt;=$C248,T$5&lt;=$D248,$A248&lt;&gt;""),"●","")</x:f>
      </x:c>
      <x:c r="U248" s="165" t="str">
        <x:f>IF(AND(U$5&gt;=$C248,U$5&lt;=$D248,$A248&lt;&gt;""),"●","")</x:f>
      </x:c>
      <x:c r="V248" s="165" t="str">
        <x:f>IF(AND(V$5&gt;=$C248,V$5&lt;=$D248,$A248&lt;&gt;""),"●","")</x:f>
      </x:c>
      <x:c r="W248" s="165" t="str">
        <x:f>IF(AND(W$5&gt;=$C248,W$5&lt;=$D248,$A248&lt;&gt;""),"●","")</x:f>
      </x:c>
      <x:c r="X248" s="165" t="str">
        <x:f>IF(AND(X$5&gt;=$C248,X$5&lt;=$D248,$A248&lt;&gt;""),"●","")</x:f>
      </x:c>
      <x:c r="Y248" s="165" t="str">
        <x:f>IF(AND(Y$5&gt;=$C248,Y$5&lt;=$D248,$A248&lt;&gt;""),"●","")</x:f>
      </x:c>
      <x:c r="Z248" s="165" t="str">
        <x:f>IF(AND(Z$5&gt;=$C248,Z$5&lt;=$D248,$A248&lt;&gt;""),"●","")</x:f>
      </x:c>
      <x:c r="AA248" s="165" t="str">
        <x:f>IF(AND(AA$5&gt;=$C248,AA$5&lt;=$D248,$A248&lt;&gt;""),"●","")</x:f>
      </x:c>
      <x:c r="AB248" s="165" t="str">
        <x:f>IF(AND(AB$5&gt;=$C248,AB$5&lt;=$D248,$A248&lt;&gt;""),"●","")</x:f>
      </x:c>
      <x:c r="AC248" s="165" t="str">
        <x:f>IF(AND(AC$5&gt;=$C248,AC$5&lt;=$D248,$A248&lt;&gt;""),"●","")</x:f>
      </x:c>
      <x:c r="AD248" s="165" t="str">
        <x:f>IF(AND(AD$5&gt;=$C248,AD$5&lt;=$D248,$A248&lt;&gt;""),"●","")</x:f>
      </x:c>
      <x:c r="AE248" s="165" t="str">
        <x:f>IF(AND(AE$5&gt;=$C248,AE$5&lt;=$D248,$A248&lt;&gt;""),"●","")</x:f>
      </x:c>
      <x:c r="AF248" s="165" t="str">
        <x:f>IF(AND(AF$5&gt;=$C248,AF$5&lt;=$D248,$A248&lt;&gt;""),"●","")</x:f>
      </x:c>
      <x:c r="AG248" s="165" t="str">
        <x:f>IF(AND(AG$5&gt;=$C248,AG$5&lt;=$D248,$A248&lt;&gt;""),"●","")</x:f>
      </x:c>
      <x:c r="AH248" s="165" t="str">
        <x:f>IF(AND(AH$5&gt;=$C248,AH$5&lt;=$D248,$A248&lt;&gt;""),"●","")</x:f>
      </x:c>
      <x:c r="AI248" s="165" t="str">
        <x:f>IF(AND(AI$5&gt;=$C248,AI$5&lt;=$D248,$A248&lt;&gt;""),"●","")</x:f>
      </x:c>
      <x:c r="AJ248" s="165" t="str">
        <x:f>IF(AND(AJ$5&gt;=$C248,AJ$5&lt;=$D248,$A248&lt;&gt;""),"●","")</x:f>
      </x:c>
      <x:c r="AK248" s="165" t="str">
        <x:f>IF(AND(AK$5&gt;=$C248,AK$5&lt;=$D248,$A248&lt;&gt;""),"●","")</x:f>
      </x:c>
      <x:c r="AL248" s="165" t="str">
        <x:f>IF(AND(AL$5&gt;=$C248,AL$5&lt;=$D248,$A248&lt;&gt;""),"●","")</x:f>
      </x:c>
      <x:c r="AM248" s="165" t="str">
        <x:f>IF(AND(AM$5&gt;=$C248,AM$5&lt;=$D248,$A248&lt;&gt;""),"●","")</x:f>
      </x:c>
      <x:c r="AN248" s="165" t="str">
        <x:f>IF(AND(AN$5&gt;=$C248,AN$5&lt;=$D248,$A248&lt;&gt;""),"●","")</x:f>
      </x:c>
      <x:c r="AO248" s="165" t="str">
        <x:f>IF(AND(AO$5&gt;=$C248,AO$5&lt;=$D248,$A248&lt;&gt;""),"●","")</x:f>
      </x:c>
      <x:c r="AP248" s="165" t="str">
        <x:f>IF(AND(AP$5&gt;=$C248,AP$5&lt;=$D248,$A248&lt;&gt;""),"●","")</x:f>
      </x:c>
      <x:c r="AQ248" s="165" t="str">
        <x:f>IF(AND(AQ$5&gt;=$C248,AQ$5&lt;=$D248,$A248&lt;&gt;""),"●","")</x:f>
      </x:c>
      <x:c r="AR248" s="165" t="str">
        <x:f>IF(AND(AR$5&gt;=$C248,AR$5&lt;=$D248,$A248&lt;&gt;""),"●","")</x:f>
      </x:c>
      <x:c r="AS248" s="165" t="str">
        <x:f>IF(AND(AS$5&gt;=$C248,AS$5&lt;=$D248,$A248&lt;&gt;""),"●","")</x:f>
      </x:c>
      <x:c r="AT248" s="165" t="str">
        <x:f>IF(AND(AT$5&gt;=$C248,AT$5&lt;=$D248,$A248&lt;&gt;""),"●","")</x:f>
      </x:c>
      <x:c r="AU248" s="165" t="str">
        <x:f>IF(AND(AU$5&gt;=$C248,AU$5&lt;=$D248,$A248&lt;&gt;""),"●","")</x:f>
      </x:c>
      <x:c r="AV248" s="165" t="str">
        <x:f>IF(AND(AV$5&gt;=$C248,AV$5&lt;=$D248,$A248&lt;&gt;""),"●","")</x:f>
      </x:c>
      <x:c r="AW248" s="165" t="str">
        <x:f>IF(AND(AW$5&gt;=$C248,AW$5&lt;=$D248,$A248&lt;&gt;""),"●","")</x:f>
      </x:c>
      <x:c r="AX248" s="165" t="str">
        <x:f>IF(AND(AX$5&gt;=$C248,AX$5&lt;=$D248,$A248&lt;&gt;""),"●","")</x:f>
      </x:c>
      <x:c r="AY248" s="165" t="str">
        <x:f>IF(AND(AY$5&gt;=$C248,AY$5&lt;=$D248,$A248&lt;&gt;""),"●","")</x:f>
      </x:c>
      <x:c r="AZ248" s="165" t="str">
        <x:f>IF(AND(AZ$5&gt;=$C248,AZ$5&lt;=$D248,$A248&lt;&gt;""),"●","")</x:f>
      </x:c>
      <x:c r="BA248" s="165" t="str">
        <x:f>IF(AND(BA$5&gt;=$C248,BA$5&lt;=$D248,$A248&lt;&gt;""),"●","")</x:f>
      </x:c>
      <x:c r="BB248" s="165" t="str">
        <x:f>IF(AND(BB$5&gt;=$C248,BB$5&lt;=$D248,$A248&lt;&gt;""),"●","")</x:f>
      </x:c>
      <x:c r="BC248" s="165" t="str">
        <x:f>IF(AND(BC$5&gt;=$C248,BC$5&lt;=$D248,$A248&lt;&gt;""),"●","")</x:f>
      </x:c>
      <x:c r="BD248" s="165" t="str">
        <x:f>IF(AND(BD$5&gt;=$C248,BD$5&lt;=$D248,$A248&lt;&gt;""),"●","")</x:f>
      </x:c>
      <x:c r="BE248" s="165" t="str">
        <x:f>IF(AND(BE$5&gt;=$C248,BE$5&lt;=$D248,$A248&lt;&gt;""),"●","")</x:f>
      </x:c>
      <x:c r="BF248" s="165" t="str">
        <x:f>IF(AND(BF$5&gt;=$C248,BF$5&lt;=$D248,$A248&lt;&gt;""),"●","")</x:f>
      </x:c>
      <x:c r="BG248" s="165" t="str">
        <x:f>IF(AND(BG$5&gt;=$C248,BG$5&lt;=$D248,$A248&lt;&gt;""),"●","")</x:f>
      </x:c>
      <x:c r="BH248" s="165" t="str">
        <x:f>IF(AND(BH$5&gt;=$C248,BH$5&lt;=$D248,$A248&lt;&gt;""),"●","")</x:f>
      </x:c>
      <x:c r="BI248" s="165" t="str">
        <x:f>IF(AND(BI$5&gt;=$C248,BI$5&lt;=$D248,$A248&lt;&gt;""),"●","")</x:f>
      </x:c>
      <x:c r="BJ248" s="165" t="str">
        <x:f>IF(AND(BJ$5&gt;=$C248,BJ$5&lt;=$D248,$A248&lt;&gt;""),"●","")</x:f>
      </x:c>
      <x:c r="BK248" s="165" t="str">
        <x:f>IF(AND(BK$5&gt;=$C248,BK$5&lt;=$D248,$A248&lt;&gt;""),"●","")</x:f>
      </x:c>
      <x:c r="BL248" s="165" t="str">
        <x:f>IF(AND(BL$5&gt;=$C248,BL$5&lt;=$D248,$A248&lt;&gt;""),"●","")</x:f>
      </x:c>
      <x:c r="BM248" s="165" t="str">
        <x:f>IF(AND(BM$5&gt;=$C248,BM$5&lt;=$D248,$A248&lt;&gt;""),"●","")</x:f>
      </x:c>
      <x:c r="BN248" s="165" t="str">
        <x:f>IF(AND(BN$5&gt;=$C248,BN$5&lt;=$D248,$A248&lt;&gt;""),"●","")</x:f>
      </x:c>
      <x:c r="BO248" s="165" t="str">
        <x:f>IF(AND(BO$5&gt;=$C248,BO$5&lt;=$D248,$A248&lt;&gt;""),"●","")</x:f>
      </x:c>
      <x:c r="BP248" s="165" t="str">
        <x:f>IF(AND(BP$5&gt;=$C248,BP$5&lt;=$D248,$A248&lt;&gt;""),"●","")</x:f>
      </x:c>
      <x:c r="BQ248" s="165" t="str">
        <x:f>IF(AND(BQ$5&gt;=$C248,BQ$5&lt;=$D248,$A248&lt;&gt;""),"●","")</x:f>
      </x:c>
      <x:c r="BR248" s="165" t="str">
        <x:f>IF(AND(BR$5&gt;=$C248,BR$5&lt;=$D248,$A248&lt;&gt;""),"●","")</x:f>
      </x:c>
      <x:c r="BS248" s="165" t="str">
        <x:f>IF(AND(BS$5&gt;=$C248,BS$5&lt;=$D248,$A248&lt;&gt;""),"●","")</x:f>
      </x:c>
      <x:c r="BT248" s="165" t="str">
        <x:f>IF(AND(BT$5&gt;=$C248,BT$5&lt;=$D248,$A248&lt;&gt;""),"●","")</x:f>
      </x:c>
      <x:c r="BU248" s="165" t="str">
        <x:f>IF(AND(BU$5&gt;=$C248,BU$5&lt;=$D248,$A248&lt;&gt;""),"●","")</x:f>
      </x:c>
      <x:c r="BV248" s="165" t="str">
        <x:f>IF(AND(BV$5&gt;=$C248,BV$5&lt;=$D248,$A248&lt;&gt;""),"●","")</x:f>
      </x:c>
      <x:c r="BW248" s="165" t="str">
        <x:f>IF(AND(BW$5&gt;=$C248,BW$5&lt;=$D248,$A248&lt;&gt;""),"●","")</x:f>
      </x:c>
    </x:row>
    <x:row r="249">
      <x:c r="A249" s="159" t="str">
        <x:f>IF('รายการสัญญา'!A249="","",'รายการสัญญา'!A249)</x:f>
      </x:c>
      <x:c r="B249" s="159" t="str">
        <x:f>IF('รายการสัญญา'!A249="","",'รายการสัญญา'!C249)</x:f>
      </x:c>
      <x:c r="C249" s="162" t="str">
        <x:f>IF('รายการสัญญา'!A249="","",'รายการสัญญา'!E249)</x:f>
      </x:c>
      <x:c r="D249" s="162" t="str">
        <x:f>IF('รายการสัญญา'!A249="","",'รายการสัญญา'!G249)</x:f>
      </x:c>
      <x:c r="E249" s="159" t="str">
        <x:f>IF('รายการสัญญา'!A249="","",'รายการสัญญา'!K249)</x:f>
      </x:c>
      <x:c r="F249" s="165" t="str">
        <x:f>IF(AND(F$5&gt;=$C249,F$5&lt;=$D249,$A249&lt;&gt;""),"●","")</x:f>
      </x:c>
      <x:c r="G249" s="165" t="str">
        <x:f>IF(AND(G$5&gt;=$C249,G$5&lt;=$D249,$A249&lt;&gt;""),"●","")</x:f>
      </x:c>
      <x:c r="H249" s="165" t="str">
        <x:f>IF(AND(H$5&gt;=$C249,H$5&lt;=$D249,$A249&lt;&gt;""),"●","")</x:f>
      </x:c>
      <x:c r="I249" s="165" t="str">
        <x:f>IF(AND(I$5&gt;=$C249,I$5&lt;=$D249,$A249&lt;&gt;""),"●","")</x:f>
      </x:c>
      <x:c r="J249" s="165" t="str">
        <x:f>IF(AND(J$5&gt;=$C249,J$5&lt;=$D249,$A249&lt;&gt;""),"●","")</x:f>
      </x:c>
      <x:c r="K249" s="165" t="str">
        <x:f>IF(AND(K$5&gt;=$C249,K$5&lt;=$D249,$A249&lt;&gt;""),"●","")</x:f>
      </x:c>
      <x:c r="L249" s="165" t="str">
        <x:f>IF(AND(L$5&gt;=$C249,L$5&lt;=$D249,$A249&lt;&gt;""),"●","")</x:f>
      </x:c>
      <x:c r="M249" s="165" t="str">
        <x:f>IF(AND(M$5&gt;=$C249,M$5&lt;=$D249,$A249&lt;&gt;""),"●","")</x:f>
      </x:c>
      <x:c r="N249" s="165" t="str">
        <x:f>IF(AND(N$5&gt;=$C249,N$5&lt;=$D249,$A249&lt;&gt;""),"●","")</x:f>
      </x:c>
      <x:c r="O249" s="165" t="str">
        <x:f>IF(AND(O$5&gt;=$C249,O$5&lt;=$D249,$A249&lt;&gt;""),"●","")</x:f>
      </x:c>
      <x:c r="P249" s="165" t="str">
        <x:f>IF(AND(P$5&gt;=$C249,P$5&lt;=$D249,$A249&lt;&gt;""),"●","")</x:f>
      </x:c>
      <x:c r="Q249" s="165" t="str">
        <x:f>IF(AND(Q$5&gt;=$C249,Q$5&lt;=$D249,$A249&lt;&gt;""),"●","")</x:f>
      </x:c>
      <x:c r="R249" s="165" t="str">
        <x:f>IF(AND(R$5&gt;=$C249,R$5&lt;=$D249,$A249&lt;&gt;""),"●","")</x:f>
      </x:c>
      <x:c r="S249" s="165" t="str">
        <x:f>IF(AND(S$5&gt;=$C249,S$5&lt;=$D249,$A249&lt;&gt;""),"●","")</x:f>
      </x:c>
      <x:c r="T249" s="165" t="str">
        <x:f>IF(AND(T$5&gt;=$C249,T$5&lt;=$D249,$A249&lt;&gt;""),"●","")</x:f>
      </x:c>
      <x:c r="U249" s="165" t="str">
        <x:f>IF(AND(U$5&gt;=$C249,U$5&lt;=$D249,$A249&lt;&gt;""),"●","")</x:f>
      </x:c>
      <x:c r="V249" s="165" t="str">
        <x:f>IF(AND(V$5&gt;=$C249,V$5&lt;=$D249,$A249&lt;&gt;""),"●","")</x:f>
      </x:c>
      <x:c r="W249" s="165" t="str">
        <x:f>IF(AND(W$5&gt;=$C249,W$5&lt;=$D249,$A249&lt;&gt;""),"●","")</x:f>
      </x:c>
      <x:c r="X249" s="165" t="str">
        <x:f>IF(AND(X$5&gt;=$C249,X$5&lt;=$D249,$A249&lt;&gt;""),"●","")</x:f>
      </x:c>
      <x:c r="Y249" s="165" t="str">
        <x:f>IF(AND(Y$5&gt;=$C249,Y$5&lt;=$D249,$A249&lt;&gt;""),"●","")</x:f>
      </x:c>
      <x:c r="Z249" s="165" t="str">
        <x:f>IF(AND(Z$5&gt;=$C249,Z$5&lt;=$D249,$A249&lt;&gt;""),"●","")</x:f>
      </x:c>
      <x:c r="AA249" s="165" t="str">
        <x:f>IF(AND(AA$5&gt;=$C249,AA$5&lt;=$D249,$A249&lt;&gt;""),"●","")</x:f>
      </x:c>
      <x:c r="AB249" s="165" t="str">
        <x:f>IF(AND(AB$5&gt;=$C249,AB$5&lt;=$D249,$A249&lt;&gt;""),"●","")</x:f>
      </x:c>
      <x:c r="AC249" s="165" t="str">
        <x:f>IF(AND(AC$5&gt;=$C249,AC$5&lt;=$D249,$A249&lt;&gt;""),"●","")</x:f>
      </x:c>
      <x:c r="AD249" s="165" t="str">
        <x:f>IF(AND(AD$5&gt;=$C249,AD$5&lt;=$D249,$A249&lt;&gt;""),"●","")</x:f>
      </x:c>
      <x:c r="AE249" s="165" t="str">
        <x:f>IF(AND(AE$5&gt;=$C249,AE$5&lt;=$D249,$A249&lt;&gt;""),"●","")</x:f>
      </x:c>
      <x:c r="AF249" s="165" t="str">
        <x:f>IF(AND(AF$5&gt;=$C249,AF$5&lt;=$D249,$A249&lt;&gt;""),"●","")</x:f>
      </x:c>
      <x:c r="AG249" s="165" t="str">
        <x:f>IF(AND(AG$5&gt;=$C249,AG$5&lt;=$D249,$A249&lt;&gt;""),"●","")</x:f>
      </x:c>
      <x:c r="AH249" s="165" t="str">
        <x:f>IF(AND(AH$5&gt;=$C249,AH$5&lt;=$D249,$A249&lt;&gt;""),"●","")</x:f>
      </x:c>
      <x:c r="AI249" s="165" t="str">
        <x:f>IF(AND(AI$5&gt;=$C249,AI$5&lt;=$D249,$A249&lt;&gt;""),"●","")</x:f>
      </x:c>
      <x:c r="AJ249" s="165" t="str">
        <x:f>IF(AND(AJ$5&gt;=$C249,AJ$5&lt;=$D249,$A249&lt;&gt;""),"●","")</x:f>
      </x:c>
      <x:c r="AK249" s="165" t="str">
        <x:f>IF(AND(AK$5&gt;=$C249,AK$5&lt;=$D249,$A249&lt;&gt;""),"●","")</x:f>
      </x:c>
      <x:c r="AL249" s="165" t="str">
        <x:f>IF(AND(AL$5&gt;=$C249,AL$5&lt;=$D249,$A249&lt;&gt;""),"●","")</x:f>
      </x:c>
      <x:c r="AM249" s="165" t="str">
        <x:f>IF(AND(AM$5&gt;=$C249,AM$5&lt;=$D249,$A249&lt;&gt;""),"●","")</x:f>
      </x:c>
      <x:c r="AN249" s="165" t="str">
        <x:f>IF(AND(AN$5&gt;=$C249,AN$5&lt;=$D249,$A249&lt;&gt;""),"●","")</x:f>
      </x:c>
      <x:c r="AO249" s="165" t="str">
        <x:f>IF(AND(AO$5&gt;=$C249,AO$5&lt;=$D249,$A249&lt;&gt;""),"●","")</x:f>
      </x:c>
      <x:c r="AP249" s="165" t="str">
        <x:f>IF(AND(AP$5&gt;=$C249,AP$5&lt;=$D249,$A249&lt;&gt;""),"●","")</x:f>
      </x:c>
      <x:c r="AQ249" s="165" t="str">
        <x:f>IF(AND(AQ$5&gt;=$C249,AQ$5&lt;=$D249,$A249&lt;&gt;""),"●","")</x:f>
      </x:c>
      <x:c r="AR249" s="165" t="str">
        <x:f>IF(AND(AR$5&gt;=$C249,AR$5&lt;=$D249,$A249&lt;&gt;""),"●","")</x:f>
      </x:c>
      <x:c r="AS249" s="165" t="str">
        <x:f>IF(AND(AS$5&gt;=$C249,AS$5&lt;=$D249,$A249&lt;&gt;""),"●","")</x:f>
      </x:c>
      <x:c r="AT249" s="165" t="str">
        <x:f>IF(AND(AT$5&gt;=$C249,AT$5&lt;=$D249,$A249&lt;&gt;""),"●","")</x:f>
      </x:c>
      <x:c r="AU249" s="165" t="str">
        <x:f>IF(AND(AU$5&gt;=$C249,AU$5&lt;=$D249,$A249&lt;&gt;""),"●","")</x:f>
      </x:c>
      <x:c r="AV249" s="165" t="str">
        <x:f>IF(AND(AV$5&gt;=$C249,AV$5&lt;=$D249,$A249&lt;&gt;""),"●","")</x:f>
      </x:c>
      <x:c r="AW249" s="165" t="str">
        <x:f>IF(AND(AW$5&gt;=$C249,AW$5&lt;=$D249,$A249&lt;&gt;""),"●","")</x:f>
      </x:c>
      <x:c r="AX249" s="165" t="str">
        <x:f>IF(AND(AX$5&gt;=$C249,AX$5&lt;=$D249,$A249&lt;&gt;""),"●","")</x:f>
      </x:c>
      <x:c r="AY249" s="165" t="str">
        <x:f>IF(AND(AY$5&gt;=$C249,AY$5&lt;=$D249,$A249&lt;&gt;""),"●","")</x:f>
      </x:c>
      <x:c r="AZ249" s="165" t="str">
        <x:f>IF(AND(AZ$5&gt;=$C249,AZ$5&lt;=$D249,$A249&lt;&gt;""),"●","")</x:f>
      </x:c>
      <x:c r="BA249" s="165" t="str">
        <x:f>IF(AND(BA$5&gt;=$C249,BA$5&lt;=$D249,$A249&lt;&gt;""),"●","")</x:f>
      </x:c>
      <x:c r="BB249" s="165" t="str">
        <x:f>IF(AND(BB$5&gt;=$C249,BB$5&lt;=$D249,$A249&lt;&gt;""),"●","")</x:f>
      </x:c>
      <x:c r="BC249" s="165" t="str">
        <x:f>IF(AND(BC$5&gt;=$C249,BC$5&lt;=$D249,$A249&lt;&gt;""),"●","")</x:f>
      </x:c>
      <x:c r="BD249" s="165" t="str">
        <x:f>IF(AND(BD$5&gt;=$C249,BD$5&lt;=$D249,$A249&lt;&gt;""),"●","")</x:f>
      </x:c>
      <x:c r="BE249" s="165" t="str">
        <x:f>IF(AND(BE$5&gt;=$C249,BE$5&lt;=$D249,$A249&lt;&gt;""),"●","")</x:f>
      </x:c>
      <x:c r="BF249" s="165" t="str">
        <x:f>IF(AND(BF$5&gt;=$C249,BF$5&lt;=$D249,$A249&lt;&gt;""),"●","")</x:f>
      </x:c>
      <x:c r="BG249" s="165" t="str">
        <x:f>IF(AND(BG$5&gt;=$C249,BG$5&lt;=$D249,$A249&lt;&gt;""),"●","")</x:f>
      </x:c>
      <x:c r="BH249" s="165" t="str">
        <x:f>IF(AND(BH$5&gt;=$C249,BH$5&lt;=$D249,$A249&lt;&gt;""),"●","")</x:f>
      </x:c>
      <x:c r="BI249" s="165" t="str">
        <x:f>IF(AND(BI$5&gt;=$C249,BI$5&lt;=$D249,$A249&lt;&gt;""),"●","")</x:f>
      </x:c>
      <x:c r="BJ249" s="165" t="str">
        <x:f>IF(AND(BJ$5&gt;=$C249,BJ$5&lt;=$D249,$A249&lt;&gt;""),"●","")</x:f>
      </x:c>
      <x:c r="BK249" s="165" t="str">
        <x:f>IF(AND(BK$5&gt;=$C249,BK$5&lt;=$D249,$A249&lt;&gt;""),"●","")</x:f>
      </x:c>
      <x:c r="BL249" s="165" t="str">
        <x:f>IF(AND(BL$5&gt;=$C249,BL$5&lt;=$D249,$A249&lt;&gt;""),"●","")</x:f>
      </x:c>
      <x:c r="BM249" s="165" t="str">
        <x:f>IF(AND(BM$5&gt;=$C249,BM$5&lt;=$D249,$A249&lt;&gt;""),"●","")</x:f>
      </x:c>
      <x:c r="BN249" s="165" t="str">
        <x:f>IF(AND(BN$5&gt;=$C249,BN$5&lt;=$D249,$A249&lt;&gt;""),"●","")</x:f>
      </x:c>
      <x:c r="BO249" s="165" t="str">
        <x:f>IF(AND(BO$5&gt;=$C249,BO$5&lt;=$D249,$A249&lt;&gt;""),"●","")</x:f>
      </x:c>
      <x:c r="BP249" s="165" t="str">
        <x:f>IF(AND(BP$5&gt;=$C249,BP$5&lt;=$D249,$A249&lt;&gt;""),"●","")</x:f>
      </x:c>
      <x:c r="BQ249" s="165" t="str">
        <x:f>IF(AND(BQ$5&gt;=$C249,BQ$5&lt;=$D249,$A249&lt;&gt;""),"●","")</x:f>
      </x:c>
      <x:c r="BR249" s="165" t="str">
        <x:f>IF(AND(BR$5&gt;=$C249,BR$5&lt;=$D249,$A249&lt;&gt;""),"●","")</x:f>
      </x:c>
      <x:c r="BS249" s="165" t="str">
        <x:f>IF(AND(BS$5&gt;=$C249,BS$5&lt;=$D249,$A249&lt;&gt;""),"●","")</x:f>
      </x:c>
      <x:c r="BT249" s="165" t="str">
        <x:f>IF(AND(BT$5&gt;=$C249,BT$5&lt;=$D249,$A249&lt;&gt;""),"●","")</x:f>
      </x:c>
      <x:c r="BU249" s="165" t="str">
        <x:f>IF(AND(BU$5&gt;=$C249,BU$5&lt;=$D249,$A249&lt;&gt;""),"●","")</x:f>
      </x:c>
      <x:c r="BV249" s="165" t="str">
        <x:f>IF(AND(BV$5&gt;=$C249,BV$5&lt;=$D249,$A249&lt;&gt;""),"●","")</x:f>
      </x:c>
      <x:c r="BW249" s="165" t="str">
        <x:f>IF(AND(BW$5&gt;=$C249,BW$5&lt;=$D249,$A249&lt;&gt;""),"●","")</x:f>
      </x:c>
    </x:row>
    <x:row r="250">
      <x:c r="A250" s="159" t="str">
        <x:f>IF('รายการสัญญา'!A250="","",'รายการสัญญา'!A250)</x:f>
      </x:c>
      <x:c r="B250" s="159" t="str">
        <x:f>IF('รายการสัญญา'!A250="","",'รายการสัญญา'!C250)</x:f>
      </x:c>
      <x:c r="C250" s="162" t="str">
        <x:f>IF('รายการสัญญา'!A250="","",'รายการสัญญา'!E250)</x:f>
      </x:c>
      <x:c r="D250" s="162" t="str">
        <x:f>IF('รายการสัญญา'!A250="","",'รายการสัญญา'!G250)</x:f>
      </x:c>
      <x:c r="E250" s="159" t="str">
        <x:f>IF('รายการสัญญา'!A250="","",'รายการสัญญา'!K250)</x:f>
      </x:c>
      <x:c r="F250" s="165" t="str">
        <x:f>IF(AND(F$5&gt;=$C250,F$5&lt;=$D250,$A250&lt;&gt;""),"●","")</x:f>
      </x:c>
      <x:c r="G250" s="165" t="str">
        <x:f>IF(AND(G$5&gt;=$C250,G$5&lt;=$D250,$A250&lt;&gt;""),"●","")</x:f>
      </x:c>
      <x:c r="H250" s="165" t="str">
        <x:f>IF(AND(H$5&gt;=$C250,H$5&lt;=$D250,$A250&lt;&gt;""),"●","")</x:f>
      </x:c>
      <x:c r="I250" s="165" t="str">
        <x:f>IF(AND(I$5&gt;=$C250,I$5&lt;=$D250,$A250&lt;&gt;""),"●","")</x:f>
      </x:c>
      <x:c r="J250" s="165" t="str">
        <x:f>IF(AND(J$5&gt;=$C250,J$5&lt;=$D250,$A250&lt;&gt;""),"●","")</x:f>
      </x:c>
      <x:c r="K250" s="165" t="str">
        <x:f>IF(AND(K$5&gt;=$C250,K$5&lt;=$D250,$A250&lt;&gt;""),"●","")</x:f>
      </x:c>
      <x:c r="L250" s="165" t="str">
        <x:f>IF(AND(L$5&gt;=$C250,L$5&lt;=$D250,$A250&lt;&gt;""),"●","")</x:f>
      </x:c>
      <x:c r="M250" s="165" t="str">
        <x:f>IF(AND(M$5&gt;=$C250,M$5&lt;=$D250,$A250&lt;&gt;""),"●","")</x:f>
      </x:c>
      <x:c r="N250" s="165" t="str">
        <x:f>IF(AND(N$5&gt;=$C250,N$5&lt;=$D250,$A250&lt;&gt;""),"●","")</x:f>
      </x:c>
      <x:c r="O250" s="165" t="str">
        <x:f>IF(AND(O$5&gt;=$C250,O$5&lt;=$D250,$A250&lt;&gt;""),"●","")</x:f>
      </x:c>
      <x:c r="P250" s="165" t="str">
        <x:f>IF(AND(P$5&gt;=$C250,P$5&lt;=$D250,$A250&lt;&gt;""),"●","")</x:f>
      </x:c>
      <x:c r="Q250" s="165" t="str">
        <x:f>IF(AND(Q$5&gt;=$C250,Q$5&lt;=$D250,$A250&lt;&gt;""),"●","")</x:f>
      </x:c>
      <x:c r="R250" s="165" t="str">
        <x:f>IF(AND(R$5&gt;=$C250,R$5&lt;=$D250,$A250&lt;&gt;""),"●","")</x:f>
      </x:c>
      <x:c r="S250" s="165" t="str">
        <x:f>IF(AND(S$5&gt;=$C250,S$5&lt;=$D250,$A250&lt;&gt;""),"●","")</x:f>
      </x:c>
      <x:c r="T250" s="165" t="str">
        <x:f>IF(AND(T$5&gt;=$C250,T$5&lt;=$D250,$A250&lt;&gt;""),"●","")</x:f>
      </x:c>
      <x:c r="U250" s="165" t="str">
        <x:f>IF(AND(U$5&gt;=$C250,U$5&lt;=$D250,$A250&lt;&gt;""),"●","")</x:f>
      </x:c>
      <x:c r="V250" s="165" t="str">
        <x:f>IF(AND(V$5&gt;=$C250,V$5&lt;=$D250,$A250&lt;&gt;""),"●","")</x:f>
      </x:c>
      <x:c r="W250" s="165" t="str">
        <x:f>IF(AND(W$5&gt;=$C250,W$5&lt;=$D250,$A250&lt;&gt;""),"●","")</x:f>
      </x:c>
      <x:c r="X250" s="165" t="str">
        <x:f>IF(AND(X$5&gt;=$C250,X$5&lt;=$D250,$A250&lt;&gt;""),"●","")</x:f>
      </x:c>
      <x:c r="Y250" s="165" t="str">
        <x:f>IF(AND(Y$5&gt;=$C250,Y$5&lt;=$D250,$A250&lt;&gt;""),"●","")</x:f>
      </x:c>
      <x:c r="Z250" s="165" t="str">
        <x:f>IF(AND(Z$5&gt;=$C250,Z$5&lt;=$D250,$A250&lt;&gt;""),"●","")</x:f>
      </x:c>
      <x:c r="AA250" s="165" t="str">
        <x:f>IF(AND(AA$5&gt;=$C250,AA$5&lt;=$D250,$A250&lt;&gt;""),"●","")</x:f>
      </x:c>
      <x:c r="AB250" s="165" t="str">
        <x:f>IF(AND(AB$5&gt;=$C250,AB$5&lt;=$D250,$A250&lt;&gt;""),"●","")</x:f>
      </x:c>
      <x:c r="AC250" s="165" t="str">
        <x:f>IF(AND(AC$5&gt;=$C250,AC$5&lt;=$D250,$A250&lt;&gt;""),"●","")</x:f>
      </x:c>
      <x:c r="AD250" s="165" t="str">
        <x:f>IF(AND(AD$5&gt;=$C250,AD$5&lt;=$D250,$A250&lt;&gt;""),"●","")</x:f>
      </x:c>
      <x:c r="AE250" s="165" t="str">
        <x:f>IF(AND(AE$5&gt;=$C250,AE$5&lt;=$D250,$A250&lt;&gt;""),"●","")</x:f>
      </x:c>
      <x:c r="AF250" s="165" t="str">
        <x:f>IF(AND(AF$5&gt;=$C250,AF$5&lt;=$D250,$A250&lt;&gt;""),"●","")</x:f>
      </x:c>
      <x:c r="AG250" s="165" t="str">
        <x:f>IF(AND(AG$5&gt;=$C250,AG$5&lt;=$D250,$A250&lt;&gt;""),"●","")</x:f>
      </x:c>
      <x:c r="AH250" s="165" t="str">
        <x:f>IF(AND(AH$5&gt;=$C250,AH$5&lt;=$D250,$A250&lt;&gt;""),"●","")</x:f>
      </x:c>
      <x:c r="AI250" s="165" t="str">
        <x:f>IF(AND(AI$5&gt;=$C250,AI$5&lt;=$D250,$A250&lt;&gt;""),"●","")</x:f>
      </x:c>
      <x:c r="AJ250" s="165" t="str">
        <x:f>IF(AND(AJ$5&gt;=$C250,AJ$5&lt;=$D250,$A250&lt;&gt;""),"●","")</x:f>
      </x:c>
      <x:c r="AK250" s="165" t="str">
        <x:f>IF(AND(AK$5&gt;=$C250,AK$5&lt;=$D250,$A250&lt;&gt;""),"●","")</x:f>
      </x:c>
      <x:c r="AL250" s="165" t="str">
        <x:f>IF(AND(AL$5&gt;=$C250,AL$5&lt;=$D250,$A250&lt;&gt;""),"●","")</x:f>
      </x:c>
      <x:c r="AM250" s="165" t="str">
        <x:f>IF(AND(AM$5&gt;=$C250,AM$5&lt;=$D250,$A250&lt;&gt;""),"●","")</x:f>
      </x:c>
      <x:c r="AN250" s="165" t="str">
        <x:f>IF(AND(AN$5&gt;=$C250,AN$5&lt;=$D250,$A250&lt;&gt;""),"●","")</x:f>
      </x:c>
      <x:c r="AO250" s="165" t="str">
        <x:f>IF(AND(AO$5&gt;=$C250,AO$5&lt;=$D250,$A250&lt;&gt;""),"●","")</x:f>
      </x:c>
      <x:c r="AP250" s="165" t="str">
        <x:f>IF(AND(AP$5&gt;=$C250,AP$5&lt;=$D250,$A250&lt;&gt;""),"●","")</x:f>
      </x:c>
      <x:c r="AQ250" s="165" t="str">
        <x:f>IF(AND(AQ$5&gt;=$C250,AQ$5&lt;=$D250,$A250&lt;&gt;""),"●","")</x:f>
      </x:c>
      <x:c r="AR250" s="165" t="str">
        <x:f>IF(AND(AR$5&gt;=$C250,AR$5&lt;=$D250,$A250&lt;&gt;""),"●","")</x:f>
      </x:c>
      <x:c r="AS250" s="165" t="str">
        <x:f>IF(AND(AS$5&gt;=$C250,AS$5&lt;=$D250,$A250&lt;&gt;""),"●","")</x:f>
      </x:c>
      <x:c r="AT250" s="165" t="str">
        <x:f>IF(AND(AT$5&gt;=$C250,AT$5&lt;=$D250,$A250&lt;&gt;""),"●","")</x:f>
      </x:c>
      <x:c r="AU250" s="165" t="str">
        <x:f>IF(AND(AU$5&gt;=$C250,AU$5&lt;=$D250,$A250&lt;&gt;""),"●","")</x:f>
      </x:c>
      <x:c r="AV250" s="165" t="str">
        <x:f>IF(AND(AV$5&gt;=$C250,AV$5&lt;=$D250,$A250&lt;&gt;""),"●","")</x:f>
      </x:c>
      <x:c r="AW250" s="165" t="str">
        <x:f>IF(AND(AW$5&gt;=$C250,AW$5&lt;=$D250,$A250&lt;&gt;""),"●","")</x:f>
      </x:c>
      <x:c r="AX250" s="165" t="str">
        <x:f>IF(AND(AX$5&gt;=$C250,AX$5&lt;=$D250,$A250&lt;&gt;""),"●","")</x:f>
      </x:c>
      <x:c r="AY250" s="165" t="str">
        <x:f>IF(AND(AY$5&gt;=$C250,AY$5&lt;=$D250,$A250&lt;&gt;""),"●","")</x:f>
      </x:c>
      <x:c r="AZ250" s="165" t="str">
        <x:f>IF(AND(AZ$5&gt;=$C250,AZ$5&lt;=$D250,$A250&lt;&gt;""),"●","")</x:f>
      </x:c>
      <x:c r="BA250" s="165" t="str">
        <x:f>IF(AND(BA$5&gt;=$C250,BA$5&lt;=$D250,$A250&lt;&gt;""),"●","")</x:f>
      </x:c>
      <x:c r="BB250" s="165" t="str">
        <x:f>IF(AND(BB$5&gt;=$C250,BB$5&lt;=$D250,$A250&lt;&gt;""),"●","")</x:f>
      </x:c>
      <x:c r="BC250" s="165" t="str">
        <x:f>IF(AND(BC$5&gt;=$C250,BC$5&lt;=$D250,$A250&lt;&gt;""),"●","")</x:f>
      </x:c>
      <x:c r="BD250" s="165" t="str">
        <x:f>IF(AND(BD$5&gt;=$C250,BD$5&lt;=$D250,$A250&lt;&gt;""),"●","")</x:f>
      </x:c>
      <x:c r="BE250" s="165" t="str">
        <x:f>IF(AND(BE$5&gt;=$C250,BE$5&lt;=$D250,$A250&lt;&gt;""),"●","")</x:f>
      </x:c>
      <x:c r="BF250" s="165" t="str">
        <x:f>IF(AND(BF$5&gt;=$C250,BF$5&lt;=$D250,$A250&lt;&gt;""),"●","")</x:f>
      </x:c>
      <x:c r="BG250" s="165" t="str">
        <x:f>IF(AND(BG$5&gt;=$C250,BG$5&lt;=$D250,$A250&lt;&gt;""),"●","")</x:f>
      </x:c>
      <x:c r="BH250" s="165" t="str">
        <x:f>IF(AND(BH$5&gt;=$C250,BH$5&lt;=$D250,$A250&lt;&gt;""),"●","")</x:f>
      </x:c>
      <x:c r="BI250" s="165" t="str">
        <x:f>IF(AND(BI$5&gt;=$C250,BI$5&lt;=$D250,$A250&lt;&gt;""),"●","")</x:f>
      </x:c>
      <x:c r="BJ250" s="165" t="str">
        <x:f>IF(AND(BJ$5&gt;=$C250,BJ$5&lt;=$D250,$A250&lt;&gt;""),"●","")</x:f>
      </x:c>
      <x:c r="BK250" s="165" t="str">
        <x:f>IF(AND(BK$5&gt;=$C250,BK$5&lt;=$D250,$A250&lt;&gt;""),"●","")</x:f>
      </x:c>
      <x:c r="BL250" s="165" t="str">
        <x:f>IF(AND(BL$5&gt;=$C250,BL$5&lt;=$D250,$A250&lt;&gt;""),"●","")</x:f>
      </x:c>
      <x:c r="BM250" s="165" t="str">
        <x:f>IF(AND(BM$5&gt;=$C250,BM$5&lt;=$D250,$A250&lt;&gt;""),"●","")</x:f>
      </x:c>
      <x:c r="BN250" s="165" t="str">
        <x:f>IF(AND(BN$5&gt;=$C250,BN$5&lt;=$D250,$A250&lt;&gt;""),"●","")</x:f>
      </x:c>
      <x:c r="BO250" s="165" t="str">
        <x:f>IF(AND(BO$5&gt;=$C250,BO$5&lt;=$D250,$A250&lt;&gt;""),"●","")</x:f>
      </x:c>
      <x:c r="BP250" s="165" t="str">
        <x:f>IF(AND(BP$5&gt;=$C250,BP$5&lt;=$D250,$A250&lt;&gt;""),"●","")</x:f>
      </x:c>
      <x:c r="BQ250" s="165" t="str">
        <x:f>IF(AND(BQ$5&gt;=$C250,BQ$5&lt;=$D250,$A250&lt;&gt;""),"●","")</x:f>
      </x:c>
      <x:c r="BR250" s="165" t="str">
        <x:f>IF(AND(BR$5&gt;=$C250,BR$5&lt;=$D250,$A250&lt;&gt;""),"●","")</x:f>
      </x:c>
      <x:c r="BS250" s="165" t="str">
        <x:f>IF(AND(BS$5&gt;=$C250,BS$5&lt;=$D250,$A250&lt;&gt;""),"●","")</x:f>
      </x:c>
      <x:c r="BT250" s="165" t="str">
        <x:f>IF(AND(BT$5&gt;=$C250,BT$5&lt;=$D250,$A250&lt;&gt;""),"●","")</x:f>
      </x:c>
      <x:c r="BU250" s="165" t="str">
        <x:f>IF(AND(BU$5&gt;=$C250,BU$5&lt;=$D250,$A250&lt;&gt;""),"●","")</x:f>
      </x:c>
      <x:c r="BV250" s="165" t="str">
        <x:f>IF(AND(BV$5&gt;=$C250,BV$5&lt;=$D250,$A250&lt;&gt;""),"●","")</x:f>
      </x:c>
      <x:c r="BW250" s="165" t="str">
        <x:f>IF(AND(BW$5&gt;=$C250,BW$5&lt;=$D250,$A250&lt;&gt;""),"●","")</x:f>
      </x:c>
    </x:row>
    <x:row r="251">
      <x:c r="A251" s="159" t="str">
        <x:f>IF('รายการสัญญา'!A251="","",'รายการสัญญา'!A251)</x:f>
      </x:c>
      <x:c r="B251" s="159" t="str">
        <x:f>IF('รายการสัญญา'!A251="","",'รายการสัญญา'!C251)</x:f>
      </x:c>
      <x:c r="C251" s="162" t="str">
        <x:f>IF('รายการสัญญา'!A251="","",'รายการสัญญา'!E251)</x:f>
      </x:c>
      <x:c r="D251" s="162" t="str">
        <x:f>IF('รายการสัญญา'!A251="","",'รายการสัญญา'!G251)</x:f>
      </x:c>
      <x:c r="E251" s="159" t="str">
        <x:f>IF('รายการสัญญา'!A251="","",'รายการสัญญา'!K251)</x:f>
      </x:c>
      <x:c r="F251" s="165" t="str">
        <x:f>IF(AND(F$5&gt;=$C251,F$5&lt;=$D251,$A251&lt;&gt;""),"●","")</x:f>
      </x:c>
      <x:c r="G251" s="165" t="str">
        <x:f>IF(AND(G$5&gt;=$C251,G$5&lt;=$D251,$A251&lt;&gt;""),"●","")</x:f>
      </x:c>
      <x:c r="H251" s="165" t="str">
        <x:f>IF(AND(H$5&gt;=$C251,H$5&lt;=$D251,$A251&lt;&gt;""),"●","")</x:f>
      </x:c>
      <x:c r="I251" s="165" t="str">
        <x:f>IF(AND(I$5&gt;=$C251,I$5&lt;=$D251,$A251&lt;&gt;""),"●","")</x:f>
      </x:c>
      <x:c r="J251" s="165" t="str">
        <x:f>IF(AND(J$5&gt;=$C251,J$5&lt;=$D251,$A251&lt;&gt;""),"●","")</x:f>
      </x:c>
      <x:c r="K251" s="165" t="str">
        <x:f>IF(AND(K$5&gt;=$C251,K$5&lt;=$D251,$A251&lt;&gt;""),"●","")</x:f>
      </x:c>
      <x:c r="L251" s="165" t="str">
        <x:f>IF(AND(L$5&gt;=$C251,L$5&lt;=$D251,$A251&lt;&gt;""),"●","")</x:f>
      </x:c>
      <x:c r="M251" s="165" t="str">
        <x:f>IF(AND(M$5&gt;=$C251,M$5&lt;=$D251,$A251&lt;&gt;""),"●","")</x:f>
      </x:c>
      <x:c r="N251" s="165" t="str">
        <x:f>IF(AND(N$5&gt;=$C251,N$5&lt;=$D251,$A251&lt;&gt;""),"●","")</x:f>
      </x:c>
      <x:c r="O251" s="165" t="str">
        <x:f>IF(AND(O$5&gt;=$C251,O$5&lt;=$D251,$A251&lt;&gt;""),"●","")</x:f>
      </x:c>
      <x:c r="P251" s="165" t="str">
        <x:f>IF(AND(P$5&gt;=$C251,P$5&lt;=$D251,$A251&lt;&gt;""),"●","")</x:f>
      </x:c>
      <x:c r="Q251" s="165" t="str">
        <x:f>IF(AND(Q$5&gt;=$C251,Q$5&lt;=$D251,$A251&lt;&gt;""),"●","")</x:f>
      </x:c>
      <x:c r="R251" s="165" t="str">
        <x:f>IF(AND(R$5&gt;=$C251,R$5&lt;=$D251,$A251&lt;&gt;""),"●","")</x:f>
      </x:c>
      <x:c r="S251" s="165" t="str">
        <x:f>IF(AND(S$5&gt;=$C251,S$5&lt;=$D251,$A251&lt;&gt;""),"●","")</x:f>
      </x:c>
      <x:c r="T251" s="165" t="str">
        <x:f>IF(AND(T$5&gt;=$C251,T$5&lt;=$D251,$A251&lt;&gt;""),"●","")</x:f>
      </x:c>
      <x:c r="U251" s="165" t="str">
        <x:f>IF(AND(U$5&gt;=$C251,U$5&lt;=$D251,$A251&lt;&gt;""),"●","")</x:f>
      </x:c>
      <x:c r="V251" s="165" t="str">
        <x:f>IF(AND(V$5&gt;=$C251,V$5&lt;=$D251,$A251&lt;&gt;""),"●","")</x:f>
      </x:c>
      <x:c r="W251" s="165" t="str">
        <x:f>IF(AND(W$5&gt;=$C251,W$5&lt;=$D251,$A251&lt;&gt;""),"●","")</x:f>
      </x:c>
      <x:c r="X251" s="165" t="str">
        <x:f>IF(AND(X$5&gt;=$C251,X$5&lt;=$D251,$A251&lt;&gt;""),"●","")</x:f>
      </x:c>
      <x:c r="Y251" s="165" t="str">
        <x:f>IF(AND(Y$5&gt;=$C251,Y$5&lt;=$D251,$A251&lt;&gt;""),"●","")</x:f>
      </x:c>
      <x:c r="Z251" s="165" t="str">
        <x:f>IF(AND(Z$5&gt;=$C251,Z$5&lt;=$D251,$A251&lt;&gt;""),"●","")</x:f>
      </x:c>
      <x:c r="AA251" s="165" t="str">
        <x:f>IF(AND(AA$5&gt;=$C251,AA$5&lt;=$D251,$A251&lt;&gt;""),"●","")</x:f>
      </x:c>
      <x:c r="AB251" s="165" t="str">
        <x:f>IF(AND(AB$5&gt;=$C251,AB$5&lt;=$D251,$A251&lt;&gt;""),"●","")</x:f>
      </x:c>
      <x:c r="AC251" s="165" t="str">
        <x:f>IF(AND(AC$5&gt;=$C251,AC$5&lt;=$D251,$A251&lt;&gt;""),"●","")</x:f>
      </x:c>
      <x:c r="AD251" s="165" t="str">
        <x:f>IF(AND(AD$5&gt;=$C251,AD$5&lt;=$D251,$A251&lt;&gt;""),"●","")</x:f>
      </x:c>
      <x:c r="AE251" s="165" t="str">
        <x:f>IF(AND(AE$5&gt;=$C251,AE$5&lt;=$D251,$A251&lt;&gt;""),"●","")</x:f>
      </x:c>
      <x:c r="AF251" s="165" t="str">
        <x:f>IF(AND(AF$5&gt;=$C251,AF$5&lt;=$D251,$A251&lt;&gt;""),"●","")</x:f>
      </x:c>
      <x:c r="AG251" s="165" t="str">
        <x:f>IF(AND(AG$5&gt;=$C251,AG$5&lt;=$D251,$A251&lt;&gt;""),"●","")</x:f>
      </x:c>
      <x:c r="AH251" s="165" t="str">
        <x:f>IF(AND(AH$5&gt;=$C251,AH$5&lt;=$D251,$A251&lt;&gt;""),"●","")</x:f>
      </x:c>
      <x:c r="AI251" s="165" t="str">
        <x:f>IF(AND(AI$5&gt;=$C251,AI$5&lt;=$D251,$A251&lt;&gt;""),"●","")</x:f>
      </x:c>
      <x:c r="AJ251" s="165" t="str">
        <x:f>IF(AND(AJ$5&gt;=$C251,AJ$5&lt;=$D251,$A251&lt;&gt;""),"●","")</x:f>
      </x:c>
      <x:c r="AK251" s="165" t="str">
        <x:f>IF(AND(AK$5&gt;=$C251,AK$5&lt;=$D251,$A251&lt;&gt;""),"●","")</x:f>
      </x:c>
      <x:c r="AL251" s="165" t="str">
        <x:f>IF(AND(AL$5&gt;=$C251,AL$5&lt;=$D251,$A251&lt;&gt;""),"●","")</x:f>
      </x:c>
      <x:c r="AM251" s="165" t="str">
        <x:f>IF(AND(AM$5&gt;=$C251,AM$5&lt;=$D251,$A251&lt;&gt;""),"●","")</x:f>
      </x:c>
      <x:c r="AN251" s="165" t="str">
        <x:f>IF(AND(AN$5&gt;=$C251,AN$5&lt;=$D251,$A251&lt;&gt;""),"●","")</x:f>
      </x:c>
      <x:c r="AO251" s="165" t="str">
        <x:f>IF(AND(AO$5&gt;=$C251,AO$5&lt;=$D251,$A251&lt;&gt;""),"●","")</x:f>
      </x:c>
      <x:c r="AP251" s="165" t="str">
        <x:f>IF(AND(AP$5&gt;=$C251,AP$5&lt;=$D251,$A251&lt;&gt;""),"●","")</x:f>
      </x:c>
      <x:c r="AQ251" s="165" t="str">
        <x:f>IF(AND(AQ$5&gt;=$C251,AQ$5&lt;=$D251,$A251&lt;&gt;""),"●","")</x:f>
      </x:c>
      <x:c r="AR251" s="165" t="str">
        <x:f>IF(AND(AR$5&gt;=$C251,AR$5&lt;=$D251,$A251&lt;&gt;""),"●","")</x:f>
      </x:c>
      <x:c r="AS251" s="165" t="str">
        <x:f>IF(AND(AS$5&gt;=$C251,AS$5&lt;=$D251,$A251&lt;&gt;""),"●","")</x:f>
      </x:c>
      <x:c r="AT251" s="165" t="str">
        <x:f>IF(AND(AT$5&gt;=$C251,AT$5&lt;=$D251,$A251&lt;&gt;""),"●","")</x:f>
      </x:c>
      <x:c r="AU251" s="165" t="str">
        <x:f>IF(AND(AU$5&gt;=$C251,AU$5&lt;=$D251,$A251&lt;&gt;""),"●","")</x:f>
      </x:c>
      <x:c r="AV251" s="165" t="str">
        <x:f>IF(AND(AV$5&gt;=$C251,AV$5&lt;=$D251,$A251&lt;&gt;""),"●","")</x:f>
      </x:c>
      <x:c r="AW251" s="165" t="str">
        <x:f>IF(AND(AW$5&gt;=$C251,AW$5&lt;=$D251,$A251&lt;&gt;""),"●","")</x:f>
      </x:c>
      <x:c r="AX251" s="165" t="str">
        <x:f>IF(AND(AX$5&gt;=$C251,AX$5&lt;=$D251,$A251&lt;&gt;""),"●","")</x:f>
      </x:c>
      <x:c r="AY251" s="165" t="str">
        <x:f>IF(AND(AY$5&gt;=$C251,AY$5&lt;=$D251,$A251&lt;&gt;""),"●","")</x:f>
      </x:c>
      <x:c r="AZ251" s="165" t="str">
        <x:f>IF(AND(AZ$5&gt;=$C251,AZ$5&lt;=$D251,$A251&lt;&gt;""),"●","")</x:f>
      </x:c>
      <x:c r="BA251" s="165" t="str">
        <x:f>IF(AND(BA$5&gt;=$C251,BA$5&lt;=$D251,$A251&lt;&gt;""),"●","")</x:f>
      </x:c>
      <x:c r="BB251" s="165" t="str">
        <x:f>IF(AND(BB$5&gt;=$C251,BB$5&lt;=$D251,$A251&lt;&gt;""),"●","")</x:f>
      </x:c>
      <x:c r="BC251" s="165" t="str">
        <x:f>IF(AND(BC$5&gt;=$C251,BC$5&lt;=$D251,$A251&lt;&gt;""),"●","")</x:f>
      </x:c>
      <x:c r="BD251" s="165" t="str">
        <x:f>IF(AND(BD$5&gt;=$C251,BD$5&lt;=$D251,$A251&lt;&gt;""),"●","")</x:f>
      </x:c>
      <x:c r="BE251" s="165" t="str">
        <x:f>IF(AND(BE$5&gt;=$C251,BE$5&lt;=$D251,$A251&lt;&gt;""),"●","")</x:f>
      </x:c>
      <x:c r="BF251" s="165" t="str">
        <x:f>IF(AND(BF$5&gt;=$C251,BF$5&lt;=$D251,$A251&lt;&gt;""),"●","")</x:f>
      </x:c>
      <x:c r="BG251" s="165" t="str">
        <x:f>IF(AND(BG$5&gt;=$C251,BG$5&lt;=$D251,$A251&lt;&gt;""),"●","")</x:f>
      </x:c>
      <x:c r="BH251" s="165" t="str">
        <x:f>IF(AND(BH$5&gt;=$C251,BH$5&lt;=$D251,$A251&lt;&gt;""),"●","")</x:f>
      </x:c>
      <x:c r="BI251" s="165" t="str">
        <x:f>IF(AND(BI$5&gt;=$C251,BI$5&lt;=$D251,$A251&lt;&gt;""),"●","")</x:f>
      </x:c>
      <x:c r="BJ251" s="165" t="str">
        <x:f>IF(AND(BJ$5&gt;=$C251,BJ$5&lt;=$D251,$A251&lt;&gt;""),"●","")</x:f>
      </x:c>
      <x:c r="BK251" s="165" t="str">
        <x:f>IF(AND(BK$5&gt;=$C251,BK$5&lt;=$D251,$A251&lt;&gt;""),"●","")</x:f>
      </x:c>
      <x:c r="BL251" s="165" t="str">
        <x:f>IF(AND(BL$5&gt;=$C251,BL$5&lt;=$D251,$A251&lt;&gt;""),"●","")</x:f>
      </x:c>
      <x:c r="BM251" s="165" t="str">
        <x:f>IF(AND(BM$5&gt;=$C251,BM$5&lt;=$D251,$A251&lt;&gt;""),"●","")</x:f>
      </x:c>
      <x:c r="BN251" s="165" t="str">
        <x:f>IF(AND(BN$5&gt;=$C251,BN$5&lt;=$D251,$A251&lt;&gt;""),"●","")</x:f>
      </x:c>
      <x:c r="BO251" s="165" t="str">
        <x:f>IF(AND(BO$5&gt;=$C251,BO$5&lt;=$D251,$A251&lt;&gt;""),"●","")</x:f>
      </x:c>
      <x:c r="BP251" s="165" t="str">
        <x:f>IF(AND(BP$5&gt;=$C251,BP$5&lt;=$D251,$A251&lt;&gt;""),"●","")</x:f>
      </x:c>
      <x:c r="BQ251" s="165" t="str">
        <x:f>IF(AND(BQ$5&gt;=$C251,BQ$5&lt;=$D251,$A251&lt;&gt;""),"●","")</x:f>
      </x:c>
      <x:c r="BR251" s="165" t="str">
        <x:f>IF(AND(BR$5&gt;=$C251,BR$5&lt;=$D251,$A251&lt;&gt;""),"●","")</x:f>
      </x:c>
      <x:c r="BS251" s="165" t="str">
        <x:f>IF(AND(BS$5&gt;=$C251,BS$5&lt;=$D251,$A251&lt;&gt;""),"●","")</x:f>
      </x:c>
      <x:c r="BT251" s="165" t="str">
        <x:f>IF(AND(BT$5&gt;=$C251,BT$5&lt;=$D251,$A251&lt;&gt;""),"●","")</x:f>
      </x:c>
      <x:c r="BU251" s="165" t="str">
        <x:f>IF(AND(BU$5&gt;=$C251,BU$5&lt;=$D251,$A251&lt;&gt;""),"●","")</x:f>
      </x:c>
      <x:c r="BV251" s="165" t="str">
        <x:f>IF(AND(BV$5&gt;=$C251,BV$5&lt;=$D251,$A251&lt;&gt;""),"●","")</x:f>
      </x:c>
      <x:c r="BW251" s="165" t="str">
        <x:f>IF(AND(BW$5&gt;=$C251,BW$5&lt;=$D251,$A251&lt;&gt;""),"●","")</x:f>
      </x:c>
    </x:row>
    <x:row r="252">
      <x:c r="A252" s="159" t="str">
        <x:f>IF('รายการสัญญา'!A252="","",'รายการสัญญา'!A252)</x:f>
      </x:c>
      <x:c r="B252" s="159" t="str">
        <x:f>IF('รายการสัญญา'!A252="","",'รายการสัญญา'!C252)</x:f>
      </x:c>
      <x:c r="C252" s="162" t="str">
        <x:f>IF('รายการสัญญา'!A252="","",'รายการสัญญา'!E252)</x:f>
      </x:c>
      <x:c r="D252" s="162" t="str">
        <x:f>IF('รายการสัญญา'!A252="","",'รายการสัญญา'!G252)</x:f>
      </x:c>
      <x:c r="E252" s="159" t="str">
        <x:f>IF('รายการสัญญา'!A252="","",'รายการสัญญา'!K252)</x:f>
      </x:c>
      <x:c r="F252" s="165" t="str">
        <x:f>IF(AND(F$5&gt;=$C252,F$5&lt;=$D252,$A252&lt;&gt;""),"●","")</x:f>
      </x:c>
      <x:c r="G252" s="165" t="str">
        <x:f>IF(AND(G$5&gt;=$C252,G$5&lt;=$D252,$A252&lt;&gt;""),"●","")</x:f>
      </x:c>
      <x:c r="H252" s="165" t="str">
        <x:f>IF(AND(H$5&gt;=$C252,H$5&lt;=$D252,$A252&lt;&gt;""),"●","")</x:f>
      </x:c>
      <x:c r="I252" s="165" t="str">
        <x:f>IF(AND(I$5&gt;=$C252,I$5&lt;=$D252,$A252&lt;&gt;""),"●","")</x:f>
      </x:c>
      <x:c r="J252" s="165" t="str">
        <x:f>IF(AND(J$5&gt;=$C252,J$5&lt;=$D252,$A252&lt;&gt;""),"●","")</x:f>
      </x:c>
      <x:c r="K252" s="165" t="str">
        <x:f>IF(AND(K$5&gt;=$C252,K$5&lt;=$D252,$A252&lt;&gt;""),"●","")</x:f>
      </x:c>
      <x:c r="L252" s="165" t="str">
        <x:f>IF(AND(L$5&gt;=$C252,L$5&lt;=$D252,$A252&lt;&gt;""),"●","")</x:f>
      </x:c>
      <x:c r="M252" s="165" t="str">
        <x:f>IF(AND(M$5&gt;=$C252,M$5&lt;=$D252,$A252&lt;&gt;""),"●","")</x:f>
      </x:c>
      <x:c r="N252" s="165" t="str">
        <x:f>IF(AND(N$5&gt;=$C252,N$5&lt;=$D252,$A252&lt;&gt;""),"●","")</x:f>
      </x:c>
      <x:c r="O252" s="165" t="str">
        <x:f>IF(AND(O$5&gt;=$C252,O$5&lt;=$D252,$A252&lt;&gt;""),"●","")</x:f>
      </x:c>
      <x:c r="P252" s="165" t="str">
        <x:f>IF(AND(P$5&gt;=$C252,P$5&lt;=$D252,$A252&lt;&gt;""),"●","")</x:f>
      </x:c>
      <x:c r="Q252" s="165" t="str">
        <x:f>IF(AND(Q$5&gt;=$C252,Q$5&lt;=$D252,$A252&lt;&gt;""),"●","")</x:f>
      </x:c>
      <x:c r="R252" s="165" t="str">
        <x:f>IF(AND(R$5&gt;=$C252,R$5&lt;=$D252,$A252&lt;&gt;""),"●","")</x:f>
      </x:c>
      <x:c r="S252" s="165" t="str">
        <x:f>IF(AND(S$5&gt;=$C252,S$5&lt;=$D252,$A252&lt;&gt;""),"●","")</x:f>
      </x:c>
      <x:c r="T252" s="165" t="str">
        <x:f>IF(AND(T$5&gt;=$C252,T$5&lt;=$D252,$A252&lt;&gt;""),"●","")</x:f>
      </x:c>
      <x:c r="U252" s="165" t="str">
        <x:f>IF(AND(U$5&gt;=$C252,U$5&lt;=$D252,$A252&lt;&gt;""),"●","")</x:f>
      </x:c>
      <x:c r="V252" s="165" t="str">
        <x:f>IF(AND(V$5&gt;=$C252,V$5&lt;=$D252,$A252&lt;&gt;""),"●","")</x:f>
      </x:c>
      <x:c r="W252" s="165" t="str">
        <x:f>IF(AND(W$5&gt;=$C252,W$5&lt;=$D252,$A252&lt;&gt;""),"●","")</x:f>
      </x:c>
      <x:c r="X252" s="165" t="str">
        <x:f>IF(AND(X$5&gt;=$C252,X$5&lt;=$D252,$A252&lt;&gt;""),"●","")</x:f>
      </x:c>
      <x:c r="Y252" s="165" t="str">
        <x:f>IF(AND(Y$5&gt;=$C252,Y$5&lt;=$D252,$A252&lt;&gt;""),"●","")</x:f>
      </x:c>
      <x:c r="Z252" s="165" t="str">
        <x:f>IF(AND(Z$5&gt;=$C252,Z$5&lt;=$D252,$A252&lt;&gt;""),"●","")</x:f>
      </x:c>
      <x:c r="AA252" s="165" t="str">
        <x:f>IF(AND(AA$5&gt;=$C252,AA$5&lt;=$D252,$A252&lt;&gt;""),"●","")</x:f>
      </x:c>
      <x:c r="AB252" s="165" t="str">
        <x:f>IF(AND(AB$5&gt;=$C252,AB$5&lt;=$D252,$A252&lt;&gt;""),"●","")</x:f>
      </x:c>
      <x:c r="AC252" s="165" t="str">
        <x:f>IF(AND(AC$5&gt;=$C252,AC$5&lt;=$D252,$A252&lt;&gt;""),"●","")</x:f>
      </x:c>
      <x:c r="AD252" s="165" t="str">
        <x:f>IF(AND(AD$5&gt;=$C252,AD$5&lt;=$D252,$A252&lt;&gt;""),"●","")</x:f>
      </x:c>
      <x:c r="AE252" s="165" t="str">
        <x:f>IF(AND(AE$5&gt;=$C252,AE$5&lt;=$D252,$A252&lt;&gt;""),"●","")</x:f>
      </x:c>
      <x:c r="AF252" s="165" t="str">
        <x:f>IF(AND(AF$5&gt;=$C252,AF$5&lt;=$D252,$A252&lt;&gt;""),"●","")</x:f>
      </x:c>
      <x:c r="AG252" s="165" t="str">
        <x:f>IF(AND(AG$5&gt;=$C252,AG$5&lt;=$D252,$A252&lt;&gt;""),"●","")</x:f>
      </x:c>
      <x:c r="AH252" s="165" t="str">
        <x:f>IF(AND(AH$5&gt;=$C252,AH$5&lt;=$D252,$A252&lt;&gt;""),"●","")</x:f>
      </x:c>
      <x:c r="AI252" s="165" t="str">
        <x:f>IF(AND(AI$5&gt;=$C252,AI$5&lt;=$D252,$A252&lt;&gt;""),"●","")</x:f>
      </x:c>
      <x:c r="AJ252" s="165" t="str">
        <x:f>IF(AND(AJ$5&gt;=$C252,AJ$5&lt;=$D252,$A252&lt;&gt;""),"●","")</x:f>
      </x:c>
      <x:c r="AK252" s="165" t="str">
        <x:f>IF(AND(AK$5&gt;=$C252,AK$5&lt;=$D252,$A252&lt;&gt;""),"●","")</x:f>
      </x:c>
      <x:c r="AL252" s="165" t="str">
        <x:f>IF(AND(AL$5&gt;=$C252,AL$5&lt;=$D252,$A252&lt;&gt;""),"●","")</x:f>
      </x:c>
      <x:c r="AM252" s="165" t="str">
        <x:f>IF(AND(AM$5&gt;=$C252,AM$5&lt;=$D252,$A252&lt;&gt;""),"●","")</x:f>
      </x:c>
      <x:c r="AN252" s="165" t="str">
        <x:f>IF(AND(AN$5&gt;=$C252,AN$5&lt;=$D252,$A252&lt;&gt;""),"●","")</x:f>
      </x:c>
      <x:c r="AO252" s="165" t="str">
        <x:f>IF(AND(AO$5&gt;=$C252,AO$5&lt;=$D252,$A252&lt;&gt;""),"●","")</x:f>
      </x:c>
      <x:c r="AP252" s="165" t="str">
        <x:f>IF(AND(AP$5&gt;=$C252,AP$5&lt;=$D252,$A252&lt;&gt;""),"●","")</x:f>
      </x:c>
      <x:c r="AQ252" s="165" t="str">
        <x:f>IF(AND(AQ$5&gt;=$C252,AQ$5&lt;=$D252,$A252&lt;&gt;""),"●","")</x:f>
      </x:c>
      <x:c r="AR252" s="165" t="str">
        <x:f>IF(AND(AR$5&gt;=$C252,AR$5&lt;=$D252,$A252&lt;&gt;""),"●","")</x:f>
      </x:c>
      <x:c r="AS252" s="165" t="str">
        <x:f>IF(AND(AS$5&gt;=$C252,AS$5&lt;=$D252,$A252&lt;&gt;""),"●","")</x:f>
      </x:c>
      <x:c r="AT252" s="165" t="str">
        <x:f>IF(AND(AT$5&gt;=$C252,AT$5&lt;=$D252,$A252&lt;&gt;""),"●","")</x:f>
      </x:c>
      <x:c r="AU252" s="165" t="str">
        <x:f>IF(AND(AU$5&gt;=$C252,AU$5&lt;=$D252,$A252&lt;&gt;""),"●","")</x:f>
      </x:c>
      <x:c r="AV252" s="165" t="str">
        <x:f>IF(AND(AV$5&gt;=$C252,AV$5&lt;=$D252,$A252&lt;&gt;""),"●","")</x:f>
      </x:c>
      <x:c r="AW252" s="165" t="str">
        <x:f>IF(AND(AW$5&gt;=$C252,AW$5&lt;=$D252,$A252&lt;&gt;""),"●","")</x:f>
      </x:c>
      <x:c r="AX252" s="165" t="str">
        <x:f>IF(AND(AX$5&gt;=$C252,AX$5&lt;=$D252,$A252&lt;&gt;""),"●","")</x:f>
      </x:c>
      <x:c r="AY252" s="165" t="str">
        <x:f>IF(AND(AY$5&gt;=$C252,AY$5&lt;=$D252,$A252&lt;&gt;""),"●","")</x:f>
      </x:c>
      <x:c r="AZ252" s="165" t="str">
        <x:f>IF(AND(AZ$5&gt;=$C252,AZ$5&lt;=$D252,$A252&lt;&gt;""),"●","")</x:f>
      </x:c>
      <x:c r="BA252" s="165" t="str">
        <x:f>IF(AND(BA$5&gt;=$C252,BA$5&lt;=$D252,$A252&lt;&gt;""),"●","")</x:f>
      </x:c>
      <x:c r="BB252" s="165" t="str">
        <x:f>IF(AND(BB$5&gt;=$C252,BB$5&lt;=$D252,$A252&lt;&gt;""),"●","")</x:f>
      </x:c>
      <x:c r="BC252" s="165" t="str">
        <x:f>IF(AND(BC$5&gt;=$C252,BC$5&lt;=$D252,$A252&lt;&gt;""),"●","")</x:f>
      </x:c>
      <x:c r="BD252" s="165" t="str">
        <x:f>IF(AND(BD$5&gt;=$C252,BD$5&lt;=$D252,$A252&lt;&gt;""),"●","")</x:f>
      </x:c>
      <x:c r="BE252" s="165" t="str">
        <x:f>IF(AND(BE$5&gt;=$C252,BE$5&lt;=$D252,$A252&lt;&gt;""),"●","")</x:f>
      </x:c>
      <x:c r="BF252" s="165" t="str">
        <x:f>IF(AND(BF$5&gt;=$C252,BF$5&lt;=$D252,$A252&lt;&gt;""),"●","")</x:f>
      </x:c>
      <x:c r="BG252" s="165" t="str">
        <x:f>IF(AND(BG$5&gt;=$C252,BG$5&lt;=$D252,$A252&lt;&gt;""),"●","")</x:f>
      </x:c>
      <x:c r="BH252" s="165" t="str">
        <x:f>IF(AND(BH$5&gt;=$C252,BH$5&lt;=$D252,$A252&lt;&gt;""),"●","")</x:f>
      </x:c>
      <x:c r="BI252" s="165" t="str">
        <x:f>IF(AND(BI$5&gt;=$C252,BI$5&lt;=$D252,$A252&lt;&gt;""),"●","")</x:f>
      </x:c>
      <x:c r="BJ252" s="165" t="str">
        <x:f>IF(AND(BJ$5&gt;=$C252,BJ$5&lt;=$D252,$A252&lt;&gt;""),"●","")</x:f>
      </x:c>
      <x:c r="BK252" s="165" t="str">
        <x:f>IF(AND(BK$5&gt;=$C252,BK$5&lt;=$D252,$A252&lt;&gt;""),"●","")</x:f>
      </x:c>
      <x:c r="BL252" s="165" t="str">
        <x:f>IF(AND(BL$5&gt;=$C252,BL$5&lt;=$D252,$A252&lt;&gt;""),"●","")</x:f>
      </x:c>
      <x:c r="BM252" s="165" t="str">
        <x:f>IF(AND(BM$5&gt;=$C252,BM$5&lt;=$D252,$A252&lt;&gt;""),"●","")</x:f>
      </x:c>
      <x:c r="BN252" s="165" t="str">
        <x:f>IF(AND(BN$5&gt;=$C252,BN$5&lt;=$D252,$A252&lt;&gt;""),"●","")</x:f>
      </x:c>
      <x:c r="BO252" s="165" t="str">
        <x:f>IF(AND(BO$5&gt;=$C252,BO$5&lt;=$D252,$A252&lt;&gt;""),"●","")</x:f>
      </x:c>
      <x:c r="BP252" s="165" t="str">
        <x:f>IF(AND(BP$5&gt;=$C252,BP$5&lt;=$D252,$A252&lt;&gt;""),"●","")</x:f>
      </x:c>
      <x:c r="BQ252" s="165" t="str">
        <x:f>IF(AND(BQ$5&gt;=$C252,BQ$5&lt;=$D252,$A252&lt;&gt;""),"●","")</x:f>
      </x:c>
      <x:c r="BR252" s="165" t="str">
        <x:f>IF(AND(BR$5&gt;=$C252,BR$5&lt;=$D252,$A252&lt;&gt;""),"●","")</x:f>
      </x:c>
      <x:c r="BS252" s="165" t="str">
        <x:f>IF(AND(BS$5&gt;=$C252,BS$5&lt;=$D252,$A252&lt;&gt;""),"●","")</x:f>
      </x:c>
      <x:c r="BT252" s="165" t="str">
        <x:f>IF(AND(BT$5&gt;=$C252,BT$5&lt;=$D252,$A252&lt;&gt;""),"●","")</x:f>
      </x:c>
      <x:c r="BU252" s="165" t="str">
        <x:f>IF(AND(BU$5&gt;=$C252,BU$5&lt;=$D252,$A252&lt;&gt;""),"●","")</x:f>
      </x:c>
      <x:c r="BV252" s="165" t="str">
        <x:f>IF(AND(BV$5&gt;=$C252,BV$5&lt;=$D252,$A252&lt;&gt;""),"●","")</x:f>
      </x:c>
      <x:c r="BW252" s="165" t="str">
        <x:f>IF(AND(BW$5&gt;=$C252,BW$5&lt;=$D252,$A252&lt;&gt;""),"●","")</x:f>
      </x:c>
    </x:row>
    <x:row r="253">
      <x:c r="A253" s="159" t="str">
        <x:f>IF('รายการสัญญา'!A253="","",'รายการสัญญา'!A253)</x:f>
      </x:c>
      <x:c r="B253" s="159" t="str">
        <x:f>IF('รายการสัญญา'!A253="","",'รายการสัญญา'!C253)</x:f>
      </x:c>
      <x:c r="C253" s="162" t="str">
        <x:f>IF('รายการสัญญา'!A253="","",'รายการสัญญา'!E253)</x:f>
      </x:c>
      <x:c r="D253" s="162" t="str">
        <x:f>IF('รายการสัญญา'!A253="","",'รายการสัญญา'!G253)</x:f>
      </x:c>
      <x:c r="E253" s="159" t="str">
        <x:f>IF('รายการสัญญา'!A253="","",'รายการสัญญา'!K253)</x:f>
      </x:c>
      <x:c r="F253" s="165" t="str">
        <x:f>IF(AND(F$5&gt;=$C253,F$5&lt;=$D253,$A253&lt;&gt;""),"●","")</x:f>
      </x:c>
      <x:c r="G253" s="165" t="str">
        <x:f>IF(AND(G$5&gt;=$C253,G$5&lt;=$D253,$A253&lt;&gt;""),"●","")</x:f>
      </x:c>
      <x:c r="H253" s="165" t="str">
        <x:f>IF(AND(H$5&gt;=$C253,H$5&lt;=$D253,$A253&lt;&gt;""),"●","")</x:f>
      </x:c>
      <x:c r="I253" s="165" t="str">
        <x:f>IF(AND(I$5&gt;=$C253,I$5&lt;=$D253,$A253&lt;&gt;""),"●","")</x:f>
      </x:c>
      <x:c r="J253" s="165" t="str">
        <x:f>IF(AND(J$5&gt;=$C253,J$5&lt;=$D253,$A253&lt;&gt;""),"●","")</x:f>
      </x:c>
      <x:c r="K253" s="165" t="str">
        <x:f>IF(AND(K$5&gt;=$C253,K$5&lt;=$D253,$A253&lt;&gt;""),"●","")</x:f>
      </x:c>
      <x:c r="L253" s="165" t="str">
        <x:f>IF(AND(L$5&gt;=$C253,L$5&lt;=$D253,$A253&lt;&gt;""),"●","")</x:f>
      </x:c>
      <x:c r="M253" s="165" t="str">
        <x:f>IF(AND(M$5&gt;=$C253,M$5&lt;=$D253,$A253&lt;&gt;""),"●","")</x:f>
      </x:c>
      <x:c r="N253" s="165" t="str">
        <x:f>IF(AND(N$5&gt;=$C253,N$5&lt;=$D253,$A253&lt;&gt;""),"●","")</x:f>
      </x:c>
      <x:c r="O253" s="165" t="str">
        <x:f>IF(AND(O$5&gt;=$C253,O$5&lt;=$D253,$A253&lt;&gt;""),"●","")</x:f>
      </x:c>
      <x:c r="P253" s="165" t="str">
        <x:f>IF(AND(P$5&gt;=$C253,P$5&lt;=$D253,$A253&lt;&gt;""),"●","")</x:f>
      </x:c>
      <x:c r="Q253" s="165" t="str">
        <x:f>IF(AND(Q$5&gt;=$C253,Q$5&lt;=$D253,$A253&lt;&gt;""),"●","")</x:f>
      </x:c>
      <x:c r="R253" s="165" t="str">
        <x:f>IF(AND(R$5&gt;=$C253,R$5&lt;=$D253,$A253&lt;&gt;""),"●","")</x:f>
      </x:c>
      <x:c r="S253" s="165" t="str">
        <x:f>IF(AND(S$5&gt;=$C253,S$5&lt;=$D253,$A253&lt;&gt;""),"●","")</x:f>
      </x:c>
      <x:c r="T253" s="165" t="str">
        <x:f>IF(AND(T$5&gt;=$C253,T$5&lt;=$D253,$A253&lt;&gt;""),"●","")</x:f>
      </x:c>
      <x:c r="U253" s="165" t="str">
        <x:f>IF(AND(U$5&gt;=$C253,U$5&lt;=$D253,$A253&lt;&gt;""),"●","")</x:f>
      </x:c>
      <x:c r="V253" s="165" t="str">
        <x:f>IF(AND(V$5&gt;=$C253,V$5&lt;=$D253,$A253&lt;&gt;""),"●","")</x:f>
      </x:c>
      <x:c r="W253" s="165" t="str">
        <x:f>IF(AND(W$5&gt;=$C253,W$5&lt;=$D253,$A253&lt;&gt;""),"●","")</x:f>
      </x:c>
      <x:c r="X253" s="165" t="str">
        <x:f>IF(AND(X$5&gt;=$C253,X$5&lt;=$D253,$A253&lt;&gt;""),"●","")</x:f>
      </x:c>
      <x:c r="Y253" s="165" t="str">
        <x:f>IF(AND(Y$5&gt;=$C253,Y$5&lt;=$D253,$A253&lt;&gt;""),"●","")</x:f>
      </x:c>
      <x:c r="Z253" s="165" t="str">
        <x:f>IF(AND(Z$5&gt;=$C253,Z$5&lt;=$D253,$A253&lt;&gt;""),"●","")</x:f>
      </x:c>
      <x:c r="AA253" s="165" t="str">
        <x:f>IF(AND(AA$5&gt;=$C253,AA$5&lt;=$D253,$A253&lt;&gt;""),"●","")</x:f>
      </x:c>
      <x:c r="AB253" s="165" t="str">
        <x:f>IF(AND(AB$5&gt;=$C253,AB$5&lt;=$D253,$A253&lt;&gt;""),"●","")</x:f>
      </x:c>
      <x:c r="AC253" s="165" t="str">
        <x:f>IF(AND(AC$5&gt;=$C253,AC$5&lt;=$D253,$A253&lt;&gt;""),"●","")</x:f>
      </x:c>
      <x:c r="AD253" s="165" t="str">
        <x:f>IF(AND(AD$5&gt;=$C253,AD$5&lt;=$D253,$A253&lt;&gt;""),"●","")</x:f>
      </x:c>
      <x:c r="AE253" s="165" t="str">
        <x:f>IF(AND(AE$5&gt;=$C253,AE$5&lt;=$D253,$A253&lt;&gt;""),"●","")</x:f>
      </x:c>
      <x:c r="AF253" s="165" t="str">
        <x:f>IF(AND(AF$5&gt;=$C253,AF$5&lt;=$D253,$A253&lt;&gt;""),"●","")</x:f>
      </x:c>
      <x:c r="AG253" s="165" t="str">
        <x:f>IF(AND(AG$5&gt;=$C253,AG$5&lt;=$D253,$A253&lt;&gt;""),"●","")</x:f>
      </x:c>
      <x:c r="AH253" s="165" t="str">
        <x:f>IF(AND(AH$5&gt;=$C253,AH$5&lt;=$D253,$A253&lt;&gt;""),"●","")</x:f>
      </x:c>
      <x:c r="AI253" s="165" t="str">
        <x:f>IF(AND(AI$5&gt;=$C253,AI$5&lt;=$D253,$A253&lt;&gt;""),"●","")</x:f>
      </x:c>
      <x:c r="AJ253" s="165" t="str">
        <x:f>IF(AND(AJ$5&gt;=$C253,AJ$5&lt;=$D253,$A253&lt;&gt;""),"●","")</x:f>
      </x:c>
      <x:c r="AK253" s="165" t="str">
        <x:f>IF(AND(AK$5&gt;=$C253,AK$5&lt;=$D253,$A253&lt;&gt;""),"●","")</x:f>
      </x:c>
      <x:c r="AL253" s="165" t="str">
        <x:f>IF(AND(AL$5&gt;=$C253,AL$5&lt;=$D253,$A253&lt;&gt;""),"●","")</x:f>
      </x:c>
      <x:c r="AM253" s="165" t="str">
        <x:f>IF(AND(AM$5&gt;=$C253,AM$5&lt;=$D253,$A253&lt;&gt;""),"●","")</x:f>
      </x:c>
      <x:c r="AN253" s="165" t="str">
        <x:f>IF(AND(AN$5&gt;=$C253,AN$5&lt;=$D253,$A253&lt;&gt;""),"●","")</x:f>
      </x:c>
      <x:c r="AO253" s="165" t="str">
        <x:f>IF(AND(AO$5&gt;=$C253,AO$5&lt;=$D253,$A253&lt;&gt;""),"●","")</x:f>
      </x:c>
      <x:c r="AP253" s="165" t="str">
        <x:f>IF(AND(AP$5&gt;=$C253,AP$5&lt;=$D253,$A253&lt;&gt;""),"●","")</x:f>
      </x:c>
      <x:c r="AQ253" s="165" t="str">
        <x:f>IF(AND(AQ$5&gt;=$C253,AQ$5&lt;=$D253,$A253&lt;&gt;""),"●","")</x:f>
      </x:c>
      <x:c r="AR253" s="165" t="str">
        <x:f>IF(AND(AR$5&gt;=$C253,AR$5&lt;=$D253,$A253&lt;&gt;""),"●","")</x:f>
      </x:c>
      <x:c r="AS253" s="165" t="str">
        <x:f>IF(AND(AS$5&gt;=$C253,AS$5&lt;=$D253,$A253&lt;&gt;""),"●","")</x:f>
      </x:c>
      <x:c r="AT253" s="165" t="str">
        <x:f>IF(AND(AT$5&gt;=$C253,AT$5&lt;=$D253,$A253&lt;&gt;""),"●","")</x:f>
      </x:c>
      <x:c r="AU253" s="165" t="str">
        <x:f>IF(AND(AU$5&gt;=$C253,AU$5&lt;=$D253,$A253&lt;&gt;""),"●","")</x:f>
      </x:c>
      <x:c r="AV253" s="165" t="str">
        <x:f>IF(AND(AV$5&gt;=$C253,AV$5&lt;=$D253,$A253&lt;&gt;""),"●","")</x:f>
      </x:c>
      <x:c r="AW253" s="165" t="str">
        <x:f>IF(AND(AW$5&gt;=$C253,AW$5&lt;=$D253,$A253&lt;&gt;""),"●","")</x:f>
      </x:c>
      <x:c r="AX253" s="165" t="str">
        <x:f>IF(AND(AX$5&gt;=$C253,AX$5&lt;=$D253,$A253&lt;&gt;""),"●","")</x:f>
      </x:c>
      <x:c r="AY253" s="165" t="str">
        <x:f>IF(AND(AY$5&gt;=$C253,AY$5&lt;=$D253,$A253&lt;&gt;""),"●","")</x:f>
      </x:c>
      <x:c r="AZ253" s="165" t="str">
        <x:f>IF(AND(AZ$5&gt;=$C253,AZ$5&lt;=$D253,$A253&lt;&gt;""),"●","")</x:f>
      </x:c>
      <x:c r="BA253" s="165" t="str">
        <x:f>IF(AND(BA$5&gt;=$C253,BA$5&lt;=$D253,$A253&lt;&gt;""),"●","")</x:f>
      </x:c>
      <x:c r="BB253" s="165" t="str">
        <x:f>IF(AND(BB$5&gt;=$C253,BB$5&lt;=$D253,$A253&lt;&gt;""),"●","")</x:f>
      </x:c>
      <x:c r="BC253" s="165" t="str">
        <x:f>IF(AND(BC$5&gt;=$C253,BC$5&lt;=$D253,$A253&lt;&gt;""),"●","")</x:f>
      </x:c>
      <x:c r="BD253" s="165" t="str">
        <x:f>IF(AND(BD$5&gt;=$C253,BD$5&lt;=$D253,$A253&lt;&gt;""),"●","")</x:f>
      </x:c>
      <x:c r="BE253" s="165" t="str">
        <x:f>IF(AND(BE$5&gt;=$C253,BE$5&lt;=$D253,$A253&lt;&gt;""),"●","")</x:f>
      </x:c>
      <x:c r="BF253" s="165" t="str">
        <x:f>IF(AND(BF$5&gt;=$C253,BF$5&lt;=$D253,$A253&lt;&gt;""),"●","")</x:f>
      </x:c>
      <x:c r="BG253" s="165" t="str">
        <x:f>IF(AND(BG$5&gt;=$C253,BG$5&lt;=$D253,$A253&lt;&gt;""),"●","")</x:f>
      </x:c>
      <x:c r="BH253" s="165" t="str">
        <x:f>IF(AND(BH$5&gt;=$C253,BH$5&lt;=$D253,$A253&lt;&gt;""),"●","")</x:f>
      </x:c>
      <x:c r="BI253" s="165" t="str">
        <x:f>IF(AND(BI$5&gt;=$C253,BI$5&lt;=$D253,$A253&lt;&gt;""),"●","")</x:f>
      </x:c>
      <x:c r="BJ253" s="165" t="str">
        <x:f>IF(AND(BJ$5&gt;=$C253,BJ$5&lt;=$D253,$A253&lt;&gt;""),"●","")</x:f>
      </x:c>
      <x:c r="BK253" s="165" t="str">
        <x:f>IF(AND(BK$5&gt;=$C253,BK$5&lt;=$D253,$A253&lt;&gt;""),"●","")</x:f>
      </x:c>
      <x:c r="BL253" s="165" t="str">
        <x:f>IF(AND(BL$5&gt;=$C253,BL$5&lt;=$D253,$A253&lt;&gt;""),"●","")</x:f>
      </x:c>
      <x:c r="BM253" s="165" t="str">
        <x:f>IF(AND(BM$5&gt;=$C253,BM$5&lt;=$D253,$A253&lt;&gt;""),"●","")</x:f>
      </x:c>
      <x:c r="BN253" s="165" t="str">
        <x:f>IF(AND(BN$5&gt;=$C253,BN$5&lt;=$D253,$A253&lt;&gt;""),"●","")</x:f>
      </x:c>
      <x:c r="BO253" s="165" t="str">
        <x:f>IF(AND(BO$5&gt;=$C253,BO$5&lt;=$D253,$A253&lt;&gt;""),"●","")</x:f>
      </x:c>
      <x:c r="BP253" s="165" t="str">
        <x:f>IF(AND(BP$5&gt;=$C253,BP$5&lt;=$D253,$A253&lt;&gt;""),"●","")</x:f>
      </x:c>
      <x:c r="BQ253" s="165" t="str">
        <x:f>IF(AND(BQ$5&gt;=$C253,BQ$5&lt;=$D253,$A253&lt;&gt;""),"●","")</x:f>
      </x:c>
      <x:c r="BR253" s="165" t="str">
        <x:f>IF(AND(BR$5&gt;=$C253,BR$5&lt;=$D253,$A253&lt;&gt;""),"●","")</x:f>
      </x:c>
      <x:c r="BS253" s="165" t="str">
        <x:f>IF(AND(BS$5&gt;=$C253,BS$5&lt;=$D253,$A253&lt;&gt;""),"●","")</x:f>
      </x:c>
      <x:c r="BT253" s="165" t="str">
        <x:f>IF(AND(BT$5&gt;=$C253,BT$5&lt;=$D253,$A253&lt;&gt;""),"●","")</x:f>
      </x:c>
      <x:c r="BU253" s="165" t="str">
        <x:f>IF(AND(BU$5&gt;=$C253,BU$5&lt;=$D253,$A253&lt;&gt;""),"●","")</x:f>
      </x:c>
      <x:c r="BV253" s="165" t="str">
        <x:f>IF(AND(BV$5&gt;=$C253,BV$5&lt;=$D253,$A253&lt;&gt;""),"●","")</x:f>
      </x:c>
      <x:c r="BW253" s="165" t="str">
        <x:f>IF(AND(BW$5&gt;=$C253,BW$5&lt;=$D253,$A253&lt;&gt;""),"●","")</x:f>
      </x:c>
    </x:row>
    <x:row r="254">
      <x:c r="A254" s="159" t="str">
        <x:f>IF('รายการสัญญา'!A254="","",'รายการสัญญา'!A254)</x:f>
      </x:c>
      <x:c r="B254" s="159" t="str">
        <x:f>IF('รายการสัญญา'!A254="","",'รายการสัญญา'!C254)</x:f>
      </x:c>
      <x:c r="C254" s="162" t="str">
        <x:f>IF('รายการสัญญา'!A254="","",'รายการสัญญา'!E254)</x:f>
      </x:c>
      <x:c r="D254" s="162" t="str">
        <x:f>IF('รายการสัญญา'!A254="","",'รายการสัญญา'!G254)</x:f>
      </x:c>
      <x:c r="E254" s="159" t="str">
        <x:f>IF('รายการสัญญา'!A254="","",'รายการสัญญา'!K254)</x:f>
      </x:c>
      <x:c r="F254" s="165" t="str">
        <x:f>IF(AND(F$5&gt;=$C254,F$5&lt;=$D254,$A254&lt;&gt;""),"●","")</x:f>
      </x:c>
      <x:c r="G254" s="165" t="str">
        <x:f>IF(AND(G$5&gt;=$C254,G$5&lt;=$D254,$A254&lt;&gt;""),"●","")</x:f>
      </x:c>
      <x:c r="H254" s="165" t="str">
        <x:f>IF(AND(H$5&gt;=$C254,H$5&lt;=$D254,$A254&lt;&gt;""),"●","")</x:f>
      </x:c>
      <x:c r="I254" s="165" t="str">
        <x:f>IF(AND(I$5&gt;=$C254,I$5&lt;=$D254,$A254&lt;&gt;""),"●","")</x:f>
      </x:c>
      <x:c r="J254" s="165" t="str">
        <x:f>IF(AND(J$5&gt;=$C254,J$5&lt;=$D254,$A254&lt;&gt;""),"●","")</x:f>
      </x:c>
      <x:c r="K254" s="165" t="str">
        <x:f>IF(AND(K$5&gt;=$C254,K$5&lt;=$D254,$A254&lt;&gt;""),"●","")</x:f>
      </x:c>
      <x:c r="L254" s="165" t="str">
        <x:f>IF(AND(L$5&gt;=$C254,L$5&lt;=$D254,$A254&lt;&gt;""),"●","")</x:f>
      </x:c>
      <x:c r="M254" s="165" t="str">
        <x:f>IF(AND(M$5&gt;=$C254,M$5&lt;=$D254,$A254&lt;&gt;""),"●","")</x:f>
      </x:c>
      <x:c r="N254" s="165" t="str">
        <x:f>IF(AND(N$5&gt;=$C254,N$5&lt;=$D254,$A254&lt;&gt;""),"●","")</x:f>
      </x:c>
      <x:c r="O254" s="165" t="str">
        <x:f>IF(AND(O$5&gt;=$C254,O$5&lt;=$D254,$A254&lt;&gt;""),"●","")</x:f>
      </x:c>
      <x:c r="P254" s="165" t="str">
        <x:f>IF(AND(P$5&gt;=$C254,P$5&lt;=$D254,$A254&lt;&gt;""),"●","")</x:f>
      </x:c>
      <x:c r="Q254" s="165" t="str">
        <x:f>IF(AND(Q$5&gt;=$C254,Q$5&lt;=$D254,$A254&lt;&gt;""),"●","")</x:f>
      </x:c>
      <x:c r="R254" s="165" t="str">
        <x:f>IF(AND(R$5&gt;=$C254,R$5&lt;=$D254,$A254&lt;&gt;""),"●","")</x:f>
      </x:c>
      <x:c r="S254" s="165" t="str">
        <x:f>IF(AND(S$5&gt;=$C254,S$5&lt;=$D254,$A254&lt;&gt;""),"●","")</x:f>
      </x:c>
      <x:c r="T254" s="165" t="str">
        <x:f>IF(AND(T$5&gt;=$C254,T$5&lt;=$D254,$A254&lt;&gt;""),"●","")</x:f>
      </x:c>
      <x:c r="U254" s="165" t="str">
        <x:f>IF(AND(U$5&gt;=$C254,U$5&lt;=$D254,$A254&lt;&gt;""),"●","")</x:f>
      </x:c>
      <x:c r="V254" s="165" t="str">
        <x:f>IF(AND(V$5&gt;=$C254,V$5&lt;=$D254,$A254&lt;&gt;""),"●","")</x:f>
      </x:c>
      <x:c r="W254" s="165" t="str">
        <x:f>IF(AND(W$5&gt;=$C254,W$5&lt;=$D254,$A254&lt;&gt;""),"●","")</x:f>
      </x:c>
      <x:c r="X254" s="165" t="str">
        <x:f>IF(AND(X$5&gt;=$C254,X$5&lt;=$D254,$A254&lt;&gt;""),"●","")</x:f>
      </x:c>
      <x:c r="Y254" s="165" t="str">
        <x:f>IF(AND(Y$5&gt;=$C254,Y$5&lt;=$D254,$A254&lt;&gt;""),"●","")</x:f>
      </x:c>
      <x:c r="Z254" s="165" t="str">
        <x:f>IF(AND(Z$5&gt;=$C254,Z$5&lt;=$D254,$A254&lt;&gt;""),"●","")</x:f>
      </x:c>
      <x:c r="AA254" s="165" t="str">
        <x:f>IF(AND(AA$5&gt;=$C254,AA$5&lt;=$D254,$A254&lt;&gt;""),"●","")</x:f>
      </x:c>
      <x:c r="AB254" s="165" t="str">
        <x:f>IF(AND(AB$5&gt;=$C254,AB$5&lt;=$D254,$A254&lt;&gt;""),"●","")</x:f>
      </x:c>
      <x:c r="AC254" s="165" t="str">
        <x:f>IF(AND(AC$5&gt;=$C254,AC$5&lt;=$D254,$A254&lt;&gt;""),"●","")</x:f>
      </x:c>
      <x:c r="AD254" s="165" t="str">
        <x:f>IF(AND(AD$5&gt;=$C254,AD$5&lt;=$D254,$A254&lt;&gt;""),"●","")</x:f>
      </x:c>
      <x:c r="AE254" s="165" t="str">
        <x:f>IF(AND(AE$5&gt;=$C254,AE$5&lt;=$D254,$A254&lt;&gt;""),"●","")</x:f>
      </x:c>
      <x:c r="AF254" s="165" t="str">
        <x:f>IF(AND(AF$5&gt;=$C254,AF$5&lt;=$D254,$A254&lt;&gt;""),"●","")</x:f>
      </x:c>
      <x:c r="AG254" s="165" t="str">
        <x:f>IF(AND(AG$5&gt;=$C254,AG$5&lt;=$D254,$A254&lt;&gt;""),"●","")</x:f>
      </x:c>
      <x:c r="AH254" s="165" t="str">
        <x:f>IF(AND(AH$5&gt;=$C254,AH$5&lt;=$D254,$A254&lt;&gt;""),"●","")</x:f>
      </x:c>
      <x:c r="AI254" s="165" t="str">
        <x:f>IF(AND(AI$5&gt;=$C254,AI$5&lt;=$D254,$A254&lt;&gt;""),"●","")</x:f>
      </x:c>
      <x:c r="AJ254" s="165" t="str">
        <x:f>IF(AND(AJ$5&gt;=$C254,AJ$5&lt;=$D254,$A254&lt;&gt;""),"●","")</x:f>
      </x:c>
      <x:c r="AK254" s="165" t="str">
        <x:f>IF(AND(AK$5&gt;=$C254,AK$5&lt;=$D254,$A254&lt;&gt;""),"●","")</x:f>
      </x:c>
      <x:c r="AL254" s="165" t="str">
        <x:f>IF(AND(AL$5&gt;=$C254,AL$5&lt;=$D254,$A254&lt;&gt;""),"●","")</x:f>
      </x:c>
      <x:c r="AM254" s="165" t="str">
        <x:f>IF(AND(AM$5&gt;=$C254,AM$5&lt;=$D254,$A254&lt;&gt;""),"●","")</x:f>
      </x:c>
      <x:c r="AN254" s="165" t="str">
        <x:f>IF(AND(AN$5&gt;=$C254,AN$5&lt;=$D254,$A254&lt;&gt;""),"●","")</x:f>
      </x:c>
      <x:c r="AO254" s="165" t="str">
        <x:f>IF(AND(AO$5&gt;=$C254,AO$5&lt;=$D254,$A254&lt;&gt;""),"●","")</x:f>
      </x:c>
      <x:c r="AP254" s="165" t="str">
        <x:f>IF(AND(AP$5&gt;=$C254,AP$5&lt;=$D254,$A254&lt;&gt;""),"●","")</x:f>
      </x:c>
      <x:c r="AQ254" s="165" t="str">
        <x:f>IF(AND(AQ$5&gt;=$C254,AQ$5&lt;=$D254,$A254&lt;&gt;""),"●","")</x:f>
      </x:c>
      <x:c r="AR254" s="165" t="str">
        <x:f>IF(AND(AR$5&gt;=$C254,AR$5&lt;=$D254,$A254&lt;&gt;""),"●","")</x:f>
      </x:c>
      <x:c r="AS254" s="165" t="str">
        <x:f>IF(AND(AS$5&gt;=$C254,AS$5&lt;=$D254,$A254&lt;&gt;""),"●","")</x:f>
      </x:c>
      <x:c r="AT254" s="165" t="str">
        <x:f>IF(AND(AT$5&gt;=$C254,AT$5&lt;=$D254,$A254&lt;&gt;""),"●","")</x:f>
      </x:c>
      <x:c r="AU254" s="165" t="str">
        <x:f>IF(AND(AU$5&gt;=$C254,AU$5&lt;=$D254,$A254&lt;&gt;""),"●","")</x:f>
      </x:c>
      <x:c r="AV254" s="165" t="str">
        <x:f>IF(AND(AV$5&gt;=$C254,AV$5&lt;=$D254,$A254&lt;&gt;""),"●","")</x:f>
      </x:c>
      <x:c r="AW254" s="165" t="str">
        <x:f>IF(AND(AW$5&gt;=$C254,AW$5&lt;=$D254,$A254&lt;&gt;""),"●","")</x:f>
      </x:c>
      <x:c r="AX254" s="165" t="str">
        <x:f>IF(AND(AX$5&gt;=$C254,AX$5&lt;=$D254,$A254&lt;&gt;""),"●","")</x:f>
      </x:c>
      <x:c r="AY254" s="165" t="str">
        <x:f>IF(AND(AY$5&gt;=$C254,AY$5&lt;=$D254,$A254&lt;&gt;""),"●","")</x:f>
      </x:c>
      <x:c r="AZ254" s="165" t="str">
        <x:f>IF(AND(AZ$5&gt;=$C254,AZ$5&lt;=$D254,$A254&lt;&gt;""),"●","")</x:f>
      </x:c>
      <x:c r="BA254" s="165" t="str">
        <x:f>IF(AND(BA$5&gt;=$C254,BA$5&lt;=$D254,$A254&lt;&gt;""),"●","")</x:f>
      </x:c>
      <x:c r="BB254" s="165" t="str">
        <x:f>IF(AND(BB$5&gt;=$C254,BB$5&lt;=$D254,$A254&lt;&gt;""),"●","")</x:f>
      </x:c>
      <x:c r="BC254" s="165" t="str">
        <x:f>IF(AND(BC$5&gt;=$C254,BC$5&lt;=$D254,$A254&lt;&gt;""),"●","")</x:f>
      </x:c>
      <x:c r="BD254" s="165" t="str">
        <x:f>IF(AND(BD$5&gt;=$C254,BD$5&lt;=$D254,$A254&lt;&gt;""),"●","")</x:f>
      </x:c>
      <x:c r="BE254" s="165" t="str">
        <x:f>IF(AND(BE$5&gt;=$C254,BE$5&lt;=$D254,$A254&lt;&gt;""),"●","")</x:f>
      </x:c>
      <x:c r="BF254" s="165" t="str">
        <x:f>IF(AND(BF$5&gt;=$C254,BF$5&lt;=$D254,$A254&lt;&gt;""),"●","")</x:f>
      </x:c>
      <x:c r="BG254" s="165" t="str">
        <x:f>IF(AND(BG$5&gt;=$C254,BG$5&lt;=$D254,$A254&lt;&gt;""),"●","")</x:f>
      </x:c>
      <x:c r="BH254" s="165" t="str">
        <x:f>IF(AND(BH$5&gt;=$C254,BH$5&lt;=$D254,$A254&lt;&gt;""),"●","")</x:f>
      </x:c>
      <x:c r="BI254" s="165" t="str">
        <x:f>IF(AND(BI$5&gt;=$C254,BI$5&lt;=$D254,$A254&lt;&gt;""),"●","")</x:f>
      </x:c>
      <x:c r="BJ254" s="165" t="str">
        <x:f>IF(AND(BJ$5&gt;=$C254,BJ$5&lt;=$D254,$A254&lt;&gt;""),"●","")</x:f>
      </x:c>
      <x:c r="BK254" s="165" t="str">
        <x:f>IF(AND(BK$5&gt;=$C254,BK$5&lt;=$D254,$A254&lt;&gt;""),"●","")</x:f>
      </x:c>
      <x:c r="BL254" s="165" t="str">
        <x:f>IF(AND(BL$5&gt;=$C254,BL$5&lt;=$D254,$A254&lt;&gt;""),"●","")</x:f>
      </x:c>
      <x:c r="BM254" s="165" t="str">
        <x:f>IF(AND(BM$5&gt;=$C254,BM$5&lt;=$D254,$A254&lt;&gt;""),"●","")</x:f>
      </x:c>
      <x:c r="BN254" s="165" t="str">
        <x:f>IF(AND(BN$5&gt;=$C254,BN$5&lt;=$D254,$A254&lt;&gt;""),"●","")</x:f>
      </x:c>
      <x:c r="BO254" s="165" t="str">
        <x:f>IF(AND(BO$5&gt;=$C254,BO$5&lt;=$D254,$A254&lt;&gt;""),"●","")</x:f>
      </x:c>
      <x:c r="BP254" s="165" t="str">
        <x:f>IF(AND(BP$5&gt;=$C254,BP$5&lt;=$D254,$A254&lt;&gt;""),"●","")</x:f>
      </x:c>
      <x:c r="BQ254" s="165" t="str">
        <x:f>IF(AND(BQ$5&gt;=$C254,BQ$5&lt;=$D254,$A254&lt;&gt;""),"●","")</x:f>
      </x:c>
      <x:c r="BR254" s="165" t="str">
        <x:f>IF(AND(BR$5&gt;=$C254,BR$5&lt;=$D254,$A254&lt;&gt;""),"●","")</x:f>
      </x:c>
      <x:c r="BS254" s="165" t="str">
        <x:f>IF(AND(BS$5&gt;=$C254,BS$5&lt;=$D254,$A254&lt;&gt;""),"●","")</x:f>
      </x:c>
      <x:c r="BT254" s="165" t="str">
        <x:f>IF(AND(BT$5&gt;=$C254,BT$5&lt;=$D254,$A254&lt;&gt;""),"●","")</x:f>
      </x:c>
      <x:c r="BU254" s="165" t="str">
        <x:f>IF(AND(BU$5&gt;=$C254,BU$5&lt;=$D254,$A254&lt;&gt;""),"●","")</x:f>
      </x:c>
      <x:c r="BV254" s="165" t="str">
        <x:f>IF(AND(BV$5&gt;=$C254,BV$5&lt;=$D254,$A254&lt;&gt;""),"●","")</x:f>
      </x:c>
      <x:c r="BW254" s="165" t="str">
        <x:f>IF(AND(BW$5&gt;=$C254,BW$5&lt;=$D254,$A254&lt;&gt;""),"●","")</x:f>
      </x:c>
    </x:row>
    <x:row r="255">
      <x:c r="A255" s="159" t="str">
        <x:f>IF('รายการสัญญา'!A255="","",'รายการสัญญา'!A255)</x:f>
      </x:c>
      <x:c r="B255" s="159" t="str">
        <x:f>IF('รายการสัญญา'!A255="","",'รายการสัญญา'!C255)</x:f>
      </x:c>
      <x:c r="C255" s="162" t="str">
        <x:f>IF('รายการสัญญา'!A255="","",'รายการสัญญา'!E255)</x:f>
      </x:c>
      <x:c r="D255" s="162" t="str">
        <x:f>IF('รายการสัญญา'!A255="","",'รายการสัญญา'!G255)</x:f>
      </x:c>
      <x:c r="E255" s="159" t="str">
        <x:f>IF('รายการสัญญา'!A255="","",'รายการสัญญา'!K255)</x:f>
      </x:c>
      <x:c r="F255" s="165" t="str">
        <x:f>IF(AND(F$5&gt;=$C255,F$5&lt;=$D255,$A255&lt;&gt;""),"●","")</x:f>
      </x:c>
      <x:c r="G255" s="165" t="str">
        <x:f>IF(AND(G$5&gt;=$C255,G$5&lt;=$D255,$A255&lt;&gt;""),"●","")</x:f>
      </x:c>
      <x:c r="H255" s="165" t="str">
        <x:f>IF(AND(H$5&gt;=$C255,H$5&lt;=$D255,$A255&lt;&gt;""),"●","")</x:f>
      </x:c>
      <x:c r="I255" s="165" t="str">
        <x:f>IF(AND(I$5&gt;=$C255,I$5&lt;=$D255,$A255&lt;&gt;""),"●","")</x:f>
      </x:c>
      <x:c r="J255" s="165" t="str">
        <x:f>IF(AND(J$5&gt;=$C255,J$5&lt;=$D255,$A255&lt;&gt;""),"●","")</x:f>
      </x:c>
      <x:c r="K255" s="165" t="str">
        <x:f>IF(AND(K$5&gt;=$C255,K$5&lt;=$D255,$A255&lt;&gt;""),"●","")</x:f>
      </x:c>
      <x:c r="L255" s="165" t="str">
        <x:f>IF(AND(L$5&gt;=$C255,L$5&lt;=$D255,$A255&lt;&gt;""),"●","")</x:f>
      </x:c>
      <x:c r="M255" s="165" t="str">
        <x:f>IF(AND(M$5&gt;=$C255,M$5&lt;=$D255,$A255&lt;&gt;""),"●","")</x:f>
      </x:c>
      <x:c r="N255" s="165" t="str">
        <x:f>IF(AND(N$5&gt;=$C255,N$5&lt;=$D255,$A255&lt;&gt;""),"●","")</x:f>
      </x:c>
      <x:c r="O255" s="165" t="str">
        <x:f>IF(AND(O$5&gt;=$C255,O$5&lt;=$D255,$A255&lt;&gt;""),"●","")</x:f>
      </x:c>
      <x:c r="P255" s="165" t="str">
        <x:f>IF(AND(P$5&gt;=$C255,P$5&lt;=$D255,$A255&lt;&gt;""),"●","")</x:f>
      </x:c>
      <x:c r="Q255" s="165" t="str">
        <x:f>IF(AND(Q$5&gt;=$C255,Q$5&lt;=$D255,$A255&lt;&gt;""),"●","")</x:f>
      </x:c>
      <x:c r="R255" s="165" t="str">
        <x:f>IF(AND(R$5&gt;=$C255,R$5&lt;=$D255,$A255&lt;&gt;""),"●","")</x:f>
      </x:c>
      <x:c r="S255" s="165" t="str">
        <x:f>IF(AND(S$5&gt;=$C255,S$5&lt;=$D255,$A255&lt;&gt;""),"●","")</x:f>
      </x:c>
      <x:c r="T255" s="165" t="str">
        <x:f>IF(AND(T$5&gt;=$C255,T$5&lt;=$D255,$A255&lt;&gt;""),"●","")</x:f>
      </x:c>
      <x:c r="U255" s="165" t="str">
        <x:f>IF(AND(U$5&gt;=$C255,U$5&lt;=$D255,$A255&lt;&gt;""),"●","")</x:f>
      </x:c>
      <x:c r="V255" s="165" t="str">
        <x:f>IF(AND(V$5&gt;=$C255,V$5&lt;=$D255,$A255&lt;&gt;""),"●","")</x:f>
      </x:c>
      <x:c r="W255" s="165" t="str">
        <x:f>IF(AND(W$5&gt;=$C255,W$5&lt;=$D255,$A255&lt;&gt;""),"●","")</x:f>
      </x:c>
      <x:c r="X255" s="165" t="str">
        <x:f>IF(AND(X$5&gt;=$C255,X$5&lt;=$D255,$A255&lt;&gt;""),"●","")</x:f>
      </x:c>
      <x:c r="Y255" s="165" t="str">
        <x:f>IF(AND(Y$5&gt;=$C255,Y$5&lt;=$D255,$A255&lt;&gt;""),"●","")</x:f>
      </x:c>
      <x:c r="Z255" s="165" t="str">
        <x:f>IF(AND(Z$5&gt;=$C255,Z$5&lt;=$D255,$A255&lt;&gt;""),"●","")</x:f>
      </x:c>
      <x:c r="AA255" s="165" t="str">
        <x:f>IF(AND(AA$5&gt;=$C255,AA$5&lt;=$D255,$A255&lt;&gt;""),"●","")</x:f>
      </x:c>
      <x:c r="AB255" s="165" t="str">
        <x:f>IF(AND(AB$5&gt;=$C255,AB$5&lt;=$D255,$A255&lt;&gt;""),"●","")</x:f>
      </x:c>
      <x:c r="AC255" s="165" t="str">
        <x:f>IF(AND(AC$5&gt;=$C255,AC$5&lt;=$D255,$A255&lt;&gt;""),"●","")</x:f>
      </x:c>
      <x:c r="AD255" s="165" t="str">
        <x:f>IF(AND(AD$5&gt;=$C255,AD$5&lt;=$D255,$A255&lt;&gt;""),"●","")</x:f>
      </x:c>
      <x:c r="AE255" s="165" t="str">
        <x:f>IF(AND(AE$5&gt;=$C255,AE$5&lt;=$D255,$A255&lt;&gt;""),"●","")</x:f>
      </x:c>
      <x:c r="AF255" s="165" t="str">
        <x:f>IF(AND(AF$5&gt;=$C255,AF$5&lt;=$D255,$A255&lt;&gt;""),"●","")</x:f>
      </x:c>
      <x:c r="AG255" s="165" t="str">
        <x:f>IF(AND(AG$5&gt;=$C255,AG$5&lt;=$D255,$A255&lt;&gt;""),"●","")</x:f>
      </x:c>
      <x:c r="AH255" s="165" t="str">
        <x:f>IF(AND(AH$5&gt;=$C255,AH$5&lt;=$D255,$A255&lt;&gt;""),"●","")</x:f>
      </x:c>
      <x:c r="AI255" s="165" t="str">
        <x:f>IF(AND(AI$5&gt;=$C255,AI$5&lt;=$D255,$A255&lt;&gt;""),"●","")</x:f>
      </x:c>
      <x:c r="AJ255" s="165" t="str">
        <x:f>IF(AND(AJ$5&gt;=$C255,AJ$5&lt;=$D255,$A255&lt;&gt;""),"●","")</x:f>
      </x:c>
      <x:c r="AK255" s="165" t="str">
        <x:f>IF(AND(AK$5&gt;=$C255,AK$5&lt;=$D255,$A255&lt;&gt;""),"●","")</x:f>
      </x:c>
      <x:c r="AL255" s="165" t="str">
        <x:f>IF(AND(AL$5&gt;=$C255,AL$5&lt;=$D255,$A255&lt;&gt;""),"●","")</x:f>
      </x:c>
      <x:c r="AM255" s="165" t="str">
        <x:f>IF(AND(AM$5&gt;=$C255,AM$5&lt;=$D255,$A255&lt;&gt;""),"●","")</x:f>
      </x:c>
      <x:c r="AN255" s="165" t="str">
        <x:f>IF(AND(AN$5&gt;=$C255,AN$5&lt;=$D255,$A255&lt;&gt;""),"●","")</x:f>
      </x:c>
      <x:c r="AO255" s="165" t="str">
        <x:f>IF(AND(AO$5&gt;=$C255,AO$5&lt;=$D255,$A255&lt;&gt;""),"●","")</x:f>
      </x:c>
      <x:c r="AP255" s="165" t="str">
        <x:f>IF(AND(AP$5&gt;=$C255,AP$5&lt;=$D255,$A255&lt;&gt;""),"●","")</x:f>
      </x:c>
      <x:c r="AQ255" s="165" t="str">
        <x:f>IF(AND(AQ$5&gt;=$C255,AQ$5&lt;=$D255,$A255&lt;&gt;""),"●","")</x:f>
      </x:c>
      <x:c r="AR255" s="165" t="str">
        <x:f>IF(AND(AR$5&gt;=$C255,AR$5&lt;=$D255,$A255&lt;&gt;""),"●","")</x:f>
      </x:c>
      <x:c r="AS255" s="165" t="str">
        <x:f>IF(AND(AS$5&gt;=$C255,AS$5&lt;=$D255,$A255&lt;&gt;""),"●","")</x:f>
      </x:c>
      <x:c r="AT255" s="165" t="str">
        <x:f>IF(AND(AT$5&gt;=$C255,AT$5&lt;=$D255,$A255&lt;&gt;""),"●","")</x:f>
      </x:c>
      <x:c r="AU255" s="165" t="str">
        <x:f>IF(AND(AU$5&gt;=$C255,AU$5&lt;=$D255,$A255&lt;&gt;""),"●","")</x:f>
      </x:c>
      <x:c r="AV255" s="165" t="str">
        <x:f>IF(AND(AV$5&gt;=$C255,AV$5&lt;=$D255,$A255&lt;&gt;""),"●","")</x:f>
      </x:c>
      <x:c r="AW255" s="165" t="str">
        <x:f>IF(AND(AW$5&gt;=$C255,AW$5&lt;=$D255,$A255&lt;&gt;""),"●","")</x:f>
      </x:c>
      <x:c r="AX255" s="165" t="str">
        <x:f>IF(AND(AX$5&gt;=$C255,AX$5&lt;=$D255,$A255&lt;&gt;""),"●","")</x:f>
      </x:c>
      <x:c r="AY255" s="165" t="str">
        <x:f>IF(AND(AY$5&gt;=$C255,AY$5&lt;=$D255,$A255&lt;&gt;""),"●","")</x:f>
      </x:c>
      <x:c r="AZ255" s="165" t="str">
        <x:f>IF(AND(AZ$5&gt;=$C255,AZ$5&lt;=$D255,$A255&lt;&gt;""),"●","")</x:f>
      </x:c>
      <x:c r="BA255" s="165" t="str">
        <x:f>IF(AND(BA$5&gt;=$C255,BA$5&lt;=$D255,$A255&lt;&gt;""),"●","")</x:f>
      </x:c>
      <x:c r="BB255" s="165" t="str">
        <x:f>IF(AND(BB$5&gt;=$C255,BB$5&lt;=$D255,$A255&lt;&gt;""),"●","")</x:f>
      </x:c>
      <x:c r="BC255" s="165" t="str">
        <x:f>IF(AND(BC$5&gt;=$C255,BC$5&lt;=$D255,$A255&lt;&gt;""),"●","")</x:f>
      </x:c>
      <x:c r="BD255" s="165" t="str">
        <x:f>IF(AND(BD$5&gt;=$C255,BD$5&lt;=$D255,$A255&lt;&gt;""),"●","")</x:f>
      </x:c>
      <x:c r="BE255" s="165" t="str">
        <x:f>IF(AND(BE$5&gt;=$C255,BE$5&lt;=$D255,$A255&lt;&gt;""),"●","")</x:f>
      </x:c>
      <x:c r="BF255" s="165" t="str">
        <x:f>IF(AND(BF$5&gt;=$C255,BF$5&lt;=$D255,$A255&lt;&gt;""),"●","")</x:f>
      </x:c>
      <x:c r="BG255" s="165" t="str">
        <x:f>IF(AND(BG$5&gt;=$C255,BG$5&lt;=$D255,$A255&lt;&gt;""),"●","")</x:f>
      </x:c>
      <x:c r="BH255" s="165" t="str">
        <x:f>IF(AND(BH$5&gt;=$C255,BH$5&lt;=$D255,$A255&lt;&gt;""),"●","")</x:f>
      </x:c>
      <x:c r="BI255" s="165" t="str">
        <x:f>IF(AND(BI$5&gt;=$C255,BI$5&lt;=$D255,$A255&lt;&gt;""),"●","")</x:f>
      </x:c>
      <x:c r="BJ255" s="165" t="str">
        <x:f>IF(AND(BJ$5&gt;=$C255,BJ$5&lt;=$D255,$A255&lt;&gt;""),"●","")</x:f>
      </x:c>
      <x:c r="BK255" s="165" t="str">
        <x:f>IF(AND(BK$5&gt;=$C255,BK$5&lt;=$D255,$A255&lt;&gt;""),"●","")</x:f>
      </x:c>
      <x:c r="BL255" s="165" t="str">
        <x:f>IF(AND(BL$5&gt;=$C255,BL$5&lt;=$D255,$A255&lt;&gt;""),"●","")</x:f>
      </x:c>
      <x:c r="BM255" s="165" t="str">
        <x:f>IF(AND(BM$5&gt;=$C255,BM$5&lt;=$D255,$A255&lt;&gt;""),"●","")</x:f>
      </x:c>
      <x:c r="BN255" s="165" t="str">
        <x:f>IF(AND(BN$5&gt;=$C255,BN$5&lt;=$D255,$A255&lt;&gt;""),"●","")</x:f>
      </x:c>
      <x:c r="BO255" s="165" t="str">
        <x:f>IF(AND(BO$5&gt;=$C255,BO$5&lt;=$D255,$A255&lt;&gt;""),"●","")</x:f>
      </x:c>
      <x:c r="BP255" s="165" t="str">
        <x:f>IF(AND(BP$5&gt;=$C255,BP$5&lt;=$D255,$A255&lt;&gt;""),"●","")</x:f>
      </x:c>
      <x:c r="BQ255" s="165" t="str">
        <x:f>IF(AND(BQ$5&gt;=$C255,BQ$5&lt;=$D255,$A255&lt;&gt;""),"●","")</x:f>
      </x:c>
      <x:c r="BR255" s="165" t="str">
        <x:f>IF(AND(BR$5&gt;=$C255,BR$5&lt;=$D255,$A255&lt;&gt;""),"●","")</x:f>
      </x:c>
      <x:c r="BS255" s="165" t="str">
        <x:f>IF(AND(BS$5&gt;=$C255,BS$5&lt;=$D255,$A255&lt;&gt;""),"●","")</x:f>
      </x:c>
      <x:c r="BT255" s="165" t="str">
        <x:f>IF(AND(BT$5&gt;=$C255,BT$5&lt;=$D255,$A255&lt;&gt;""),"●","")</x:f>
      </x:c>
      <x:c r="BU255" s="165" t="str">
        <x:f>IF(AND(BU$5&gt;=$C255,BU$5&lt;=$D255,$A255&lt;&gt;""),"●","")</x:f>
      </x:c>
      <x:c r="BV255" s="165" t="str">
        <x:f>IF(AND(BV$5&gt;=$C255,BV$5&lt;=$D255,$A255&lt;&gt;""),"●","")</x:f>
      </x:c>
      <x:c r="BW255" s="165" t="str">
        <x:f>IF(AND(BW$5&gt;=$C255,BW$5&lt;=$D255,$A255&lt;&gt;""),"●","")</x:f>
      </x:c>
    </x:row>
    <x:row r="256">
      <x:c r="A256" s="159" t="str">
        <x:f>IF('รายการสัญญา'!A256="","",'รายการสัญญา'!A256)</x:f>
      </x:c>
      <x:c r="B256" s="159" t="str">
        <x:f>IF('รายการสัญญา'!A256="","",'รายการสัญญา'!C256)</x:f>
      </x:c>
      <x:c r="C256" s="162" t="str">
        <x:f>IF('รายการสัญญา'!A256="","",'รายการสัญญา'!E256)</x:f>
      </x:c>
      <x:c r="D256" s="162" t="str">
        <x:f>IF('รายการสัญญา'!A256="","",'รายการสัญญา'!G256)</x:f>
      </x:c>
      <x:c r="E256" s="159" t="str">
        <x:f>IF('รายการสัญญา'!A256="","",'รายการสัญญา'!K256)</x:f>
      </x:c>
      <x:c r="F256" s="165" t="str">
        <x:f>IF(AND(F$5&gt;=$C256,F$5&lt;=$D256,$A256&lt;&gt;""),"●","")</x:f>
      </x:c>
      <x:c r="G256" s="165" t="str">
        <x:f>IF(AND(G$5&gt;=$C256,G$5&lt;=$D256,$A256&lt;&gt;""),"●","")</x:f>
      </x:c>
      <x:c r="H256" s="165" t="str">
        <x:f>IF(AND(H$5&gt;=$C256,H$5&lt;=$D256,$A256&lt;&gt;""),"●","")</x:f>
      </x:c>
      <x:c r="I256" s="165" t="str">
        <x:f>IF(AND(I$5&gt;=$C256,I$5&lt;=$D256,$A256&lt;&gt;""),"●","")</x:f>
      </x:c>
      <x:c r="J256" s="165" t="str">
        <x:f>IF(AND(J$5&gt;=$C256,J$5&lt;=$D256,$A256&lt;&gt;""),"●","")</x:f>
      </x:c>
      <x:c r="K256" s="165" t="str">
        <x:f>IF(AND(K$5&gt;=$C256,K$5&lt;=$D256,$A256&lt;&gt;""),"●","")</x:f>
      </x:c>
      <x:c r="L256" s="165" t="str">
        <x:f>IF(AND(L$5&gt;=$C256,L$5&lt;=$D256,$A256&lt;&gt;""),"●","")</x:f>
      </x:c>
      <x:c r="M256" s="165" t="str">
        <x:f>IF(AND(M$5&gt;=$C256,M$5&lt;=$D256,$A256&lt;&gt;""),"●","")</x:f>
      </x:c>
      <x:c r="N256" s="165" t="str">
        <x:f>IF(AND(N$5&gt;=$C256,N$5&lt;=$D256,$A256&lt;&gt;""),"●","")</x:f>
      </x:c>
      <x:c r="O256" s="165" t="str">
        <x:f>IF(AND(O$5&gt;=$C256,O$5&lt;=$D256,$A256&lt;&gt;""),"●","")</x:f>
      </x:c>
      <x:c r="P256" s="165" t="str">
        <x:f>IF(AND(P$5&gt;=$C256,P$5&lt;=$D256,$A256&lt;&gt;""),"●","")</x:f>
      </x:c>
      <x:c r="Q256" s="165" t="str">
        <x:f>IF(AND(Q$5&gt;=$C256,Q$5&lt;=$D256,$A256&lt;&gt;""),"●","")</x:f>
      </x:c>
      <x:c r="R256" s="165" t="str">
        <x:f>IF(AND(R$5&gt;=$C256,R$5&lt;=$D256,$A256&lt;&gt;""),"●","")</x:f>
      </x:c>
      <x:c r="S256" s="165" t="str">
        <x:f>IF(AND(S$5&gt;=$C256,S$5&lt;=$D256,$A256&lt;&gt;""),"●","")</x:f>
      </x:c>
      <x:c r="T256" s="165" t="str">
        <x:f>IF(AND(T$5&gt;=$C256,T$5&lt;=$D256,$A256&lt;&gt;""),"●","")</x:f>
      </x:c>
      <x:c r="U256" s="165" t="str">
        <x:f>IF(AND(U$5&gt;=$C256,U$5&lt;=$D256,$A256&lt;&gt;""),"●","")</x:f>
      </x:c>
      <x:c r="V256" s="165" t="str">
        <x:f>IF(AND(V$5&gt;=$C256,V$5&lt;=$D256,$A256&lt;&gt;""),"●","")</x:f>
      </x:c>
      <x:c r="W256" s="165" t="str">
        <x:f>IF(AND(W$5&gt;=$C256,W$5&lt;=$D256,$A256&lt;&gt;""),"●","")</x:f>
      </x:c>
      <x:c r="X256" s="165" t="str">
        <x:f>IF(AND(X$5&gt;=$C256,X$5&lt;=$D256,$A256&lt;&gt;""),"●","")</x:f>
      </x:c>
      <x:c r="Y256" s="165" t="str">
        <x:f>IF(AND(Y$5&gt;=$C256,Y$5&lt;=$D256,$A256&lt;&gt;""),"●","")</x:f>
      </x:c>
      <x:c r="Z256" s="165" t="str">
        <x:f>IF(AND(Z$5&gt;=$C256,Z$5&lt;=$D256,$A256&lt;&gt;""),"●","")</x:f>
      </x:c>
      <x:c r="AA256" s="165" t="str">
        <x:f>IF(AND(AA$5&gt;=$C256,AA$5&lt;=$D256,$A256&lt;&gt;""),"●","")</x:f>
      </x:c>
      <x:c r="AB256" s="165" t="str">
        <x:f>IF(AND(AB$5&gt;=$C256,AB$5&lt;=$D256,$A256&lt;&gt;""),"●","")</x:f>
      </x:c>
      <x:c r="AC256" s="165" t="str">
        <x:f>IF(AND(AC$5&gt;=$C256,AC$5&lt;=$D256,$A256&lt;&gt;""),"●","")</x:f>
      </x:c>
      <x:c r="AD256" s="165" t="str">
        <x:f>IF(AND(AD$5&gt;=$C256,AD$5&lt;=$D256,$A256&lt;&gt;""),"●","")</x:f>
      </x:c>
      <x:c r="AE256" s="165" t="str">
        <x:f>IF(AND(AE$5&gt;=$C256,AE$5&lt;=$D256,$A256&lt;&gt;""),"●","")</x:f>
      </x:c>
      <x:c r="AF256" s="165" t="str">
        <x:f>IF(AND(AF$5&gt;=$C256,AF$5&lt;=$D256,$A256&lt;&gt;""),"●","")</x:f>
      </x:c>
      <x:c r="AG256" s="165" t="str">
        <x:f>IF(AND(AG$5&gt;=$C256,AG$5&lt;=$D256,$A256&lt;&gt;""),"●","")</x:f>
      </x:c>
      <x:c r="AH256" s="165" t="str">
        <x:f>IF(AND(AH$5&gt;=$C256,AH$5&lt;=$D256,$A256&lt;&gt;""),"●","")</x:f>
      </x:c>
      <x:c r="AI256" s="165" t="str">
        <x:f>IF(AND(AI$5&gt;=$C256,AI$5&lt;=$D256,$A256&lt;&gt;""),"●","")</x:f>
      </x:c>
      <x:c r="AJ256" s="165" t="str">
        <x:f>IF(AND(AJ$5&gt;=$C256,AJ$5&lt;=$D256,$A256&lt;&gt;""),"●","")</x:f>
      </x:c>
      <x:c r="AK256" s="165" t="str">
        <x:f>IF(AND(AK$5&gt;=$C256,AK$5&lt;=$D256,$A256&lt;&gt;""),"●","")</x:f>
      </x:c>
      <x:c r="AL256" s="165" t="str">
        <x:f>IF(AND(AL$5&gt;=$C256,AL$5&lt;=$D256,$A256&lt;&gt;""),"●","")</x:f>
      </x:c>
      <x:c r="AM256" s="165" t="str">
        <x:f>IF(AND(AM$5&gt;=$C256,AM$5&lt;=$D256,$A256&lt;&gt;""),"●","")</x:f>
      </x:c>
      <x:c r="AN256" s="165" t="str">
        <x:f>IF(AND(AN$5&gt;=$C256,AN$5&lt;=$D256,$A256&lt;&gt;""),"●","")</x:f>
      </x:c>
      <x:c r="AO256" s="165" t="str">
        <x:f>IF(AND(AO$5&gt;=$C256,AO$5&lt;=$D256,$A256&lt;&gt;""),"●","")</x:f>
      </x:c>
      <x:c r="AP256" s="165" t="str">
        <x:f>IF(AND(AP$5&gt;=$C256,AP$5&lt;=$D256,$A256&lt;&gt;""),"●","")</x:f>
      </x:c>
      <x:c r="AQ256" s="165" t="str">
        <x:f>IF(AND(AQ$5&gt;=$C256,AQ$5&lt;=$D256,$A256&lt;&gt;""),"●","")</x:f>
      </x:c>
      <x:c r="AR256" s="165" t="str">
        <x:f>IF(AND(AR$5&gt;=$C256,AR$5&lt;=$D256,$A256&lt;&gt;""),"●","")</x:f>
      </x:c>
      <x:c r="AS256" s="165" t="str">
        <x:f>IF(AND(AS$5&gt;=$C256,AS$5&lt;=$D256,$A256&lt;&gt;""),"●","")</x:f>
      </x:c>
      <x:c r="AT256" s="165" t="str">
        <x:f>IF(AND(AT$5&gt;=$C256,AT$5&lt;=$D256,$A256&lt;&gt;""),"●","")</x:f>
      </x:c>
      <x:c r="AU256" s="165" t="str">
        <x:f>IF(AND(AU$5&gt;=$C256,AU$5&lt;=$D256,$A256&lt;&gt;""),"●","")</x:f>
      </x:c>
      <x:c r="AV256" s="165" t="str">
        <x:f>IF(AND(AV$5&gt;=$C256,AV$5&lt;=$D256,$A256&lt;&gt;""),"●","")</x:f>
      </x:c>
      <x:c r="AW256" s="165" t="str">
        <x:f>IF(AND(AW$5&gt;=$C256,AW$5&lt;=$D256,$A256&lt;&gt;""),"●","")</x:f>
      </x:c>
      <x:c r="AX256" s="165" t="str">
        <x:f>IF(AND(AX$5&gt;=$C256,AX$5&lt;=$D256,$A256&lt;&gt;""),"●","")</x:f>
      </x:c>
      <x:c r="AY256" s="165" t="str">
        <x:f>IF(AND(AY$5&gt;=$C256,AY$5&lt;=$D256,$A256&lt;&gt;""),"●","")</x:f>
      </x:c>
      <x:c r="AZ256" s="165" t="str">
        <x:f>IF(AND(AZ$5&gt;=$C256,AZ$5&lt;=$D256,$A256&lt;&gt;""),"●","")</x:f>
      </x:c>
      <x:c r="BA256" s="165" t="str">
        <x:f>IF(AND(BA$5&gt;=$C256,BA$5&lt;=$D256,$A256&lt;&gt;""),"●","")</x:f>
      </x:c>
      <x:c r="BB256" s="165" t="str">
        <x:f>IF(AND(BB$5&gt;=$C256,BB$5&lt;=$D256,$A256&lt;&gt;""),"●","")</x:f>
      </x:c>
      <x:c r="BC256" s="165" t="str">
        <x:f>IF(AND(BC$5&gt;=$C256,BC$5&lt;=$D256,$A256&lt;&gt;""),"●","")</x:f>
      </x:c>
      <x:c r="BD256" s="165" t="str">
        <x:f>IF(AND(BD$5&gt;=$C256,BD$5&lt;=$D256,$A256&lt;&gt;""),"●","")</x:f>
      </x:c>
      <x:c r="BE256" s="165" t="str">
        <x:f>IF(AND(BE$5&gt;=$C256,BE$5&lt;=$D256,$A256&lt;&gt;""),"●","")</x:f>
      </x:c>
      <x:c r="BF256" s="165" t="str">
        <x:f>IF(AND(BF$5&gt;=$C256,BF$5&lt;=$D256,$A256&lt;&gt;""),"●","")</x:f>
      </x:c>
      <x:c r="BG256" s="165" t="str">
        <x:f>IF(AND(BG$5&gt;=$C256,BG$5&lt;=$D256,$A256&lt;&gt;""),"●","")</x:f>
      </x:c>
      <x:c r="BH256" s="165" t="str">
        <x:f>IF(AND(BH$5&gt;=$C256,BH$5&lt;=$D256,$A256&lt;&gt;""),"●","")</x:f>
      </x:c>
      <x:c r="BI256" s="165" t="str">
        <x:f>IF(AND(BI$5&gt;=$C256,BI$5&lt;=$D256,$A256&lt;&gt;""),"●","")</x:f>
      </x:c>
      <x:c r="BJ256" s="165" t="str">
        <x:f>IF(AND(BJ$5&gt;=$C256,BJ$5&lt;=$D256,$A256&lt;&gt;""),"●","")</x:f>
      </x:c>
      <x:c r="BK256" s="165" t="str">
        <x:f>IF(AND(BK$5&gt;=$C256,BK$5&lt;=$D256,$A256&lt;&gt;""),"●","")</x:f>
      </x:c>
      <x:c r="BL256" s="165" t="str">
        <x:f>IF(AND(BL$5&gt;=$C256,BL$5&lt;=$D256,$A256&lt;&gt;""),"●","")</x:f>
      </x:c>
      <x:c r="BM256" s="165" t="str">
        <x:f>IF(AND(BM$5&gt;=$C256,BM$5&lt;=$D256,$A256&lt;&gt;""),"●","")</x:f>
      </x:c>
      <x:c r="BN256" s="165" t="str">
        <x:f>IF(AND(BN$5&gt;=$C256,BN$5&lt;=$D256,$A256&lt;&gt;""),"●","")</x:f>
      </x:c>
      <x:c r="BO256" s="165" t="str">
        <x:f>IF(AND(BO$5&gt;=$C256,BO$5&lt;=$D256,$A256&lt;&gt;""),"●","")</x:f>
      </x:c>
      <x:c r="BP256" s="165" t="str">
        <x:f>IF(AND(BP$5&gt;=$C256,BP$5&lt;=$D256,$A256&lt;&gt;""),"●","")</x:f>
      </x:c>
      <x:c r="BQ256" s="165" t="str">
        <x:f>IF(AND(BQ$5&gt;=$C256,BQ$5&lt;=$D256,$A256&lt;&gt;""),"●","")</x:f>
      </x:c>
      <x:c r="BR256" s="165" t="str">
        <x:f>IF(AND(BR$5&gt;=$C256,BR$5&lt;=$D256,$A256&lt;&gt;""),"●","")</x:f>
      </x:c>
      <x:c r="BS256" s="165" t="str">
        <x:f>IF(AND(BS$5&gt;=$C256,BS$5&lt;=$D256,$A256&lt;&gt;""),"●","")</x:f>
      </x:c>
      <x:c r="BT256" s="165" t="str">
        <x:f>IF(AND(BT$5&gt;=$C256,BT$5&lt;=$D256,$A256&lt;&gt;""),"●","")</x:f>
      </x:c>
      <x:c r="BU256" s="165" t="str">
        <x:f>IF(AND(BU$5&gt;=$C256,BU$5&lt;=$D256,$A256&lt;&gt;""),"●","")</x:f>
      </x:c>
      <x:c r="BV256" s="165" t="str">
        <x:f>IF(AND(BV$5&gt;=$C256,BV$5&lt;=$D256,$A256&lt;&gt;""),"●","")</x:f>
      </x:c>
      <x:c r="BW256" s="165" t="str">
        <x:f>IF(AND(BW$5&gt;=$C256,BW$5&lt;=$D256,$A256&lt;&gt;""),"●","")</x:f>
      </x:c>
    </x:row>
    <x:row r="257">
      <x:c r="A257" s="159" t="str">
        <x:f>IF('รายการสัญญา'!A257="","",'รายการสัญญา'!A257)</x:f>
      </x:c>
      <x:c r="B257" s="159" t="str">
        <x:f>IF('รายการสัญญา'!A257="","",'รายการสัญญา'!C257)</x:f>
      </x:c>
      <x:c r="C257" s="162" t="str">
        <x:f>IF('รายการสัญญา'!A257="","",'รายการสัญญา'!E257)</x:f>
      </x:c>
      <x:c r="D257" s="162" t="str">
        <x:f>IF('รายการสัญญา'!A257="","",'รายการสัญญา'!G257)</x:f>
      </x:c>
      <x:c r="E257" s="159" t="str">
        <x:f>IF('รายการสัญญา'!A257="","",'รายการสัญญา'!K257)</x:f>
      </x:c>
      <x:c r="F257" s="165" t="str">
        <x:f>IF(AND(F$5&gt;=$C257,F$5&lt;=$D257,$A257&lt;&gt;""),"●","")</x:f>
      </x:c>
      <x:c r="G257" s="165" t="str">
        <x:f>IF(AND(G$5&gt;=$C257,G$5&lt;=$D257,$A257&lt;&gt;""),"●","")</x:f>
      </x:c>
      <x:c r="H257" s="165" t="str">
        <x:f>IF(AND(H$5&gt;=$C257,H$5&lt;=$D257,$A257&lt;&gt;""),"●","")</x:f>
      </x:c>
      <x:c r="I257" s="165" t="str">
        <x:f>IF(AND(I$5&gt;=$C257,I$5&lt;=$D257,$A257&lt;&gt;""),"●","")</x:f>
      </x:c>
      <x:c r="J257" s="165" t="str">
        <x:f>IF(AND(J$5&gt;=$C257,J$5&lt;=$D257,$A257&lt;&gt;""),"●","")</x:f>
      </x:c>
      <x:c r="K257" s="165" t="str">
        <x:f>IF(AND(K$5&gt;=$C257,K$5&lt;=$D257,$A257&lt;&gt;""),"●","")</x:f>
      </x:c>
      <x:c r="L257" s="165" t="str">
        <x:f>IF(AND(L$5&gt;=$C257,L$5&lt;=$D257,$A257&lt;&gt;""),"●","")</x:f>
      </x:c>
      <x:c r="M257" s="165" t="str">
        <x:f>IF(AND(M$5&gt;=$C257,M$5&lt;=$D257,$A257&lt;&gt;""),"●","")</x:f>
      </x:c>
      <x:c r="N257" s="165" t="str">
        <x:f>IF(AND(N$5&gt;=$C257,N$5&lt;=$D257,$A257&lt;&gt;""),"●","")</x:f>
      </x:c>
      <x:c r="O257" s="165" t="str">
        <x:f>IF(AND(O$5&gt;=$C257,O$5&lt;=$D257,$A257&lt;&gt;""),"●","")</x:f>
      </x:c>
      <x:c r="P257" s="165" t="str">
        <x:f>IF(AND(P$5&gt;=$C257,P$5&lt;=$D257,$A257&lt;&gt;""),"●","")</x:f>
      </x:c>
      <x:c r="Q257" s="165" t="str">
        <x:f>IF(AND(Q$5&gt;=$C257,Q$5&lt;=$D257,$A257&lt;&gt;""),"●","")</x:f>
      </x:c>
      <x:c r="R257" s="165" t="str">
        <x:f>IF(AND(R$5&gt;=$C257,R$5&lt;=$D257,$A257&lt;&gt;""),"●","")</x:f>
      </x:c>
      <x:c r="S257" s="165" t="str">
        <x:f>IF(AND(S$5&gt;=$C257,S$5&lt;=$D257,$A257&lt;&gt;""),"●","")</x:f>
      </x:c>
      <x:c r="T257" s="165" t="str">
        <x:f>IF(AND(T$5&gt;=$C257,T$5&lt;=$D257,$A257&lt;&gt;""),"●","")</x:f>
      </x:c>
      <x:c r="U257" s="165" t="str">
        <x:f>IF(AND(U$5&gt;=$C257,U$5&lt;=$D257,$A257&lt;&gt;""),"●","")</x:f>
      </x:c>
      <x:c r="V257" s="165" t="str">
        <x:f>IF(AND(V$5&gt;=$C257,V$5&lt;=$D257,$A257&lt;&gt;""),"●","")</x:f>
      </x:c>
      <x:c r="W257" s="165" t="str">
        <x:f>IF(AND(W$5&gt;=$C257,W$5&lt;=$D257,$A257&lt;&gt;""),"●","")</x:f>
      </x:c>
      <x:c r="X257" s="165" t="str">
        <x:f>IF(AND(X$5&gt;=$C257,X$5&lt;=$D257,$A257&lt;&gt;""),"●","")</x:f>
      </x:c>
      <x:c r="Y257" s="165" t="str">
        <x:f>IF(AND(Y$5&gt;=$C257,Y$5&lt;=$D257,$A257&lt;&gt;""),"●","")</x:f>
      </x:c>
      <x:c r="Z257" s="165" t="str">
        <x:f>IF(AND(Z$5&gt;=$C257,Z$5&lt;=$D257,$A257&lt;&gt;""),"●","")</x:f>
      </x:c>
      <x:c r="AA257" s="165" t="str">
        <x:f>IF(AND(AA$5&gt;=$C257,AA$5&lt;=$D257,$A257&lt;&gt;""),"●","")</x:f>
      </x:c>
      <x:c r="AB257" s="165" t="str">
        <x:f>IF(AND(AB$5&gt;=$C257,AB$5&lt;=$D257,$A257&lt;&gt;""),"●","")</x:f>
      </x:c>
      <x:c r="AC257" s="165" t="str">
        <x:f>IF(AND(AC$5&gt;=$C257,AC$5&lt;=$D257,$A257&lt;&gt;""),"●","")</x:f>
      </x:c>
      <x:c r="AD257" s="165" t="str">
        <x:f>IF(AND(AD$5&gt;=$C257,AD$5&lt;=$D257,$A257&lt;&gt;""),"●","")</x:f>
      </x:c>
      <x:c r="AE257" s="165" t="str">
        <x:f>IF(AND(AE$5&gt;=$C257,AE$5&lt;=$D257,$A257&lt;&gt;""),"●","")</x:f>
      </x:c>
      <x:c r="AF257" s="165" t="str">
        <x:f>IF(AND(AF$5&gt;=$C257,AF$5&lt;=$D257,$A257&lt;&gt;""),"●","")</x:f>
      </x:c>
      <x:c r="AG257" s="165" t="str">
        <x:f>IF(AND(AG$5&gt;=$C257,AG$5&lt;=$D257,$A257&lt;&gt;""),"●","")</x:f>
      </x:c>
      <x:c r="AH257" s="165" t="str">
        <x:f>IF(AND(AH$5&gt;=$C257,AH$5&lt;=$D257,$A257&lt;&gt;""),"●","")</x:f>
      </x:c>
      <x:c r="AI257" s="165" t="str">
        <x:f>IF(AND(AI$5&gt;=$C257,AI$5&lt;=$D257,$A257&lt;&gt;""),"●","")</x:f>
      </x:c>
      <x:c r="AJ257" s="165" t="str">
        <x:f>IF(AND(AJ$5&gt;=$C257,AJ$5&lt;=$D257,$A257&lt;&gt;""),"●","")</x:f>
      </x:c>
      <x:c r="AK257" s="165" t="str">
        <x:f>IF(AND(AK$5&gt;=$C257,AK$5&lt;=$D257,$A257&lt;&gt;""),"●","")</x:f>
      </x:c>
      <x:c r="AL257" s="165" t="str">
        <x:f>IF(AND(AL$5&gt;=$C257,AL$5&lt;=$D257,$A257&lt;&gt;""),"●","")</x:f>
      </x:c>
      <x:c r="AM257" s="165" t="str">
        <x:f>IF(AND(AM$5&gt;=$C257,AM$5&lt;=$D257,$A257&lt;&gt;""),"●","")</x:f>
      </x:c>
      <x:c r="AN257" s="165" t="str">
        <x:f>IF(AND(AN$5&gt;=$C257,AN$5&lt;=$D257,$A257&lt;&gt;""),"●","")</x:f>
      </x:c>
      <x:c r="AO257" s="165" t="str">
        <x:f>IF(AND(AO$5&gt;=$C257,AO$5&lt;=$D257,$A257&lt;&gt;""),"●","")</x:f>
      </x:c>
      <x:c r="AP257" s="165" t="str">
        <x:f>IF(AND(AP$5&gt;=$C257,AP$5&lt;=$D257,$A257&lt;&gt;""),"●","")</x:f>
      </x:c>
      <x:c r="AQ257" s="165" t="str">
        <x:f>IF(AND(AQ$5&gt;=$C257,AQ$5&lt;=$D257,$A257&lt;&gt;""),"●","")</x:f>
      </x:c>
      <x:c r="AR257" s="165" t="str">
        <x:f>IF(AND(AR$5&gt;=$C257,AR$5&lt;=$D257,$A257&lt;&gt;""),"●","")</x:f>
      </x:c>
      <x:c r="AS257" s="165" t="str">
        <x:f>IF(AND(AS$5&gt;=$C257,AS$5&lt;=$D257,$A257&lt;&gt;""),"●","")</x:f>
      </x:c>
      <x:c r="AT257" s="165" t="str">
        <x:f>IF(AND(AT$5&gt;=$C257,AT$5&lt;=$D257,$A257&lt;&gt;""),"●","")</x:f>
      </x:c>
      <x:c r="AU257" s="165" t="str">
        <x:f>IF(AND(AU$5&gt;=$C257,AU$5&lt;=$D257,$A257&lt;&gt;""),"●","")</x:f>
      </x:c>
      <x:c r="AV257" s="165" t="str">
        <x:f>IF(AND(AV$5&gt;=$C257,AV$5&lt;=$D257,$A257&lt;&gt;""),"●","")</x:f>
      </x:c>
      <x:c r="AW257" s="165" t="str">
        <x:f>IF(AND(AW$5&gt;=$C257,AW$5&lt;=$D257,$A257&lt;&gt;""),"●","")</x:f>
      </x:c>
      <x:c r="AX257" s="165" t="str">
        <x:f>IF(AND(AX$5&gt;=$C257,AX$5&lt;=$D257,$A257&lt;&gt;""),"●","")</x:f>
      </x:c>
      <x:c r="AY257" s="165" t="str">
        <x:f>IF(AND(AY$5&gt;=$C257,AY$5&lt;=$D257,$A257&lt;&gt;""),"●","")</x:f>
      </x:c>
      <x:c r="AZ257" s="165" t="str">
        <x:f>IF(AND(AZ$5&gt;=$C257,AZ$5&lt;=$D257,$A257&lt;&gt;""),"●","")</x:f>
      </x:c>
      <x:c r="BA257" s="165" t="str">
        <x:f>IF(AND(BA$5&gt;=$C257,BA$5&lt;=$D257,$A257&lt;&gt;""),"●","")</x:f>
      </x:c>
      <x:c r="BB257" s="165" t="str">
        <x:f>IF(AND(BB$5&gt;=$C257,BB$5&lt;=$D257,$A257&lt;&gt;""),"●","")</x:f>
      </x:c>
      <x:c r="BC257" s="165" t="str">
        <x:f>IF(AND(BC$5&gt;=$C257,BC$5&lt;=$D257,$A257&lt;&gt;""),"●","")</x:f>
      </x:c>
      <x:c r="BD257" s="165" t="str">
        <x:f>IF(AND(BD$5&gt;=$C257,BD$5&lt;=$D257,$A257&lt;&gt;""),"●","")</x:f>
      </x:c>
      <x:c r="BE257" s="165" t="str">
        <x:f>IF(AND(BE$5&gt;=$C257,BE$5&lt;=$D257,$A257&lt;&gt;""),"●","")</x:f>
      </x:c>
      <x:c r="BF257" s="165" t="str">
        <x:f>IF(AND(BF$5&gt;=$C257,BF$5&lt;=$D257,$A257&lt;&gt;""),"●","")</x:f>
      </x:c>
      <x:c r="BG257" s="165" t="str">
        <x:f>IF(AND(BG$5&gt;=$C257,BG$5&lt;=$D257,$A257&lt;&gt;""),"●","")</x:f>
      </x:c>
      <x:c r="BH257" s="165" t="str">
        <x:f>IF(AND(BH$5&gt;=$C257,BH$5&lt;=$D257,$A257&lt;&gt;""),"●","")</x:f>
      </x:c>
      <x:c r="BI257" s="165" t="str">
        <x:f>IF(AND(BI$5&gt;=$C257,BI$5&lt;=$D257,$A257&lt;&gt;""),"●","")</x:f>
      </x:c>
      <x:c r="BJ257" s="165" t="str">
        <x:f>IF(AND(BJ$5&gt;=$C257,BJ$5&lt;=$D257,$A257&lt;&gt;""),"●","")</x:f>
      </x:c>
      <x:c r="BK257" s="165" t="str">
        <x:f>IF(AND(BK$5&gt;=$C257,BK$5&lt;=$D257,$A257&lt;&gt;""),"●","")</x:f>
      </x:c>
      <x:c r="BL257" s="165" t="str">
        <x:f>IF(AND(BL$5&gt;=$C257,BL$5&lt;=$D257,$A257&lt;&gt;""),"●","")</x:f>
      </x:c>
      <x:c r="BM257" s="165" t="str">
        <x:f>IF(AND(BM$5&gt;=$C257,BM$5&lt;=$D257,$A257&lt;&gt;""),"●","")</x:f>
      </x:c>
      <x:c r="BN257" s="165" t="str">
        <x:f>IF(AND(BN$5&gt;=$C257,BN$5&lt;=$D257,$A257&lt;&gt;""),"●","")</x:f>
      </x:c>
      <x:c r="BO257" s="165" t="str">
        <x:f>IF(AND(BO$5&gt;=$C257,BO$5&lt;=$D257,$A257&lt;&gt;""),"●","")</x:f>
      </x:c>
      <x:c r="BP257" s="165" t="str">
        <x:f>IF(AND(BP$5&gt;=$C257,BP$5&lt;=$D257,$A257&lt;&gt;""),"●","")</x:f>
      </x:c>
      <x:c r="BQ257" s="165" t="str">
        <x:f>IF(AND(BQ$5&gt;=$C257,BQ$5&lt;=$D257,$A257&lt;&gt;""),"●","")</x:f>
      </x:c>
      <x:c r="BR257" s="165" t="str">
        <x:f>IF(AND(BR$5&gt;=$C257,BR$5&lt;=$D257,$A257&lt;&gt;""),"●","")</x:f>
      </x:c>
      <x:c r="BS257" s="165" t="str">
        <x:f>IF(AND(BS$5&gt;=$C257,BS$5&lt;=$D257,$A257&lt;&gt;""),"●","")</x:f>
      </x:c>
      <x:c r="BT257" s="165" t="str">
        <x:f>IF(AND(BT$5&gt;=$C257,BT$5&lt;=$D257,$A257&lt;&gt;""),"●","")</x:f>
      </x:c>
      <x:c r="BU257" s="165" t="str">
        <x:f>IF(AND(BU$5&gt;=$C257,BU$5&lt;=$D257,$A257&lt;&gt;""),"●","")</x:f>
      </x:c>
      <x:c r="BV257" s="165" t="str">
        <x:f>IF(AND(BV$5&gt;=$C257,BV$5&lt;=$D257,$A257&lt;&gt;""),"●","")</x:f>
      </x:c>
      <x:c r="BW257" s="165" t="str">
        <x:f>IF(AND(BW$5&gt;=$C257,BW$5&lt;=$D257,$A257&lt;&gt;""),"●","")</x:f>
      </x:c>
    </x:row>
    <x:row r="258">
      <x:c r="A258" s="159" t="str">
        <x:f>IF('รายการสัญญา'!A258="","",'รายการสัญญา'!A258)</x:f>
      </x:c>
      <x:c r="B258" s="159" t="str">
        <x:f>IF('รายการสัญญา'!A258="","",'รายการสัญญา'!C258)</x:f>
      </x:c>
      <x:c r="C258" s="162" t="str">
        <x:f>IF('รายการสัญญา'!A258="","",'รายการสัญญา'!E258)</x:f>
      </x:c>
      <x:c r="D258" s="162" t="str">
        <x:f>IF('รายการสัญญา'!A258="","",'รายการสัญญา'!G258)</x:f>
      </x:c>
      <x:c r="E258" s="159" t="str">
        <x:f>IF('รายการสัญญา'!A258="","",'รายการสัญญา'!K258)</x:f>
      </x:c>
      <x:c r="F258" s="165" t="str">
        <x:f>IF(AND(F$5&gt;=$C258,F$5&lt;=$D258,$A258&lt;&gt;""),"●","")</x:f>
      </x:c>
      <x:c r="G258" s="165" t="str">
        <x:f>IF(AND(G$5&gt;=$C258,G$5&lt;=$D258,$A258&lt;&gt;""),"●","")</x:f>
      </x:c>
      <x:c r="H258" s="165" t="str">
        <x:f>IF(AND(H$5&gt;=$C258,H$5&lt;=$D258,$A258&lt;&gt;""),"●","")</x:f>
      </x:c>
      <x:c r="I258" s="165" t="str">
        <x:f>IF(AND(I$5&gt;=$C258,I$5&lt;=$D258,$A258&lt;&gt;""),"●","")</x:f>
      </x:c>
      <x:c r="J258" s="165" t="str">
        <x:f>IF(AND(J$5&gt;=$C258,J$5&lt;=$D258,$A258&lt;&gt;""),"●","")</x:f>
      </x:c>
      <x:c r="K258" s="165" t="str">
        <x:f>IF(AND(K$5&gt;=$C258,K$5&lt;=$D258,$A258&lt;&gt;""),"●","")</x:f>
      </x:c>
      <x:c r="L258" s="165" t="str">
        <x:f>IF(AND(L$5&gt;=$C258,L$5&lt;=$D258,$A258&lt;&gt;""),"●","")</x:f>
      </x:c>
      <x:c r="M258" s="165" t="str">
        <x:f>IF(AND(M$5&gt;=$C258,M$5&lt;=$D258,$A258&lt;&gt;""),"●","")</x:f>
      </x:c>
      <x:c r="N258" s="165" t="str">
        <x:f>IF(AND(N$5&gt;=$C258,N$5&lt;=$D258,$A258&lt;&gt;""),"●","")</x:f>
      </x:c>
      <x:c r="O258" s="165" t="str">
        <x:f>IF(AND(O$5&gt;=$C258,O$5&lt;=$D258,$A258&lt;&gt;""),"●","")</x:f>
      </x:c>
      <x:c r="P258" s="165" t="str">
        <x:f>IF(AND(P$5&gt;=$C258,P$5&lt;=$D258,$A258&lt;&gt;""),"●","")</x:f>
      </x:c>
      <x:c r="Q258" s="165" t="str">
        <x:f>IF(AND(Q$5&gt;=$C258,Q$5&lt;=$D258,$A258&lt;&gt;""),"●","")</x:f>
      </x:c>
      <x:c r="R258" s="165" t="str">
        <x:f>IF(AND(R$5&gt;=$C258,R$5&lt;=$D258,$A258&lt;&gt;""),"●","")</x:f>
      </x:c>
      <x:c r="S258" s="165" t="str">
        <x:f>IF(AND(S$5&gt;=$C258,S$5&lt;=$D258,$A258&lt;&gt;""),"●","")</x:f>
      </x:c>
      <x:c r="T258" s="165" t="str">
        <x:f>IF(AND(T$5&gt;=$C258,T$5&lt;=$D258,$A258&lt;&gt;""),"●","")</x:f>
      </x:c>
      <x:c r="U258" s="165" t="str">
        <x:f>IF(AND(U$5&gt;=$C258,U$5&lt;=$D258,$A258&lt;&gt;""),"●","")</x:f>
      </x:c>
      <x:c r="V258" s="165" t="str">
        <x:f>IF(AND(V$5&gt;=$C258,V$5&lt;=$D258,$A258&lt;&gt;""),"●","")</x:f>
      </x:c>
      <x:c r="W258" s="165" t="str">
        <x:f>IF(AND(W$5&gt;=$C258,W$5&lt;=$D258,$A258&lt;&gt;""),"●","")</x:f>
      </x:c>
      <x:c r="X258" s="165" t="str">
        <x:f>IF(AND(X$5&gt;=$C258,X$5&lt;=$D258,$A258&lt;&gt;""),"●","")</x:f>
      </x:c>
      <x:c r="Y258" s="165" t="str">
        <x:f>IF(AND(Y$5&gt;=$C258,Y$5&lt;=$D258,$A258&lt;&gt;""),"●","")</x:f>
      </x:c>
      <x:c r="Z258" s="165" t="str">
        <x:f>IF(AND(Z$5&gt;=$C258,Z$5&lt;=$D258,$A258&lt;&gt;""),"●","")</x:f>
      </x:c>
      <x:c r="AA258" s="165" t="str">
        <x:f>IF(AND(AA$5&gt;=$C258,AA$5&lt;=$D258,$A258&lt;&gt;""),"●","")</x:f>
      </x:c>
      <x:c r="AB258" s="165" t="str">
        <x:f>IF(AND(AB$5&gt;=$C258,AB$5&lt;=$D258,$A258&lt;&gt;""),"●","")</x:f>
      </x:c>
      <x:c r="AC258" s="165" t="str">
        <x:f>IF(AND(AC$5&gt;=$C258,AC$5&lt;=$D258,$A258&lt;&gt;""),"●","")</x:f>
      </x:c>
      <x:c r="AD258" s="165" t="str">
        <x:f>IF(AND(AD$5&gt;=$C258,AD$5&lt;=$D258,$A258&lt;&gt;""),"●","")</x:f>
      </x:c>
      <x:c r="AE258" s="165" t="str">
        <x:f>IF(AND(AE$5&gt;=$C258,AE$5&lt;=$D258,$A258&lt;&gt;""),"●","")</x:f>
      </x:c>
      <x:c r="AF258" s="165" t="str">
        <x:f>IF(AND(AF$5&gt;=$C258,AF$5&lt;=$D258,$A258&lt;&gt;""),"●","")</x:f>
      </x:c>
      <x:c r="AG258" s="165" t="str">
        <x:f>IF(AND(AG$5&gt;=$C258,AG$5&lt;=$D258,$A258&lt;&gt;""),"●","")</x:f>
      </x:c>
      <x:c r="AH258" s="165" t="str">
        <x:f>IF(AND(AH$5&gt;=$C258,AH$5&lt;=$D258,$A258&lt;&gt;""),"●","")</x:f>
      </x:c>
      <x:c r="AI258" s="165" t="str">
        <x:f>IF(AND(AI$5&gt;=$C258,AI$5&lt;=$D258,$A258&lt;&gt;""),"●","")</x:f>
      </x:c>
      <x:c r="AJ258" s="165" t="str">
        <x:f>IF(AND(AJ$5&gt;=$C258,AJ$5&lt;=$D258,$A258&lt;&gt;""),"●","")</x:f>
      </x:c>
      <x:c r="AK258" s="165" t="str">
        <x:f>IF(AND(AK$5&gt;=$C258,AK$5&lt;=$D258,$A258&lt;&gt;""),"●","")</x:f>
      </x:c>
      <x:c r="AL258" s="165" t="str">
        <x:f>IF(AND(AL$5&gt;=$C258,AL$5&lt;=$D258,$A258&lt;&gt;""),"●","")</x:f>
      </x:c>
      <x:c r="AM258" s="165" t="str">
        <x:f>IF(AND(AM$5&gt;=$C258,AM$5&lt;=$D258,$A258&lt;&gt;""),"●","")</x:f>
      </x:c>
      <x:c r="AN258" s="165" t="str">
        <x:f>IF(AND(AN$5&gt;=$C258,AN$5&lt;=$D258,$A258&lt;&gt;""),"●","")</x:f>
      </x:c>
      <x:c r="AO258" s="165" t="str">
        <x:f>IF(AND(AO$5&gt;=$C258,AO$5&lt;=$D258,$A258&lt;&gt;""),"●","")</x:f>
      </x:c>
      <x:c r="AP258" s="165" t="str">
        <x:f>IF(AND(AP$5&gt;=$C258,AP$5&lt;=$D258,$A258&lt;&gt;""),"●","")</x:f>
      </x:c>
      <x:c r="AQ258" s="165" t="str">
        <x:f>IF(AND(AQ$5&gt;=$C258,AQ$5&lt;=$D258,$A258&lt;&gt;""),"●","")</x:f>
      </x:c>
      <x:c r="AR258" s="165" t="str">
        <x:f>IF(AND(AR$5&gt;=$C258,AR$5&lt;=$D258,$A258&lt;&gt;""),"●","")</x:f>
      </x:c>
      <x:c r="AS258" s="165" t="str">
        <x:f>IF(AND(AS$5&gt;=$C258,AS$5&lt;=$D258,$A258&lt;&gt;""),"●","")</x:f>
      </x:c>
      <x:c r="AT258" s="165" t="str">
        <x:f>IF(AND(AT$5&gt;=$C258,AT$5&lt;=$D258,$A258&lt;&gt;""),"●","")</x:f>
      </x:c>
      <x:c r="AU258" s="165" t="str">
        <x:f>IF(AND(AU$5&gt;=$C258,AU$5&lt;=$D258,$A258&lt;&gt;""),"●","")</x:f>
      </x:c>
      <x:c r="AV258" s="165" t="str">
        <x:f>IF(AND(AV$5&gt;=$C258,AV$5&lt;=$D258,$A258&lt;&gt;""),"●","")</x:f>
      </x:c>
      <x:c r="AW258" s="165" t="str">
        <x:f>IF(AND(AW$5&gt;=$C258,AW$5&lt;=$D258,$A258&lt;&gt;""),"●","")</x:f>
      </x:c>
      <x:c r="AX258" s="165" t="str">
        <x:f>IF(AND(AX$5&gt;=$C258,AX$5&lt;=$D258,$A258&lt;&gt;""),"●","")</x:f>
      </x:c>
      <x:c r="AY258" s="165" t="str">
        <x:f>IF(AND(AY$5&gt;=$C258,AY$5&lt;=$D258,$A258&lt;&gt;""),"●","")</x:f>
      </x:c>
      <x:c r="AZ258" s="165" t="str">
        <x:f>IF(AND(AZ$5&gt;=$C258,AZ$5&lt;=$D258,$A258&lt;&gt;""),"●","")</x:f>
      </x:c>
      <x:c r="BA258" s="165" t="str">
        <x:f>IF(AND(BA$5&gt;=$C258,BA$5&lt;=$D258,$A258&lt;&gt;""),"●","")</x:f>
      </x:c>
      <x:c r="BB258" s="165" t="str">
        <x:f>IF(AND(BB$5&gt;=$C258,BB$5&lt;=$D258,$A258&lt;&gt;""),"●","")</x:f>
      </x:c>
      <x:c r="BC258" s="165" t="str">
        <x:f>IF(AND(BC$5&gt;=$C258,BC$5&lt;=$D258,$A258&lt;&gt;""),"●","")</x:f>
      </x:c>
      <x:c r="BD258" s="165" t="str">
        <x:f>IF(AND(BD$5&gt;=$C258,BD$5&lt;=$D258,$A258&lt;&gt;""),"●","")</x:f>
      </x:c>
      <x:c r="BE258" s="165" t="str">
        <x:f>IF(AND(BE$5&gt;=$C258,BE$5&lt;=$D258,$A258&lt;&gt;""),"●","")</x:f>
      </x:c>
      <x:c r="BF258" s="165" t="str">
        <x:f>IF(AND(BF$5&gt;=$C258,BF$5&lt;=$D258,$A258&lt;&gt;""),"●","")</x:f>
      </x:c>
      <x:c r="BG258" s="165" t="str">
        <x:f>IF(AND(BG$5&gt;=$C258,BG$5&lt;=$D258,$A258&lt;&gt;""),"●","")</x:f>
      </x:c>
      <x:c r="BH258" s="165" t="str">
        <x:f>IF(AND(BH$5&gt;=$C258,BH$5&lt;=$D258,$A258&lt;&gt;""),"●","")</x:f>
      </x:c>
      <x:c r="BI258" s="165" t="str">
        <x:f>IF(AND(BI$5&gt;=$C258,BI$5&lt;=$D258,$A258&lt;&gt;""),"●","")</x:f>
      </x:c>
      <x:c r="BJ258" s="165" t="str">
        <x:f>IF(AND(BJ$5&gt;=$C258,BJ$5&lt;=$D258,$A258&lt;&gt;""),"●","")</x:f>
      </x:c>
      <x:c r="BK258" s="165" t="str">
        <x:f>IF(AND(BK$5&gt;=$C258,BK$5&lt;=$D258,$A258&lt;&gt;""),"●","")</x:f>
      </x:c>
      <x:c r="BL258" s="165" t="str">
        <x:f>IF(AND(BL$5&gt;=$C258,BL$5&lt;=$D258,$A258&lt;&gt;""),"●","")</x:f>
      </x:c>
      <x:c r="BM258" s="165" t="str">
        <x:f>IF(AND(BM$5&gt;=$C258,BM$5&lt;=$D258,$A258&lt;&gt;""),"●","")</x:f>
      </x:c>
      <x:c r="BN258" s="165" t="str">
        <x:f>IF(AND(BN$5&gt;=$C258,BN$5&lt;=$D258,$A258&lt;&gt;""),"●","")</x:f>
      </x:c>
      <x:c r="BO258" s="165" t="str">
        <x:f>IF(AND(BO$5&gt;=$C258,BO$5&lt;=$D258,$A258&lt;&gt;""),"●","")</x:f>
      </x:c>
      <x:c r="BP258" s="165" t="str">
        <x:f>IF(AND(BP$5&gt;=$C258,BP$5&lt;=$D258,$A258&lt;&gt;""),"●","")</x:f>
      </x:c>
      <x:c r="BQ258" s="165" t="str">
        <x:f>IF(AND(BQ$5&gt;=$C258,BQ$5&lt;=$D258,$A258&lt;&gt;""),"●","")</x:f>
      </x:c>
      <x:c r="BR258" s="165" t="str">
        <x:f>IF(AND(BR$5&gt;=$C258,BR$5&lt;=$D258,$A258&lt;&gt;""),"●","")</x:f>
      </x:c>
      <x:c r="BS258" s="165" t="str">
        <x:f>IF(AND(BS$5&gt;=$C258,BS$5&lt;=$D258,$A258&lt;&gt;""),"●","")</x:f>
      </x:c>
      <x:c r="BT258" s="165" t="str">
        <x:f>IF(AND(BT$5&gt;=$C258,BT$5&lt;=$D258,$A258&lt;&gt;""),"●","")</x:f>
      </x:c>
      <x:c r="BU258" s="165" t="str">
        <x:f>IF(AND(BU$5&gt;=$C258,BU$5&lt;=$D258,$A258&lt;&gt;""),"●","")</x:f>
      </x:c>
      <x:c r="BV258" s="165" t="str">
        <x:f>IF(AND(BV$5&gt;=$C258,BV$5&lt;=$D258,$A258&lt;&gt;""),"●","")</x:f>
      </x:c>
      <x:c r="BW258" s="165" t="str">
        <x:f>IF(AND(BW$5&gt;=$C258,BW$5&lt;=$D258,$A258&lt;&gt;""),"●","")</x:f>
      </x:c>
    </x:row>
    <x:row r="259">
      <x:c r="A259" s="159" t="str">
        <x:f>IF('รายการสัญญา'!A259="","",'รายการสัญญา'!A259)</x:f>
      </x:c>
      <x:c r="B259" s="159" t="str">
        <x:f>IF('รายการสัญญา'!A259="","",'รายการสัญญา'!C259)</x:f>
      </x:c>
      <x:c r="C259" s="162" t="str">
        <x:f>IF('รายการสัญญา'!A259="","",'รายการสัญญา'!E259)</x:f>
      </x:c>
      <x:c r="D259" s="162" t="str">
        <x:f>IF('รายการสัญญา'!A259="","",'รายการสัญญา'!G259)</x:f>
      </x:c>
      <x:c r="E259" s="159" t="str">
        <x:f>IF('รายการสัญญา'!A259="","",'รายการสัญญา'!K259)</x:f>
      </x:c>
      <x:c r="F259" s="165" t="str">
        <x:f>IF(AND(F$5&gt;=$C259,F$5&lt;=$D259,$A259&lt;&gt;""),"●","")</x:f>
      </x:c>
      <x:c r="G259" s="165" t="str">
        <x:f>IF(AND(G$5&gt;=$C259,G$5&lt;=$D259,$A259&lt;&gt;""),"●","")</x:f>
      </x:c>
      <x:c r="H259" s="165" t="str">
        <x:f>IF(AND(H$5&gt;=$C259,H$5&lt;=$D259,$A259&lt;&gt;""),"●","")</x:f>
      </x:c>
      <x:c r="I259" s="165" t="str">
        <x:f>IF(AND(I$5&gt;=$C259,I$5&lt;=$D259,$A259&lt;&gt;""),"●","")</x:f>
      </x:c>
      <x:c r="J259" s="165" t="str">
        <x:f>IF(AND(J$5&gt;=$C259,J$5&lt;=$D259,$A259&lt;&gt;""),"●","")</x:f>
      </x:c>
      <x:c r="K259" s="165" t="str">
        <x:f>IF(AND(K$5&gt;=$C259,K$5&lt;=$D259,$A259&lt;&gt;""),"●","")</x:f>
      </x:c>
      <x:c r="L259" s="165" t="str">
        <x:f>IF(AND(L$5&gt;=$C259,L$5&lt;=$D259,$A259&lt;&gt;""),"●","")</x:f>
      </x:c>
      <x:c r="M259" s="165" t="str">
        <x:f>IF(AND(M$5&gt;=$C259,M$5&lt;=$D259,$A259&lt;&gt;""),"●","")</x:f>
      </x:c>
      <x:c r="N259" s="165" t="str">
        <x:f>IF(AND(N$5&gt;=$C259,N$5&lt;=$D259,$A259&lt;&gt;""),"●","")</x:f>
      </x:c>
      <x:c r="O259" s="165" t="str">
        <x:f>IF(AND(O$5&gt;=$C259,O$5&lt;=$D259,$A259&lt;&gt;""),"●","")</x:f>
      </x:c>
      <x:c r="P259" s="165" t="str">
        <x:f>IF(AND(P$5&gt;=$C259,P$5&lt;=$D259,$A259&lt;&gt;""),"●","")</x:f>
      </x:c>
      <x:c r="Q259" s="165" t="str">
        <x:f>IF(AND(Q$5&gt;=$C259,Q$5&lt;=$D259,$A259&lt;&gt;""),"●","")</x:f>
      </x:c>
      <x:c r="R259" s="165" t="str">
        <x:f>IF(AND(R$5&gt;=$C259,R$5&lt;=$D259,$A259&lt;&gt;""),"●","")</x:f>
      </x:c>
      <x:c r="S259" s="165" t="str">
        <x:f>IF(AND(S$5&gt;=$C259,S$5&lt;=$D259,$A259&lt;&gt;""),"●","")</x:f>
      </x:c>
      <x:c r="T259" s="165" t="str">
        <x:f>IF(AND(T$5&gt;=$C259,T$5&lt;=$D259,$A259&lt;&gt;""),"●","")</x:f>
      </x:c>
      <x:c r="U259" s="165" t="str">
        <x:f>IF(AND(U$5&gt;=$C259,U$5&lt;=$D259,$A259&lt;&gt;""),"●","")</x:f>
      </x:c>
      <x:c r="V259" s="165" t="str">
        <x:f>IF(AND(V$5&gt;=$C259,V$5&lt;=$D259,$A259&lt;&gt;""),"●","")</x:f>
      </x:c>
      <x:c r="W259" s="165" t="str">
        <x:f>IF(AND(W$5&gt;=$C259,W$5&lt;=$D259,$A259&lt;&gt;""),"●","")</x:f>
      </x:c>
      <x:c r="X259" s="165" t="str">
        <x:f>IF(AND(X$5&gt;=$C259,X$5&lt;=$D259,$A259&lt;&gt;""),"●","")</x:f>
      </x:c>
      <x:c r="Y259" s="165" t="str">
        <x:f>IF(AND(Y$5&gt;=$C259,Y$5&lt;=$D259,$A259&lt;&gt;""),"●","")</x:f>
      </x:c>
      <x:c r="Z259" s="165" t="str">
        <x:f>IF(AND(Z$5&gt;=$C259,Z$5&lt;=$D259,$A259&lt;&gt;""),"●","")</x:f>
      </x:c>
      <x:c r="AA259" s="165" t="str">
        <x:f>IF(AND(AA$5&gt;=$C259,AA$5&lt;=$D259,$A259&lt;&gt;""),"●","")</x:f>
      </x:c>
      <x:c r="AB259" s="165" t="str">
        <x:f>IF(AND(AB$5&gt;=$C259,AB$5&lt;=$D259,$A259&lt;&gt;""),"●","")</x:f>
      </x:c>
      <x:c r="AC259" s="165" t="str">
        <x:f>IF(AND(AC$5&gt;=$C259,AC$5&lt;=$D259,$A259&lt;&gt;""),"●","")</x:f>
      </x:c>
      <x:c r="AD259" s="165" t="str">
        <x:f>IF(AND(AD$5&gt;=$C259,AD$5&lt;=$D259,$A259&lt;&gt;""),"●","")</x:f>
      </x:c>
      <x:c r="AE259" s="165" t="str">
        <x:f>IF(AND(AE$5&gt;=$C259,AE$5&lt;=$D259,$A259&lt;&gt;""),"●","")</x:f>
      </x:c>
      <x:c r="AF259" s="165" t="str">
        <x:f>IF(AND(AF$5&gt;=$C259,AF$5&lt;=$D259,$A259&lt;&gt;""),"●","")</x:f>
      </x:c>
      <x:c r="AG259" s="165" t="str">
        <x:f>IF(AND(AG$5&gt;=$C259,AG$5&lt;=$D259,$A259&lt;&gt;""),"●","")</x:f>
      </x:c>
      <x:c r="AH259" s="165" t="str">
        <x:f>IF(AND(AH$5&gt;=$C259,AH$5&lt;=$D259,$A259&lt;&gt;""),"●","")</x:f>
      </x:c>
      <x:c r="AI259" s="165" t="str">
        <x:f>IF(AND(AI$5&gt;=$C259,AI$5&lt;=$D259,$A259&lt;&gt;""),"●","")</x:f>
      </x:c>
      <x:c r="AJ259" s="165" t="str">
        <x:f>IF(AND(AJ$5&gt;=$C259,AJ$5&lt;=$D259,$A259&lt;&gt;""),"●","")</x:f>
      </x:c>
      <x:c r="AK259" s="165" t="str">
        <x:f>IF(AND(AK$5&gt;=$C259,AK$5&lt;=$D259,$A259&lt;&gt;""),"●","")</x:f>
      </x:c>
      <x:c r="AL259" s="165" t="str">
        <x:f>IF(AND(AL$5&gt;=$C259,AL$5&lt;=$D259,$A259&lt;&gt;""),"●","")</x:f>
      </x:c>
      <x:c r="AM259" s="165" t="str">
        <x:f>IF(AND(AM$5&gt;=$C259,AM$5&lt;=$D259,$A259&lt;&gt;""),"●","")</x:f>
      </x:c>
      <x:c r="AN259" s="165" t="str">
        <x:f>IF(AND(AN$5&gt;=$C259,AN$5&lt;=$D259,$A259&lt;&gt;""),"●","")</x:f>
      </x:c>
      <x:c r="AO259" s="165" t="str">
        <x:f>IF(AND(AO$5&gt;=$C259,AO$5&lt;=$D259,$A259&lt;&gt;""),"●","")</x:f>
      </x:c>
      <x:c r="AP259" s="165" t="str">
        <x:f>IF(AND(AP$5&gt;=$C259,AP$5&lt;=$D259,$A259&lt;&gt;""),"●","")</x:f>
      </x:c>
      <x:c r="AQ259" s="165" t="str">
        <x:f>IF(AND(AQ$5&gt;=$C259,AQ$5&lt;=$D259,$A259&lt;&gt;""),"●","")</x:f>
      </x:c>
      <x:c r="AR259" s="165" t="str">
        <x:f>IF(AND(AR$5&gt;=$C259,AR$5&lt;=$D259,$A259&lt;&gt;""),"●","")</x:f>
      </x:c>
      <x:c r="AS259" s="165" t="str">
        <x:f>IF(AND(AS$5&gt;=$C259,AS$5&lt;=$D259,$A259&lt;&gt;""),"●","")</x:f>
      </x:c>
      <x:c r="AT259" s="165" t="str">
        <x:f>IF(AND(AT$5&gt;=$C259,AT$5&lt;=$D259,$A259&lt;&gt;""),"●","")</x:f>
      </x:c>
      <x:c r="AU259" s="165" t="str">
        <x:f>IF(AND(AU$5&gt;=$C259,AU$5&lt;=$D259,$A259&lt;&gt;""),"●","")</x:f>
      </x:c>
      <x:c r="AV259" s="165" t="str">
        <x:f>IF(AND(AV$5&gt;=$C259,AV$5&lt;=$D259,$A259&lt;&gt;""),"●","")</x:f>
      </x:c>
      <x:c r="AW259" s="165" t="str">
        <x:f>IF(AND(AW$5&gt;=$C259,AW$5&lt;=$D259,$A259&lt;&gt;""),"●","")</x:f>
      </x:c>
      <x:c r="AX259" s="165" t="str">
        <x:f>IF(AND(AX$5&gt;=$C259,AX$5&lt;=$D259,$A259&lt;&gt;""),"●","")</x:f>
      </x:c>
      <x:c r="AY259" s="165" t="str">
        <x:f>IF(AND(AY$5&gt;=$C259,AY$5&lt;=$D259,$A259&lt;&gt;""),"●","")</x:f>
      </x:c>
      <x:c r="AZ259" s="165" t="str">
        <x:f>IF(AND(AZ$5&gt;=$C259,AZ$5&lt;=$D259,$A259&lt;&gt;""),"●","")</x:f>
      </x:c>
      <x:c r="BA259" s="165" t="str">
        <x:f>IF(AND(BA$5&gt;=$C259,BA$5&lt;=$D259,$A259&lt;&gt;""),"●","")</x:f>
      </x:c>
      <x:c r="BB259" s="165" t="str">
        <x:f>IF(AND(BB$5&gt;=$C259,BB$5&lt;=$D259,$A259&lt;&gt;""),"●","")</x:f>
      </x:c>
      <x:c r="BC259" s="165" t="str">
        <x:f>IF(AND(BC$5&gt;=$C259,BC$5&lt;=$D259,$A259&lt;&gt;""),"●","")</x:f>
      </x:c>
      <x:c r="BD259" s="165" t="str">
        <x:f>IF(AND(BD$5&gt;=$C259,BD$5&lt;=$D259,$A259&lt;&gt;""),"●","")</x:f>
      </x:c>
      <x:c r="BE259" s="165" t="str">
        <x:f>IF(AND(BE$5&gt;=$C259,BE$5&lt;=$D259,$A259&lt;&gt;""),"●","")</x:f>
      </x:c>
      <x:c r="BF259" s="165" t="str">
        <x:f>IF(AND(BF$5&gt;=$C259,BF$5&lt;=$D259,$A259&lt;&gt;""),"●","")</x:f>
      </x:c>
      <x:c r="BG259" s="165" t="str">
        <x:f>IF(AND(BG$5&gt;=$C259,BG$5&lt;=$D259,$A259&lt;&gt;""),"●","")</x:f>
      </x:c>
      <x:c r="BH259" s="165" t="str">
        <x:f>IF(AND(BH$5&gt;=$C259,BH$5&lt;=$D259,$A259&lt;&gt;""),"●","")</x:f>
      </x:c>
      <x:c r="BI259" s="165" t="str">
        <x:f>IF(AND(BI$5&gt;=$C259,BI$5&lt;=$D259,$A259&lt;&gt;""),"●","")</x:f>
      </x:c>
      <x:c r="BJ259" s="165" t="str">
        <x:f>IF(AND(BJ$5&gt;=$C259,BJ$5&lt;=$D259,$A259&lt;&gt;""),"●","")</x:f>
      </x:c>
      <x:c r="BK259" s="165" t="str">
        <x:f>IF(AND(BK$5&gt;=$C259,BK$5&lt;=$D259,$A259&lt;&gt;""),"●","")</x:f>
      </x:c>
      <x:c r="BL259" s="165" t="str">
        <x:f>IF(AND(BL$5&gt;=$C259,BL$5&lt;=$D259,$A259&lt;&gt;""),"●","")</x:f>
      </x:c>
      <x:c r="BM259" s="165" t="str">
        <x:f>IF(AND(BM$5&gt;=$C259,BM$5&lt;=$D259,$A259&lt;&gt;""),"●","")</x:f>
      </x:c>
      <x:c r="BN259" s="165" t="str">
        <x:f>IF(AND(BN$5&gt;=$C259,BN$5&lt;=$D259,$A259&lt;&gt;""),"●","")</x:f>
      </x:c>
      <x:c r="BO259" s="165" t="str">
        <x:f>IF(AND(BO$5&gt;=$C259,BO$5&lt;=$D259,$A259&lt;&gt;""),"●","")</x:f>
      </x:c>
      <x:c r="BP259" s="165" t="str">
        <x:f>IF(AND(BP$5&gt;=$C259,BP$5&lt;=$D259,$A259&lt;&gt;""),"●","")</x:f>
      </x:c>
      <x:c r="BQ259" s="165" t="str">
        <x:f>IF(AND(BQ$5&gt;=$C259,BQ$5&lt;=$D259,$A259&lt;&gt;""),"●","")</x:f>
      </x:c>
      <x:c r="BR259" s="165" t="str">
        <x:f>IF(AND(BR$5&gt;=$C259,BR$5&lt;=$D259,$A259&lt;&gt;""),"●","")</x:f>
      </x:c>
      <x:c r="BS259" s="165" t="str">
        <x:f>IF(AND(BS$5&gt;=$C259,BS$5&lt;=$D259,$A259&lt;&gt;""),"●","")</x:f>
      </x:c>
      <x:c r="BT259" s="165" t="str">
        <x:f>IF(AND(BT$5&gt;=$C259,BT$5&lt;=$D259,$A259&lt;&gt;""),"●","")</x:f>
      </x:c>
      <x:c r="BU259" s="165" t="str">
        <x:f>IF(AND(BU$5&gt;=$C259,BU$5&lt;=$D259,$A259&lt;&gt;""),"●","")</x:f>
      </x:c>
      <x:c r="BV259" s="165" t="str">
        <x:f>IF(AND(BV$5&gt;=$C259,BV$5&lt;=$D259,$A259&lt;&gt;""),"●","")</x:f>
      </x:c>
      <x:c r="BW259" s="165" t="str">
        <x:f>IF(AND(BW$5&gt;=$C259,BW$5&lt;=$D259,$A259&lt;&gt;""),"●","")</x:f>
      </x:c>
    </x:row>
    <x:row r="260">
      <x:c r="A260" s="159" t="str">
        <x:f>IF('รายการสัญญา'!A260="","",'รายการสัญญา'!A260)</x:f>
      </x:c>
      <x:c r="B260" s="159" t="str">
        <x:f>IF('รายการสัญญา'!A260="","",'รายการสัญญา'!C260)</x:f>
      </x:c>
      <x:c r="C260" s="162" t="str">
        <x:f>IF('รายการสัญญา'!A260="","",'รายการสัญญา'!E260)</x:f>
      </x:c>
      <x:c r="D260" s="162" t="str">
        <x:f>IF('รายการสัญญา'!A260="","",'รายการสัญญา'!G260)</x:f>
      </x:c>
      <x:c r="E260" s="159" t="str">
        <x:f>IF('รายการสัญญา'!A260="","",'รายการสัญญา'!K260)</x:f>
      </x:c>
      <x:c r="F260" s="165" t="str">
        <x:f>IF(AND(F$5&gt;=$C260,F$5&lt;=$D260,$A260&lt;&gt;""),"●","")</x:f>
      </x:c>
      <x:c r="G260" s="165" t="str">
        <x:f>IF(AND(G$5&gt;=$C260,G$5&lt;=$D260,$A260&lt;&gt;""),"●","")</x:f>
      </x:c>
      <x:c r="H260" s="165" t="str">
        <x:f>IF(AND(H$5&gt;=$C260,H$5&lt;=$D260,$A260&lt;&gt;""),"●","")</x:f>
      </x:c>
      <x:c r="I260" s="165" t="str">
        <x:f>IF(AND(I$5&gt;=$C260,I$5&lt;=$D260,$A260&lt;&gt;""),"●","")</x:f>
      </x:c>
      <x:c r="J260" s="165" t="str">
        <x:f>IF(AND(J$5&gt;=$C260,J$5&lt;=$D260,$A260&lt;&gt;""),"●","")</x:f>
      </x:c>
      <x:c r="K260" s="165" t="str">
        <x:f>IF(AND(K$5&gt;=$C260,K$5&lt;=$D260,$A260&lt;&gt;""),"●","")</x:f>
      </x:c>
      <x:c r="L260" s="165" t="str">
        <x:f>IF(AND(L$5&gt;=$C260,L$5&lt;=$D260,$A260&lt;&gt;""),"●","")</x:f>
      </x:c>
      <x:c r="M260" s="165" t="str">
        <x:f>IF(AND(M$5&gt;=$C260,M$5&lt;=$D260,$A260&lt;&gt;""),"●","")</x:f>
      </x:c>
      <x:c r="N260" s="165" t="str">
        <x:f>IF(AND(N$5&gt;=$C260,N$5&lt;=$D260,$A260&lt;&gt;""),"●","")</x:f>
      </x:c>
      <x:c r="O260" s="165" t="str">
        <x:f>IF(AND(O$5&gt;=$C260,O$5&lt;=$D260,$A260&lt;&gt;""),"●","")</x:f>
      </x:c>
      <x:c r="P260" s="165" t="str">
        <x:f>IF(AND(P$5&gt;=$C260,P$5&lt;=$D260,$A260&lt;&gt;""),"●","")</x:f>
      </x:c>
      <x:c r="Q260" s="165" t="str">
        <x:f>IF(AND(Q$5&gt;=$C260,Q$5&lt;=$D260,$A260&lt;&gt;""),"●","")</x:f>
      </x:c>
      <x:c r="R260" s="165" t="str">
        <x:f>IF(AND(R$5&gt;=$C260,R$5&lt;=$D260,$A260&lt;&gt;""),"●","")</x:f>
      </x:c>
      <x:c r="S260" s="165" t="str">
        <x:f>IF(AND(S$5&gt;=$C260,S$5&lt;=$D260,$A260&lt;&gt;""),"●","")</x:f>
      </x:c>
      <x:c r="T260" s="165" t="str">
        <x:f>IF(AND(T$5&gt;=$C260,T$5&lt;=$D260,$A260&lt;&gt;""),"●","")</x:f>
      </x:c>
      <x:c r="U260" s="165" t="str">
        <x:f>IF(AND(U$5&gt;=$C260,U$5&lt;=$D260,$A260&lt;&gt;""),"●","")</x:f>
      </x:c>
      <x:c r="V260" s="165" t="str">
        <x:f>IF(AND(V$5&gt;=$C260,V$5&lt;=$D260,$A260&lt;&gt;""),"●","")</x:f>
      </x:c>
      <x:c r="W260" s="165" t="str">
        <x:f>IF(AND(W$5&gt;=$C260,W$5&lt;=$D260,$A260&lt;&gt;""),"●","")</x:f>
      </x:c>
      <x:c r="X260" s="165" t="str">
        <x:f>IF(AND(X$5&gt;=$C260,X$5&lt;=$D260,$A260&lt;&gt;""),"●","")</x:f>
      </x:c>
      <x:c r="Y260" s="165" t="str">
        <x:f>IF(AND(Y$5&gt;=$C260,Y$5&lt;=$D260,$A260&lt;&gt;""),"●","")</x:f>
      </x:c>
      <x:c r="Z260" s="165" t="str">
        <x:f>IF(AND(Z$5&gt;=$C260,Z$5&lt;=$D260,$A260&lt;&gt;""),"●","")</x:f>
      </x:c>
      <x:c r="AA260" s="165" t="str">
        <x:f>IF(AND(AA$5&gt;=$C260,AA$5&lt;=$D260,$A260&lt;&gt;""),"●","")</x:f>
      </x:c>
      <x:c r="AB260" s="165" t="str">
        <x:f>IF(AND(AB$5&gt;=$C260,AB$5&lt;=$D260,$A260&lt;&gt;""),"●","")</x:f>
      </x:c>
      <x:c r="AC260" s="165" t="str">
        <x:f>IF(AND(AC$5&gt;=$C260,AC$5&lt;=$D260,$A260&lt;&gt;""),"●","")</x:f>
      </x:c>
      <x:c r="AD260" s="165" t="str">
        <x:f>IF(AND(AD$5&gt;=$C260,AD$5&lt;=$D260,$A260&lt;&gt;""),"●","")</x:f>
      </x:c>
      <x:c r="AE260" s="165" t="str">
        <x:f>IF(AND(AE$5&gt;=$C260,AE$5&lt;=$D260,$A260&lt;&gt;""),"●","")</x:f>
      </x:c>
      <x:c r="AF260" s="165" t="str">
        <x:f>IF(AND(AF$5&gt;=$C260,AF$5&lt;=$D260,$A260&lt;&gt;""),"●","")</x:f>
      </x:c>
      <x:c r="AG260" s="165" t="str">
        <x:f>IF(AND(AG$5&gt;=$C260,AG$5&lt;=$D260,$A260&lt;&gt;""),"●","")</x:f>
      </x:c>
      <x:c r="AH260" s="165" t="str">
        <x:f>IF(AND(AH$5&gt;=$C260,AH$5&lt;=$D260,$A260&lt;&gt;""),"●","")</x:f>
      </x:c>
      <x:c r="AI260" s="165" t="str">
        <x:f>IF(AND(AI$5&gt;=$C260,AI$5&lt;=$D260,$A260&lt;&gt;""),"●","")</x:f>
      </x:c>
      <x:c r="AJ260" s="165" t="str">
        <x:f>IF(AND(AJ$5&gt;=$C260,AJ$5&lt;=$D260,$A260&lt;&gt;""),"●","")</x:f>
      </x:c>
      <x:c r="AK260" s="165" t="str">
        <x:f>IF(AND(AK$5&gt;=$C260,AK$5&lt;=$D260,$A260&lt;&gt;""),"●","")</x:f>
      </x:c>
      <x:c r="AL260" s="165" t="str">
        <x:f>IF(AND(AL$5&gt;=$C260,AL$5&lt;=$D260,$A260&lt;&gt;""),"●","")</x:f>
      </x:c>
      <x:c r="AM260" s="165" t="str">
        <x:f>IF(AND(AM$5&gt;=$C260,AM$5&lt;=$D260,$A260&lt;&gt;""),"●","")</x:f>
      </x:c>
      <x:c r="AN260" s="165" t="str">
        <x:f>IF(AND(AN$5&gt;=$C260,AN$5&lt;=$D260,$A260&lt;&gt;""),"●","")</x:f>
      </x:c>
      <x:c r="AO260" s="165" t="str">
        <x:f>IF(AND(AO$5&gt;=$C260,AO$5&lt;=$D260,$A260&lt;&gt;""),"●","")</x:f>
      </x:c>
      <x:c r="AP260" s="165" t="str">
        <x:f>IF(AND(AP$5&gt;=$C260,AP$5&lt;=$D260,$A260&lt;&gt;""),"●","")</x:f>
      </x:c>
      <x:c r="AQ260" s="165" t="str">
        <x:f>IF(AND(AQ$5&gt;=$C260,AQ$5&lt;=$D260,$A260&lt;&gt;""),"●","")</x:f>
      </x:c>
      <x:c r="AR260" s="165" t="str">
        <x:f>IF(AND(AR$5&gt;=$C260,AR$5&lt;=$D260,$A260&lt;&gt;""),"●","")</x:f>
      </x:c>
      <x:c r="AS260" s="165" t="str">
        <x:f>IF(AND(AS$5&gt;=$C260,AS$5&lt;=$D260,$A260&lt;&gt;""),"●","")</x:f>
      </x:c>
      <x:c r="AT260" s="165" t="str">
        <x:f>IF(AND(AT$5&gt;=$C260,AT$5&lt;=$D260,$A260&lt;&gt;""),"●","")</x:f>
      </x:c>
      <x:c r="AU260" s="165" t="str">
        <x:f>IF(AND(AU$5&gt;=$C260,AU$5&lt;=$D260,$A260&lt;&gt;""),"●","")</x:f>
      </x:c>
      <x:c r="AV260" s="165" t="str">
        <x:f>IF(AND(AV$5&gt;=$C260,AV$5&lt;=$D260,$A260&lt;&gt;""),"●","")</x:f>
      </x:c>
      <x:c r="AW260" s="165" t="str">
        <x:f>IF(AND(AW$5&gt;=$C260,AW$5&lt;=$D260,$A260&lt;&gt;""),"●","")</x:f>
      </x:c>
      <x:c r="AX260" s="165" t="str">
        <x:f>IF(AND(AX$5&gt;=$C260,AX$5&lt;=$D260,$A260&lt;&gt;""),"●","")</x:f>
      </x:c>
      <x:c r="AY260" s="165" t="str">
        <x:f>IF(AND(AY$5&gt;=$C260,AY$5&lt;=$D260,$A260&lt;&gt;""),"●","")</x:f>
      </x:c>
      <x:c r="AZ260" s="165" t="str">
        <x:f>IF(AND(AZ$5&gt;=$C260,AZ$5&lt;=$D260,$A260&lt;&gt;""),"●","")</x:f>
      </x:c>
      <x:c r="BA260" s="165" t="str">
        <x:f>IF(AND(BA$5&gt;=$C260,BA$5&lt;=$D260,$A260&lt;&gt;""),"●","")</x:f>
      </x:c>
      <x:c r="BB260" s="165" t="str">
        <x:f>IF(AND(BB$5&gt;=$C260,BB$5&lt;=$D260,$A260&lt;&gt;""),"●","")</x:f>
      </x:c>
      <x:c r="BC260" s="165" t="str">
        <x:f>IF(AND(BC$5&gt;=$C260,BC$5&lt;=$D260,$A260&lt;&gt;""),"●","")</x:f>
      </x:c>
      <x:c r="BD260" s="165" t="str">
        <x:f>IF(AND(BD$5&gt;=$C260,BD$5&lt;=$D260,$A260&lt;&gt;""),"●","")</x:f>
      </x:c>
      <x:c r="BE260" s="165" t="str">
        <x:f>IF(AND(BE$5&gt;=$C260,BE$5&lt;=$D260,$A260&lt;&gt;""),"●","")</x:f>
      </x:c>
      <x:c r="BF260" s="165" t="str">
        <x:f>IF(AND(BF$5&gt;=$C260,BF$5&lt;=$D260,$A260&lt;&gt;""),"●","")</x:f>
      </x:c>
      <x:c r="BG260" s="165" t="str">
        <x:f>IF(AND(BG$5&gt;=$C260,BG$5&lt;=$D260,$A260&lt;&gt;""),"●","")</x:f>
      </x:c>
      <x:c r="BH260" s="165" t="str">
        <x:f>IF(AND(BH$5&gt;=$C260,BH$5&lt;=$D260,$A260&lt;&gt;""),"●","")</x:f>
      </x:c>
      <x:c r="BI260" s="165" t="str">
        <x:f>IF(AND(BI$5&gt;=$C260,BI$5&lt;=$D260,$A260&lt;&gt;""),"●","")</x:f>
      </x:c>
      <x:c r="BJ260" s="165" t="str">
        <x:f>IF(AND(BJ$5&gt;=$C260,BJ$5&lt;=$D260,$A260&lt;&gt;""),"●","")</x:f>
      </x:c>
      <x:c r="BK260" s="165" t="str">
        <x:f>IF(AND(BK$5&gt;=$C260,BK$5&lt;=$D260,$A260&lt;&gt;""),"●","")</x:f>
      </x:c>
      <x:c r="BL260" s="165" t="str">
        <x:f>IF(AND(BL$5&gt;=$C260,BL$5&lt;=$D260,$A260&lt;&gt;""),"●","")</x:f>
      </x:c>
      <x:c r="BM260" s="165" t="str">
        <x:f>IF(AND(BM$5&gt;=$C260,BM$5&lt;=$D260,$A260&lt;&gt;""),"●","")</x:f>
      </x:c>
      <x:c r="BN260" s="165" t="str">
        <x:f>IF(AND(BN$5&gt;=$C260,BN$5&lt;=$D260,$A260&lt;&gt;""),"●","")</x:f>
      </x:c>
      <x:c r="BO260" s="165" t="str">
        <x:f>IF(AND(BO$5&gt;=$C260,BO$5&lt;=$D260,$A260&lt;&gt;""),"●","")</x:f>
      </x:c>
      <x:c r="BP260" s="165" t="str">
        <x:f>IF(AND(BP$5&gt;=$C260,BP$5&lt;=$D260,$A260&lt;&gt;""),"●","")</x:f>
      </x:c>
      <x:c r="BQ260" s="165" t="str">
        <x:f>IF(AND(BQ$5&gt;=$C260,BQ$5&lt;=$D260,$A260&lt;&gt;""),"●","")</x:f>
      </x:c>
      <x:c r="BR260" s="165" t="str">
        <x:f>IF(AND(BR$5&gt;=$C260,BR$5&lt;=$D260,$A260&lt;&gt;""),"●","")</x:f>
      </x:c>
      <x:c r="BS260" s="165" t="str">
        <x:f>IF(AND(BS$5&gt;=$C260,BS$5&lt;=$D260,$A260&lt;&gt;""),"●","")</x:f>
      </x:c>
      <x:c r="BT260" s="165" t="str">
        <x:f>IF(AND(BT$5&gt;=$C260,BT$5&lt;=$D260,$A260&lt;&gt;""),"●","")</x:f>
      </x:c>
      <x:c r="BU260" s="165" t="str">
        <x:f>IF(AND(BU$5&gt;=$C260,BU$5&lt;=$D260,$A260&lt;&gt;""),"●","")</x:f>
      </x:c>
      <x:c r="BV260" s="165" t="str">
        <x:f>IF(AND(BV$5&gt;=$C260,BV$5&lt;=$D260,$A260&lt;&gt;""),"●","")</x:f>
      </x:c>
      <x:c r="BW260" s="165" t="str">
        <x:f>IF(AND(BW$5&gt;=$C260,BW$5&lt;=$D260,$A260&lt;&gt;""),"●","")</x:f>
      </x:c>
    </x:row>
    <x:row r="261">
      <x:c r="A261" s="159" t="str">
        <x:f>IF('รายการสัญญา'!A261="","",'รายการสัญญา'!A261)</x:f>
      </x:c>
      <x:c r="B261" s="159" t="str">
        <x:f>IF('รายการสัญญา'!A261="","",'รายการสัญญา'!C261)</x:f>
      </x:c>
      <x:c r="C261" s="162" t="str">
        <x:f>IF('รายการสัญญา'!A261="","",'รายการสัญญา'!E261)</x:f>
      </x:c>
      <x:c r="D261" s="162" t="str">
        <x:f>IF('รายการสัญญา'!A261="","",'รายการสัญญา'!G261)</x:f>
      </x:c>
      <x:c r="E261" s="159" t="str">
        <x:f>IF('รายการสัญญา'!A261="","",'รายการสัญญา'!K261)</x:f>
      </x:c>
      <x:c r="F261" s="165" t="str">
        <x:f>IF(AND(F$5&gt;=$C261,F$5&lt;=$D261,$A261&lt;&gt;""),"●","")</x:f>
      </x:c>
      <x:c r="G261" s="165" t="str">
        <x:f>IF(AND(G$5&gt;=$C261,G$5&lt;=$D261,$A261&lt;&gt;""),"●","")</x:f>
      </x:c>
      <x:c r="H261" s="165" t="str">
        <x:f>IF(AND(H$5&gt;=$C261,H$5&lt;=$D261,$A261&lt;&gt;""),"●","")</x:f>
      </x:c>
      <x:c r="I261" s="165" t="str">
        <x:f>IF(AND(I$5&gt;=$C261,I$5&lt;=$D261,$A261&lt;&gt;""),"●","")</x:f>
      </x:c>
      <x:c r="J261" s="165" t="str">
        <x:f>IF(AND(J$5&gt;=$C261,J$5&lt;=$D261,$A261&lt;&gt;""),"●","")</x:f>
      </x:c>
      <x:c r="K261" s="165" t="str">
        <x:f>IF(AND(K$5&gt;=$C261,K$5&lt;=$D261,$A261&lt;&gt;""),"●","")</x:f>
      </x:c>
      <x:c r="L261" s="165" t="str">
        <x:f>IF(AND(L$5&gt;=$C261,L$5&lt;=$D261,$A261&lt;&gt;""),"●","")</x:f>
      </x:c>
      <x:c r="M261" s="165" t="str">
        <x:f>IF(AND(M$5&gt;=$C261,M$5&lt;=$D261,$A261&lt;&gt;""),"●","")</x:f>
      </x:c>
      <x:c r="N261" s="165" t="str">
        <x:f>IF(AND(N$5&gt;=$C261,N$5&lt;=$D261,$A261&lt;&gt;""),"●","")</x:f>
      </x:c>
      <x:c r="O261" s="165" t="str">
        <x:f>IF(AND(O$5&gt;=$C261,O$5&lt;=$D261,$A261&lt;&gt;""),"●","")</x:f>
      </x:c>
      <x:c r="P261" s="165" t="str">
        <x:f>IF(AND(P$5&gt;=$C261,P$5&lt;=$D261,$A261&lt;&gt;""),"●","")</x:f>
      </x:c>
      <x:c r="Q261" s="165" t="str">
        <x:f>IF(AND(Q$5&gt;=$C261,Q$5&lt;=$D261,$A261&lt;&gt;""),"●","")</x:f>
      </x:c>
      <x:c r="R261" s="165" t="str">
        <x:f>IF(AND(R$5&gt;=$C261,R$5&lt;=$D261,$A261&lt;&gt;""),"●","")</x:f>
      </x:c>
      <x:c r="S261" s="165" t="str">
        <x:f>IF(AND(S$5&gt;=$C261,S$5&lt;=$D261,$A261&lt;&gt;""),"●","")</x:f>
      </x:c>
      <x:c r="T261" s="165" t="str">
        <x:f>IF(AND(T$5&gt;=$C261,T$5&lt;=$D261,$A261&lt;&gt;""),"●","")</x:f>
      </x:c>
      <x:c r="U261" s="165" t="str">
        <x:f>IF(AND(U$5&gt;=$C261,U$5&lt;=$D261,$A261&lt;&gt;""),"●","")</x:f>
      </x:c>
      <x:c r="V261" s="165" t="str">
        <x:f>IF(AND(V$5&gt;=$C261,V$5&lt;=$D261,$A261&lt;&gt;""),"●","")</x:f>
      </x:c>
      <x:c r="W261" s="165" t="str">
        <x:f>IF(AND(W$5&gt;=$C261,W$5&lt;=$D261,$A261&lt;&gt;""),"●","")</x:f>
      </x:c>
      <x:c r="X261" s="165" t="str">
        <x:f>IF(AND(X$5&gt;=$C261,X$5&lt;=$D261,$A261&lt;&gt;""),"●","")</x:f>
      </x:c>
      <x:c r="Y261" s="165" t="str">
        <x:f>IF(AND(Y$5&gt;=$C261,Y$5&lt;=$D261,$A261&lt;&gt;""),"●","")</x:f>
      </x:c>
      <x:c r="Z261" s="165" t="str">
        <x:f>IF(AND(Z$5&gt;=$C261,Z$5&lt;=$D261,$A261&lt;&gt;""),"●","")</x:f>
      </x:c>
      <x:c r="AA261" s="165" t="str">
        <x:f>IF(AND(AA$5&gt;=$C261,AA$5&lt;=$D261,$A261&lt;&gt;""),"●","")</x:f>
      </x:c>
      <x:c r="AB261" s="165" t="str">
        <x:f>IF(AND(AB$5&gt;=$C261,AB$5&lt;=$D261,$A261&lt;&gt;""),"●","")</x:f>
      </x:c>
      <x:c r="AC261" s="165" t="str">
        <x:f>IF(AND(AC$5&gt;=$C261,AC$5&lt;=$D261,$A261&lt;&gt;""),"●","")</x:f>
      </x:c>
      <x:c r="AD261" s="165" t="str">
        <x:f>IF(AND(AD$5&gt;=$C261,AD$5&lt;=$D261,$A261&lt;&gt;""),"●","")</x:f>
      </x:c>
      <x:c r="AE261" s="165" t="str">
        <x:f>IF(AND(AE$5&gt;=$C261,AE$5&lt;=$D261,$A261&lt;&gt;""),"●","")</x:f>
      </x:c>
      <x:c r="AF261" s="165" t="str">
        <x:f>IF(AND(AF$5&gt;=$C261,AF$5&lt;=$D261,$A261&lt;&gt;""),"●","")</x:f>
      </x:c>
      <x:c r="AG261" s="165" t="str">
        <x:f>IF(AND(AG$5&gt;=$C261,AG$5&lt;=$D261,$A261&lt;&gt;""),"●","")</x:f>
      </x:c>
      <x:c r="AH261" s="165" t="str">
        <x:f>IF(AND(AH$5&gt;=$C261,AH$5&lt;=$D261,$A261&lt;&gt;""),"●","")</x:f>
      </x:c>
      <x:c r="AI261" s="165" t="str">
        <x:f>IF(AND(AI$5&gt;=$C261,AI$5&lt;=$D261,$A261&lt;&gt;""),"●","")</x:f>
      </x:c>
      <x:c r="AJ261" s="165" t="str">
        <x:f>IF(AND(AJ$5&gt;=$C261,AJ$5&lt;=$D261,$A261&lt;&gt;""),"●","")</x:f>
      </x:c>
      <x:c r="AK261" s="165" t="str">
        <x:f>IF(AND(AK$5&gt;=$C261,AK$5&lt;=$D261,$A261&lt;&gt;""),"●","")</x:f>
      </x:c>
      <x:c r="AL261" s="165" t="str">
        <x:f>IF(AND(AL$5&gt;=$C261,AL$5&lt;=$D261,$A261&lt;&gt;""),"●","")</x:f>
      </x:c>
      <x:c r="AM261" s="165" t="str">
        <x:f>IF(AND(AM$5&gt;=$C261,AM$5&lt;=$D261,$A261&lt;&gt;""),"●","")</x:f>
      </x:c>
      <x:c r="AN261" s="165" t="str">
        <x:f>IF(AND(AN$5&gt;=$C261,AN$5&lt;=$D261,$A261&lt;&gt;""),"●","")</x:f>
      </x:c>
      <x:c r="AO261" s="165" t="str">
        <x:f>IF(AND(AO$5&gt;=$C261,AO$5&lt;=$D261,$A261&lt;&gt;""),"●","")</x:f>
      </x:c>
      <x:c r="AP261" s="165" t="str">
        <x:f>IF(AND(AP$5&gt;=$C261,AP$5&lt;=$D261,$A261&lt;&gt;""),"●","")</x:f>
      </x:c>
      <x:c r="AQ261" s="165" t="str">
        <x:f>IF(AND(AQ$5&gt;=$C261,AQ$5&lt;=$D261,$A261&lt;&gt;""),"●","")</x:f>
      </x:c>
      <x:c r="AR261" s="165" t="str">
        <x:f>IF(AND(AR$5&gt;=$C261,AR$5&lt;=$D261,$A261&lt;&gt;""),"●","")</x:f>
      </x:c>
      <x:c r="AS261" s="165" t="str">
        <x:f>IF(AND(AS$5&gt;=$C261,AS$5&lt;=$D261,$A261&lt;&gt;""),"●","")</x:f>
      </x:c>
      <x:c r="AT261" s="165" t="str">
        <x:f>IF(AND(AT$5&gt;=$C261,AT$5&lt;=$D261,$A261&lt;&gt;""),"●","")</x:f>
      </x:c>
      <x:c r="AU261" s="165" t="str">
        <x:f>IF(AND(AU$5&gt;=$C261,AU$5&lt;=$D261,$A261&lt;&gt;""),"●","")</x:f>
      </x:c>
      <x:c r="AV261" s="165" t="str">
        <x:f>IF(AND(AV$5&gt;=$C261,AV$5&lt;=$D261,$A261&lt;&gt;""),"●","")</x:f>
      </x:c>
      <x:c r="AW261" s="165" t="str">
        <x:f>IF(AND(AW$5&gt;=$C261,AW$5&lt;=$D261,$A261&lt;&gt;""),"●","")</x:f>
      </x:c>
      <x:c r="AX261" s="165" t="str">
        <x:f>IF(AND(AX$5&gt;=$C261,AX$5&lt;=$D261,$A261&lt;&gt;""),"●","")</x:f>
      </x:c>
      <x:c r="AY261" s="165" t="str">
        <x:f>IF(AND(AY$5&gt;=$C261,AY$5&lt;=$D261,$A261&lt;&gt;""),"●","")</x:f>
      </x:c>
      <x:c r="AZ261" s="165" t="str">
        <x:f>IF(AND(AZ$5&gt;=$C261,AZ$5&lt;=$D261,$A261&lt;&gt;""),"●","")</x:f>
      </x:c>
      <x:c r="BA261" s="165" t="str">
        <x:f>IF(AND(BA$5&gt;=$C261,BA$5&lt;=$D261,$A261&lt;&gt;""),"●","")</x:f>
      </x:c>
      <x:c r="BB261" s="165" t="str">
        <x:f>IF(AND(BB$5&gt;=$C261,BB$5&lt;=$D261,$A261&lt;&gt;""),"●","")</x:f>
      </x:c>
      <x:c r="BC261" s="165" t="str">
        <x:f>IF(AND(BC$5&gt;=$C261,BC$5&lt;=$D261,$A261&lt;&gt;""),"●","")</x:f>
      </x:c>
      <x:c r="BD261" s="165" t="str">
        <x:f>IF(AND(BD$5&gt;=$C261,BD$5&lt;=$D261,$A261&lt;&gt;""),"●","")</x:f>
      </x:c>
      <x:c r="BE261" s="165" t="str">
        <x:f>IF(AND(BE$5&gt;=$C261,BE$5&lt;=$D261,$A261&lt;&gt;""),"●","")</x:f>
      </x:c>
      <x:c r="BF261" s="165" t="str">
        <x:f>IF(AND(BF$5&gt;=$C261,BF$5&lt;=$D261,$A261&lt;&gt;""),"●","")</x:f>
      </x:c>
      <x:c r="BG261" s="165" t="str">
        <x:f>IF(AND(BG$5&gt;=$C261,BG$5&lt;=$D261,$A261&lt;&gt;""),"●","")</x:f>
      </x:c>
      <x:c r="BH261" s="165" t="str">
        <x:f>IF(AND(BH$5&gt;=$C261,BH$5&lt;=$D261,$A261&lt;&gt;""),"●","")</x:f>
      </x:c>
      <x:c r="BI261" s="165" t="str">
        <x:f>IF(AND(BI$5&gt;=$C261,BI$5&lt;=$D261,$A261&lt;&gt;""),"●","")</x:f>
      </x:c>
      <x:c r="BJ261" s="165" t="str">
        <x:f>IF(AND(BJ$5&gt;=$C261,BJ$5&lt;=$D261,$A261&lt;&gt;""),"●","")</x:f>
      </x:c>
      <x:c r="BK261" s="165" t="str">
        <x:f>IF(AND(BK$5&gt;=$C261,BK$5&lt;=$D261,$A261&lt;&gt;""),"●","")</x:f>
      </x:c>
      <x:c r="BL261" s="165" t="str">
        <x:f>IF(AND(BL$5&gt;=$C261,BL$5&lt;=$D261,$A261&lt;&gt;""),"●","")</x:f>
      </x:c>
      <x:c r="BM261" s="165" t="str">
        <x:f>IF(AND(BM$5&gt;=$C261,BM$5&lt;=$D261,$A261&lt;&gt;""),"●","")</x:f>
      </x:c>
      <x:c r="BN261" s="165" t="str">
        <x:f>IF(AND(BN$5&gt;=$C261,BN$5&lt;=$D261,$A261&lt;&gt;""),"●","")</x:f>
      </x:c>
      <x:c r="BO261" s="165" t="str">
        <x:f>IF(AND(BO$5&gt;=$C261,BO$5&lt;=$D261,$A261&lt;&gt;""),"●","")</x:f>
      </x:c>
      <x:c r="BP261" s="165" t="str">
        <x:f>IF(AND(BP$5&gt;=$C261,BP$5&lt;=$D261,$A261&lt;&gt;""),"●","")</x:f>
      </x:c>
      <x:c r="BQ261" s="165" t="str">
        <x:f>IF(AND(BQ$5&gt;=$C261,BQ$5&lt;=$D261,$A261&lt;&gt;""),"●","")</x:f>
      </x:c>
      <x:c r="BR261" s="165" t="str">
        <x:f>IF(AND(BR$5&gt;=$C261,BR$5&lt;=$D261,$A261&lt;&gt;""),"●","")</x:f>
      </x:c>
      <x:c r="BS261" s="165" t="str">
        <x:f>IF(AND(BS$5&gt;=$C261,BS$5&lt;=$D261,$A261&lt;&gt;""),"●","")</x:f>
      </x:c>
      <x:c r="BT261" s="165" t="str">
        <x:f>IF(AND(BT$5&gt;=$C261,BT$5&lt;=$D261,$A261&lt;&gt;""),"●","")</x:f>
      </x:c>
      <x:c r="BU261" s="165" t="str">
        <x:f>IF(AND(BU$5&gt;=$C261,BU$5&lt;=$D261,$A261&lt;&gt;""),"●","")</x:f>
      </x:c>
      <x:c r="BV261" s="165" t="str">
        <x:f>IF(AND(BV$5&gt;=$C261,BV$5&lt;=$D261,$A261&lt;&gt;""),"●","")</x:f>
      </x:c>
      <x:c r="BW261" s="165" t="str">
        <x:f>IF(AND(BW$5&gt;=$C261,BW$5&lt;=$D261,$A261&lt;&gt;""),"●","")</x:f>
      </x:c>
    </x:row>
    <x:row r="262">
      <x:c r="A262" s="159" t="str">
        <x:f>IF('รายการสัญญา'!A262="","",'รายการสัญญา'!A262)</x:f>
      </x:c>
      <x:c r="B262" s="159" t="str">
        <x:f>IF('รายการสัญญา'!A262="","",'รายการสัญญา'!C262)</x:f>
      </x:c>
      <x:c r="C262" s="162" t="str">
        <x:f>IF('รายการสัญญา'!A262="","",'รายการสัญญา'!E262)</x:f>
      </x:c>
      <x:c r="D262" s="162" t="str">
        <x:f>IF('รายการสัญญา'!A262="","",'รายการสัญญา'!G262)</x:f>
      </x:c>
      <x:c r="E262" s="159" t="str">
        <x:f>IF('รายการสัญญา'!A262="","",'รายการสัญญา'!K262)</x:f>
      </x:c>
      <x:c r="F262" s="165" t="str">
        <x:f>IF(AND(F$5&gt;=$C262,F$5&lt;=$D262,$A262&lt;&gt;""),"●","")</x:f>
      </x:c>
      <x:c r="G262" s="165" t="str">
        <x:f>IF(AND(G$5&gt;=$C262,G$5&lt;=$D262,$A262&lt;&gt;""),"●","")</x:f>
      </x:c>
      <x:c r="H262" s="165" t="str">
        <x:f>IF(AND(H$5&gt;=$C262,H$5&lt;=$D262,$A262&lt;&gt;""),"●","")</x:f>
      </x:c>
      <x:c r="I262" s="165" t="str">
        <x:f>IF(AND(I$5&gt;=$C262,I$5&lt;=$D262,$A262&lt;&gt;""),"●","")</x:f>
      </x:c>
      <x:c r="J262" s="165" t="str">
        <x:f>IF(AND(J$5&gt;=$C262,J$5&lt;=$D262,$A262&lt;&gt;""),"●","")</x:f>
      </x:c>
      <x:c r="K262" s="165" t="str">
        <x:f>IF(AND(K$5&gt;=$C262,K$5&lt;=$D262,$A262&lt;&gt;""),"●","")</x:f>
      </x:c>
      <x:c r="L262" s="165" t="str">
        <x:f>IF(AND(L$5&gt;=$C262,L$5&lt;=$D262,$A262&lt;&gt;""),"●","")</x:f>
      </x:c>
      <x:c r="M262" s="165" t="str">
        <x:f>IF(AND(M$5&gt;=$C262,M$5&lt;=$D262,$A262&lt;&gt;""),"●","")</x:f>
      </x:c>
      <x:c r="N262" s="165" t="str">
        <x:f>IF(AND(N$5&gt;=$C262,N$5&lt;=$D262,$A262&lt;&gt;""),"●","")</x:f>
      </x:c>
      <x:c r="O262" s="165" t="str">
        <x:f>IF(AND(O$5&gt;=$C262,O$5&lt;=$D262,$A262&lt;&gt;""),"●","")</x:f>
      </x:c>
      <x:c r="P262" s="165" t="str">
        <x:f>IF(AND(P$5&gt;=$C262,P$5&lt;=$D262,$A262&lt;&gt;""),"●","")</x:f>
      </x:c>
      <x:c r="Q262" s="165" t="str">
        <x:f>IF(AND(Q$5&gt;=$C262,Q$5&lt;=$D262,$A262&lt;&gt;""),"●","")</x:f>
      </x:c>
      <x:c r="R262" s="165" t="str">
        <x:f>IF(AND(R$5&gt;=$C262,R$5&lt;=$D262,$A262&lt;&gt;""),"●","")</x:f>
      </x:c>
      <x:c r="S262" s="165" t="str">
        <x:f>IF(AND(S$5&gt;=$C262,S$5&lt;=$D262,$A262&lt;&gt;""),"●","")</x:f>
      </x:c>
      <x:c r="T262" s="165" t="str">
        <x:f>IF(AND(T$5&gt;=$C262,T$5&lt;=$D262,$A262&lt;&gt;""),"●","")</x:f>
      </x:c>
      <x:c r="U262" s="165" t="str">
        <x:f>IF(AND(U$5&gt;=$C262,U$5&lt;=$D262,$A262&lt;&gt;""),"●","")</x:f>
      </x:c>
      <x:c r="V262" s="165" t="str">
        <x:f>IF(AND(V$5&gt;=$C262,V$5&lt;=$D262,$A262&lt;&gt;""),"●","")</x:f>
      </x:c>
      <x:c r="W262" s="165" t="str">
        <x:f>IF(AND(W$5&gt;=$C262,W$5&lt;=$D262,$A262&lt;&gt;""),"●","")</x:f>
      </x:c>
      <x:c r="X262" s="165" t="str">
        <x:f>IF(AND(X$5&gt;=$C262,X$5&lt;=$D262,$A262&lt;&gt;""),"●","")</x:f>
      </x:c>
      <x:c r="Y262" s="165" t="str">
        <x:f>IF(AND(Y$5&gt;=$C262,Y$5&lt;=$D262,$A262&lt;&gt;""),"●","")</x:f>
      </x:c>
      <x:c r="Z262" s="165" t="str">
        <x:f>IF(AND(Z$5&gt;=$C262,Z$5&lt;=$D262,$A262&lt;&gt;""),"●","")</x:f>
      </x:c>
      <x:c r="AA262" s="165" t="str">
        <x:f>IF(AND(AA$5&gt;=$C262,AA$5&lt;=$D262,$A262&lt;&gt;""),"●","")</x:f>
      </x:c>
      <x:c r="AB262" s="165" t="str">
        <x:f>IF(AND(AB$5&gt;=$C262,AB$5&lt;=$D262,$A262&lt;&gt;""),"●","")</x:f>
      </x:c>
      <x:c r="AC262" s="165" t="str">
        <x:f>IF(AND(AC$5&gt;=$C262,AC$5&lt;=$D262,$A262&lt;&gt;""),"●","")</x:f>
      </x:c>
      <x:c r="AD262" s="165" t="str">
        <x:f>IF(AND(AD$5&gt;=$C262,AD$5&lt;=$D262,$A262&lt;&gt;""),"●","")</x:f>
      </x:c>
      <x:c r="AE262" s="165" t="str">
        <x:f>IF(AND(AE$5&gt;=$C262,AE$5&lt;=$D262,$A262&lt;&gt;""),"●","")</x:f>
      </x:c>
      <x:c r="AF262" s="165" t="str">
        <x:f>IF(AND(AF$5&gt;=$C262,AF$5&lt;=$D262,$A262&lt;&gt;""),"●","")</x:f>
      </x:c>
      <x:c r="AG262" s="165" t="str">
        <x:f>IF(AND(AG$5&gt;=$C262,AG$5&lt;=$D262,$A262&lt;&gt;""),"●","")</x:f>
      </x:c>
      <x:c r="AH262" s="165" t="str">
        <x:f>IF(AND(AH$5&gt;=$C262,AH$5&lt;=$D262,$A262&lt;&gt;""),"●","")</x:f>
      </x:c>
      <x:c r="AI262" s="165" t="str">
        <x:f>IF(AND(AI$5&gt;=$C262,AI$5&lt;=$D262,$A262&lt;&gt;""),"●","")</x:f>
      </x:c>
      <x:c r="AJ262" s="165" t="str">
        <x:f>IF(AND(AJ$5&gt;=$C262,AJ$5&lt;=$D262,$A262&lt;&gt;""),"●","")</x:f>
      </x:c>
      <x:c r="AK262" s="165" t="str">
        <x:f>IF(AND(AK$5&gt;=$C262,AK$5&lt;=$D262,$A262&lt;&gt;""),"●","")</x:f>
      </x:c>
      <x:c r="AL262" s="165" t="str">
        <x:f>IF(AND(AL$5&gt;=$C262,AL$5&lt;=$D262,$A262&lt;&gt;""),"●","")</x:f>
      </x:c>
      <x:c r="AM262" s="165" t="str">
        <x:f>IF(AND(AM$5&gt;=$C262,AM$5&lt;=$D262,$A262&lt;&gt;""),"●","")</x:f>
      </x:c>
      <x:c r="AN262" s="165" t="str">
        <x:f>IF(AND(AN$5&gt;=$C262,AN$5&lt;=$D262,$A262&lt;&gt;""),"●","")</x:f>
      </x:c>
      <x:c r="AO262" s="165" t="str">
        <x:f>IF(AND(AO$5&gt;=$C262,AO$5&lt;=$D262,$A262&lt;&gt;""),"●","")</x:f>
      </x:c>
      <x:c r="AP262" s="165" t="str">
        <x:f>IF(AND(AP$5&gt;=$C262,AP$5&lt;=$D262,$A262&lt;&gt;""),"●","")</x:f>
      </x:c>
      <x:c r="AQ262" s="165" t="str">
        <x:f>IF(AND(AQ$5&gt;=$C262,AQ$5&lt;=$D262,$A262&lt;&gt;""),"●","")</x:f>
      </x:c>
      <x:c r="AR262" s="165" t="str">
        <x:f>IF(AND(AR$5&gt;=$C262,AR$5&lt;=$D262,$A262&lt;&gt;""),"●","")</x:f>
      </x:c>
      <x:c r="AS262" s="165" t="str">
        <x:f>IF(AND(AS$5&gt;=$C262,AS$5&lt;=$D262,$A262&lt;&gt;""),"●","")</x:f>
      </x:c>
      <x:c r="AT262" s="165" t="str">
        <x:f>IF(AND(AT$5&gt;=$C262,AT$5&lt;=$D262,$A262&lt;&gt;""),"●","")</x:f>
      </x:c>
      <x:c r="AU262" s="165" t="str">
        <x:f>IF(AND(AU$5&gt;=$C262,AU$5&lt;=$D262,$A262&lt;&gt;""),"●","")</x:f>
      </x:c>
      <x:c r="AV262" s="165" t="str">
        <x:f>IF(AND(AV$5&gt;=$C262,AV$5&lt;=$D262,$A262&lt;&gt;""),"●","")</x:f>
      </x:c>
      <x:c r="AW262" s="165" t="str">
        <x:f>IF(AND(AW$5&gt;=$C262,AW$5&lt;=$D262,$A262&lt;&gt;""),"●","")</x:f>
      </x:c>
      <x:c r="AX262" s="165" t="str">
        <x:f>IF(AND(AX$5&gt;=$C262,AX$5&lt;=$D262,$A262&lt;&gt;""),"●","")</x:f>
      </x:c>
      <x:c r="AY262" s="165" t="str">
        <x:f>IF(AND(AY$5&gt;=$C262,AY$5&lt;=$D262,$A262&lt;&gt;""),"●","")</x:f>
      </x:c>
      <x:c r="AZ262" s="165" t="str">
        <x:f>IF(AND(AZ$5&gt;=$C262,AZ$5&lt;=$D262,$A262&lt;&gt;""),"●","")</x:f>
      </x:c>
      <x:c r="BA262" s="165" t="str">
        <x:f>IF(AND(BA$5&gt;=$C262,BA$5&lt;=$D262,$A262&lt;&gt;""),"●","")</x:f>
      </x:c>
      <x:c r="BB262" s="165" t="str">
        <x:f>IF(AND(BB$5&gt;=$C262,BB$5&lt;=$D262,$A262&lt;&gt;""),"●","")</x:f>
      </x:c>
      <x:c r="BC262" s="165" t="str">
        <x:f>IF(AND(BC$5&gt;=$C262,BC$5&lt;=$D262,$A262&lt;&gt;""),"●","")</x:f>
      </x:c>
      <x:c r="BD262" s="165" t="str">
        <x:f>IF(AND(BD$5&gt;=$C262,BD$5&lt;=$D262,$A262&lt;&gt;""),"●","")</x:f>
      </x:c>
      <x:c r="BE262" s="165" t="str">
        <x:f>IF(AND(BE$5&gt;=$C262,BE$5&lt;=$D262,$A262&lt;&gt;""),"●","")</x:f>
      </x:c>
      <x:c r="BF262" s="165" t="str">
        <x:f>IF(AND(BF$5&gt;=$C262,BF$5&lt;=$D262,$A262&lt;&gt;""),"●","")</x:f>
      </x:c>
      <x:c r="BG262" s="165" t="str">
        <x:f>IF(AND(BG$5&gt;=$C262,BG$5&lt;=$D262,$A262&lt;&gt;""),"●","")</x:f>
      </x:c>
      <x:c r="BH262" s="165" t="str">
        <x:f>IF(AND(BH$5&gt;=$C262,BH$5&lt;=$D262,$A262&lt;&gt;""),"●","")</x:f>
      </x:c>
      <x:c r="BI262" s="165" t="str">
        <x:f>IF(AND(BI$5&gt;=$C262,BI$5&lt;=$D262,$A262&lt;&gt;""),"●","")</x:f>
      </x:c>
      <x:c r="BJ262" s="165" t="str">
        <x:f>IF(AND(BJ$5&gt;=$C262,BJ$5&lt;=$D262,$A262&lt;&gt;""),"●","")</x:f>
      </x:c>
      <x:c r="BK262" s="165" t="str">
        <x:f>IF(AND(BK$5&gt;=$C262,BK$5&lt;=$D262,$A262&lt;&gt;""),"●","")</x:f>
      </x:c>
      <x:c r="BL262" s="165" t="str">
        <x:f>IF(AND(BL$5&gt;=$C262,BL$5&lt;=$D262,$A262&lt;&gt;""),"●","")</x:f>
      </x:c>
      <x:c r="BM262" s="165" t="str">
        <x:f>IF(AND(BM$5&gt;=$C262,BM$5&lt;=$D262,$A262&lt;&gt;""),"●","")</x:f>
      </x:c>
      <x:c r="BN262" s="165" t="str">
        <x:f>IF(AND(BN$5&gt;=$C262,BN$5&lt;=$D262,$A262&lt;&gt;""),"●","")</x:f>
      </x:c>
      <x:c r="BO262" s="165" t="str">
        <x:f>IF(AND(BO$5&gt;=$C262,BO$5&lt;=$D262,$A262&lt;&gt;""),"●","")</x:f>
      </x:c>
      <x:c r="BP262" s="165" t="str">
        <x:f>IF(AND(BP$5&gt;=$C262,BP$5&lt;=$D262,$A262&lt;&gt;""),"●","")</x:f>
      </x:c>
      <x:c r="BQ262" s="165" t="str">
        <x:f>IF(AND(BQ$5&gt;=$C262,BQ$5&lt;=$D262,$A262&lt;&gt;""),"●","")</x:f>
      </x:c>
      <x:c r="BR262" s="165" t="str">
        <x:f>IF(AND(BR$5&gt;=$C262,BR$5&lt;=$D262,$A262&lt;&gt;""),"●","")</x:f>
      </x:c>
      <x:c r="BS262" s="165" t="str">
        <x:f>IF(AND(BS$5&gt;=$C262,BS$5&lt;=$D262,$A262&lt;&gt;""),"●","")</x:f>
      </x:c>
      <x:c r="BT262" s="165" t="str">
        <x:f>IF(AND(BT$5&gt;=$C262,BT$5&lt;=$D262,$A262&lt;&gt;""),"●","")</x:f>
      </x:c>
      <x:c r="BU262" s="165" t="str">
        <x:f>IF(AND(BU$5&gt;=$C262,BU$5&lt;=$D262,$A262&lt;&gt;""),"●","")</x:f>
      </x:c>
      <x:c r="BV262" s="165" t="str">
        <x:f>IF(AND(BV$5&gt;=$C262,BV$5&lt;=$D262,$A262&lt;&gt;""),"●","")</x:f>
      </x:c>
      <x:c r="BW262" s="165" t="str">
        <x:f>IF(AND(BW$5&gt;=$C262,BW$5&lt;=$D262,$A262&lt;&gt;""),"●","")</x:f>
      </x:c>
    </x:row>
    <x:row r="263">
      <x:c r="A263" s="159" t="str">
        <x:f>IF('รายการสัญญา'!A263="","",'รายการสัญญา'!A263)</x:f>
      </x:c>
      <x:c r="B263" s="159" t="str">
        <x:f>IF('รายการสัญญา'!A263="","",'รายการสัญญา'!C263)</x:f>
      </x:c>
      <x:c r="C263" s="162" t="str">
        <x:f>IF('รายการสัญญา'!A263="","",'รายการสัญญา'!E263)</x:f>
      </x:c>
      <x:c r="D263" s="162" t="str">
        <x:f>IF('รายการสัญญา'!A263="","",'รายการสัญญา'!G263)</x:f>
      </x:c>
      <x:c r="E263" s="159" t="str">
        <x:f>IF('รายการสัญญา'!A263="","",'รายการสัญญา'!K263)</x:f>
      </x:c>
      <x:c r="F263" s="165" t="str">
        <x:f>IF(AND(F$5&gt;=$C263,F$5&lt;=$D263,$A263&lt;&gt;""),"●","")</x:f>
      </x:c>
      <x:c r="G263" s="165" t="str">
        <x:f>IF(AND(G$5&gt;=$C263,G$5&lt;=$D263,$A263&lt;&gt;""),"●","")</x:f>
      </x:c>
      <x:c r="H263" s="165" t="str">
        <x:f>IF(AND(H$5&gt;=$C263,H$5&lt;=$D263,$A263&lt;&gt;""),"●","")</x:f>
      </x:c>
      <x:c r="I263" s="165" t="str">
        <x:f>IF(AND(I$5&gt;=$C263,I$5&lt;=$D263,$A263&lt;&gt;""),"●","")</x:f>
      </x:c>
      <x:c r="J263" s="165" t="str">
        <x:f>IF(AND(J$5&gt;=$C263,J$5&lt;=$D263,$A263&lt;&gt;""),"●","")</x:f>
      </x:c>
      <x:c r="K263" s="165" t="str">
        <x:f>IF(AND(K$5&gt;=$C263,K$5&lt;=$D263,$A263&lt;&gt;""),"●","")</x:f>
      </x:c>
      <x:c r="L263" s="165" t="str">
        <x:f>IF(AND(L$5&gt;=$C263,L$5&lt;=$D263,$A263&lt;&gt;""),"●","")</x:f>
      </x:c>
      <x:c r="M263" s="165" t="str">
        <x:f>IF(AND(M$5&gt;=$C263,M$5&lt;=$D263,$A263&lt;&gt;""),"●","")</x:f>
      </x:c>
      <x:c r="N263" s="165" t="str">
        <x:f>IF(AND(N$5&gt;=$C263,N$5&lt;=$D263,$A263&lt;&gt;""),"●","")</x:f>
      </x:c>
      <x:c r="O263" s="165" t="str">
        <x:f>IF(AND(O$5&gt;=$C263,O$5&lt;=$D263,$A263&lt;&gt;""),"●","")</x:f>
      </x:c>
      <x:c r="P263" s="165" t="str">
        <x:f>IF(AND(P$5&gt;=$C263,P$5&lt;=$D263,$A263&lt;&gt;""),"●","")</x:f>
      </x:c>
      <x:c r="Q263" s="165" t="str">
        <x:f>IF(AND(Q$5&gt;=$C263,Q$5&lt;=$D263,$A263&lt;&gt;""),"●","")</x:f>
      </x:c>
      <x:c r="R263" s="165" t="str">
        <x:f>IF(AND(R$5&gt;=$C263,R$5&lt;=$D263,$A263&lt;&gt;""),"●","")</x:f>
      </x:c>
      <x:c r="S263" s="165" t="str">
        <x:f>IF(AND(S$5&gt;=$C263,S$5&lt;=$D263,$A263&lt;&gt;""),"●","")</x:f>
      </x:c>
      <x:c r="T263" s="165" t="str">
        <x:f>IF(AND(T$5&gt;=$C263,T$5&lt;=$D263,$A263&lt;&gt;""),"●","")</x:f>
      </x:c>
      <x:c r="U263" s="165" t="str">
        <x:f>IF(AND(U$5&gt;=$C263,U$5&lt;=$D263,$A263&lt;&gt;""),"●","")</x:f>
      </x:c>
      <x:c r="V263" s="165" t="str">
        <x:f>IF(AND(V$5&gt;=$C263,V$5&lt;=$D263,$A263&lt;&gt;""),"●","")</x:f>
      </x:c>
      <x:c r="W263" s="165" t="str">
        <x:f>IF(AND(W$5&gt;=$C263,W$5&lt;=$D263,$A263&lt;&gt;""),"●","")</x:f>
      </x:c>
      <x:c r="X263" s="165" t="str">
        <x:f>IF(AND(X$5&gt;=$C263,X$5&lt;=$D263,$A263&lt;&gt;""),"●","")</x:f>
      </x:c>
      <x:c r="Y263" s="165" t="str">
        <x:f>IF(AND(Y$5&gt;=$C263,Y$5&lt;=$D263,$A263&lt;&gt;""),"●","")</x:f>
      </x:c>
      <x:c r="Z263" s="165" t="str">
        <x:f>IF(AND(Z$5&gt;=$C263,Z$5&lt;=$D263,$A263&lt;&gt;""),"●","")</x:f>
      </x:c>
      <x:c r="AA263" s="165" t="str">
        <x:f>IF(AND(AA$5&gt;=$C263,AA$5&lt;=$D263,$A263&lt;&gt;""),"●","")</x:f>
      </x:c>
      <x:c r="AB263" s="165" t="str">
        <x:f>IF(AND(AB$5&gt;=$C263,AB$5&lt;=$D263,$A263&lt;&gt;""),"●","")</x:f>
      </x:c>
      <x:c r="AC263" s="165" t="str">
        <x:f>IF(AND(AC$5&gt;=$C263,AC$5&lt;=$D263,$A263&lt;&gt;""),"●","")</x:f>
      </x:c>
      <x:c r="AD263" s="165" t="str">
        <x:f>IF(AND(AD$5&gt;=$C263,AD$5&lt;=$D263,$A263&lt;&gt;""),"●","")</x:f>
      </x:c>
      <x:c r="AE263" s="165" t="str">
        <x:f>IF(AND(AE$5&gt;=$C263,AE$5&lt;=$D263,$A263&lt;&gt;""),"●","")</x:f>
      </x:c>
      <x:c r="AF263" s="165" t="str">
        <x:f>IF(AND(AF$5&gt;=$C263,AF$5&lt;=$D263,$A263&lt;&gt;""),"●","")</x:f>
      </x:c>
      <x:c r="AG263" s="165" t="str">
        <x:f>IF(AND(AG$5&gt;=$C263,AG$5&lt;=$D263,$A263&lt;&gt;""),"●","")</x:f>
      </x:c>
      <x:c r="AH263" s="165" t="str">
        <x:f>IF(AND(AH$5&gt;=$C263,AH$5&lt;=$D263,$A263&lt;&gt;""),"●","")</x:f>
      </x:c>
      <x:c r="AI263" s="165" t="str">
        <x:f>IF(AND(AI$5&gt;=$C263,AI$5&lt;=$D263,$A263&lt;&gt;""),"●","")</x:f>
      </x:c>
      <x:c r="AJ263" s="165" t="str">
        <x:f>IF(AND(AJ$5&gt;=$C263,AJ$5&lt;=$D263,$A263&lt;&gt;""),"●","")</x:f>
      </x:c>
      <x:c r="AK263" s="165" t="str">
        <x:f>IF(AND(AK$5&gt;=$C263,AK$5&lt;=$D263,$A263&lt;&gt;""),"●","")</x:f>
      </x:c>
      <x:c r="AL263" s="165" t="str">
        <x:f>IF(AND(AL$5&gt;=$C263,AL$5&lt;=$D263,$A263&lt;&gt;""),"●","")</x:f>
      </x:c>
      <x:c r="AM263" s="165" t="str">
        <x:f>IF(AND(AM$5&gt;=$C263,AM$5&lt;=$D263,$A263&lt;&gt;""),"●","")</x:f>
      </x:c>
      <x:c r="AN263" s="165" t="str">
        <x:f>IF(AND(AN$5&gt;=$C263,AN$5&lt;=$D263,$A263&lt;&gt;""),"●","")</x:f>
      </x:c>
      <x:c r="AO263" s="165" t="str">
        <x:f>IF(AND(AO$5&gt;=$C263,AO$5&lt;=$D263,$A263&lt;&gt;""),"●","")</x:f>
      </x:c>
      <x:c r="AP263" s="165" t="str">
        <x:f>IF(AND(AP$5&gt;=$C263,AP$5&lt;=$D263,$A263&lt;&gt;""),"●","")</x:f>
      </x:c>
      <x:c r="AQ263" s="165" t="str">
        <x:f>IF(AND(AQ$5&gt;=$C263,AQ$5&lt;=$D263,$A263&lt;&gt;""),"●","")</x:f>
      </x:c>
      <x:c r="AR263" s="165" t="str">
        <x:f>IF(AND(AR$5&gt;=$C263,AR$5&lt;=$D263,$A263&lt;&gt;""),"●","")</x:f>
      </x:c>
      <x:c r="AS263" s="165" t="str">
        <x:f>IF(AND(AS$5&gt;=$C263,AS$5&lt;=$D263,$A263&lt;&gt;""),"●","")</x:f>
      </x:c>
      <x:c r="AT263" s="165" t="str">
        <x:f>IF(AND(AT$5&gt;=$C263,AT$5&lt;=$D263,$A263&lt;&gt;""),"●","")</x:f>
      </x:c>
      <x:c r="AU263" s="165" t="str">
        <x:f>IF(AND(AU$5&gt;=$C263,AU$5&lt;=$D263,$A263&lt;&gt;""),"●","")</x:f>
      </x:c>
      <x:c r="AV263" s="165" t="str">
        <x:f>IF(AND(AV$5&gt;=$C263,AV$5&lt;=$D263,$A263&lt;&gt;""),"●","")</x:f>
      </x:c>
      <x:c r="AW263" s="165" t="str">
        <x:f>IF(AND(AW$5&gt;=$C263,AW$5&lt;=$D263,$A263&lt;&gt;""),"●","")</x:f>
      </x:c>
      <x:c r="AX263" s="165" t="str">
        <x:f>IF(AND(AX$5&gt;=$C263,AX$5&lt;=$D263,$A263&lt;&gt;""),"●","")</x:f>
      </x:c>
      <x:c r="AY263" s="165" t="str">
        <x:f>IF(AND(AY$5&gt;=$C263,AY$5&lt;=$D263,$A263&lt;&gt;""),"●","")</x:f>
      </x:c>
      <x:c r="AZ263" s="165" t="str">
        <x:f>IF(AND(AZ$5&gt;=$C263,AZ$5&lt;=$D263,$A263&lt;&gt;""),"●","")</x:f>
      </x:c>
      <x:c r="BA263" s="165" t="str">
        <x:f>IF(AND(BA$5&gt;=$C263,BA$5&lt;=$D263,$A263&lt;&gt;""),"●","")</x:f>
      </x:c>
      <x:c r="BB263" s="165" t="str">
        <x:f>IF(AND(BB$5&gt;=$C263,BB$5&lt;=$D263,$A263&lt;&gt;""),"●","")</x:f>
      </x:c>
      <x:c r="BC263" s="165" t="str">
        <x:f>IF(AND(BC$5&gt;=$C263,BC$5&lt;=$D263,$A263&lt;&gt;""),"●","")</x:f>
      </x:c>
      <x:c r="BD263" s="165" t="str">
        <x:f>IF(AND(BD$5&gt;=$C263,BD$5&lt;=$D263,$A263&lt;&gt;""),"●","")</x:f>
      </x:c>
      <x:c r="BE263" s="165" t="str">
        <x:f>IF(AND(BE$5&gt;=$C263,BE$5&lt;=$D263,$A263&lt;&gt;""),"●","")</x:f>
      </x:c>
      <x:c r="BF263" s="165" t="str">
        <x:f>IF(AND(BF$5&gt;=$C263,BF$5&lt;=$D263,$A263&lt;&gt;""),"●","")</x:f>
      </x:c>
      <x:c r="BG263" s="165" t="str">
        <x:f>IF(AND(BG$5&gt;=$C263,BG$5&lt;=$D263,$A263&lt;&gt;""),"●","")</x:f>
      </x:c>
      <x:c r="BH263" s="165" t="str">
        <x:f>IF(AND(BH$5&gt;=$C263,BH$5&lt;=$D263,$A263&lt;&gt;""),"●","")</x:f>
      </x:c>
      <x:c r="BI263" s="165" t="str">
        <x:f>IF(AND(BI$5&gt;=$C263,BI$5&lt;=$D263,$A263&lt;&gt;""),"●","")</x:f>
      </x:c>
      <x:c r="BJ263" s="165" t="str">
        <x:f>IF(AND(BJ$5&gt;=$C263,BJ$5&lt;=$D263,$A263&lt;&gt;""),"●","")</x:f>
      </x:c>
      <x:c r="BK263" s="165" t="str">
        <x:f>IF(AND(BK$5&gt;=$C263,BK$5&lt;=$D263,$A263&lt;&gt;""),"●","")</x:f>
      </x:c>
      <x:c r="BL263" s="165" t="str">
        <x:f>IF(AND(BL$5&gt;=$C263,BL$5&lt;=$D263,$A263&lt;&gt;""),"●","")</x:f>
      </x:c>
      <x:c r="BM263" s="165" t="str">
        <x:f>IF(AND(BM$5&gt;=$C263,BM$5&lt;=$D263,$A263&lt;&gt;""),"●","")</x:f>
      </x:c>
      <x:c r="BN263" s="165" t="str">
        <x:f>IF(AND(BN$5&gt;=$C263,BN$5&lt;=$D263,$A263&lt;&gt;""),"●","")</x:f>
      </x:c>
      <x:c r="BO263" s="165" t="str">
        <x:f>IF(AND(BO$5&gt;=$C263,BO$5&lt;=$D263,$A263&lt;&gt;""),"●","")</x:f>
      </x:c>
      <x:c r="BP263" s="165" t="str">
        <x:f>IF(AND(BP$5&gt;=$C263,BP$5&lt;=$D263,$A263&lt;&gt;""),"●","")</x:f>
      </x:c>
      <x:c r="BQ263" s="165" t="str">
        <x:f>IF(AND(BQ$5&gt;=$C263,BQ$5&lt;=$D263,$A263&lt;&gt;""),"●","")</x:f>
      </x:c>
      <x:c r="BR263" s="165" t="str">
        <x:f>IF(AND(BR$5&gt;=$C263,BR$5&lt;=$D263,$A263&lt;&gt;""),"●","")</x:f>
      </x:c>
      <x:c r="BS263" s="165" t="str">
        <x:f>IF(AND(BS$5&gt;=$C263,BS$5&lt;=$D263,$A263&lt;&gt;""),"●","")</x:f>
      </x:c>
      <x:c r="BT263" s="165" t="str">
        <x:f>IF(AND(BT$5&gt;=$C263,BT$5&lt;=$D263,$A263&lt;&gt;""),"●","")</x:f>
      </x:c>
      <x:c r="BU263" s="165" t="str">
        <x:f>IF(AND(BU$5&gt;=$C263,BU$5&lt;=$D263,$A263&lt;&gt;""),"●","")</x:f>
      </x:c>
      <x:c r="BV263" s="165" t="str">
        <x:f>IF(AND(BV$5&gt;=$C263,BV$5&lt;=$D263,$A263&lt;&gt;""),"●","")</x:f>
      </x:c>
      <x:c r="BW263" s="165" t="str">
        <x:f>IF(AND(BW$5&gt;=$C263,BW$5&lt;=$D263,$A263&lt;&gt;""),"●","")</x:f>
      </x:c>
    </x:row>
    <x:row r="264">
      <x:c r="A264" s="159" t="str">
        <x:f>IF('รายการสัญญา'!A264="","",'รายการสัญญา'!A264)</x:f>
      </x:c>
      <x:c r="B264" s="159" t="str">
        <x:f>IF('รายการสัญญา'!A264="","",'รายการสัญญา'!C264)</x:f>
      </x:c>
      <x:c r="C264" s="162" t="str">
        <x:f>IF('รายการสัญญา'!A264="","",'รายการสัญญา'!E264)</x:f>
      </x:c>
      <x:c r="D264" s="162" t="str">
        <x:f>IF('รายการสัญญา'!A264="","",'รายการสัญญา'!G264)</x:f>
      </x:c>
      <x:c r="E264" s="159" t="str">
        <x:f>IF('รายการสัญญา'!A264="","",'รายการสัญญา'!K264)</x:f>
      </x:c>
      <x:c r="F264" s="165" t="str">
        <x:f>IF(AND(F$5&gt;=$C264,F$5&lt;=$D264,$A264&lt;&gt;""),"●","")</x:f>
      </x:c>
      <x:c r="G264" s="165" t="str">
        <x:f>IF(AND(G$5&gt;=$C264,G$5&lt;=$D264,$A264&lt;&gt;""),"●","")</x:f>
      </x:c>
      <x:c r="H264" s="165" t="str">
        <x:f>IF(AND(H$5&gt;=$C264,H$5&lt;=$D264,$A264&lt;&gt;""),"●","")</x:f>
      </x:c>
      <x:c r="I264" s="165" t="str">
        <x:f>IF(AND(I$5&gt;=$C264,I$5&lt;=$D264,$A264&lt;&gt;""),"●","")</x:f>
      </x:c>
      <x:c r="J264" s="165" t="str">
        <x:f>IF(AND(J$5&gt;=$C264,J$5&lt;=$D264,$A264&lt;&gt;""),"●","")</x:f>
      </x:c>
      <x:c r="K264" s="165" t="str">
        <x:f>IF(AND(K$5&gt;=$C264,K$5&lt;=$D264,$A264&lt;&gt;""),"●","")</x:f>
      </x:c>
      <x:c r="L264" s="165" t="str">
        <x:f>IF(AND(L$5&gt;=$C264,L$5&lt;=$D264,$A264&lt;&gt;""),"●","")</x:f>
      </x:c>
      <x:c r="M264" s="165" t="str">
        <x:f>IF(AND(M$5&gt;=$C264,M$5&lt;=$D264,$A264&lt;&gt;""),"●","")</x:f>
      </x:c>
      <x:c r="N264" s="165" t="str">
        <x:f>IF(AND(N$5&gt;=$C264,N$5&lt;=$D264,$A264&lt;&gt;""),"●","")</x:f>
      </x:c>
      <x:c r="O264" s="165" t="str">
        <x:f>IF(AND(O$5&gt;=$C264,O$5&lt;=$D264,$A264&lt;&gt;""),"●","")</x:f>
      </x:c>
      <x:c r="P264" s="165" t="str">
        <x:f>IF(AND(P$5&gt;=$C264,P$5&lt;=$D264,$A264&lt;&gt;""),"●","")</x:f>
      </x:c>
      <x:c r="Q264" s="165" t="str">
        <x:f>IF(AND(Q$5&gt;=$C264,Q$5&lt;=$D264,$A264&lt;&gt;""),"●","")</x:f>
      </x:c>
      <x:c r="R264" s="165" t="str">
        <x:f>IF(AND(R$5&gt;=$C264,R$5&lt;=$D264,$A264&lt;&gt;""),"●","")</x:f>
      </x:c>
      <x:c r="S264" s="165" t="str">
        <x:f>IF(AND(S$5&gt;=$C264,S$5&lt;=$D264,$A264&lt;&gt;""),"●","")</x:f>
      </x:c>
      <x:c r="T264" s="165" t="str">
        <x:f>IF(AND(T$5&gt;=$C264,T$5&lt;=$D264,$A264&lt;&gt;""),"●","")</x:f>
      </x:c>
      <x:c r="U264" s="165" t="str">
        <x:f>IF(AND(U$5&gt;=$C264,U$5&lt;=$D264,$A264&lt;&gt;""),"●","")</x:f>
      </x:c>
      <x:c r="V264" s="165" t="str">
        <x:f>IF(AND(V$5&gt;=$C264,V$5&lt;=$D264,$A264&lt;&gt;""),"●","")</x:f>
      </x:c>
      <x:c r="W264" s="165" t="str">
        <x:f>IF(AND(W$5&gt;=$C264,W$5&lt;=$D264,$A264&lt;&gt;""),"●","")</x:f>
      </x:c>
      <x:c r="X264" s="165" t="str">
        <x:f>IF(AND(X$5&gt;=$C264,X$5&lt;=$D264,$A264&lt;&gt;""),"●","")</x:f>
      </x:c>
      <x:c r="Y264" s="165" t="str">
        <x:f>IF(AND(Y$5&gt;=$C264,Y$5&lt;=$D264,$A264&lt;&gt;""),"●","")</x:f>
      </x:c>
      <x:c r="Z264" s="165" t="str">
        <x:f>IF(AND(Z$5&gt;=$C264,Z$5&lt;=$D264,$A264&lt;&gt;""),"●","")</x:f>
      </x:c>
      <x:c r="AA264" s="165" t="str">
        <x:f>IF(AND(AA$5&gt;=$C264,AA$5&lt;=$D264,$A264&lt;&gt;""),"●","")</x:f>
      </x:c>
      <x:c r="AB264" s="165" t="str">
        <x:f>IF(AND(AB$5&gt;=$C264,AB$5&lt;=$D264,$A264&lt;&gt;""),"●","")</x:f>
      </x:c>
      <x:c r="AC264" s="165" t="str">
        <x:f>IF(AND(AC$5&gt;=$C264,AC$5&lt;=$D264,$A264&lt;&gt;""),"●","")</x:f>
      </x:c>
      <x:c r="AD264" s="165" t="str">
        <x:f>IF(AND(AD$5&gt;=$C264,AD$5&lt;=$D264,$A264&lt;&gt;""),"●","")</x:f>
      </x:c>
      <x:c r="AE264" s="165" t="str">
        <x:f>IF(AND(AE$5&gt;=$C264,AE$5&lt;=$D264,$A264&lt;&gt;""),"●","")</x:f>
      </x:c>
      <x:c r="AF264" s="165" t="str">
        <x:f>IF(AND(AF$5&gt;=$C264,AF$5&lt;=$D264,$A264&lt;&gt;""),"●","")</x:f>
      </x:c>
      <x:c r="AG264" s="165" t="str">
        <x:f>IF(AND(AG$5&gt;=$C264,AG$5&lt;=$D264,$A264&lt;&gt;""),"●","")</x:f>
      </x:c>
      <x:c r="AH264" s="165" t="str">
        <x:f>IF(AND(AH$5&gt;=$C264,AH$5&lt;=$D264,$A264&lt;&gt;""),"●","")</x:f>
      </x:c>
      <x:c r="AI264" s="165" t="str">
        <x:f>IF(AND(AI$5&gt;=$C264,AI$5&lt;=$D264,$A264&lt;&gt;""),"●","")</x:f>
      </x:c>
      <x:c r="AJ264" s="165" t="str">
        <x:f>IF(AND(AJ$5&gt;=$C264,AJ$5&lt;=$D264,$A264&lt;&gt;""),"●","")</x:f>
      </x:c>
      <x:c r="AK264" s="165" t="str">
        <x:f>IF(AND(AK$5&gt;=$C264,AK$5&lt;=$D264,$A264&lt;&gt;""),"●","")</x:f>
      </x:c>
      <x:c r="AL264" s="165" t="str">
        <x:f>IF(AND(AL$5&gt;=$C264,AL$5&lt;=$D264,$A264&lt;&gt;""),"●","")</x:f>
      </x:c>
      <x:c r="AM264" s="165" t="str">
        <x:f>IF(AND(AM$5&gt;=$C264,AM$5&lt;=$D264,$A264&lt;&gt;""),"●","")</x:f>
      </x:c>
      <x:c r="AN264" s="165" t="str">
        <x:f>IF(AND(AN$5&gt;=$C264,AN$5&lt;=$D264,$A264&lt;&gt;""),"●","")</x:f>
      </x:c>
      <x:c r="AO264" s="165" t="str">
        <x:f>IF(AND(AO$5&gt;=$C264,AO$5&lt;=$D264,$A264&lt;&gt;""),"●","")</x:f>
      </x:c>
      <x:c r="AP264" s="165" t="str">
        <x:f>IF(AND(AP$5&gt;=$C264,AP$5&lt;=$D264,$A264&lt;&gt;""),"●","")</x:f>
      </x:c>
      <x:c r="AQ264" s="165" t="str">
        <x:f>IF(AND(AQ$5&gt;=$C264,AQ$5&lt;=$D264,$A264&lt;&gt;""),"●","")</x:f>
      </x:c>
      <x:c r="AR264" s="165" t="str">
        <x:f>IF(AND(AR$5&gt;=$C264,AR$5&lt;=$D264,$A264&lt;&gt;""),"●","")</x:f>
      </x:c>
      <x:c r="AS264" s="165" t="str">
        <x:f>IF(AND(AS$5&gt;=$C264,AS$5&lt;=$D264,$A264&lt;&gt;""),"●","")</x:f>
      </x:c>
      <x:c r="AT264" s="165" t="str">
        <x:f>IF(AND(AT$5&gt;=$C264,AT$5&lt;=$D264,$A264&lt;&gt;""),"●","")</x:f>
      </x:c>
      <x:c r="AU264" s="165" t="str">
        <x:f>IF(AND(AU$5&gt;=$C264,AU$5&lt;=$D264,$A264&lt;&gt;""),"●","")</x:f>
      </x:c>
      <x:c r="AV264" s="165" t="str">
        <x:f>IF(AND(AV$5&gt;=$C264,AV$5&lt;=$D264,$A264&lt;&gt;""),"●","")</x:f>
      </x:c>
      <x:c r="AW264" s="165" t="str">
        <x:f>IF(AND(AW$5&gt;=$C264,AW$5&lt;=$D264,$A264&lt;&gt;""),"●","")</x:f>
      </x:c>
      <x:c r="AX264" s="165" t="str">
        <x:f>IF(AND(AX$5&gt;=$C264,AX$5&lt;=$D264,$A264&lt;&gt;""),"●","")</x:f>
      </x:c>
      <x:c r="AY264" s="165" t="str">
        <x:f>IF(AND(AY$5&gt;=$C264,AY$5&lt;=$D264,$A264&lt;&gt;""),"●","")</x:f>
      </x:c>
      <x:c r="AZ264" s="165" t="str">
        <x:f>IF(AND(AZ$5&gt;=$C264,AZ$5&lt;=$D264,$A264&lt;&gt;""),"●","")</x:f>
      </x:c>
      <x:c r="BA264" s="165" t="str">
        <x:f>IF(AND(BA$5&gt;=$C264,BA$5&lt;=$D264,$A264&lt;&gt;""),"●","")</x:f>
      </x:c>
      <x:c r="BB264" s="165" t="str">
        <x:f>IF(AND(BB$5&gt;=$C264,BB$5&lt;=$D264,$A264&lt;&gt;""),"●","")</x:f>
      </x:c>
      <x:c r="BC264" s="165" t="str">
        <x:f>IF(AND(BC$5&gt;=$C264,BC$5&lt;=$D264,$A264&lt;&gt;""),"●","")</x:f>
      </x:c>
      <x:c r="BD264" s="165" t="str">
        <x:f>IF(AND(BD$5&gt;=$C264,BD$5&lt;=$D264,$A264&lt;&gt;""),"●","")</x:f>
      </x:c>
      <x:c r="BE264" s="165" t="str">
        <x:f>IF(AND(BE$5&gt;=$C264,BE$5&lt;=$D264,$A264&lt;&gt;""),"●","")</x:f>
      </x:c>
      <x:c r="BF264" s="165" t="str">
        <x:f>IF(AND(BF$5&gt;=$C264,BF$5&lt;=$D264,$A264&lt;&gt;""),"●","")</x:f>
      </x:c>
      <x:c r="BG264" s="165" t="str">
        <x:f>IF(AND(BG$5&gt;=$C264,BG$5&lt;=$D264,$A264&lt;&gt;""),"●","")</x:f>
      </x:c>
      <x:c r="BH264" s="165" t="str">
        <x:f>IF(AND(BH$5&gt;=$C264,BH$5&lt;=$D264,$A264&lt;&gt;""),"●","")</x:f>
      </x:c>
      <x:c r="BI264" s="165" t="str">
        <x:f>IF(AND(BI$5&gt;=$C264,BI$5&lt;=$D264,$A264&lt;&gt;""),"●","")</x:f>
      </x:c>
      <x:c r="BJ264" s="165" t="str">
        <x:f>IF(AND(BJ$5&gt;=$C264,BJ$5&lt;=$D264,$A264&lt;&gt;""),"●","")</x:f>
      </x:c>
      <x:c r="BK264" s="165" t="str">
        <x:f>IF(AND(BK$5&gt;=$C264,BK$5&lt;=$D264,$A264&lt;&gt;""),"●","")</x:f>
      </x:c>
      <x:c r="BL264" s="165" t="str">
        <x:f>IF(AND(BL$5&gt;=$C264,BL$5&lt;=$D264,$A264&lt;&gt;""),"●","")</x:f>
      </x:c>
      <x:c r="BM264" s="165" t="str">
        <x:f>IF(AND(BM$5&gt;=$C264,BM$5&lt;=$D264,$A264&lt;&gt;""),"●","")</x:f>
      </x:c>
      <x:c r="BN264" s="165" t="str">
        <x:f>IF(AND(BN$5&gt;=$C264,BN$5&lt;=$D264,$A264&lt;&gt;""),"●","")</x:f>
      </x:c>
      <x:c r="BO264" s="165" t="str">
        <x:f>IF(AND(BO$5&gt;=$C264,BO$5&lt;=$D264,$A264&lt;&gt;""),"●","")</x:f>
      </x:c>
      <x:c r="BP264" s="165" t="str">
        <x:f>IF(AND(BP$5&gt;=$C264,BP$5&lt;=$D264,$A264&lt;&gt;""),"●","")</x:f>
      </x:c>
      <x:c r="BQ264" s="165" t="str">
        <x:f>IF(AND(BQ$5&gt;=$C264,BQ$5&lt;=$D264,$A264&lt;&gt;""),"●","")</x:f>
      </x:c>
      <x:c r="BR264" s="165" t="str">
        <x:f>IF(AND(BR$5&gt;=$C264,BR$5&lt;=$D264,$A264&lt;&gt;""),"●","")</x:f>
      </x:c>
      <x:c r="BS264" s="165" t="str">
        <x:f>IF(AND(BS$5&gt;=$C264,BS$5&lt;=$D264,$A264&lt;&gt;""),"●","")</x:f>
      </x:c>
      <x:c r="BT264" s="165" t="str">
        <x:f>IF(AND(BT$5&gt;=$C264,BT$5&lt;=$D264,$A264&lt;&gt;""),"●","")</x:f>
      </x:c>
      <x:c r="BU264" s="165" t="str">
        <x:f>IF(AND(BU$5&gt;=$C264,BU$5&lt;=$D264,$A264&lt;&gt;""),"●","")</x:f>
      </x:c>
      <x:c r="BV264" s="165" t="str">
        <x:f>IF(AND(BV$5&gt;=$C264,BV$5&lt;=$D264,$A264&lt;&gt;""),"●","")</x:f>
      </x:c>
      <x:c r="BW264" s="165" t="str">
        <x:f>IF(AND(BW$5&gt;=$C264,BW$5&lt;=$D264,$A264&lt;&gt;""),"●","")</x:f>
      </x:c>
    </x:row>
    <x:row r="265">
      <x:c r="A265" s="159" t="str">
        <x:f>IF('รายการสัญญา'!A265="","",'รายการสัญญา'!A265)</x:f>
      </x:c>
      <x:c r="B265" s="159" t="str">
        <x:f>IF('รายการสัญญา'!A265="","",'รายการสัญญา'!C265)</x:f>
      </x:c>
      <x:c r="C265" s="162" t="str">
        <x:f>IF('รายการสัญญา'!A265="","",'รายการสัญญา'!E265)</x:f>
      </x:c>
      <x:c r="D265" s="162" t="str">
        <x:f>IF('รายการสัญญา'!A265="","",'รายการสัญญา'!G265)</x:f>
      </x:c>
      <x:c r="E265" s="159" t="str">
        <x:f>IF('รายการสัญญา'!A265="","",'รายการสัญญา'!K265)</x:f>
      </x:c>
      <x:c r="F265" s="165" t="str">
        <x:f>IF(AND(F$5&gt;=$C265,F$5&lt;=$D265,$A265&lt;&gt;""),"●","")</x:f>
      </x:c>
      <x:c r="G265" s="165" t="str">
        <x:f>IF(AND(G$5&gt;=$C265,G$5&lt;=$D265,$A265&lt;&gt;""),"●","")</x:f>
      </x:c>
      <x:c r="H265" s="165" t="str">
        <x:f>IF(AND(H$5&gt;=$C265,H$5&lt;=$D265,$A265&lt;&gt;""),"●","")</x:f>
      </x:c>
      <x:c r="I265" s="165" t="str">
        <x:f>IF(AND(I$5&gt;=$C265,I$5&lt;=$D265,$A265&lt;&gt;""),"●","")</x:f>
      </x:c>
      <x:c r="J265" s="165" t="str">
        <x:f>IF(AND(J$5&gt;=$C265,J$5&lt;=$D265,$A265&lt;&gt;""),"●","")</x:f>
      </x:c>
      <x:c r="K265" s="165" t="str">
        <x:f>IF(AND(K$5&gt;=$C265,K$5&lt;=$D265,$A265&lt;&gt;""),"●","")</x:f>
      </x:c>
      <x:c r="L265" s="165" t="str">
        <x:f>IF(AND(L$5&gt;=$C265,L$5&lt;=$D265,$A265&lt;&gt;""),"●","")</x:f>
      </x:c>
      <x:c r="M265" s="165" t="str">
        <x:f>IF(AND(M$5&gt;=$C265,M$5&lt;=$D265,$A265&lt;&gt;""),"●","")</x:f>
      </x:c>
      <x:c r="N265" s="165" t="str">
        <x:f>IF(AND(N$5&gt;=$C265,N$5&lt;=$D265,$A265&lt;&gt;""),"●","")</x:f>
      </x:c>
      <x:c r="O265" s="165" t="str">
        <x:f>IF(AND(O$5&gt;=$C265,O$5&lt;=$D265,$A265&lt;&gt;""),"●","")</x:f>
      </x:c>
      <x:c r="P265" s="165" t="str">
        <x:f>IF(AND(P$5&gt;=$C265,P$5&lt;=$D265,$A265&lt;&gt;""),"●","")</x:f>
      </x:c>
      <x:c r="Q265" s="165" t="str">
        <x:f>IF(AND(Q$5&gt;=$C265,Q$5&lt;=$D265,$A265&lt;&gt;""),"●","")</x:f>
      </x:c>
      <x:c r="R265" s="165" t="str">
        <x:f>IF(AND(R$5&gt;=$C265,R$5&lt;=$D265,$A265&lt;&gt;""),"●","")</x:f>
      </x:c>
      <x:c r="S265" s="165" t="str">
        <x:f>IF(AND(S$5&gt;=$C265,S$5&lt;=$D265,$A265&lt;&gt;""),"●","")</x:f>
      </x:c>
      <x:c r="T265" s="165" t="str">
        <x:f>IF(AND(T$5&gt;=$C265,T$5&lt;=$D265,$A265&lt;&gt;""),"●","")</x:f>
      </x:c>
      <x:c r="U265" s="165" t="str">
        <x:f>IF(AND(U$5&gt;=$C265,U$5&lt;=$D265,$A265&lt;&gt;""),"●","")</x:f>
      </x:c>
      <x:c r="V265" s="165" t="str">
        <x:f>IF(AND(V$5&gt;=$C265,V$5&lt;=$D265,$A265&lt;&gt;""),"●","")</x:f>
      </x:c>
      <x:c r="W265" s="165" t="str">
        <x:f>IF(AND(W$5&gt;=$C265,W$5&lt;=$D265,$A265&lt;&gt;""),"●","")</x:f>
      </x:c>
      <x:c r="X265" s="165" t="str">
        <x:f>IF(AND(X$5&gt;=$C265,X$5&lt;=$D265,$A265&lt;&gt;""),"●","")</x:f>
      </x:c>
      <x:c r="Y265" s="165" t="str">
        <x:f>IF(AND(Y$5&gt;=$C265,Y$5&lt;=$D265,$A265&lt;&gt;""),"●","")</x:f>
      </x:c>
      <x:c r="Z265" s="165" t="str">
        <x:f>IF(AND(Z$5&gt;=$C265,Z$5&lt;=$D265,$A265&lt;&gt;""),"●","")</x:f>
      </x:c>
      <x:c r="AA265" s="165" t="str">
        <x:f>IF(AND(AA$5&gt;=$C265,AA$5&lt;=$D265,$A265&lt;&gt;""),"●","")</x:f>
      </x:c>
      <x:c r="AB265" s="165" t="str">
        <x:f>IF(AND(AB$5&gt;=$C265,AB$5&lt;=$D265,$A265&lt;&gt;""),"●","")</x:f>
      </x:c>
      <x:c r="AC265" s="165" t="str">
        <x:f>IF(AND(AC$5&gt;=$C265,AC$5&lt;=$D265,$A265&lt;&gt;""),"●","")</x:f>
      </x:c>
      <x:c r="AD265" s="165" t="str">
        <x:f>IF(AND(AD$5&gt;=$C265,AD$5&lt;=$D265,$A265&lt;&gt;""),"●","")</x:f>
      </x:c>
      <x:c r="AE265" s="165" t="str">
        <x:f>IF(AND(AE$5&gt;=$C265,AE$5&lt;=$D265,$A265&lt;&gt;""),"●","")</x:f>
      </x:c>
      <x:c r="AF265" s="165" t="str">
        <x:f>IF(AND(AF$5&gt;=$C265,AF$5&lt;=$D265,$A265&lt;&gt;""),"●","")</x:f>
      </x:c>
      <x:c r="AG265" s="165" t="str">
        <x:f>IF(AND(AG$5&gt;=$C265,AG$5&lt;=$D265,$A265&lt;&gt;""),"●","")</x:f>
      </x:c>
      <x:c r="AH265" s="165" t="str">
        <x:f>IF(AND(AH$5&gt;=$C265,AH$5&lt;=$D265,$A265&lt;&gt;""),"●","")</x:f>
      </x:c>
      <x:c r="AI265" s="165" t="str">
        <x:f>IF(AND(AI$5&gt;=$C265,AI$5&lt;=$D265,$A265&lt;&gt;""),"●","")</x:f>
      </x:c>
      <x:c r="AJ265" s="165" t="str">
        <x:f>IF(AND(AJ$5&gt;=$C265,AJ$5&lt;=$D265,$A265&lt;&gt;""),"●","")</x:f>
      </x:c>
      <x:c r="AK265" s="165" t="str">
        <x:f>IF(AND(AK$5&gt;=$C265,AK$5&lt;=$D265,$A265&lt;&gt;""),"●","")</x:f>
      </x:c>
      <x:c r="AL265" s="165" t="str">
        <x:f>IF(AND(AL$5&gt;=$C265,AL$5&lt;=$D265,$A265&lt;&gt;""),"●","")</x:f>
      </x:c>
      <x:c r="AM265" s="165" t="str">
        <x:f>IF(AND(AM$5&gt;=$C265,AM$5&lt;=$D265,$A265&lt;&gt;""),"●","")</x:f>
      </x:c>
      <x:c r="AN265" s="165" t="str">
        <x:f>IF(AND(AN$5&gt;=$C265,AN$5&lt;=$D265,$A265&lt;&gt;""),"●","")</x:f>
      </x:c>
      <x:c r="AO265" s="165" t="str">
        <x:f>IF(AND(AO$5&gt;=$C265,AO$5&lt;=$D265,$A265&lt;&gt;""),"●","")</x:f>
      </x:c>
      <x:c r="AP265" s="165" t="str">
        <x:f>IF(AND(AP$5&gt;=$C265,AP$5&lt;=$D265,$A265&lt;&gt;""),"●","")</x:f>
      </x:c>
      <x:c r="AQ265" s="165" t="str">
        <x:f>IF(AND(AQ$5&gt;=$C265,AQ$5&lt;=$D265,$A265&lt;&gt;""),"●","")</x:f>
      </x:c>
      <x:c r="AR265" s="165" t="str">
        <x:f>IF(AND(AR$5&gt;=$C265,AR$5&lt;=$D265,$A265&lt;&gt;""),"●","")</x:f>
      </x:c>
      <x:c r="AS265" s="165" t="str">
        <x:f>IF(AND(AS$5&gt;=$C265,AS$5&lt;=$D265,$A265&lt;&gt;""),"●","")</x:f>
      </x:c>
      <x:c r="AT265" s="165" t="str">
        <x:f>IF(AND(AT$5&gt;=$C265,AT$5&lt;=$D265,$A265&lt;&gt;""),"●","")</x:f>
      </x:c>
      <x:c r="AU265" s="165" t="str">
        <x:f>IF(AND(AU$5&gt;=$C265,AU$5&lt;=$D265,$A265&lt;&gt;""),"●","")</x:f>
      </x:c>
      <x:c r="AV265" s="165" t="str">
        <x:f>IF(AND(AV$5&gt;=$C265,AV$5&lt;=$D265,$A265&lt;&gt;""),"●","")</x:f>
      </x:c>
      <x:c r="AW265" s="165" t="str">
        <x:f>IF(AND(AW$5&gt;=$C265,AW$5&lt;=$D265,$A265&lt;&gt;""),"●","")</x:f>
      </x:c>
      <x:c r="AX265" s="165" t="str">
        <x:f>IF(AND(AX$5&gt;=$C265,AX$5&lt;=$D265,$A265&lt;&gt;""),"●","")</x:f>
      </x:c>
      <x:c r="AY265" s="165" t="str">
        <x:f>IF(AND(AY$5&gt;=$C265,AY$5&lt;=$D265,$A265&lt;&gt;""),"●","")</x:f>
      </x:c>
      <x:c r="AZ265" s="165" t="str">
        <x:f>IF(AND(AZ$5&gt;=$C265,AZ$5&lt;=$D265,$A265&lt;&gt;""),"●","")</x:f>
      </x:c>
      <x:c r="BA265" s="165" t="str">
        <x:f>IF(AND(BA$5&gt;=$C265,BA$5&lt;=$D265,$A265&lt;&gt;""),"●","")</x:f>
      </x:c>
      <x:c r="BB265" s="165" t="str">
        <x:f>IF(AND(BB$5&gt;=$C265,BB$5&lt;=$D265,$A265&lt;&gt;""),"●","")</x:f>
      </x:c>
      <x:c r="BC265" s="165" t="str">
        <x:f>IF(AND(BC$5&gt;=$C265,BC$5&lt;=$D265,$A265&lt;&gt;""),"●","")</x:f>
      </x:c>
      <x:c r="BD265" s="165" t="str">
        <x:f>IF(AND(BD$5&gt;=$C265,BD$5&lt;=$D265,$A265&lt;&gt;""),"●","")</x:f>
      </x:c>
      <x:c r="BE265" s="165" t="str">
        <x:f>IF(AND(BE$5&gt;=$C265,BE$5&lt;=$D265,$A265&lt;&gt;""),"●","")</x:f>
      </x:c>
      <x:c r="BF265" s="165" t="str">
        <x:f>IF(AND(BF$5&gt;=$C265,BF$5&lt;=$D265,$A265&lt;&gt;""),"●","")</x:f>
      </x:c>
      <x:c r="BG265" s="165" t="str">
        <x:f>IF(AND(BG$5&gt;=$C265,BG$5&lt;=$D265,$A265&lt;&gt;""),"●","")</x:f>
      </x:c>
      <x:c r="BH265" s="165" t="str">
        <x:f>IF(AND(BH$5&gt;=$C265,BH$5&lt;=$D265,$A265&lt;&gt;""),"●","")</x:f>
      </x:c>
      <x:c r="BI265" s="165" t="str">
        <x:f>IF(AND(BI$5&gt;=$C265,BI$5&lt;=$D265,$A265&lt;&gt;""),"●","")</x:f>
      </x:c>
      <x:c r="BJ265" s="165" t="str">
        <x:f>IF(AND(BJ$5&gt;=$C265,BJ$5&lt;=$D265,$A265&lt;&gt;""),"●","")</x:f>
      </x:c>
      <x:c r="BK265" s="165" t="str">
        <x:f>IF(AND(BK$5&gt;=$C265,BK$5&lt;=$D265,$A265&lt;&gt;""),"●","")</x:f>
      </x:c>
      <x:c r="BL265" s="165" t="str">
        <x:f>IF(AND(BL$5&gt;=$C265,BL$5&lt;=$D265,$A265&lt;&gt;""),"●","")</x:f>
      </x:c>
      <x:c r="BM265" s="165" t="str">
        <x:f>IF(AND(BM$5&gt;=$C265,BM$5&lt;=$D265,$A265&lt;&gt;""),"●","")</x:f>
      </x:c>
      <x:c r="BN265" s="165" t="str">
        <x:f>IF(AND(BN$5&gt;=$C265,BN$5&lt;=$D265,$A265&lt;&gt;""),"●","")</x:f>
      </x:c>
      <x:c r="BO265" s="165" t="str">
        <x:f>IF(AND(BO$5&gt;=$C265,BO$5&lt;=$D265,$A265&lt;&gt;""),"●","")</x:f>
      </x:c>
      <x:c r="BP265" s="165" t="str">
        <x:f>IF(AND(BP$5&gt;=$C265,BP$5&lt;=$D265,$A265&lt;&gt;""),"●","")</x:f>
      </x:c>
      <x:c r="BQ265" s="165" t="str">
        <x:f>IF(AND(BQ$5&gt;=$C265,BQ$5&lt;=$D265,$A265&lt;&gt;""),"●","")</x:f>
      </x:c>
      <x:c r="BR265" s="165" t="str">
        <x:f>IF(AND(BR$5&gt;=$C265,BR$5&lt;=$D265,$A265&lt;&gt;""),"●","")</x:f>
      </x:c>
      <x:c r="BS265" s="165" t="str">
        <x:f>IF(AND(BS$5&gt;=$C265,BS$5&lt;=$D265,$A265&lt;&gt;""),"●","")</x:f>
      </x:c>
      <x:c r="BT265" s="165" t="str">
        <x:f>IF(AND(BT$5&gt;=$C265,BT$5&lt;=$D265,$A265&lt;&gt;""),"●","")</x:f>
      </x:c>
      <x:c r="BU265" s="165" t="str">
        <x:f>IF(AND(BU$5&gt;=$C265,BU$5&lt;=$D265,$A265&lt;&gt;""),"●","")</x:f>
      </x:c>
      <x:c r="BV265" s="165" t="str">
        <x:f>IF(AND(BV$5&gt;=$C265,BV$5&lt;=$D265,$A265&lt;&gt;""),"●","")</x:f>
      </x:c>
      <x:c r="BW265" s="165" t="str">
        <x:f>IF(AND(BW$5&gt;=$C265,BW$5&lt;=$D265,$A265&lt;&gt;""),"●","")</x:f>
      </x:c>
    </x:row>
    <x:row r="266">
      <x:c r="A266" s="159" t="str">
        <x:f>IF('รายการสัญญา'!A266="","",'รายการสัญญา'!A266)</x:f>
      </x:c>
      <x:c r="B266" s="159" t="str">
        <x:f>IF('รายการสัญญา'!A266="","",'รายการสัญญา'!C266)</x:f>
      </x:c>
      <x:c r="C266" s="162" t="str">
        <x:f>IF('รายการสัญญา'!A266="","",'รายการสัญญา'!E266)</x:f>
      </x:c>
      <x:c r="D266" s="162" t="str">
        <x:f>IF('รายการสัญญา'!A266="","",'รายการสัญญา'!G266)</x:f>
      </x:c>
      <x:c r="E266" s="159" t="str">
        <x:f>IF('รายการสัญญา'!A266="","",'รายการสัญญา'!K266)</x:f>
      </x:c>
      <x:c r="F266" s="165" t="str">
        <x:f>IF(AND(F$5&gt;=$C266,F$5&lt;=$D266,$A266&lt;&gt;""),"●","")</x:f>
      </x:c>
      <x:c r="G266" s="165" t="str">
        <x:f>IF(AND(G$5&gt;=$C266,G$5&lt;=$D266,$A266&lt;&gt;""),"●","")</x:f>
      </x:c>
      <x:c r="H266" s="165" t="str">
        <x:f>IF(AND(H$5&gt;=$C266,H$5&lt;=$D266,$A266&lt;&gt;""),"●","")</x:f>
      </x:c>
      <x:c r="I266" s="165" t="str">
        <x:f>IF(AND(I$5&gt;=$C266,I$5&lt;=$D266,$A266&lt;&gt;""),"●","")</x:f>
      </x:c>
      <x:c r="J266" s="165" t="str">
        <x:f>IF(AND(J$5&gt;=$C266,J$5&lt;=$D266,$A266&lt;&gt;""),"●","")</x:f>
      </x:c>
      <x:c r="K266" s="165" t="str">
        <x:f>IF(AND(K$5&gt;=$C266,K$5&lt;=$D266,$A266&lt;&gt;""),"●","")</x:f>
      </x:c>
      <x:c r="L266" s="165" t="str">
        <x:f>IF(AND(L$5&gt;=$C266,L$5&lt;=$D266,$A266&lt;&gt;""),"●","")</x:f>
      </x:c>
      <x:c r="M266" s="165" t="str">
        <x:f>IF(AND(M$5&gt;=$C266,M$5&lt;=$D266,$A266&lt;&gt;""),"●","")</x:f>
      </x:c>
      <x:c r="N266" s="165" t="str">
        <x:f>IF(AND(N$5&gt;=$C266,N$5&lt;=$D266,$A266&lt;&gt;""),"●","")</x:f>
      </x:c>
      <x:c r="O266" s="165" t="str">
        <x:f>IF(AND(O$5&gt;=$C266,O$5&lt;=$D266,$A266&lt;&gt;""),"●","")</x:f>
      </x:c>
      <x:c r="P266" s="165" t="str">
        <x:f>IF(AND(P$5&gt;=$C266,P$5&lt;=$D266,$A266&lt;&gt;""),"●","")</x:f>
      </x:c>
      <x:c r="Q266" s="165" t="str">
        <x:f>IF(AND(Q$5&gt;=$C266,Q$5&lt;=$D266,$A266&lt;&gt;""),"●","")</x:f>
      </x:c>
      <x:c r="R266" s="165" t="str">
        <x:f>IF(AND(R$5&gt;=$C266,R$5&lt;=$D266,$A266&lt;&gt;""),"●","")</x:f>
      </x:c>
      <x:c r="S266" s="165" t="str">
        <x:f>IF(AND(S$5&gt;=$C266,S$5&lt;=$D266,$A266&lt;&gt;""),"●","")</x:f>
      </x:c>
      <x:c r="T266" s="165" t="str">
        <x:f>IF(AND(T$5&gt;=$C266,T$5&lt;=$D266,$A266&lt;&gt;""),"●","")</x:f>
      </x:c>
      <x:c r="U266" s="165" t="str">
        <x:f>IF(AND(U$5&gt;=$C266,U$5&lt;=$D266,$A266&lt;&gt;""),"●","")</x:f>
      </x:c>
      <x:c r="V266" s="165" t="str">
        <x:f>IF(AND(V$5&gt;=$C266,V$5&lt;=$D266,$A266&lt;&gt;""),"●","")</x:f>
      </x:c>
      <x:c r="W266" s="165" t="str">
        <x:f>IF(AND(W$5&gt;=$C266,W$5&lt;=$D266,$A266&lt;&gt;""),"●","")</x:f>
      </x:c>
      <x:c r="X266" s="165" t="str">
        <x:f>IF(AND(X$5&gt;=$C266,X$5&lt;=$D266,$A266&lt;&gt;""),"●","")</x:f>
      </x:c>
      <x:c r="Y266" s="165" t="str">
        <x:f>IF(AND(Y$5&gt;=$C266,Y$5&lt;=$D266,$A266&lt;&gt;""),"●","")</x:f>
      </x:c>
      <x:c r="Z266" s="165" t="str">
        <x:f>IF(AND(Z$5&gt;=$C266,Z$5&lt;=$D266,$A266&lt;&gt;""),"●","")</x:f>
      </x:c>
      <x:c r="AA266" s="165" t="str">
        <x:f>IF(AND(AA$5&gt;=$C266,AA$5&lt;=$D266,$A266&lt;&gt;""),"●","")</x:f>
      </x:c>
      <x:c r="AB266" s="165" t="str">
        <x:f>IF(AND(AB$5&gt;=$C266,AB$5&lt;=$D266,$A266&lt;&gt;""),"●","")</x:f>
      </x:c>
      <x:c r="AC266" s="165" t="str">
        <x:f>IF(AND(AC$5&gt;=$C266,AC$5&lt;=$D266,$A266&lt;&gt;""),"●","")</x:f>
      </x:c>
      <x:c r="AD266" s="165" t="str">
        <x:f>IF(AND(AD$5&gt;=$C266,AD$5&lt;=$D266,$A266&lt;&gt;""),"●","")</x:f>
      </x:c>
      <x:c r="AE266" s="165" t="str">
        <x:f>IF(AND(AE$5&gt;=$C266,AE$5&lt;=$D266,$A266&lt;&gt;""),"●","")</x:f>
      </x:c>
      <x:c r="AF266" s="165" t="str">
        <x:f>IF(AND(AF$5&gt;=$C266,AF$5&lt;=$D266,$A266&lt;&gt;""),"●","")</x:f>
      </x:c>
      <x:c r="AG266" s="165" t="str">
        <x:f>IF(AND(AG$5&gt;=$C266,AG$5&lt;=$D266,$A266&lt;&gt;""),"●","")</x:f>
      </x:c>
      <x:c r="AH266" s="165" t="str">
        <x:f>IF(AND(AH$5&gt;=$C266,AH$5&lt;=$D266,$A266&lt;&gt;""),"●","")</x:f>
      </x:c>
      <x:c r="AI266" s="165" t="str">
        <x:f>IF(AND(AI$5&gt;=$C266,AI$5&lt;=$D266,$A266&lt;&gt;""),"●","")</x:f>
      </x:c>
      <x:c r="AJ266" s="165" t="str">
        <x:f>IF(AND(AJ$5&gt;=$C266,AJ$5&lt;=$D266,$A266&lt;&gt;""),"●","")</x:f>
      </x:c>
      <x:c r="AK266" s="165" t="str">
        <x:f>IF(AND(AK$5&gt;=$C266,AK$5&lt;=$D266,$A266&lt;&gt;""),"●","")</x:f>
      </x:c>
      <x:c r="AL266" s="165" t="str">
        <x:f>IF(AND(AL$5&gt;=$C266,AL$5&lt;=$D266,$A266&lt;&gt;""),"●","")</x:f>
      </x:c>
      <x:c r="AM266" s="165" t="str">
        <x:f>IF(AND(AM$5&gt;=$C266,AM$5&lt;=$D266,$A266&lt;&gt;""),"●","")</x:f>
      </x:c>
      <x:c r="AN266" s="165" t="str">
        <x:f>IF(AND(AN$5&gt;=$C266,AN$5&lt;=$D266,$A266&lt;&gt;""),"●","")</x:f>
      </x:c>
      <x:c r="AO266" s="165" t="str">
        <x:f>IF(AND(AO$5&gt;=$C266,AO$5&lt;=$D266,$A266&lt;&gt;""),"●","")</x:f>
      </x:c>
      <x:c r="AP266" s="165" t="str">
        <x:f>IF(AND(AP$5&gt;=$C266,AP$5&lt;=$D266,$A266&lt;&gt;""),"●","")</x:f>
      </x:c>
      <x:c r="AQ266" s="165" t="str">
        <x:f>IF(AND(AQ$5&gt;=$C266,AQ$5&lt;=$D266,$A266&lt;&gt;""),"●","")</x:f>
      </x:c>
      <x:c r="AR266" s="165" t="str">
        <x:f>IF(AND(AR$5&gt;=$C266,AR$5&lt;=$D266,$A266&lt;&gt;""),"●","")</x:f>
      </x:c>
      <x:c r="AS266" s="165" t="str">
        <x:f>IF(AND(AS$5&gt;=$C266,AS$5&lt;=$D266,$A266&lt;&gt;""),"●","")</x:f>
      </x:c>
      <x:c r="AT266" s="165" t="str">
        <x:f>IF(AND(AT$5&gt;=$C266,AT$5&lt;=$D266,$A266&lt;&gt;""),"●","")</x:f>
      </x:c>
      <x:c r="AU266" s="165" t="str">
        <x:f>IF(AND(AU$5&gt;=$C266,AU$5&lt;=$D266,$A266&lt;&gt;""),"●","")</x:f>
      </x:c>
      <x:c r="AV266" s="165" t="str">
        <x:f>IF(AND(AV$5&gt;=$C266,AV$5&lt;=$D266,$A266&lt;&gt;""),"●","")</x:f>
      </x:c>
      <x:c r="AW266" s="165" t="str">
        <x:f>IF(AND(AW$5&gt;=$C266,AW$5&lt;=$D266,$A266&lt;&gt;""),"●","")</x:f>
      </x:c>
      <x:c r="AX266" s="165" t="str">
        <x:f>IF(AND(AX$5&gt;=$C266,AX$5&lt;=$D266,$A266&lt;&gt;""),"●","")</x:f>
      </x:c>
      <x:c r="AY266" s="165" t="str">
        <x:f>IF(AND(AY$5&gt;=$C266,AY$5&lt;=$D266,$A266&lt;&gt;""),"●","")</x:f>
      </x:c>
      <x:c r="AZ266" s="165" t="str">
        <x:f>IF(AND(AZ$5&gt;=$C266,AZ$5&lt;=$D266,$A266&lt;&gt;""),"●","")</x:f>
      </x:c>
      <x:c r="BA266" s="165" t="str">
        <x:f>IF(AND(BA$5&gt;=$C266,BA$5&lt;=$D266,$A266&lt;&gt;""),"●","")</x:f>
      </x:c>
      <x:c r="BB266" s="165" t="str">
        <x:f>IF(AND(BB$5&gt;=$C266,BB$5&lt;=$D266,$A266&lt;&gt;""),"●","")</x:f>
      </x:c>
      <x:c r="BC266" s="165" t="str">
        <x:f>IF(AND(BC$5&gt;=$C266,BC$5&lt;=$D266,$A266&lt;&gt;""),"●","")</x:f>
      </x:c>
      <x:c r="BD266" s="165" t="str">
        <x:f>IF(AND(BD$5&gt;=$C266,BD$5&lt;=$D266,$A266&lt;&gt;""),"●","")</x:f>
      </x:c>
      <x:c r="BE266" s="165" t="str">
        <x:f>IF(AND(BE$5&gt;=$C266,BE$5&lt;=$D266,$A266&lt;&gt;""),"●","")</x:f>
      </x:c>
      <x:c r="BF266" s="165" t="str">
        <x:f>IF(AND(BF$5&gt;=$C266,BF$5&lt;=$D266,$A266&lt;&gt;""),"●","")</x:f>
      </x:c>
      <x:c r="BG266" s="165" t="str">
        <x:f>IF(AND(BG$5&gt;=$C266,BG$5&lt;=$D266,$A266&lt;&gt;""),"●","")</x:f>
      </x:c>
      <x:c r="BH266" s="165" t="str">
        <x:f>IF(AND(BH$5&gt;=$C266,BH$5&lt;=$D266,$A266&lt;&gt;""),"●","")</x:f>
      </x:c>
      <x:c r="BI266" s="165" t="str">
        <x:f>IF(AND(BI$5&gt;=$C266,BI$5&lt;=$D266,$A266&lt;&gt;""),"●","")</x:f>
      </x:c>
      <x:c r="BJ266" s="165" t="str">
        <x:f>IF(AND(BJ$5&gt;=$C266,BJ$5&lt;=$D266,$A266&lt;&gt;""),"●","")</x:f>
      </x:c>
      <x:c r="BK266" s="165" t="str">
        <x:f>IF(AND(BK$5&gt;=$C266,BK$5&lt;=$D266,$A266&lt;&gt;""),"●","")</x:f>
      </x:c>
      <x:c r="BL266" s="165" t="str">
        <x:f>IF(AND(BL$5&gt;=$C266,BL$5&lt;=$D266,$A266&lt;&gt;""),"●","")</x:f>
      </x:c>
      <x:c r="BM266" s="165" t="str">
        <x:f>IF(AND(BM$5&gt;=$C266,BM$5&lt;=$D266,$A266&lt;&gt;""),"●","")</x:f>
      </x:c>
      <x:c r="BN266" s="165" t="str">
        <x:f>IF(AND(BN$5&gt;=$C266,BN$5&lt;=$D266,$A266&lt;&gt;""),"●","")</x:f>
      </x:c>
      <x:c r="BO266" s="165" t="str">
        <x:f>IF(AND(BO$5&gt;=$C266,BO$5&lt;=$D266,$A266&lt;&gt;""),"●","")</x:f>
      </x:c>
      <x:c r="BP266" s="165" t="str">
        <x:f>IF(AND(BP$5&gt;=$C266,BP$5&lt;=$D266,$A266&lt;&gt;""),"●","")</x:f>
      </x:c>
      <x:c r="BQ266" s="165" t="str">
        <x:f>IF(AND(BQ$5&gt;=$C266,BQ$5&lt;=$D266,$A266&lt;&gt;""),"●","")</x:f>
      </x:c>
      <x:c r="BR266" s="165" t="str">
        <x:f>IF(AND(BR$5&gt;=$C266,BR$5&lt;=$D266,$A266&lt;&gt;""),"●","")</x:f>
      </x:c>
      <x:c r="BS266" s="165" t="str">
        <x:f>IF(AND(BS$5&gt;=$C266,BS$5&lt;=$D266,$A266&lt;&gt;""),"●","")</x:f>
      </x:c>
      <x:c r="BT266" s="165" t="str">
        <x:f>IF(AND(BT$5&gt;=$C266,BT$5&lt;=$D266,$A266&lt;&gt;""),"●","")</x:f>
      </x:c>
      <x:c r="BU266" s="165" t="str">
        <x:f>IF(AND(BU$5&gt;=$C266,BU$5&lt;=$D266,$A266&lt;&gt;""),"●","")</x:f>
      </x:c>
      <x:c r="BV266" s="165" t="str">
        <x:f>IF(AND(BV$5&gt;=$C266,BV$5&lt;=$D266,$A266&lt;&gt;""),"●","")</x:f>
      </x:c>
      <x:c r="BW266" s="165" t="str">
        <x:f>IF(AND(BW$5&gt;=$C266,BW$5&lt;=$D266,$A266&lt;&gt;""),"●","")</x:f>
      </x:c>
    </x:row>
    <x:row r="267">
      <x:c r="A267" s="159" t="str">
        <x:f>IF('รายการสัญญา'!A267="","",'รายการสัญญา'!A267)</x:f>
      </x:c>
      <x:c r="B267" s="159" t="str">
        <x:f>IF('รายการสัญญา'!A267="","",'รายการสัญญา'!C267)</x:f>
      </x:c>
      <x:c r="C267" s="162" t="str">
        <x:f>IF('รายการสัญญา'!A267="","",'รายการสัญญา'!E267)</x:f>
      </x:c>
      <x:c r="D267" s="162" t="str">
        <x:f>IF('รายการสัญญา'!A267="","",'รายการสัญญา'!G267)</x:f>
      </x:c>
      <x:c r="E267" s="159" t="str">
        <x:f>IF('รายการสัญญา'!A267="","",'รายการสัญญา'!K267)</x:f>
      </x:c>
      <x:c r="F267" s="165" t="str">
        <x:f>IF(AND(F$5&gt;=$C267,F$5&lt;=$D267,$A267&lt;&gt;""),"●","")</x:f>
      </x:c>
      <x:c r="G267" s="165" t="str">
        <x:f>IF(AND(G$5&gt;=$C267,G$5&lt;=$D267,$A267&lt;&gt;""),"●","")</x:f>
      </x:c>
      <x:c r="H267" s="165" t="str">
        <x:f>IF(AND(H$5&gt;=$C267,H$5&lt;=$D267,$A267&lt;&gt;""),"●","")</x:f>
      </x:c>
      <x:c r="I267" s="165" t="str">
        <x:f>IF(AND(I$5&gt;=$C267,I$5&lt;=$D267,$A267&lt;&gt;""),"●","")</x:f>
      </x:c>
      <x:c r="J267" s="165" t="str">
        <x:f>IF(AND(J$5&gt;=$C267,J$5&lt;=$D267,$A267&lt;&gt;""),"●","")</x:f>
      </x:c>
      <x:c r="K267" s="165" t="str">
        <x:f>IF(AND(K$5&gt;=$C267,K$5&lt;=$D267,$A267&lt;&gt;""),"●","")</x:f>
      </x:c>
      <x:c r="L267" s="165" t="str">
        <x:f>IF(AND(L$5&gt;=$C267,L$5&lt;=$D267,$A267&lt;&gt;""),"●","")</x:f>
      </x:c>
      <x:c r="M267" s="165" t="str">
        <x:f>IF(AND(M$5&gt;=$C267,M$5&lt;=$D267,$A267&lt;&gt;""),"●","")</x:f>
      </x:c>
      <x:c r="N267" s="165" t="str">
        <x:f>IF(AND(N$5&gt;=$C267,N$5&lt;=$D267,$A267&lt;&gt;""),"●","")</x:f>
      </x:c>
      <x:c r="O267" s="165" t="str">
        <x:f>IF(AND(O$5&gt;=$C267,O$5&lt;=$D267,$A267&lt;&gt;""),"●","")</x:f>
      </x:c>
      <x:c r="P267" s="165" t="str">
        <x:f>IF(AND(P$5&gt;=$C267,P$5&lt;=$D267,$A267&lt;&gt;""),"●","")</x:f>
      </x:c>
      <x:c r="Q267" s="165" t="str">
        <x:f>IF(AND(Q$5&gt;=$C267,Q$5&lt;=$D267,$A267&lt;&gt;""),"●","")</x:f>
      </x:c>
      <x:c r="R267" s="165" t="str">
        <x:f>IF(AND(R$5&gt;=$C267,R$5&lt;=$D267,$A267&lt;&gt;""),"●","")</x:f>
      </x:c>
      <x:c r="S267" s="165" t="str">
        <x:f>IF(AND(S$5&gt;=$C267,S$5&lt;=$D267,$A267&lt;&gt;""),"●","")</x:f>
      </x:c>
      <x:c r="T267" s="165" t="str">
        <x:f>IF(AND(T$5&gt;=$C267,T$5&lt;=$D267,$A267&lt;&gt;""),"●","")</x:f>
      </x:c>
      <x:c r="U267" s="165" t="str">
        <x:f>IF(AND(U$5&gt;=$C267,U$5&lt;=$D267,$A267&lt;&gt;""),"●","")</x:f>
      </x:c>
      <x:c r="V267" s="165" t="str">
        <x:f>IF(AND(V$5&gt;=$C267,V$5&lt;=$D267,$A267&lt;&gt;""),"●","")</x:f>
      </x:c>
      <x:c r="W267" s="165" t="str">
        <x:f>IF(AND(W$5&gt;=$C267,W$5&lt;=$D267,$A267&lt;&gt;""),"●","")</x:f>
      </x:c>
      <x:c r="X267" s="165" t="str">
        <x:f>IF(AND(X$5&gt;=$C267,X$5&lt;=$D267,$A267&lt;&gt;""),"●","")</x:f>
      </x:c>
      <x:c r="Y267" s="165" t="str">
        <x:f>IF(AND(Y$5&gt;=$C267,Y$5&lt;=$D267,$A267&lt;&gt;""),"●","")</x:f>
      </x:c>
      <x:c r="Z267" s="165" t="str">
        <x:f>IF(AND(Z$5&gt;=$C267,Z$5&lt;=$D267,$A267&lt;&gt;""),"●","")</x:f>
      </x:c>
      <x:c r="AA267" s="165" t="str">
        <x:f>IF(AND(AA$5&gt;=$C267,AA$5&lt;=$D267,$A267&lt;&gt;""),"●","")</x:f>
      </x:c>
      <x:c r="AB267" s="165" t="str">
        <x:f>IF(AND(AB$5&gt;=$C267,AB$5&lt;=$D267,$A267&lt;&gt;""),"●","")</x:f>
      </x:c>
      <x:c r="AC267" s="165" t="str">
        <x:f>IF(AND(AC$5&gt;=$C267,AC$5&lt;=$D267,$A267&lt;&gt;""),"●","")</x:f>
      </x:c>
      <x:c r="AD267" s="165" t="str">
        <x:f>IF(AND(AD$5&gt;=$C267,AD$5&lt;=$D267,$A267&lt;&gt;""),"●","")</x:f>
      </x:c>
      <x:c r="AE267" s="165" t="str">
        <x:f>IF(AND(AE$5&gt;=$C267,AE$5&lt;=$D267,$A267&lt;&gt;""),"●","")</x:f>
      </x:c>
      <x:c r="AF267" s="165" t="str">
        <x:f>IF(AND(AF$5&gt;=$C267,AF$5&lt;=$D267,$A267&lt;&gt;""),"●","")</x:f>
      </x:c>
      <x:c r="AG267" s="165" t="str">
        <x:f>IF(AND(AG$5&gt;=$C267,AG$5&lt;=$D267,$A267&lt;&gt;""),"●","")</x:f>
      </x:c>
      <x:c r="AH267" s="165" t="str">
        <x:f>IF(AND(AH$5&gt;=$C267,AH$5&lt;=$D267,$A267&lt;&gt;""),"●","")</x:f>
      </x:c>
      <x:c r="AI267" s="165" t="str">
        <x:f>IF(AND(AI$5&gt;=$C267,AI$5&lt;=$D267,$A267&lt;&gt;""),"●","")</x:f>
      </x:c>
      <x:c r="AJ267" s="165" t="str">
        <x:f>IF(AND(AJ$5&gt;=$C267,AJ$5&lt;=$D267,$A267&lt;&gt;""),"●","")</x:f>
      </x:c>
      <x:c r="AK267" s="165" t="str">
        <x:f>IF(AND(AK$5&gt;=$C267,AK$5&lt;=$D267,$A267&lt;&gt;""),"●","")</x:f>
      </x:c>
      <x:c r="AL267" s="165" t="str">
        <x:f>IF(AND(AL$5&gt;=$C267,AL$5&lt;=$D267,$A267&lt;&gt;""),"●","")</x:f>
      </x:c>
      <x:c r="AM267" s="165" t="str">
        <x:f>IF(AND(AM$5&gt;=$C267,AM$5&lt;=$D267,$A267&lt;&gt;""),"●","")</x:f>
      </x:c>
      <x:c r="AN267" s="165" t="str">
        <x:f>IF(AND(AN$5&gt;=$C267,AN$5&lt;=$D267,$A267&lt;&gt;""),"●","")</x:f>
      </x:c>
      <x:c r="AO267" s="165" t="str">
        <x:f>IF(AND(AO$5&gt;=$C267,AO$5&lt;=$D267,$A267&lt;&gt;""),"●","")</x:f>
      </x:c>
      <x:c r="AP267" s="165" t="str">
        <x:f>IF(AND(AP$5&gt;=$C267,AP$5&lt;=$D267,$A267&lt;&gt;""),"●","")</x:f>
      </x:c>
      <x:c r="AQ267" s="165" t="str">
        <x:f>IF(AND(AQ$5&gt;=$C267,AQ$5&lt;=$D267,$A267&lt;&gt;""),"●","")</x:f>
      </x:c>
      <x:c r="AR267" s="165" t="str">
        <x:f>IF(AND(AR$5&gt;=$C267,AR$5&lt;=$D267,$A267&lt;&gt;""),"●","")</x:f>
      </x:c>
      <x:c r="AS267" s="165" t="str">
        <x:f>IF(AND(AS$5&gt;=$C267,AS$5&lt;=$D267,$A267&lt;&gt;""),"●","")</x:f>
      </x:c>
      <x:c r="AT267" s="165" t="str">
        <x:f>IF(AND(AT$5&gt;=$C267,AT$5&lt;=$D267,$A267&lt;&gt;""),"●","")</x:f>
      </x:c>
      <x:c r="AU267" s="165" t="str">
        <x:f>IF(AND(AU$5&gt;=$C267,AU$5&lt;=$D267,$A267&lt;&gt;""),"●","")</x:f>
      </x:c>
      <x:c r="AV267" s="165" t="str">
        <x:f>IF(AND(AV$5&gt;=$C267,AV$5&lt;=$D267,$A267&lt;&gt;""),"●","")</x:f>
      </x:c>
      <x:c r="AW267" s="165" t="str">
        <x:f>IF(AND(AW$5&gt;=$C267,AW$5&lt;=$D267,$A267&lt;&gt;""),"●","")</x:f>
      </x:c>
      <x:c r="AX267" s="165" t="str">
        <x:f>IF(AND(AX$5&gt;=$C267,AX$5&lt;=$D267,$A267&lt;&gt;""),"●","")</x:f>
      </x:c>
      <x:c r="AY267" s="165" t="str">
        <x:f>IF(AND(AY$5&gt;=$C267,AY$5&lt;=$D267,$A267&lt;&gt;""),"●","")</x:f>
      </x:c>
      <x:c r="AZ267" s="165" t="str">
        <x:f>IF(AND(AZ$5&gt;=$C267,AZ$5&lt;=$D267,$A267&lt;&gt;""),"●","")</x:f>
      </x:c>
      <x:c r="BA267" s="165" t="str">
        <x:f>IF(AND(BA$5&gt;=$C267,BA$5&lt;=$D267,$A267&lt;&gt;""),"●","")</x:f>
      </x:c>
      <x:c r="BB267" s="165" t="str">
        <x:f>IF(AND(BB$5&gt;=$C267,BB$5&lt;=$D267,$A267&lt;&gt;""),"●","")</x:f>
      </x:c>
      <x:c r="BC267" s="165" t="str">
        <x:f>IF(AND(BC$5&gt;=$C267,BC$5&lt;=$D267,$A267&lt;&gt;""),"●","")</x:f>
      </x:c>
      <x:c r="BD267" s="165" t="str">
        <x:f>IF(AND(BD$5&gt;=$C267,BD$5&lt;=$D267,$A267&lt;&gt;""),"●","")</x:f>
      </x:c>
      <x:c r="BE267" s="165" t="str">
        <x:f>IF(AND(BE$5&gt;=$C267,BE$5&lt;=$D267,$A267&lt;&gt;""),"●","")</x:f>
      </x:c>
      <x:c r="BF267" s="165" t="str">
        <x:f>IF(AND(BF$5&gt;=$C267,BF$5&lt;=$D267,$A267&lt;&gt;""),"●","")</x:f>
      </x:c>
      <x:c r="BG267" s="165" t="str">
        <x:f>IF(AND(BG$5&gt;=$C267,BG$5&lt;=$D267,$A267&lt;&gt;""),"●","")</x:f>
      </x:c>
      <x:c r="BH267" s="165" t="str">
        <x:f>IF(AND(BH$5&gt;=$C267,BH$5&lt;=$D267,$A267&lt;&gt;""),"●","")</x:f>
      </x:c>
      <x:c r="BI267" s="165" t="str">
        <x:f>IF(AND(BI$5&gt;=$C267,BI$5&lt;=$D267,$A267&lt;&gt;""),"●","")</x:f>
      </x:c>
      <x:c r="BJ267" s="165" t="str">
        <x:f>IF(AND(BJ$5&gt;=$C267,BJ$5&lt;=$D267,$A267&lt;&gt;""),"●","")</x:f>
      </x:c>
      <x:c r="BK267" s="165" t="str">
        <x:f>IF(AND(BK$5&gt;=$C267,BK$5&lt;=$D267,$A267&lt;&gt;""),"●","")</x:f>
      </x:c>
      <x:c r="BL267" s="165" t="str">
        <x:f>IF(AND(BL$5&gt;=$C267,BL$5&lt;=$D267,$A267&lt;&gt;""),"●","")</x:f>
      </x:c>
      <x:c r="BM267" s="165" t="str">
        <x:f>IF(AND(BM$5&gt;=$C267,BM$5&lt;=$D267,$A267&lt;&gt;""),"●","")</x:f>
      </x:c>
      <x:c r="BN267" s="165" t="str">
        <x:f>IF(AND(BN$5&gt;=$C267,BN$5&lt;=$D267,$A267&lt;&gt;""),"●","")</x:f>
      </x:c>
      <x:c r="BO267" s="165" t="str">
        <x:f>IF(AND(BO$5&gt;=$C267,BO$5&lt;=$D267,$A267&lt;&gt;""),"●","")</x:f>
      </x:c>
      <x:c r="BP267" s="165" t="str">
        <x:f>IF(AND(BP$5&gt;=$C267,BP$5&lt;=$D267,$A267&lt;&gt;""),"●","")</x:f>
      </x:c>
      <x:c r="BQ267" s="165" t="str">
        <x:f>IF(AND(BQ$5&gt;=$C267,BQ$5&lt;=$D267,$A267&lt;&gt;""),"●","")</x:f>
      </x:c>
      <x:c r="BR267" s="165" t="str">
        <x:f>IF(AND(BR$5&gt;=$C267,BR$5&lt;=$D267,$A267&lt;&gt;""),"●","")</x:f>
      </x:c>
      <x:c r="BS267" s="165" t="str">
        <x:f>IF(AND(BS$5&gt;=$C267,BS$5&lt;=$D267,$A267&lt;&gt;""),"●","")</x:f>
      </x:c>
      <x:c r="BT267" s="165" t="str">
        <x:f>IF(AND(BT$5&gt;=$C267,BT$5&lt;=$D267,$A267&lt;&gt;""),"●","")</x:f>
      </x:c>
      <x:c r="BU267" s="165" t="str">
        <x:f>IF(AND(BU$5&gt;=$C267,BU$5&lt;=$D267,$A267&lt;&gt;""),"●","")</x:f>
      </x:c>
      <x:c r="BV267" s="165" t="str">
        <x:f>IF(AND(BV$5&gt;=$C267,BV$5&lt;=$D267,$A267&lt;&gt;""),"●","")</x:f>
      </x:c>
      <x:c r="BW267" s="165" t="str">
        <x:f>IF(AND(BW$5&gt;=$C267,BW$5&lt;=$D267,$A267&lt;&gt;""),"●","")</x:f>
      </x:c>
    </x:row>
    <x:row r="268">
      <x:c r="A268" s="159" t="str">
        <x:f>IF('รายการสัญญา'!A268="","",'รายการสัญญา'!A268)</x:f>
      </x:c>
      <x:c r="B268" s="159" t="str">
        <x:f>IF('รายการสัญญา'!A268="","",'รายการสัญญา'!C268)</x:f>
      </x:c>
      <x:c r="C268" s="162" t="str">
        <x:f>IF('รายการสัญญา'!A268="","",'รายการสัญญา'!E268)</x:f>
      </x:c>
      <x:c r="D268" s="162" t="str">
        <x:f>IF('รายการสัญญา'!A268="","",'รายการสัญญา'!G268)</x:f>
      </x:c>
      <x:c r="E268" s="159" t="str">
        <x:f>IF('รายการสัญญา'!A268="","",'รายการสัญญา'!K268)</x:f>
      </x:c>
      <x:c r="F268" s="165" t="str">
        <x:f>IF(AND(F$5&gt;=$C268,F$5&lt;=$D268,$A268&lt;&gt;""),"●","")</x:f>
      </x:c>
      <x:c r="G268" s="165" t="str">
        <x:f>IF(AND(G$5&gt;=$C268,G$5&lt;=$D268,$A268&lt;&gt;""),"●","")</x:f>
      </x:c>
      <x:c r="H268" s="165" t="str">
        <x:f>IF(AND(H$5&gt;=$C268,H$5&lt;=$D268,$A268&lt;&gt;""),"●","")</x:f>
      </x:c>
      <x:c r="I268" s="165" t="str">
        <x:f>IF(AND(I$5&gt;=$C268,I$5&lt;=$D268,$A268&lt;&gt;""),"●","")</x:f>
      </x:c>
      <x:c r="J268" s="165" t="str">
        <x:f>IF(AND(J$5&gt;=$C268,J$5&lt;=$D268,$A268&lt;&gt;""),"●","")</x:f>
      </x:c>
      <x:c r="K268" s="165" t="str">
        <x:f>IF(AND(K$5&gt;=$C268,K$5&lt;=$D268,$A268&lt;&gt;""),"●","")</x:f>
      </x:c>
      <x:c r="L268" s="165" t="str">
        <x:f>IF(AND(L$5&gt;=$C268,L$5&lt;=$D268,$A268&lt;&gt;""),"●","")</x:f>
      </x:c>
      <x:c r="M268" s="165" t="str">
        <x:f>IF(AND(M$5&gt;=$C268,M$5&lt;=$D268,$A268&lt;&gt;""),"●","")</x:f>
      </x:c>
      <x:c r="N268" s="165" t="str">
        <x:f>IF(AND(N$5&gt;=$C268,N$5&lt;=$D268,$A268&lt;&gt;""),"●","")</x:f>
      </x:c>
      <x:c r="O268" s="165" t="str">
        <x:f>IF(AND(O$5&gt;=$C268,O$5&lt;=$D268,$A268&lt;&gt;""),"●","")</x:f>
      </x:c>
      <x:c r="P268" s="165" t="str">
        <x:f>IF(AND(P$5&gt;=$C268,P$5&lt;=$D268,$A268&lt;&gt;""),"●","")</x:f>
      </x:c>
      <x:c r="Q268" s="165" t="str">
        <x:f>IF(AND(Q$5&gt;=$C268,Q$5&lt;=$D268,$A268&lt;&gt;""),"●","")</x:f>
      </x:c>
      <x:c r="R268" s="165" t="str">
        <x:f>IF(AND(R$5&gt;=$C268,R$5&lt;=$D268,$A268&lt;&gt;""),"●","")</x:f>
      </x:c>
      <x:c r="S268" s="165" t="str">
        <x:f>IF(AND(S$5&gt;=$C268,S$5&lt;=$D268,$A268&lt;&gt;""),"●","")</x:f>
      </x:c>
      <x:c r="T268" s="165" t="str">
        <x:f>IF(AND(T$5&gt;=$C268,T$5&lt;=$D268,$A268&lt;&gt;""),"●","")</x:f>
      </x:c>
      <x:c r="U268" s="165" t="str">
        <x:f>IF(AND(U$5&gt;=$C268,U$5&lt;=$D268,$A268&lt;&gt;""),"●","")</x:f>
      </x:c>
      <x:c r="V268" s="165" t="str">
        <x:f>IF(AND(V$5&gt;=$C268,V$5&lt;=$D268,$A268&lt;&gt;""),"●","")</x:f>
      </x:c>
      <x:c r="W268" s="165" t="str">
        <x:f>IF(AND(W$5&gt;=$C268,W$5&lt;=$D268,$A268&lt;&gt;""),"●","")</x:f>
      </x:c>
      <x:c r="X268" s="165" t="str">
        <x:f>IF(AND(X$5&gt;=$C268,X$5&lt;=$D268,$A268&lt;&gt;""),"●","")</x:f>
      </x:c>
      <x:c r="Y268" s="165" t="str">
        <x:f>IF(AND(Y$5&gt;=$C268,Y$5&lt;=$D268,$A268&lt;&gt;""),"●","")</x:f>
      </x:c>
      <x:c r="Z268" s="165" t="str">
        <x:f>IF(AND(Z$5&gt;=$C268,Z$5&lt;=$D268,$A268&lt;&gt;""),"●","")</x:f>
      </x:c>
      <x:c r="AA268" s="165" t="str">
        <x:f>IF(AND(AA$5&gt;=$C268,AA$5&lt;=$D268,$A268&lt;&gt;""),"●","")</x:f>
      </x:c>
      <x:c r="AB268" s="165" t="str">
        <x:f>IF(AND(AB$5&gt;=$C268,AB$5&lt;=$D268,$A268&lt;&gt;""),"●","")</x:f>
      </x:c>
      <x:c r="AC268" s="165" t="str">
        <x:f>IF(AND(AC$5&gt;=$C268,AC$5&lt;=$D268,$A268&lt;&gt;""),"●","")</x:f>
      </x:c>
      <x:c r="AD268" s="165" t="str">
        <x:f>IF(AND(AD$5&gt;=$C268,AD$5&lt;=$D268,$A268&lt;&gt;""),"●","")</x:f>
      </x:c>
      <x:c r="AE268" s="165" t="str">
        <x:f>IF(AND(AE$5&gt;=$C268,AE$5&lt;=$D268,$A268&lt;&gt;""),"●","")</x:f>
      </x:c>
      <x:c r="AF268" s="165" t="str">
        <x:f>IF(AND(AF$5&gt;=$C268,AF$5&lt;=$D268,$A268&lt;&gt;""),"●","")</x:f>
      </x:c>
      <x:c r="AG268" s="165" t="str">
        <x:f>IF(AND(AG$5&gt;=$C268,AG$5&lt;=$D268,$A268&lt;&gt;""),"●","")</x:f>
      </x:c>
      <x:c r="AH268" s="165" t="str">
        <x:f>IF(AND(AH$5&gt;=$C268,AH$5&lt;=$D268,$A268&lt;&gt;""),"●","")</x:f>
      </x:c>
      <x:c r="AI268" s="165" t="str">
        <x:f>IF(AND(AI$5&gt;=$C268,AI$5&lt;=$D268,$A268&lt;&gt;""),"●","")</x:f>
      </x:c>
      <x:c r="AJ268" s="165" t="str">
        <x:f>IF(AND(AJ$5&gt;=$C268,AJ$5&lt;=$D268,$A268&lt;&gt;""),"●","")</x:f>
      </x:c>
      <x:c r="AK268" s="165" t="str">
        <x:f>IF(AND(AK$5&gt;=$C268,AK$5&lt;=$D268,$A268&lt;&gt;""),"●","")</x:f>
      </x:c>
      <x:c r="AL268" s="165" t="str">
        <x:f>IF(AND(AL$5&gt;=$C268,AL$5&lt;=$D268,$A268&lt;&gt;""),"●","")</x:f>
      </x:c>
      <x:c r="AM268" s="165" t="str">
        <x:f>IF(AND(AM$5&gt;=$C268,AM$5&lt;=$D268,$A268&lt;&gt;""),"●","")</x:f>
      </x:c>
      <x:c r="AN268" s="165" t="str">
        <x:f>IF(AND(AN$5&gt;=$C268,AN$5&lt;=$D268,$A268&lt;&gt;""),"●","")</x:f>
      </x:c>
      <x:c r="AO268" s="165" t="str">
        <x:f>IF(AND(AO$5&gt;=$C268,AO$5&lt;=$D268,$A268&lt;&gt;""),"●","")</x:f>
      </x:c>
      <x:c r="AP268" s="165" t="str">
        <x:f>IF(AND(AP$5&gt;=$C268,AP$5&lt;=$D268,$A268&lt;&gt;""),"●","")</x:f>
      </x:c>
      <x:c r="AQ268" s="165" t="str">
        <x:f>IF(AND(AQ$5&gt;=$C268,AQ$5&lt;=$D268,$A268&lt;&gt;""),"●","")</x:f>
      </x:c>
      <x:c r="AR268" s="165" t="str">
        <x:f>IF(AND(AR$5&gt;=$C268,AR$5&lt;=$D268,$A268&lt;&gt;""),"●","")</x:f>
      </x:c>
      <x:c r="AS268" s="165" t="str">
        <x:f>IF(AND(AS$5&gt;=$C268,AS$5&lt;=$D268,$A268&lt;&gt;""),"●","")</x:f>
      </x:c>
      <x:c r="AT268" s="165" t="str">
        <x:f>IF(AND(AT$5&gt;=$C268,AT$5&lt;=$D268,$A268&lt;&gt;""),"●","")</x:f>
      </x:c>
      <x:c r="AU268" s="165" t="str">
        <x:f>IF(AND(AU$5&gt;=$C268,AU$5&lt;=$D268,$A268&lt;&gt;""),"●","")</x:f>
      </x:c>
      <x:c r="AV268" s="165" t="str">
        <x:f>IF(AND(AV$5&gt;=$C268,AV$5&lt;=$D268,$A268&lt;&gt;""),"●","")</x:f>
      </x:c>
      <x:c r="AW268" s="165" t="str">
        <x:f>IF(AND(AW$5&gt;=$C268,AW$5&lt;=$D268,$A268&lt;&gt;""),"●","")</x:f>
      </x:c>
      <x:c r="AX268" s="165" t="str">
        <x:f>IF(AND(AX$5&gt;=$C268,AX$5&lt;=$D268,$A268&lt;&gt;""),"●","")</x:f>
      </x:c>
      <x:c r="AY268" s="165" t="str">
        <x:f>IF(AND(AY$5&gt;=$C268,AY$5&lt;=$D268,$A268&lt;&gt;""),"●","")</x:f>
      </x:c>
      <x:c r="AZ268" s="165" t="str">
        <x:f>IF(AND(AZ$5&gt;=$C268,AZ$5&lt;=$D268,$A268&lt;&gt;""),"●","")</x:f>
      </x:c>
      <x:c r="BA268" s="165" t="str">
        <x:f>IF(AND(BA$5&gt;=$C268,BA$5&lt;=$D268,$A268&lt;&gt;""),"●","")</x:f>
      </x:c>
      <x:c r="BB268" s="165" t="str">
        <x:f>IF(AND(BB$5&gt;=$C268,BB$5&lt;=$D268,$A268&lt;&gt;""),"●","")</x:f>
      </x:c>
      <x:c r="BC268" s="165" t="str">
        <x:f>IF(AND(BC$5&gt;=$C268,BC$5&lt;=$D268,$A268&lt;&gt;""),"●","")</x:f>
      </x:c>
      <x:c r="BD268" s="165" t="str">
        <x:f>IF(AND(BD$5&gt;=$C268,BD$5&lt;=$D268,$A268&lt;&gt;""),"●","")</x:f>
      </x:c>
      <x:c r="BE268" s="165" t="str">
        <x:f>IF(AND(BE$5&gt;=$C268,BE$5&lt;=$D268,$A268&lt;&gt;""),"●","")</x:f>
      </x:c>
      <x:c r="BF268" s="165" t="str">
        <x:f>IF(AND(BF$5&gt;=$C268,BF$5&lt;=$D268,$A268&lt;&gt;""),"●","")</x:f>
      </x:c>
      <x:c r="BG268" s="165" t="str">
        <x:f>IF(AND(BG$5&gt;=$C268,BG$5&lt;=$D268,$A268&lt;&gt;""),"●","")</x:f>
      </x:c>
      <x:c r="BH268" s="165" t="str">
        <x:f>IF(AND(BH$5&gt;=$C268,BH$5&lt;=$D268,$A268&lt;&gt;""),"●","")</x:f>
      </x:c>
      <x:c r="BI268" s="165" t="str">
        <x:f>IF(AND(BI$5&gt;=$C268,BI$5&lt;=$D268,$A268&lt;&gt;""),"●","")</x:f>
      </x:c>
      <x:c r="BJ268" s="165" t="str">
        <x:f>IF(AND(BJ$5&gt;=$C268,BJ$5&lt;=$D268,$A268&lt;&gt;""),"●","")</x:f>
      </x:c>
      <x:c r="BK268" s="165" t="str">
        <x:f>IF(AND(BK$5&gt;=$C268,BK$5&lt;=$D268,$A268&lt;&gt;""),"●","")</x:f>
      </x:c>
      <x:c r="BL268" s="165" t="str">
        <x:f>IF(AND(BL$5&gt;=$C268,BL$5&lt;=$D268,$A268&lt;&gt;""),"●","")</x:f>
      </x:c>
      <x:c r="BM268" s="165" t="str">
        <x:f>IF(AND(BM$5&gt;=$C268,BM$5&lt;=$D268,$A268&lt;&gt;""),"●","")</x:f>
      </x:c>
      <x:c r="BN268" s="165" t="str">
        <x:f>IF(AND(BN$5&gt;=$C268,BN$5&lt;=$D268,$A268&lt;&gt;""),"●","")</x:f>
      </x:c>
      <x:c r="BO268" s="165" t="str">
        <x:f>IF(AND(BO$5&gt;=$C268,BO$5&lt;=$D268,$A268&lt;&gt;""),"●","")</x:f>
      </x:c>
      <x:c r="BP268" s="165" t="str">
        <x:f>IF(AND(BP$5&gt;=$C268,BP$5&lt;=$D268,$A268&lt;&gt;""),"●","")</x:f>
      </x:c>
      <x:c r="BQ268" s="165" t="str">
        <x:f>IF(AND(BQ$5&gt;=$C268,BQ$5&lt;=$D268,$A268&lt;&gt;""),"●","")</x:f>
      </x:c>
      <x:c r="BR268" s="165" t="str">
        <x:f>IF(AND(BR$5&gt;=$C268,BR$5&lt;=$D268,$A268&lt;&gt;""),"●","")</x:f>
      </x:c>
      <x:c r="BS268" s="165" t="str">
        <x:f>IF(AND(BS$5&gt;=$C268,BS$5&lt;=$D268,$A268&lt;&gt;""),"●","")</x:f>
      </x:c>
      <x:c r="BT268" s="165" t="str">
        <x:f>IF(AND(BT$5&gt;=$C268,BT$5&lt;=$D268,$A268&lt;&gt;""),"●","")</x:f>
      </x:c>
      <x:c r="BU268" s="165" t="str">
        <x:f>IF(AND(BU$5&gt;=$C268,BU$5&lt;=$D268,$A268&lt;&gt;""),"●","")</x:f>
      </x:c>
      <x:c r="BV268" s="165" t="str">
        <x:f>IF(AND(BV$5&gt;=$C268,BV$5&lt;=$D268,$A268&lt;&gt;""),"●","")</x:f>
      </x:c>
      <x:c r="BW268" s="165" t="str">
        <x:f>IF(AND(BW$5&gt;=$C268,BW$5&lt;=$D268,$A268&lt;&gt;""),"●","")</x:f>
      </x:c>
    </x:row>
    <x:row r="269">
      <x:c r="A269" s="159" t="str">
        <x:f>IF('รายการสัญญา'!A269="","",'รายการสัญญา'!A269)</x:f>
      </x:c>
      <x:c r="B269" s="159" t="str">
        <x:f>IF('รายการสัญญา'!A269="","",'รายการสัญญา'!C269)</x:f>
      </x:c>
      <x:c r="C269" s="162" t="str">
        <x:f>IF('รายการสัญญา'!A269="","",'รายการสัญญา'!E269)</x:f>
      </x:c>
      <x:c r="D269" s="162" t="str">
        <x:f>IF('รายการสัญญา'!A269="","",'รายการสัญญา'!G269)</x:f>
      </x:c>
      <x:c r="E269" s="159" t="str">
        <x:f>IF('รายการสัญญา'!A269="","",'รายการสัญญา'!K269)</x:f>
      </x:c>
      <x:c r="F269" s="165" t="str">
        <x:f>IF(AND(F$5&gt;=$C269,F$5&lt;=$D269,$A269&lt;&gt;""),"●","")</x:f>
      </x:c>
      <x:c r="G269" s="165" t="str">
        <x:f>IF(AND(G$5&gt;=$C269,G$5&lt;=$D269,$A269&lt;&gt;""),"●","")</x:f>
      </x:c>
      <x:c r="H269" s="165" t="str">
        <x:f>IF(AND(H$5&gt;=$C269,H$5&lt;=$D269,$A269&lt;&gt;""),"●","")</x:f>
      </x:c>
      <x:c r="I269" s="165" t="str">
        <x:f>IF(AND(I$5&gt;=$C269,I$5&lt;=$D269,$A269&lt;&gt;""),"●","")</x:f>
      </x:c>
      <x:c r="J269" s="165" t="str">
        <x:f>IF(AND(J$5&gt;=$C269,J$5&lt;=$D269,$A269&lt;&gt;""),"●","")</x:f>
      </x:c>
      <x:c r="K269" s="165" t="str">
        <x:f>IF(AND(K$5&gt;=$C269,K$5&lt;=$D269,$A269&lt;&gt;""),"●","")</x:f>
      </x:c>
      <x:c r="L269" s="165" t="str">
        <x:f>IF(AND(L$5&gt;=$C269,L$5&lt;=$D269,$A269&lt;&gt;""),"●","")</x:f>
      </x:c>
      <x:c r="M269" s="165" t="str">
        <x:f>IF(AND(M$5&gt;=$C269,M$5&lt;=$D269,$A269&lt;&gt;""),"●","")</x:f>
      </x:c>
      <x:c r="N269" s="165" t="str">
        <x:f>IF(AND(N$5&gt;=$C269,N$5&lt;=$D269,$A269&lt;&gt;""),"●","")</x:f>
      </x:c>
      <x:c r="O269" s="165" t="str">
        <x:f>IF(AND(O$5&gt;=$C269,O$5&lt;=$D269,$A269&lt;&gt;""),"●","")</x:f>
      </x:c>
      <x:c r="P269" s="165" t="str">
        <x:f>IF(AND(P$5&gt;=$C269,P$5&lt;=$D269,$A269&lt;&gt;""),"●","")</x:f>
      </x:c>
      <x:c r="Q269" s="165" t="str">
        <x:f>IF(AND(Q$5&gt;=$C269,Q$5&lt;=$D269,$A269&lt;&gt;""),"●","")</x:f>
      </x:c>
      <x:c r="R269" s="165" t="str">
        <x:f>IF(AND(R$5&gt;=$C269,R$5&lt;=$D269,$A269&lt;&gt;""),"●","")</x:f>
      </x:c>
      <x:c r="S269" s="165" t="str">
        <x:f>IF(AND(S$5&gt;=$C269,S$5&lt;=$D269,$A269&lt;&gt;""),"●","")</x:f>
      </x:c>
      <x:c r="T269" s="165" t="str">
        <x:f>IF(AND(T$5&gt;=$C269,T$5&lt;=$D269,$A269&lt;&gt;""),"●","")</x:f>
      </x:c>
      <x:c r="U269" s="165" t="str">
        <x:f>IF(AND(U$5&gt;=$C269,U$5&lt;=$D269,$A269&lt;&gt;""),"●","")</x:f>
      </x:c>
      <x:c r="V269" s="165" t="str">
        <x:f>IF(AND(V$5&gt;=$C269,V$5&lt;=$D269,$A269&lt;&gt;""),"●","")</x:f>
      </x:c>
      <x:c r="W269" s="165" t="str">
        <x:f>IF(AND(W$5&gt;=$C269,W$5&lt;=$D269,$A269&lt;&gt;""),"●","")</x:f>
      </x:c>
      <x:c r="X269" s="165" t="str">
        <x:f>IF(AND(X$5&gt;=$C269,X$5&lt;=$D269,$A269&lt;&gt;""),"●","")</x:f>
      </x:c>
      <x:c r="Y269" s="165" t="str">
        <x:f>IF(AND(Y$5&gt;=$C269,Y$5&lt;=$D269,$A269&lt;&gt;""),"●","")</x:f>
      </x:c>
      <x:c r="Z269" s="165" t="str">
        <x:f>IF(AND(Z$5&gt;=$C269,Z$5&lt;=$D269,$A269&lt;&gt;""),"●","")</x:f>
      </x:c>
      <x:c r="AA269" s="165" t="str">
        <x:f>IF(AND(AA$5&gt;=$C269,AA$5&lt;=$D269,$A269&lt;&gt;""),"●","")</x:f>
      </x:c>
      <x:c r="AB269" s="165" t="str">
        <x:f>IF(AND(AB$5&gt;=$C269,AB$5&lt;=$D269,$A269&lt;&gt;""),"●","")</x:f>
      </x:c>
      <x:c r="AC269" s="165" t="str">
        <x:f>IF(AND(AC$5&gt;=$C269,AC$5&lt;=$D269,$A269&lt;&gt;""),"●","")</x:f>
      </x:c>
      <x:c r="AD269" s="165" t="str">
        <x:f>IF(AND(AD$5&gt;=$C269,AD$5&lt;=$D269,$A269&lt;&gt;""),"●","")</x:f>
      </x:c>
      <x:c r="AE269" s="165" t="str">
        <x:f>IF(AND(AE$5&gt;=$C269,AE$5&lt;=$D269,$A269&lt;&gt;""),"●","")</x:f>
      </x:c>
      <x:c r="AF269" s="165" t="str">
        <x:f>IF(AND(AF$5&gt;=$C269,AF$5&lt;=$D269,$A269&lt;&gt;""),"●","")</x:f>
      </x:c>
      <x:c r="AG269" s="165" t="str">
        <x:f>IF(AND(AG$5&gt;=$C269,AG$5&lt;=$D269,$A269&lt;&gt;""),"●","")</x:f>
      </x:c>
      <x:c r="AH269" s="165" t="str">
        <x:f>IF(AND(AH$5&gt;=$C269,AH$5&lt;=$D269,$A269&lt;&gt;""),"●","")</x:f>
      </x:c>
      <x:c r="AI269" s="165" t="str">
        <x:f>IF(AND(AI$5&gt;=$C269,AI$5&lt;=$D269,$A269&lt;&gt;""),"●","")</x:f>
      </x:c>
      <x:c r="AJ269" s="165" t="str">
        <x:f>IF(AND(AJ$5&gt;=$C269,AJ$5&lt;=$D269,$A269&lt;&gt;""),"●","")</x:f>
      </x:c>
      <x:c r="AK269" s="165" t="str">
        <x:f>IF(AND(AK$5&gt;=$C269,AK$5&lt;=$D269,$A269&lt;&gt;""),"●","")</x:f>
      </x:c>
      <x:c r="AL269" s="165" t="str">
        <x:f>IF(AND(AL$5&gt;=$C269,AL$5&lt;=$D269,$A269&lt;&gt;""),"●","")</x:f>
      </x:c>
      <x:c r="AM269" s="165" t="str">
        <x:f>IF(AND(AM$5&gt;=$C269,AM$5&lt;=$D269,$A269&lt;&gt;""),"●","")</x:f>
      </x:c>
      <x:c r="AN269" s="165" t="str">
        <x:f>IF(AND(AN$5&gt;=$C269,AN$5&lt;=$D269,$A269&lt;&gt;""),"●","")</x:f>
      </x:c>
      <x:c r="AO269" s="165" t="str">
        <x:f>IF(AND(AO$5&gt;=$C269,AO$5&lt;=$D269,$A269&lt;&gt;""),"●","")</x:f>
      </x:c>
      <x:c r="AP269" s="165" t="str">
        <x:f>IF(AND(AP$5&gt;=$C269,AP$5&lt;=$D269,$A269&lt;&gt;""),"●","")</x:f>
      </x:c>
      <x:c r="AQ269" s="165" t="str">
        <x:f>IF(AND(AQ$5&gt;=$C269,AQ$5&lt;=$D269,$A269&lt;&gt;""),"●","")</x:f>
      </x:c>
      <x:c r="AR269" s="165" t="str">
        <x:f>IF(AND(AR$5&gt;=$C269,AR$5&lt;=$D269,$A269&lt;&gt;""),"●","")</x:f>
      </x:c>
      <x:c r="AS269" s="165" t="str">
        <x:f>IF(AND(AS$5&gt;=$C269,AS$5&lt;=$D269,$A269&lt;&gt;""),"●","")</x:f>
      </x:c>
      <x:c r="AT269" s="165" t="str">
        <x:f>IF(AND(AT$5&gt;=$C269,AT$5&lt;=$D269,$A269&lt;&gt;""),"●","")</x:f>
      </x:c>
      <x:c r="AU269" s="165" t="str">
        <x:f>IF(AND(AU$5&gt;=$C269,AU$5&lt;=$D269,$A269&lt;&gt;""),"●","")</x:f>
      </x:c>
      <x:c r="AV269" s="165" t="str">
        <x:f>IF(AND(AV$5&gt;=$C269,AV$5&lt;=$D269,$A269&lt;&gt;""),"●","")</x:f>
      </x:c>
      <x:c r="AW269" s="165" t="str">
        <x:f>IF(AND(AW$5&gt;=$C269,AW$5&lt;=$D269,$A269&lt;&gt;""),"●","")</x:f>
      </x:c>
      <x:c r="AX269" s="165" t="str">
        <x:f>IF(AND(AX$5&gt;=$C269,AX$5&lt;=$D269,$A269&lt;&gt;""),"●","")</x:f>
      </x:c>
      <x:c r="AY269" s="165" t="str">
        <x:f>IF(AND(AY$5&gt;=$C269,AY$5&lt;=$D269,$A269&lt;&gt;""),"●","")</x:f>
      </x:c>
      <x:c r="AZ269" s="165" t="str">
        <x:f>IF(AND(AZ$5&gt;=$C269,AZ$5&lt;=$D269,$A269&lt;&gt;""),"●","")</x:f>
      </x:c>
      <x:c r="BA269" s="165" t="str">
        <x:f>IF(AND(BA$5&gt;=$C269,BA$5&lt;=$D269,$A269&lt;&gt;""),"●","")</x:f>
      </x:c>
      <x:c r="BB269" s="165" t="str">
        <x:f>IF(AND(BB$5&gt;=$C269,BB$5&lt;=$D269,$A269&lt;&gt;""),"●","")</x:f>
      </x:c>
      <x:c r="BC269" s="165" t="str">
        <x:f>IF(AND(BC$5&gt;=$C269,BC$5&lt;=$D269,$A269&lt;&gt;""),"●","")</x:f>
      </x:c>
      <x:c r="BD269" s="165" t="str">
        <x:f>IF(AND(BD$5&gt;=$C269,BD$5&lt;=$D269,$A269&lt;&gt;""),"●","")</x:f>
      </x:c>
      <x:c r="BE269" s="165" t="str">
        <x:f>IF(AND(BE$5&gt;=$C269,BE$5&lt;=$D269,$A269&lt;&gt;""),"●","")</x:f>
      </x:c>
      <x:c r="BF269" s="165" t="str">
        <x:f>IF(AND(BF$5&gt;=$C269,BF$5&lt;=$D269,$A269&lt;&gt;""),"●","")</x:f>
      </x:c>
      <x:c r="BG269" s="165" t="str">
        <x:f>IF(AND(BG$5&gt;=$C269,BG$5&lt;=$D269,$A269&lt;&gt;""),"●","")</x:f>
      </x:c>
      <x:c r="BH269" s="165" t="str">
        <x:f>IF(AND(BH$5&gt;=$C269,BH$5&lt;=$D269,$A269&lt;&gt;""),"●","")</x:f>
      </x:c>
      <x:c r="BI269" s="165" t="str">
        <x:f>IF(AND(BI$5&gt;=$C269,BI$5&lt;=$D269,$A269&lt;&gt;""),"●","")</x:f>
      </x:c>
      <x:c r="BJ269" s="165" t="str">
        <x:f>IF(AND(BJ$5&gt;=$C269,BJ$5&lt;=$D269,$A269&lt;&gt;""),"●","")</x:f>
      </x:c>
      <x:c r="BK269" s="165" t="str">
        <x:f>IF(AND(BK$5&gt;=$C269,BK$5&lt;=$D269,$A269&lt;&gt;""),"●","")</x:f>
      </x:c>
      <x:c r="BL269" s="165" t="str">
        <x:f>IF(AND(BL$5&gt;=$C269,BL$5&lt;=$D269,$A269&lt;&gt;""),"●","")</x:f>
      </x:c>
      <x:c r="BM269" s="165" t="str">
        <x:f>IF(AND(BM$5&gt;=$C269,BM$5&lt;=$D269,$A269&lt;&gt;""),"●","")</x:f>
      </x:c>
      <x:c r="BN269" s="165" t="str">
        <x:f>IF(AND(BN$5&gt;=$C269,BN$5&lt;=$D269,$A269&lt;&gt;""),"●","")</x:f>
      </x:c>
      <x:c r="BO269" s="165" t="str">
        <x:f>IF(AND(BO$5&gt;=$C269,BO$5&lt;=$D269,$A269&lt;&gt;""),"●","")</x:f>
      </x:c>
      <x:c r="BP269" s="165" t="str">
        <x:f>IF(AND(BP$5&gt;=$C269,BP$5&lt;=$D269,$A269&lt;&gt;""),"●","")</x:f>
      </x:c>
      <x:c r="BQ269" s="165" t="str">
        <x:f>IF(AND(BQ$5&gt;=$C269,BQ$5&lt;=$D269,$A269&lt;&gt;""),"●","")</x:f>
      </x:c>
      <x:c r="BR269" s="165" t="str">
        <x:f>IF(AND(BR$5&gt;=$C269,BR$5&lt;=$D269,$A269&lt;&gt;""),"●","")</x:f>
      </x:c>
      <x:c r="BS269" s="165" t="str">
        <x:f>IF(AND(BS$5&gt;=$C269,BS$5&lt;=$D269,$A269&lt;&gt;""),"●","")</x:f>
      </x:c>
      <x:c r="BT269" s="165" t="str">
        <x:f>IF(AND(BT$5&gt;=$C269,BT$5&lt;=$D269,$A269&lt;&gt;""),"●","")</x:f>
      </x:c>
      <x:c r="BU269" s="165" t="str">
        <x:f>IF(AND(BU$5&gt;=$C269,BU$5&lt;=$D269,$A269&lt;&gt;""),"●","")</x:f>
      </x:c>
      <x:c r="BV269" s="165" t="str">
        <x:f>IF(AND(BV$5&gt;=$C269,BV$5&lt;=$D269,$A269&lt;&gt;""),"●","")</x:f>
      </x:c>
      <x:c r="BW269" s="165" t="str">
        <x:f>IF(AND(BW$5&gt;=$C269,BW$5&lt;=$D269,$A269&lt;&gt;""),"●","")</x:f>
      </x:c>
    </x:row>
    <x:row r="270">
      <x:c r="A270" s="159" t="str">
        <x:f>IF('รายการสัญญา'!A270="","",'รายการสัญญา'!A270)</x:f>
      </x:c>
      <x:c r="B270" s="159" t="str">
        <x:f>IF('รายการสัญญา'!A270="","",'รายการสัญญา'!C270)</x:f>
      </x:c>
      <x:c r="C270" s="162" t="str">
        <x:f>IF('รายการสัญญา'!A270="","",'รายการสัญญา'!E270)</x:f>
      </x:c>
      <x:c r="D270" s="162" t="str">
        <x:f>IF('รายการสัญญา'!A270="","",'รายการสัญญา'!G270)</x:f>
      </x:c>
      <x:c r="E270" s="159" t="str">
        <x:f>IF('รายการสัญญา'!A270="","",'รายการสัญญา'!K270)</x:f>
      </x:c>
      <x:c r="F270" s="165" t="str">
        <x:f>IF(AND(F$5&gt;=$C270,F$5&lt;=$D270,$A270&lt;&gt;""),"●","")</x:f>
      </x:c>
      <x:c r="G270" s="165" t="str">
        <x:f>IF(AND(G$5&gt;=$C270,G$5&lt;=$D270,$A270&lt;&gt;""),"●","")</x:f>
      </x:c>
      <x:c r="H270" s="165" t="str">
        <x:f>IF(AND(H$5&gt;=$C270,H$5&lt;=$D270,$A270&lt;&gt;""),"●","")</x:f>
      </x:c>
      <x:c r="I270" s="165" t="str">
        <x:f>IF(AND(I$5&gt;=$C270,I$5&lt;=$D270,$A270&lt;&gt;""),"●","")</x:f>
      </x:c>
      <x:c r="J270" s="165" t="str">
        <x:f>IF(AND(J$5&gt;=$C270,J$5&lt;=$D270,$A270&lt;&gt;""),"●","")</x:f>
      </x:c>
      <x:c r="K270" s="165" t="str">
        <x:f>IF(AND(K$5&gt;=$C270,K$5&lt;=$D270,$A270&lt;&gt;""),"●","")</x:f>
      </x:c>
      <x:c r="L270" s="165" t="str">
        <x:f>IF(AND(L$5&gt;=$C270,L$5&lt;=$D270,$A270&lt;&gt;""),"●","")</x:f>
      </x:c>
      <x:c r="M270" s="165" t="str">
        <x:f>IF(AND(M$5&gt;=$C270,M$5&lt;=$D270,$A270&lt;&gt;""),"●","")</x:f>
      </x:c>
      <x:c r="N270" s="165" t="str">
        <x:f>IF(AND(N$5&gt;=$C270,N$5&lt;=$D270,$A270&lt;&gt;""),"●","")</x:f>
      </x:c>
      <x:c r="O270" s="165" t="str">
        <x:f>IF(AND(O$5&gt;=$C270,O$5&lt;=$D270,$A270&lt;&gt;""),"●","")</x:f>
      </x:c>
      <x:c r="P270" s="165" t="str">
        <x:f>IF(AND(P$5&gt;=$C270,P$5&lt;=$D270,$A270&lt;&gt;""),"●","")</x:f>
      </x:c>
      <x:c r="Q270" s="165" t="str">
        <x:f>IF(AND(Q$5&gt;=$C270,Q$5&lt;=$D270,$A270&lt;&gt;""),"●","")</x:f>
      </x:c>
      <x:c r="R270" s="165" t="str">
        <x:f>IF(AND(R$5&gt;=$C270,R$5&lt;=$D270,$A270&lt;&gt;""),"●","")</x:f>
      </x:c>
      <x:c r="S270" s="165" t="str">
        <x:f>IF(AND(S$5&gt;=$C270,S$5&lt;=$D270,$A270&lt;&gt;""),"●","")</x:f>
      </x:c>
      <x:c r="T270" s="165" t="str">
        <x:f>IF(AND(T$5&gt;=$C270,T$5&lt;=$D270,$A270&lt;&gt;""),"●","")</x:f>
      </x:c>
      <x:c r="U270" s="165" t="str">
        <x:f>IF(AND(U$5&gt;=$C270,U$5&lt;=$D270,$A270&lt;&gt;""),"●","")</x:f>
      </x:c>
      <x:c r="V270" s="165" t="str">
        <x:f>IF(AND(V$5&gt;=$C270,V$5&lt;=$D270,$A270&lt;&gt;""),"●","")</x:f>
      </x:c>
      <x:c r="W270" s="165" t="str">
        <x:f>IF(AND(W$5&gt;=$C270,W$5&lt;=$D270,$A270&lt;&gt;""),"●","")</x:f>
      </x:c>
      <x:c r="X270" s="165" t="str">
        <x:f>IF(AND(X$5&gt;=$C270,X$5&lt;=$D270,$A270&lt;&gt;""),"●","")</x:f>
      </x:c>
      <x:c r="Y270" s="165" t="str">
        <x:f>IF(AND(Y$5&gt;=$C270,Y$5&lt;=$D270,$A270&lt;&gt;""),"●","")</x:f>
      </x:c>
      <x:c r="Z270" s="165" t="str">
        <x:f>IF(AND(Z$5&gt;=$C270,Z$5&lt;=$D270,$A270&lt;&gt;""),"●","")</x:f>
      </x:c>
      <x:c r="AA270" s="165" t="str">
        <x:f>IF(AND(AA$5&gt;=$C270,AA$5&lt;=$D270,$A270&lt;&gt;""),"●","")</x:f>
      </x:c>
      <x:c r="AB270" s="165" t="str">
        <x:f>IF(AND(AB$5&gt;=$C270,AB$5&lt;=$D270,$A270&lt;&gt;""),"●","")</x:f>
      </x:c>
      <x:c r="AC270" s="165" t="str">
        <x:f>IF(AND(AC$5&gt;=$C270,AC$5&lt;=$D270,$A270&lt;&gt;""),"●","")</x:f>
      </x:c>
      <x:c r="AD270" s="165" t="str">
        <x:f>IF(AND(AD$5&gt;=$C270,AD$5&lt;=$D270,$A270&lt;&gt;""),"●","")</x:f>
      </x:c>
      <x:c r="AE270" s="165" t="str">
        <x:f>IF(AND(AE$5&gt;=$C270,AE$5&lt;=$D270,$A270&lt;&gt;""),"●","")</x:f>
      </x:c>
      <x:c r="AF270" s="165" t="str">
        <x:f>IF(AND(AF$5&gt;=$C270,AF$5&lt;=$D270,$A270&lt;&gt;""),"●","")</x:f>
      </x:c>
      <x:c r="AG270" s="165" t="str">
        <x:f>IF(AND(AG$5&gt;=$C270,AG$5&lt;=$D270,$A270&lt;&gt;""),"●","")</x:f>
      </x:c>
      <x:c r="AH270" s="165" t="str">
        <x:f>IF(AND(AH$5&gt;=$C270,AH$5&lt;=$D270,$A270&lt;&gt;""),"●","")</x:f>
      </x:c>
      <x:c r="AI270" s="165" t="str">
        <x:f>IF(AND(AI$5&gt;=$C270,AI$5&lt;=$D270,$A270&lt;&gt;""),"●","")</x:f>
      </x:c>
      <x:c r="AJ270" s="165" t="str">
        <x:f>IF(AND(AJ$5&gt;=$C270,AJ$5&lt;=$D270,$A270&lt;&gt;""),"●","")</x:f>
      </x:c>
      <x:c r="AK270" s="165" t="str">
        <x:f>IF(AND(AK$5&gt;=$C270,AK$5&lt;=$D270,$A270&lt;&gt;""),"●","")</x:f>
      </x:c>
      <x:c r="AL270" s="165" t="str">
        <x:f>IF(AND(AL$5&gt;=$C270,AL$5&lt;=$D270,$A270&lt;&gt;""),"●","")</x:f>
      </x:c>
      <x:c r="AM270" s="165" t="str">
        <x:f>IF(AND(AM$5&gt;=$C270,AM$5&lt;=$D270,$A270&lt;&gt;""),"●","")</x:f>
      </x:c>
      <x:c r="AN270" s="165" t="str">
        <x:f>IF(AND(AN$5&gt;=$C270,AN$5&lt;=$D270,$A270&lt;&gt;""),"●","")</x:f>
      </x:c>
      <x:c r="AO270" s="165" t="str">
        <x:f>IF(AND(AO$5&gt;=$C270,AO$5&lt;=$D270,$A270&lt;&gt;""),"●","")</x:f>
      </x:c>
      <x:c r="AP270" s="165" t="str">
        <x:f>IF(AND(AP$5&gt;=$C270,AP$5&lt;=$D270,$A270&lt;&gt;""),"●","")</x:f>
      </x:c>
      <x:c r="AQ270" s="165" t="str">
        <x:f>IF(AND(AQ$5&gt;=$C270,AQ$5&lt;=$D270,$A270&lt;&gt;""),"●","")</x:f>
      </x:c>
      <x:c r="AR270" s="165" t="str">
        <x:f>IF(AND(AR$5&gt;=$C270,AR$5&lt;=$D270,$A270&lt;&gt;""),"●","")</x:f>
      </x:c>
      <x:c r="AS270" s="165" t="str">
        <x:f>IF(AND(AS$5&gt;=$C270,AS$5&lt;=$D270,$A270&lt;&gt;""),"●","")</x:f>
      </x:c>
      <x:c r="AT270" s="165" t="str">
        <x:f>IF(AND(AT$5&gt;=$C270,AT$5&lt;=$D270,$A270&lt;&gt;""),"●","")</x:f>
      </x:c>
      <x:c r="AU270" s="165" t="str">
        <x:f>IF(AND(AU$5&gt;=$C270,AU$5&lt;=$D270,$A270&lt;&gt;""),"●","")</x:f>
      </x:c>
      <x:c r="AV270" s="165" t="str">
        <x:f>IF(AND(AV$5&gt;=$C270,AV$5&lt;=$D270,$A270&lt;&gt;""),"●","")</x:f>
      </x:c>
      <x:c r="AW270" s="165" t="str">
        <x:f>IF(AND(AW$5&gt;=$C270,AW$5&lt;=$D270,$A270&lt;&gt;""),"●","")</x:f>
      </x:c>
      <x:c r="AX270" s="165" t="str">
        <x:f>IF(AND(AX$5&gt;=$C270,AX$5&lt;=$D270,$A270&lt;&gt;""),"●","")</x:f>
      </x:c>
      <x:c r="AY270" s="165" t="str">
        <x:f>IF(AND(AY$5&gt;=$C270,AY$5&lt;=$D270,$A270&lt;&gt;""),"●","")</x:f>
      </x:c>
      <x:c r="AZ270" s="165" t="str">
        <x:f>IF(AND(AZ$5&gt;=$C270,AZ$5&lt;=$D270,$A270&lt;&gt;""),"●","")</x:f>
      </x:c>
      <x:c r="BA270" s="165" t="str">
        <x:f>IF(AND(BA$5&gt;=$C270,BA$5&lt;=$D270,$A270&lt;&gt;""),"●","")</x:f>
      </x:c>
      <x:c r="BB270" s="165" t="str">
        <x:f>IF(AND(BB$5&gt;=$C270,BB$5&lt;=$D270,$A270&lt;&gt;""),"●","")</x:f>
      </x:c>
      <x:c r="BC270" s="165" t="str">
        <x:f>IF(AND(BC$5&gt;=$C270,BC$5&lt;=$D270,$A270&lt;&gt;""),"●","")</x:f>
      </x:c>
      <x:c r="BD270" s="165" t="str">
        <x:f>IF(AND(BD$5&gt;=$C270,BD$5&lt;=$D270,$A270&lt;&gt;""),"●","")</x:f>
      </x:c>
      <x:c r="BE270" s="165" t="str">
        <x:f>IF(AND(BE$5&gt;=$C270,BE$5&lt;=$D270,$A270&lt;&gt;""),"●","")</x:f>
      </x:c>
      <x:c r="BF270" s="165" t="str">
        <x:f>IF(AND(BF$5&gt;=$C270,BF$5&lt;=$D270,$A270&lt;&gt;""),"●","")</x:f>
      </x:c>
      <x:c r="BG270" s="165" t="str">
        <x:f>IF(AND(BG$5&gt;=$C270,BG$5&lt;=$D270,$A270&lt;&gt;""),"●","")</x:f>
      </x:c>
      <x:c r="BH270" s="165" t="str">
        <x:f>IF(AND(BH$5&gt;=$C270,BH$5&lt;=$D270,$A270&lt;&gt;""),"●","")</x:f>
      </x:c>
      <x:c r="BI270" s="165" t="str">
        <x:f>IF(AND(BI$5&gt;=$C270,BI$5&lt;=$D270,$A270&lt;&gt;""),"●","")</x:f>
      </x:c>
      <x:c r="BJ270" s="165" t="str">
        <x:f>IF(AND(BJ$5&gt;=$C270,BJ$5&lt;=$D270,$A270&lt;&gt;""),"●","")</x:f>
      </x:c>
      <x:c r="BK270" s="165" t="str">
        <x:f>IF(AND(BK$5&gt;=$C270,BK$5&lt;=$D270,$A270&lt;&gt;""),"●","")</x:f>
      </x:c>
      <x:c r="BL270" s="165" t="str">
        <x:f>IF(AND(BL$5&gt;=$C270,BL$5&lt;=$D270,$A270&lt;&gt;""),"●","")</x:f>
      </x:c>
      <x:c r="BM270" s="165" t="str">
        <x:f>IF(AND(BM$5&gt;=$C270,BM$5&lt;=$D270,$A270&lt;&gt;""),"●","")</x:f>
      </x:c>
      <x:c r="BN270" s="165" t="str">
        <x:f>IF(AND(BN$5&gt;=$C270,BN$5&lt;=$D270,$A270&lt;&gt;""),"●","")</x:f>
      </x:c>
      <x:c r="BO270" s="165" t="str">
        <x:f>IF(AND(BO$5&gt;=$C270,BO$5&lt;=$D270,$A270&lt;&gt;""),"●","")</x:f>
      </x:c>
      <x:c r="BP270" s="165" t="str">
        <x:f>IF(AND(BP$5&gt;=$C270,BP$5&lt;=$D270,$A270&lt;&gt;""),"●","")</x:f>
      </x:c>
      <x:c r="BQ270" s="165" t="str">
        <x:f>IF(AND(BQ$5&gt;=$C270,BQ$5&lt;=$D270,$A270&lt;&gt;""),"●","")</x:f>
      </x:c>
      <x:c r="BR270" s="165" t="str">
        <x:f>IF(AND(BR$5&gt;=$C270,BR$5&lt;=$D270,$A270&lt;&gt;""),"●","")</x:f>
      </x:c>
      <x:c r="BS270" s="165" t="str">
        <x:f>IF(AND(BS$5&gt;=$C270,BS$5&lt;=$D270,$A270&lt;&gt;""),"●","")</x:f>
      </x:c>
      <x:c r="BT270" s="165" t="str">
        <x:f>IF(AND(BT$5&gt;=$C270,BT$5&lt;=$D270,$A270&lt;&gt;""),"●","")</x:f>
      </x:c>
      <x:c r="BU270" s="165" t="str">
        <x:f>IF(AND(BU$5&gt;=$C270,BU$5&lt;=$D270,$A270&lt;&gt;""),"●","")</x:f>
      </x:c>
      <x:c r="BV270" s="165" t="str">
        <x:f>IF(AND(BV$5&gt;=$C270,BV$5&lt;=$D270,$A270&lt;&gt;""),"●","")</x:f>
      </x:c>
      <x:c r="BW270" s="165" t="str">
        <x:f>IF(AND(BW$5&gt;=$C270,BW$5&lt;=$D270,$A270&lt;&gt;""),"●","")</x:f>
      </x:c>
    </x:row>
    <x:row r="271">
      <x:c r="A271" s="159" t="str">
        <x:f>IF('รายการสัญญา'!A271="","",'รายการสัญญา'!A271)</x:f>
      </x:c>
      <x:c r="B271" s="159" t="str">
        <x:f>IF('รายการสัญญา'!A271="","",'รายการสัญญา'!C271)</x:f>
      </x:c>
      <x:c r="C271" s="162" t="str">
        <x:f>IF('รายการสัญญา'!A271="","",'รายการสัญญา'!E271)</x:f>
      </x:c>
      <x:c r="D271" s="162" t="str">
        <x:f>IF('รายการสัญญา'!A271="","",'รายการสัญญา'!G271)</x:f>
      </x:c>
      <x:c r="E271" s="159" t="str">
        <x:f>IF('รายการสัญญา'!A271="","",'รายการสัญญา'!K271)</x:f>
      </x:c>
      <x:c r="F271" s="165" t="str">
        <x:f>IF(AND(F$5&gt;=$C271,F$5&lt;=$D271,$A271&lt;&gt;""),"●","")</x:f>
      </x:c>
      <x:c r="G271" s="165" t="str">
        <x:f>IF(AND(G$5&gt;=$C271,G$5&lt;=$D271,$A271&lt;&gt;""),"●","")</x:f>
      </x:c>
      <x:c r="H271" s="165" t="str">
        <x:f>IF(AND(H$5&gt;=$C271,H$5&lt;=$D271,$A271&lt;&gt;""),"●","")</x:f>
      </x:c>
      <x:c r="I271" s="165" t="str">
        <x:f>IF(AND(I$5&gt;=$C271,I$5&lt;=$D271,$A271&lt;&gt;""),"●","")</x:f>
      </x:c>
      <x:c r="J271" s="165" t="str">
        <x:f>IF(AND(J$5&gt;=$C271,J$5&lt;=$D271,$A271&lt;&gt;""),"●","")</x:f>
      </x:c>
      <x:c r="K271" s="165" t="str">
        <x:f>IF(AND(K$5&gt;=$C271,K$5&lt;=$D271,$A271&lt;&gt;""),"●","")</x:f>
      </x:c>
      <x:c r="L271" s="165" t="str">
        <x:f>IF(AND(L$5&gt;=$C271,L$5&lt;=$D271,$A271&lt;&gt;""),"●","")</x:f>
      </x:c>
      <x:c r="M271" s="165" t="str">
        <x:f>IF(AND(M$5&gt;=$C271,M$5&lt;=$D271,$A271&lt;&gt;""),"●","")</x:f>
      </x:c>
      <x:c r="N271" s="165" t="str">
        <x:f>IF(AND(N$5&gt;=$C271,N$5&lt;=$D271,$A271&lt;&gt;""),"●","")</x:f>
      </x:c>
      <x:c r="O271" s="165" t="str">
        <x:f>IF(AND(O$5&gt;=$C271,O$5&lt;=$D271,$A271&lt;&gt;""),"●","")</x:f>
      </x:c>
      <x:c r="P271" s="165" t="str">
        <x:f>IF(AND(P$5&gt;=$C271,P$5&lt;=$D271,$A271&lt;&gt;""),"●","")</x:f>
      </x:c>
      <x:c r="Q271" s="165" t="str">
        <x:f>IF(AND(Q$5&gt;=$C271,Q$5&lt;=$D271,$A271&lt;&gt;""),"●","")</x:f>
      </x:c>
      <x:c r="R271" s="165" t="str">
        <x:f>IF(AND(R$5&gt;=$C271,R$5&lt;=$D271,$A271&lt;&gt;""),"●","")</x:f>
      </x:c>
      <x:c r="S271" s="165" t="str">
        <x:f>IF(AND(S$5&gt;=$C271,S$5&lt;=$D271,$A271&lt;&gt;""),"●","")</x:f>
      </x:c>
      <x:c r="T271" s="165" t="str">
        <x:f>IF(AND(T$5&gt;=$C271,T$5&lt;=$D271,$A271&lt;&gt;""),"●","")</x:f>
      </x:c>
      <x:c r="U271" s="165" t="str">
        <x:f>IF(AND(U$5&gt;=$C271,U$5&lt;=$D271,$A271&lt;&gt;""),"●","")</x:f>
      </x:c>
      <x:c r="V271" s="165" t="str">
        <x:f>IF(AND(V$5&gt;=$C271,V$5&lt;=$D271,$A271&lt;&gt;""),"●","")</x:f>
      </x:c>
      <x:c r="W271" s="165" t="str">
        <x:f>IF(AND(W$5&gt;=$C271,W$5&lt;=$D271,$A271&lt;&gt;""),"●","")</x:f>
      </x:c>
      <x:c r="X271" s="165" t="str">
        <x:f>IF(AND(X$5&gt;=$C271,X$5&lt;=$D271,$A271&lt;&gt;""),"●","")</x:f>
      </x:c>
      <x:c r="Y271" s="165" t="str">
        <x:f>IF(AND(Y$5&gt;=$C271,Y$5&lt;=$D271,$A271&lt;&gt;""),"●","")</x:f>
      </x:c>
      <x:c r="Z271" s="165" t="str">
        <x:f>IF(AND(Z$5&gt;=$C271,Z$5&lt;=$D271,$A271&lt;&gt;""),"●","")</x:f>
      </x:c>
      <x:c r="AA271" s="165" t="str">
        <x:f>IF(AND(AA$5&gt;=$C271,AA$5&lt;=$D271,$A271&lt;&gt;""),"●","")</x:f>
      </x:c>
      <x:c r="AB271" s="165" t="str">
        <x:f>IF(AND(AB$5&gt;=$C271,AB$5&lt;=$D271,$A271&lt;&gt;""),"●","")</x:f>
      </x:c>
      <x:c r="AC271" s="165" t="str">
        <x:f>IF(AND(AC$5&gt;=$C271,AC$5&lt;=$D271,$A271&lt;&gt;""),"●","")</x:f>
      </x:c>
      <x:c r="AD271" s="165" t="str">
        <x:f>IF(AND(AD$5&gt;=$C271,AD$5&lt;=$D271,$A271&lt;&gt;""),"●","")</x:f>
      </x:c>
      <x:c r="AE271" s="165" t="str">
        <x:f>IF(AND(AE$5&gt;=$C271,AE$5&lt;=$D271,$A271&lt;&gt;""),"●","")</x:f>
      </x:c>
      <x:c r="AF271" s="165" t="str">
        <x:f>IF(AND(AF$5&gt;=$C271,AF$5&lt;=$D271,$A271&lt;&gt;""),"●","")</x:f>
      </x:c>
      <x:c r="AG271" s="165" t="str">
        <x:f>IF(AND(AG$5&gt;=$C271,AG$5&lt;=$D271,$A271&lt;&gt;""),"●","")</x:f>
      </x:c>
      <x:c r="AH271" s="165" t="str">
        <x:f>IF(AND(AH$5&gt;=$C271,AH$5&lt;=$D271,$A271&lt;&gt;""),"●","")</x:f>
      </x:c>
      <x:c r="AI271" s="165" t="str">
        <x:f>IF(AND(AI$5&gt;=$C271,AI$5&lt;=$D271,$A271&lt;&gt;""),"●","")</x:f>
      </x:c>
      <x:c r="AJ271" s="165" t="str">
        <x:f>IF(AND(AJ$5&gt;=$C271,AJ$5&lt;=$D271,$A271&lt;&gt;""),"●","")</x:f>
      </x:c>
      <x:c r="AK271" s="165" t="str">
        <x:f>IF(AND(AK$5&gt;=$C271,AK$5&lt;=$D271,$A271&lt;&gt;""),"●","")</x:f>
      </x:c>
      <x:c r="AL271" s="165" t="str">
        <x:f>IF(AND(AL$5&gt;=$C271,AL$5&lt;=$D271,$A271&lt;&gt;""),"●","")</x:f>
      </x:c>
      <x:c r="AM271" s="165" t="str">
        <x:f>IF(AND(AM$5&gt;=$C271,AM$5&lt;=$D271,$A271&lt;&gt;""),"●","")</x:f>
      </x:c>
      <x:c r="AN271" s="165" t="str">
        <x:f>IF(AND(AN$5&gt;=$C271,AN$5&lt;=$D271,$A271&lt;&gt;""),"●","")</x:f>
      </x:c>
      <x:c r="AO271" s="165" t="str">
        <x:f>IF(AND(AO$5&gt;=$C271,AO$5&lt;=$D271,$A271&lt;&gt;""),"●","")</x:f>
      </x:c>
      <x:c r="AP271" s="165" t="str">
        <x:f>IF(AND(AP$5&gt;=$C271,AP$5&lt;=$D271,$A271&lt;&gt;""),"●","")</x:f>
      </x:c>
      <x:c r="AQ271" s="165" t="str">
        <x:f>IF(AND(AQ$5&gt;=$C271,AQ$5&lt;=$D271,$A271&lt;&gt;""),"●","")</x:f>
      </x:c>
      <x:c r="AR271" s="165" t="str">
        <x:f>IF(AND(AR$5&gt;=$C271,AR$5&lt;=$D271,$A271&lt;&gt;""),"●","")</x:f>
      </x:c>
      <x:c r="AS271" s="165" t="str">
        <x:f>IF(AND(AS$5&gt;=$C271,AS$5&lt;=$D271,$A271&lt;&gt;""),"●","")</x:f>
      </x:c>
      <x:c r="AT271" s="165" t="str">
        <x:f>IF(AND(AT$5&gt;=$C271,AT$5&lt;=$D271,$A271&lt;&gt;""),"●","")</x:f>
      </x:c>
      <x:c r="AU271" s="165" t="str">
        <x:f>IF(AND(AU$5&gt;=$C271,AU$5&lt;=$D271,$A271&lt;&gt;""),"●","")</x:f>
      </x:c>
      <x:c r="AV271" s="165" t="str">
        <x:f>IF(AND(AV$5&gt;=$C271,AV$5&lt;=$D271,$A271&lt;&gt;""),"●","")</x:f>
      </x:c>
      <x:c r="AW271" s="165" t="str">
        <x:f>IF(AND(AW$5&gt;=$C271,AW$5&lt;=$D271,$A271&lt;&gt;""),"●","")</x:f>
      </x:c>
      <x:c r="AX271" s="165" t="str">
        <x:f>IF(AND(AX$5&gt;=$C271,AX$5&lt;=$D271,$A271&lt;&gt;""),"●","")</x:f>
      </x:c>
      <x:c r="AY271" s="165" t="str">
        <x:f>IF(AND(AY$5&gt;=$C271,AY$5&lt;=$D271,$A271&lt;&gt;""),"●","")</x:f>
      </x:c>
      <x:c r="AZ271" s="165" t="str">
        <x:f>IF(AND(AZ$5&gt;=$C271,AZ$5&lt;=$D271,$A271&lt;&gt;""),"●","")</x:f>
      </x:c>
      <x:c r="BA271" s="165" t="str">
        <x:f>IF(AND(BA$5&gt;=$C271,BA$5&lt;=$D271,$A271&lt;&gt;""),"●","")</x:f>
      </x:c>
      <x:c r="BB271" s="165" t="str">
        <x:f>IF(AND(BB$5&gt;=$C271,BB$5&lt;=$D271,$A271&lt;&gt;""),"●","")</x:f>
      </x:c>
      <x:c r="BC271" s="165" t="str">
        <x:f>IF(AND(BC$5&gt;=$C271,BC$5&lt;=$D271,$A271&lt;&gt;""),"●","")</x:f>
      </x:c>
      <x:c r="BD271" s="165" t="str">
        <x:f>IF(AND(BD$5&gt;=$C271,BD$5&lt;=$D271,$A271&lt;&gt;""),"●","")</x:f>
      </x:c>
      <x:c r="BE271" s="165" t="str">
        <x:f>IF(AND(BE$5&gt;=$C271,BE$5&lt;=$D271,$A271&lt;&gt;""),"●","")</x:f>
      </x:c>
      <x:c r="BF271" s="165" t="str">
        <x:f>IF(AND(BF$5&gt;=$C271,BF$5&lt;=$D271,$A271&lt;&gt;""),"●","")</x:f>
      </x:c>
      <x:c r="BG271" s="165" t="str">
        <x:f>IF(AND(BG$5&gt;=$C271,BG$5&lt;=$D271,$A271&lt;&gt;""),"●","")</x:f>
      </x:c>
      <x:c r="BH271" s="165" t="str">
        <x:f>IF(AND(BH$5&gt;=$C271,BH$5&lt;=$D271,$A271&lt;&gt;""),"●","")</x:f>
      </x:c>
      <x:c r="BI271" s="165" t="str">
        <x:f>IF(AND(BI$5&gt;=$C271,BI$5&lt;=$D271,$A271&lt;&gt;""),"●","")</x:f>
      </x:c>
      <x:c r="BJ271" s="165" t="str">
        <x:f>IF(AND(BJ$5&gt;=$C271,BJ$5&lt;=$D271,$A271&lt;&gt;""),"●","")</x:f>
      </x:c>
      <x:c r="BK271" s="165" t="str">
        <x:f>IF(AND(BK$5&gt;=$C271,BK$5&lt;=$D271,$A271&lt;&gt;""),"●","")</x:f>
      </x:c>
      <x:c r="BL271" s="165" t="str">
        <x:f>IF(AND(BL$5&gt;=$C271,BL$5&lt;=$D271,$A271&lt;&gt;""),"●","")</x:f>
      </x:c>
      <x:c r="BM271" s="165" t="str">
        <x:f>IF(AND(BM$5&gt;=$C271,BM$5&lt;=$D271,$A271&lt;&gt;""),"●","")</x:f>
      </x:c>
      <x:c r="BN271" s="165" t="str">
        <x:f>IF(AND(BN$5&gt;=$C271,BN$5&lt;=$D271,$A271&lt;&gt;""),"●","")</x:f>
      </x:c>
      <x:c r="BO271" s="165" t="str">
        <x:f>IF(AND(BO$5&gt;=$C271,BO$5&lt;=$D271,$A271&lt;&gt;""),"●","")</x:f>
      </x:c>
      <x:c r="BP271" s="165" t="str">
        <x:f>IF(AND(BP$5&gt;=$C271,BP$5&lt;=$D271,$A271&lt;&gt;""),"●","")</x:f>
      </x:c>
      <x:c r="BQ271" s="165" t="str">
        <x:f>IF(AND(BQ$5&gt;=$C271,BQ$5&lt;=$D271,$A271&lt;&gt;""),"●","")</x:f>
      </x:c>
      <x:c r="BR271" s="165" t="str">
        <x:f>IF(AND(BR$5&gt;=$C271,BR$5&lt;=$D271,$A271&lt;&gt;""),"●","")</x:f>
      </x:c>
      <x:c r="BS271" s="165" t="str">
        <x:f>IF(AND(BS$5&gt;=$C271,BS$5&lt;=$D271,$A271&lt;&gt;""),"●","")</x:f>
      </x:c>
      <x:c r="BT271" s="165" t="str">
        <x:f>IF(AND(BT$5&gt;=$C271,BT$5&lt;=$D271,$A271&lt;&gt;""),"●","")</x:f>
      </x:c>
      <x:c r="BU271" s="165" t="str">
        <x:f>IF(AND(BU$5&gt;=$C271,BU$5&lt;=$D271,$A271&lt;&gt;""),"●","")</x:f>
      </x:c>
      <x:c r="BV271" s="165" t="str">
        <x:f>IF(AND(BV$5&gt;=$C271,BV$5&lt;=$D271,$A271&lt;&gt;""),"●","")</x:f>
      </x:c>
      <x:c r="BW271" s="165" t="str">
        <x:f>IF(AND(BW$5&gt;=$C271,BW$5&lt;=$D271,$A271&lt;&gt;""),"●","")</x:f>
      </x:c>
    </x:row>
    <x:row r="272">
      <x:c r="A272" s="159" t="str">
        <x:f>IF('รายการสัญญา'!A272="","",'รายการสัญญา'!A272)</x:f>
      </x:c>
      <x:c r="B272" s="159" t="str">
        <x:f>IF('รายการสัญญา'!A272="","",'รายการสัญญา'!C272)</x:f>
      </x:c>
      <x:c r="C272" s="162" t="str">
        <x:f>IF('รายการสัญญา'!A272="","",'รายการสัญญา'!E272)</x:f>
      </x:c>
      <x:c r="D272" s="162" t="str">
        <x:f>IF('รายการสัญญา'!A272="","",'รายการสัญญา'!G272)</x:f>
      </x:c>
      <x:c r="E272" s="159" t="str">
        <x:f>IF('รายการสัญญา'!A272="","",'รายการสัญญา'!K272)</x:f>
      </x:c>
      <x:c r="F272" s="165" t="str">
        <x:f>IF(AND(F$5&gt;=$C272,F$5&lt;=$D272,$A272&lt;&gt;""),"●","")</x:f>
      </x:c>
      <x:c r="G272" s="165" t="str">
        <x:f>IF(AND(G$5&gt;=$C272,G$5&lt;=$D272,$A272&lt;&gt;""),"●","")</x:f>
      </x:c>
      <x:c r="H272" s="165" t="str">
        <x:f>IF(AND(H$5&gt;=$C272,H$5&lt;=$D272,$A272&lt;&gt;""),"●","")</x:f>
      </x:c>
      <x:c r="I272" s="165" t="str">
        <x:f>IF(AND(I$5&gt;=$C272,I$5&lt;=$D272,$A272&lt;&gt;""),"●","")</x:f>
      </x:c>
      <x:c r="J272" s="165" t="str">
        <x:f>IF(AND(J$5&gt;=$C272,J$5&lt;=$D272,$A272&lt;&gt;""),"●","")</x:f>
      </x:c>
      <x:c r="K272" s="165" t="str">
        <x:f>IF(AND(K$5&gt;=$C272,K$5&lt;=$D272,$A272&lt;&gt;""),"●","")</x:f>
      </x:c>
      <x:c r="L272" s="165" t="str">
        <x:f>IF(AND(L$5&gt;=$C272,L$5&lt;=$D272,$A272&lt;&gt;""),"●","")</x:f>
      </x:c>
      <x:c r="M272" s="165" t="str">
        <x:f>IF(AND(M$5&gt;=$C272,M$5&lt;=$D272,$A272&lt;&gt;""),"●","")</x:f>
      </x:c>
      <x:c r="N272" s="165" t="str">
        <x:f>IF(AND(N$5&gt;=$C272,N$5&lt;=$D272,$A272&lt;&gt;""),"●","")</x:f>
      </x:c>
      <x:c r="O272" s="165" t="str">
        <x:f>IF(AND(O$5&gt;=$C272,O$5&lt;=$D272,$A272&lt;&gt;""),"●","")</x:f>
      </x:c>
      <x:c r="P272" s="165" t="str">
        <x:f>IF(AND(P$5&gt;=$C272,P$5&lt;=$D272,$A272&lt;&gt;""),"●","")</x:f>
      </x:c>
      <x:c r="Q272" s="165" t="str">
        <x:f>IF(AND(Q$5&gt;=$C272,Q$5&lt;=$D272,$A272&lt;&gt;""),"●","")</x:f>
      </x:c>
      <x:c r="R272" s="165" t="str">
        <x:f>IF(AND(R$5&gt;=$C272,R$5&lt;=$D272,$A272&lt;&gt;""),"●","")</x:f>
      </x:c>
      <x:c r="S272" s="165" t="str">
        <x:f>IF(AND(S$5&gt;=$C272,S$5&lt;=$D272,$A272&lt;&gt;""),"●","")</x:f>
      </x:c>
      <x:c r="T272" s="165" t="str">
        <x:f>IF(AND(T$5&gt;=$C272,T$5&lt;=$D272,$A272&lt;&gt;""),"●","")</x:f>
      </x:c>
      <x:c r="U272" s="165" t="str">
        <x:f>IF(AND(U$5&gt;=$C272,U$5&lt;=$D272,$A272&lt;&gt;""),"●","")</x:f>
      </x:c>
      <x:c r="V272" s="165" t="str">
        <x:f>IF(AND(V$5&gt;=$C272,V$5&lt;=$D272,$A272&lt;&gt;""),"●","")</x:f>
      </x:c>
      <x:c r="W272" s="165" t="str">
        <x:f>IF(AND(W$5&gt;=$C272,W$5&lt;=$D272,$A272&lt;&gt;""),"●","")</x:f>
      </x:c>
      <x:c r="X272" s="165" t="str">
        <x:f>IF(AND(X$5&gt;=$C272,X$5&lt;=$D272,$A272&lt;&gt;""),"●","")</x:f>
      </x:c>
      <x:c r="Y272" s="165" t="str">
        <x:f>IF(AND(Y$5&gt;=$C272,Y$5&lt;=$D272,$A272&lt;&gt;""),"●","")</x:f>
      </x:c>
      <x:c r="Z272" s="165" t="str">
        <x:f>IF(AND(Z$5&gt;=$C272,Z$5&lt;=$D272,$A272&lt;&gt;""),"●","")</x:f>
      </x:c>
      <x:c r="AA272" s="165" t="str">
        <x:f>IF(AND(AA$5&gt;=$C272,AA$5&lt;=$D272,$A272&lt;&gt;""),"●","")</x:f>
      </x:c>
      <x:c r="AB272" s="165" t="str">
        <x:f>IF(AND(AB$5&gt;=$C272,AB$5&lt;=$D272,$A272&lt;&gt;""),"●","")</x:f>
      </x:c>
      <x:c r="AC272" s="165" t="str">
        <x:f>IF(AND(AC$5&gt;=$C272,AC$5&lt;=$D272,$A272&lt;&gt;""),"●","")</x:f>
      </x:c>
      <x:c r="AD272" s="165" t="str">
        <x:f>IF(AND(AD$5&gt;=$C272,AD$5&lt;=$D272,$A272&lt;&gt;""),"●","")</x:f>
      </x:c>
      <x:c r="AE272" s="165" t="str">
        <x:f>IF(AND(AE$5&gt;=$C272,AE$5&lt;=$D272,$A272&lt;&gt;""),"●","")</x:f>
      </x:c>
      <x:c r="AF272" s="165" t="str">
        <x:f>IF(AND(AF$5&gt;=$C272,AF$5&lt;=$D272,$A272&lt;&gt;""),"●","")</x:f>
      </x:c>
      <x:c r="AG272" s="165" t="str">
        <x:f>IF(AND(AG$5&gt;=$C272,AG$5&lt;=$D272,$A272&lt;&gt;""),"●","")</x:f>
      </x:c>
      <x:c r="AH272" s="165" t="str">
        <x:f>IF(AND(AH$5&gt;=$C272,AH$5&lt;=$D272,$A272&lt;&gt;""),"●","")</x:f>
      </x:c>
      <x:c r="AI272" s="165" t="str">
        <x:f>IF(AND(AI$5&gt;=$C272,AI$5&lt;=$D272,$A272&lt;&gt;""),"●","")</x:f>
      </x:c>
      <x:c r="AJ272" s="165" t="str">
        <x:f>IF(AND(AJ$5&gt;=$C272,AJ$5&lt;=$D272,$A272&lt;&gt;""),"●","")</x:f>
      </x:c>
      <x:c r="AK272" s="165" t="str">
        <x:f>IF(AND(AK$5&gt;=$C272,AK$5&lt;=$D272,$A272&lt;&gt;""),"●","")</x:f>
      </x:c>
      <x:c r="AL272" s="165" t="str">
        <x:f>IF(AND(AL$5&gt;=$C272,AL$5&lt;=$D272,$A272&lt;&gt;""),"●","")</x:f>
      </x:c>
      <x:c r="AM272" s="165" t="str">
        <x:f>IF(AND(AM$5&gt;=$C272,AM$5&lt;=$D272,$A272&lt;&gt;""),"●","")</x:f>
      </x:c>
      <x:c r="AN272" s="165" t="str">
        <x:f>IF(AND(AN$5&gt;=$C272,AN$5&lt;=$D272,$A272&lt;&gt;""),"●","")</x:f>
      </x:c>
      <x:c r="AO272" s="165" t="str">
        <x:f>IF(AND(AO$5&gt;=$C272,AO$5&lt;=$D272,$A272&lt;&gt;""),"●","")</x:f>
      </x:c>
      <x:c r="AP272" s="165" t="str">
        <x:f>IF(AND(AP$5&gt;=$C272,AP$5&lt;=$D272,$A272&lt;&gt;""),"●","")</x:f>
      </x:c>
      <x:c r="AQ272" s="165" t="str">
        <x:f>IF(AND(AQ$5&gt;=$C272,AQ$5&lt;=$D272,$A272&lt;&gt;""),"●","")</x:f>
      </x:c>
      <x:c r="AR272" s="165" t="str">
        <x:f>IF(AND(AR$5&gt;=$C272,AR$5&lt;=$D272,$A272&lt;&gt;""),"●","")</x:f>
      </x:c>
      <x:c r="AS272" s="165" t="str">
        <x:f>IF(AND(AS$5&gt;=$C272,AS$5&lt;=$D272,$A272&lt;&gt;""),"●","")</x:f>
      </x:c>
      <x:c r="AT272" s="165" t="str">
        <x:f>IF(AND(AT$5&gt;=$C272,AT$5&lt;=$D272,$A272&lt;&gt;""),"●","")</x:f>
      </x:c>
      <x:c r="AU272" s="165" t="str">
        <x:f>IF(AND(AU$5&gt;=$C272,AU$5&lt;=$D272,$A272&lt;&gt;""),"●","")</x:f>
      </x:c>
      <x:c r="AV272" s="165" t="str">
        <x:f>IF(AND(AV$5&gt;=$C272,AV$5&lt;=$D272,$A272&lt;&gt;""),"●","")</x:f>
      </x:c>
      <x:c r="AW272" s="165" t="str">
        <x:f>IF(AND(AW$5&gt;=$C272,AW$5&lt;=$D272,$A272&lt;&gt;""),"●","")</x:f>
      </x:c>
      <x:c r="AX272" s="165" t="str">
        <x:f>IF(AND(AX$5&gt;=$C272,AX$5&lt;=$D272,$A272&lt;&gt;""),"●","")</x:f>
      </x:c>
      <x:c r="AY272" s="165" t="str">
        <x:f>IF(AND(AY$5&gt;=$C272,AY$5&lt;=$D272,$A272&lt;&gt;""),"●","")</x:f>
      </x:c>
      <x:c r="AZ272" s="165" t="str">
        <x:f>IF(AND(AZ$5&gt;=$C272,AZ$5&lt;=$D272,$A272&lt;&gt;""),"●","")</x:f>
      </x:c>
      <x:c r="BA272" s="165" t="str">
        <x:f>IF(AND(BA$5&gt;=$C272,BA$5&lt;=$D272,$A272&lt;&gt;""),"●","")</x:f>
      </x:c>
      <x:c r="BB272" s="165" t="str">
        <x:f>IF(AND(BB$5&gt;=$C272,BB$5&lt;=$D272,$A272&lt;&gt;""),"●","")</x:f>
      </x:c>
      <x:c r="BC272" s="165" t="str">
        <x:f>IF(AND(BC$5&gt;=$C272,BC$5&lt;=$D272,$A272&lt;&gt;""),"●","")</x:f>
      </x:c>
      <x:c r="BD272" s="165" t="str">
        <x:f>IF(AND(BD$5&gt;=$C272,BD$5&lt;=$D272,$A272&lt;&gt;""),"●","")</x:f>
      </x:c>
      <x:c r="BE272" s="165" t="str">
        <x:f>IF(AND(BE$5&gt;=$C272,BE$5&lt;=$D272,$A272&lt;&gt;""),"●","")</x:f>
      </x:c>
      <x:c r="BF272" s="165" t="str">
        <x:f>IF(AND(BF$5&gt;=$C272,BF$5&lt;=$D272,$A272&lt;&gt;""),"●","")</x:f>
      </x:c>
      <x:c r="BG272" s="165" t="str">
        <x:f>IF(AND(BG$5&gt;=$C272,BG$5&lt;=$D272,$A272&lt;&gt;""),"●","")</x:f>
      </x:c>
      <x:c r="BH272" s="165" t="str">
        <x:f>IF(AND(BH$5&gt;=$C272,BH$5&lt;=$D272,$A272&lt;&gt;""),"●","")</x:f>
      </x:c>
      <x:c r="BI272" s="165" t="str">
        <x:f>IF(AND(BI$5&gt;=$C272,BI$5&lt;=$D272,$A272&lt;&gt;""),"●","")</x:f>
      </x:c>
      <x:c r="BJ272" s="165" t="str">
        <x:f>IF(AND(BJ$5&gt;=$C272,BJ$5&lt;=$D272,$A272&lt;&gt;""),"●","")</x:f>
      </x:c>
      <x:c r="BK272" s="165" t="str">
        <x:f>IF(AND(BK$5&gt;=$C272,BK$5&lt;=$D272,$A272&lt;&gt;""),"●","")</x:f>
      </x:c>
      <x:c r="BL272" s="165" t="str">
        <x:f>IF(AND(BL$5&gt;=$C272,BL$5&lt;=$D272,$A272&lt;&gt;""),"●","")</x:f>
      </x:c>
      <x:c r="BM272" s="165" t="str">
        <x:f>IF(AND(BM$5&gt;=$C272,BM$5&lt;=$D272,$A272&lt;&gt;""),"●","")</x:f>
      </x:c>
      <x:c r="BN272" s="165" t="str">
        <x:f>IF(AND(BN$5&gt;=$C272,BN$5&lt;=$D272,$A272&lt;&gt;""),"●","")</x:f>
      </x:c>
      <x:c r="BO272" s="165" t="str">
        <x:f>IF(AND(BO$5&gt;=$C272,BO$5&lt;=$D272,$A272&lt;&gt;""),"●","")</x:f>
      </x:c>
      <x:c r="BP272" s="165" t="str">
        <x:f>IF(AND(BP$5&gt;=$C272,BP$5&lt;=$D272,$A272&lt;&gt;""),"●","")</x:f>
      </x:c>
      <x:c r="BQ272" s="165" t="str">
        <x:f>IF(AND(BQ$5&gt;=$C272,BQ$5&lt;=$D272,$A272&lt;&gt;""),"●","")</x:f>
      </x:c>
      <x:c r="BR272" s="165" t="str">
        <x:f>IF(AND(BR$5&gt;=$C272,BR$5&lt;=$D272,$A272&lt;&gt;""),"●","")</x:f>
      </x:c>
      <x:c r="BS272" s="165" t="str">
        <x:f>IF(AND(BS$5&gt;=$C272,BS$5&lt;=$D272,$A272&lt;&gt;""),"●","")</x:f>
      </x:c>
      <x:c r="BT272" s="165" t="str">
        <x:f>IF(AND(BT$5&gt;=$C272,BT$5&lt;=$D272,$A272&lt;&gt;""),"●","")</x:f>
      </x:c>
      <x:c r="BU272" s="165" t="str">
        <x:f>IF(AND(BU$5&gt;=$C272,BU$5&lt;=$D272,$A272&lt;&gt;""),"●","")</x:f>
      </x:c>
      <x:c r="BV272" s="165" t="str">
        <x:f>IF(AND(BV$5&gt;=$C272,BV$5&lt;=$D272,$A272&lt;&gt;""),"●","")</x:f>
      </x:c>
      <x:c r="BW272" s="165" t="str">
        <x:f>IF(AND(BW$5&gt;=$C272,BW$5&lt;=$D272,$A272&lt;&gt;""),"●","")</x:f>
      </x:c>
    </x:row>
    <x:row r="273">
      <x:c r="A273" s="159" t="str">
        <x:f>IF('รายการสัญญา'!A273="","",'รายการสัญญา'!A273)</x:f>
      </x:c>
      <x:c r="B273" s="159" t="str">
        <x:f>IF('รายการสัญญา'!A273="","",'รายการสัญญา'!C273)</x:f>
      </x:c>
      <x:c r="C273" s="162" t="str">
        <x:f>IF('รายการสัญญา'!A273="","",'รายการสัญญา'!E273)</x:f>
      </x:c>
      <x:c r="D273" s="162" t="str">
        <x:f>IF('รายการสัญญา'!A273="","",'รายการสัญญา'!G273)</x:f>
      </x:c>
      <x:c r="E273" s="159" t="str">
        <x:f>IF('รายการสัญญา'!A273="","",'รายการสัญญา'!K273)</x:f>
      </x:c>
      <x:c r="F273" s="165" t="str">
        <x:f>IF(AND(F$5&gt;=$C273,F$5&lt;=$D273,$A273&lt;&gt;""),"●","")</x:f>
      </x:c>
      <x:c r="G273" s="165" t="str">
        <x:f>IF(AND(G$5&gt;=$C273,G$5&lt;=$D273,$A273&lt;&gt;""),"●","")</x:f>
      </x:c>
      <x:c r="H273" s="165" t="str">
        <x:f>IF(AND(H$5&gt;=$C273,H$5&lt;=$D273,$A273&lt;&gt;""),"●","")</x:f>
      </x:c>
      <x:c r="I273" s="165" t="str">
        <x:f>IF(AND(I$5&gt;=$C273,I$5&lt;=$D273,$A273&lt;&gt;""),"●","")</x:f>
      </x:c>
      <x:c r="J273" s="165" t="str">
        <x:f>IF(AND(J$5&gt;=$C273,J$5&lt;=$D273,$A273&lt;&gt;""),"●","")</x:f>
      </x:c>
      <x:c r="K273" s="165" t="str">
        <x:f>IF(AND(K$5&gt;=$C273,K$5&lt;=$D273,$A273&lt;&gt;""),"●","")</x:f>
      </x:c>
      <x:c r="L273" s="165" t="str">
        <x:f>IF(AND(L$5&gt;=$C273,L$5&lt;=$D273,$A273&lt;&gt;""),"●","")</x:f>
      </x:c>
      <x:c r="M273" s="165" t="str">
        <x:f>IF(AND(M$5&gt;=$C273,M$5&lt;=$D273,$A273&lt;&gt;""),"●","")</x:f>
      </x:c>
      <x:c r="N273" s="165" t="str">
        <x:f>IF(AND(N$5&gt;=$C273,N$5&lt;=$D273,$A273&lt;&gt;""),"●","")</x:f>
      </x:c>
      <x:c r="O273" s="165" t="str">
        <x:f>IF(AND(O$5&gt;=$C273,O$5&lt;=$D273,$A273&lt;&gt;""),"●","")</x:f>
      </x:c>
      <x:c r="P273" s="165" t="str">
        <x:f>IF(AND(P$5&gt;=$C273,P$5&lt;=$D273,$A273&lt;&gt;""),"●","")</x:f>
      </x:c>
      <x:c r="Q273" s="165" t="str">
        <x:f>IF(AND(Q$5&gt;=$C273,Q$5&lt;=$D273,$A273&lt;&gt;""),"●","")</x:f>
      </x:c>
      <x:c r="R273" s="165" t="str">
        <x:f>IF(AND(R$5&gt;=$C273,R$5&lt;=$D273,$A273&lt;&gt;""),"●","")</x:f>
      </x:c>
      <x:c r="S273" s="165" t="str">
        <x:f>IF(AND(S$5&gt;=$C273,S$5&lt;=$D273,$A273&lt;&gt;""),"●","")</x:f>
      </x:c>
      <x:c r="T273" s="165" t="str">
        <x:f>IF(AND(T$5&gt;=$C273,T$5&lt;=$D273,$A273&lt;&gt;""),"●","")</x:f>
      </x:c>
      <x:c r="U273" s="165" t="str">
        <x:f>IF(AND(U$5&gt;=$C273,U$5&lt;=$D273,$A273&lt;&gt;""),"●","")</x:f>
      </x:c>
      <x:c r="V273" s="165" t="str">
        <x:f>IF(AND(V$5&gt;=$C273,V$5&lt;=$D273,$A273&lt;&gt;""),"●","")</x:f>
      </x:c>
      <x:c r="W273" s="165" t="str">
        <x:f>IF(AND(W$5&gt;=$C273,W$5&lt;=$D273,$A273&lt;&gt;""),"●","")</x:f>
      </x:c>
      <x:c r="X273" s="165" t="str">
        <x:f>IF(AND(X$5&gt;=$C273,X$5&lt;=$D273,$A273&lt;&gt;""),"●","")</x:f>
      </x:c>
      <x:c r="Y273" s="165" t="str">
        <x:f>IF(AND(Y$5&gt;=$C273,Y$5&lt;=$D273,$A273&lt;&gt;""),"●","")</x:f>
      </x:c>
      <x:c r="Z273" s="165" t="str">
        <x:f>IF(AND(Z$5&gt;=$C273,Z$5&lt;=$D273,$A273&lt;&gt;""),"●","")</x:f>
      </x:c>
      <x:c r="AA273" s="165" t="str">
        <x:f>IF(AND(AA$5&gt;=$C273,AA$5&lt;=$D273,$A273&lt;&gt;""),"●","")</x:f>
      </x:c>
      <x:c r="AB273" s="165" t="str">
        <x:f>IF(AND(AB$5&gt;=$C273,AB$5&lt;=$D273,$A273&lt;&gt;""),"●","")</x:f>
      </x:c>
      <x:c r="AC273" s="165" t="str">
        <x:f>IF(AND(AC$5&gt;=$C273,AC$5&lt;=$D273,$A273&lt;&gt;""),"●","")</x:f>
      </x:c>
      <x:c r="AD273" s="165" t="str">
        <x:f>IF(AND(AD$5&gt;=$C273,AD$5&lt;=$D273,$A273&lt;&gt;""),"●","")</x:f>
      </x:c>
      <x:c r="AE273" s="165" t="str">
        <x:f>IF(AND(AE$5&gt;=$C273,AE$5&lt;=$D273,$A273&lt;&gt;""),"●","")</x:f>
      </x:c>
      <x:c r="AF273" s="165" t="str">
        <x:f>IF(AND(AF$5&gt;=$C273,AF$5&lt;=$D273,$A273&lt;&gt;""),"●","")</x:f>
      </x:c>
      <x:c r="AG273" s="165" t="str">
        <x:f>IF(AND(AG$5&gt;=$C273,AG$5&lt;=$D273,$A273&lt;&gt;""),"●","")</x:f>
      </x:c>
      <x:c r="AH273" s="165" t="str">
        <x:f>IF(AND(AH$5&gt;=$C273,AH$5&lt;=$D273,$A273&lt;&gt;""),"●","")</x:f>
      </x:c>
      <x:c r="AI273" s="165" t="str">
        <x:f>IF(AND(AI$5&gt;=$C273,AI$5&lt;=$D273,$A273&lt;&gt;""),"●","")</x:f>
      </x:c>
      <x:c r="AJ273" s="165" t="str">
        <x:f>IF(AND(AJ$5&gt;=$C273,AJ$5&lt;=$D273,$A273&lt;&gt;""),"●","")</x:f>
      </x:c>
      <x:c r="AK273" s="165" t="str">
        <x:f>IF(AND(AK$5&gt;=$C273,AK$5&lt;=$D273,$A273&lt;&gt;""),"●","")</x:f>
      </x:c>
      <x:c r="AL273" s="165" t="str">
        <x:f>IF(AND(AL$5&gt;=$C273,AL$5&lt;=$D273,$A273&lt;&gt;""),"●","")</x:f>
      </x:c>
      <x:c r="AM273" s="165" t="str">
        <x:f>IF(AND(AM$5&gt;=$C273,AM$5&lt;=$D273,$A273&lt;&gt;""),"●","")</x:f>
      </x:c>
      <x:c r="AN273" s="165" t="str">
        <x:f>IF(AND(AN$5&gt;=$C273,AN$5&lt;=$D273,$A273&lt;&gt;""),"●","")</x:f>
      </x:c>
      <x:c r="AO273" s="165" t="str">
        <x:f>IF(AND(AO$5&gt;=$C273,AO$5&lt;=$D273,$A273&lt;&gt;""),"●","")</x:f>
      </x:c>
      <x:c r="AP273" s="165" t="str">
        <x:f>IF(AND(AP$5&gt;=$C273,AP$5&lt;=$D273,$A273&lt;&gt;""),"●","")</x:f>
      </x:c>
      <x:c r="AQ273" s="165" t="str">
        <x:f>IF(AND(AQ$5&gt;=$C273,AQ$5&lt;=$D273,$A273&lt;&gt;""),"●","")</x:f>
      </x:c>
      <x:c r="AR273" s="165" t="str">
        <x:f>IF(AND(AR$5&gt;=$C273,AR$5&lt;=$D273,$A273&lt;&gt;""),"●","")</x:f>
      </x:c>
      <x:c r="AS273" s="165" t="str">
        <x:f>IF(AND(AS$5&gt;=$C273,AS$5&lt;=$D273,$A273&lt;&gt;""),"●","")</x:f>
      </x:c>
      <x:c r="AT273" s="165" t="str">
        <x:f>IF(AND(AT$5&gt;=$C273,AT$5&lt;=$D273,$A273&lt;&gt;""),"●","")</x:f>
      </x:c>
      <x:c r="AU273" s="165" t="str">
        <x:f>IF(AND(AU$5&gt;=$C273,AU$5&lt;=$D273,$A273&lt;&gt;""),"●","")</x:f>
      </x:c>
      <x:c r="AV273" s="165" t="str">
        <x:f>IF(AND(AV$5&gt;=$C273,AV$5&lt;=$D273,$A273&lt;&gt;""),"●","")</x:f>
      </x:c>
      <x:c r="AW273" s="165" t="str">
        <x:f>IF(AND(AW$5&gt;=$C273,AW$5&lt;=$D273,$A273&lt;&gt;""),"●","")</x:f>
      </x:c>
      <x:c r="AX273" s="165" t="str">
        <x:f>IF(AND(AX$5&gt;=$C273,AX$5&lt;=$D273,$A273&lt;&gt;""),"●","")</x:f>
      </x:c>
      <x:c r="AY273" s="165" t="str">
        <x:f>IF(AND(AY$5&gt;=$C273,AY$5&lt;=$D273,$A273&lt;&gt;""),"●","")</x:f>
      </x:c>
      <x:c r="AZ273" s="165" t="str">
        <x:f>IF(AND(AZ$5&gt;=$C273,AZ$5&lt;=$D273,$A273&lt;&gt;""),"●","")</x:f>
      </x:c>
      <x:c r="BA273" s="165" t="str">
        <x:f>IF(AND(BA$5&gt;=$C273,BA$5&lt;=$D273,$A273&lt;&gt;""),"●","")</x:f>
      </x:c>
      <x:c r="BB273" s="165" t="str">
        <x:f>IF(AND(BB$5&gt;=$C273,BB$5&lt;=$D273,$A273&lt;&gt;""),"●","")</x:f>
      </x:c>
      <x:c r="BC273" s="165" t="str">
        <x:f>IF(AND(BC$5&gt;=$C273,BC$5&lt;=$D273,$A273&lt;&gt;""),"●","")</x:f>
      </x:c>
      <x:c r="BD273" s="165" t="str">
        <x:f>IF(AND(BD$5&gt;=$C273,BD$5&lt;=$D273,$A273&lt;&gt;""),"●","")</x:f>
      </x:c>
      <x:c r="BE273" s="165" t="str">
        <x:f>IF(AND(BE$5&gt;=$C273,BE$5&lt;=$D273,$A273&lt;&gt;""),"●","")</x:f>
      </x:c>
      <x:c r="BF273" s="165" t="str">
        <x:f>IF(AND(BF$5&gt;=$C273,BF$5&lt;=$D273,$A273&lt;&gt;""),"●","")</x:f>
      </x:c>
      <x:c r="BG273" s="165" t="str">
        <x:f>IF(AND(BG$5&gt;=$C273,BG$5&lt;=$D273,$A273&lt;&gt;""),"●","")</x:f>
      </x:c>
      <x:c r="BH273" s="165" t="str">
        <x:f>IF(AND(BH$5&gt;=$C273,BH$5&lt;=$D273,$A273&lt;&gt;""),"●","")</x:f>
      </x:c>
      <x:c r="BI273" s="165" t="str">
        <x:f>IF(AND(BI$5&gt;=$C273,BI$5&lt;=$D273,$A273&lt;&gt;""),"●","")</x:f>
      </x:c>
      <x:c r="BJ273" s="165" t="str">
        <x:f>IF(AND(BJ$5&gt;=$C273,BJ$5&lt;=$D273,$A273&lt;&gt;""),"●","")</x:f>
      </x:c>
      <x:c r="BK273" s="165" t="str">
        <x:f>IF(AND(BK$5&gt;=$C273,BK$5&lt;=$D273,$A273&lt;&gt;""),"●","")</x:f>
      </x:c>
      <x:c r="BL273" s="165" t="str">
        <x:f>IF(AND(BL$5&gt;=$C273,BL$5&lt;=$D273,$A273&lt;&gt;""),"●","")</x:f>
      </x:c>
      <x:c r="BM273" s="165" t="str">
        <x:f>IF(AND(BM$5&gt;=$C273,BM$5&lt;=$D273,$A273&lt;&gt;""),"●","")</x:f>
      </x:c>
      <x:c r="BN273" s="165" t="str">
        <x:f>IF(AND(BN$5&gt;=$C273,BN$5&lt;=$D273,$A273&lt;&gt;""),"●","")</x:f>
      </x:c>
      <x:c r="BO273" s="165" t="str">
        <x:f>IF(AND(BO$5&gt;=$C273,BO$5&lt;=$D273,$A273&lt;&gt;""),"●","")</x:f>
      </x:c>
      <x:c r="BP273" s="165" t="str">
        <x:f>IF(AND(BP$5&gt;=$C273,BP$5&lt;=$D273,$A273&lt;&gt;""),"●","")</x:f>
      </x:c>
      <x:c r="BQ273" s="165" t="str">
        <x:f>IF(AND(BQ$5&gt;=$C273,BQ$5&lt;=$D273,$A273&lt;&gt;""),"●","")</x:f>
      </x:c>
      <x:c r="BR273" s="165" t="str">
        <x:f>IF(AND(BR$5&gt;=$C273,BR$5&lt;=$D273,$A273&lt;&gt;""),"●","")</x:f>
      </x:c>
      <x:c r="BS273" s="165" t="str">
        <x:f>IF(AND(BS$5&gt;=$C273,BS$5&lt;=$D273,$A273&lt;&gt;""),"●","")</x:f>
      </x:c>
      <x:c r="BT273" s="165" t="str">
        <x:f>IF(AND(BT$5&gt;=$C273,BT$5&lt;=$D273,$A273&lt;&gt;""),"●","")</x:f>
      </x:c>
      <x:c r="BU273" s="165" t="str">
        <x:f>IF(AND(BU$5&gt;=$C273,BU$5&lt;=$D273,$A273&lt;&gt;""),"●","")</x:f>
      </x:c>
      <x:c r="BV273" s="165" t="str">
        <x:f>IF(AND(BV$5&gt;=$C273,BV$5&lt;=$D273,$A273&lt;&gt;""),"●","")</x:f>
      </x:c>
      <x:c r="BW273" s="165" t="str">
        <x:f>IF(AND(BW$5&gt;=$C273,BW$5&lt;=$D273,$A273&lt;&gt;""),"●","")</x:f>
      </x:c>
    </x:row>
    <x:row r="274">
      <x:c r="A274" s="159" t="str">
        <x:f>IF('รายการสัญญา'!A274="","",'รายการสัญญา'!A274)</x:f>
      </x:c>
      <x:c r="B274" s="159" t="str">
        <x:f>IF('รายการสัญญา'!A274="","",'รายการสัญญา'!C274)</x:f>
      </x:c>
      <x:c r="C274" s="162" t="str">
        <x:f>IF('รายการสัญญา'!A274="","",'รายการสัญญา'!E274)</x:f>
      </x:c>
      <x:c r="D274" s="162" t="str">
        <x:f>IF('รายการสัญญา'!A274="","",'รายการสัญญา'!G274)</x:f>
      </x:c>
      <x:c r="E274" s="159" t="str">
        <x:f>IF('รายการสัญญา'!A274="","",'รายการสัญญา'!K274)</x:f>
      </x:c>
      <x:c r="F274" s="165" t="str">
        <x:f>IF(AND(F$5&gt;=$C274,F$5&lt;=$D274,$A274&lt;&gt;""),"●","")</x:f>
      </x:c>
      <x:c r="G274" s="165" t="str">
        <x:f>IF(AND(G$5&gt;=$C274,G$5&lt;=$D274,$A274&lt;&gt;""),"●","")</x:f>
      </x:c>
      <x:c r="H274" s="165" t="str">
        <x:f>IF(AND(H$5&gt;=$C274,H$5&lt;=$D274,$A274&lt;&gt;""),"●","")</x:f>
      </x:c>
      <x:c r="I274" s="165" t="str">
        <x:f>IF(AND(I$5&gt;=$C274,I$5&lt;=$D274,$A274&lt;&gt;""),"●","")</x:f>
      </x:c>
      <x:c r="J274" s="165" t="str">
        <x:f>IF(AND(J$5&gt;=$C274,J$5&lt;=$D274,$A274&lt;&gt;""),"●","")</x:f>
      </x:c>
      <x:c r="K274" s="165" t="str">
        <x:f>IF(AND(K$5&gt;=$C274,K$5&lt;=$D274,$A274&lt;&gt;""),"●","")</x:f>
      </x:c>
      <x:c r="L274" s="165" t="str">
        <x:f>IF(AND(L$5&gt;=$C274,L$5&lt;=$D274,$A274&lt;&gt;""),"●","")</x:f>
      </x:c>
      <x:c r="M274" s="165" t="str">
        <x:f>IF(AND(M$5&gt;=$C274,M$5&lt;=$D274,$A274&lt;&gt;""),"●","")</x:f>
      </x:c>
      <x:c r="N274" s="165" t="str">
        <x:f>IF(AND(N$5&gt;=$C274,N$5&lt;=$D274,$A274&lt;&gt;""),"●","")</x:f>
      </x:c>
      <x:c r="O274" s="165" t="str">
        <x:f>IF(AND(O$5&gt;=$C274,O$5&lt;=$D274,$A274&lt;&gt;""),"●","")</x:f>
      </x:c>
      <x:c r="P274" s="165" t="str">
        <x:f>IF(AND(P$5&gt;=$C274,P$5&lt;=$D274,$A274&lt;&gt;""),"●","")</x:f>
      </x:c>
      <x:c r="Q274" s="165" t="str">
        <x:f>IF(AND(Q$5&gt;=$C274,Q$5&lt;=$D274,$A274&lt;&gt;""),"●","")</x:f>
      </x:c>
      <x:c r="R274" s="165" t="str">
        <x:f>IF(AND(R$5&gt;=$C274,R$5&lt;=$D274,$A274&lt;&gt;""),"●","")</x:f>
      </x:c>
      <x:c r="S274" s="165" t="str">
        <x:f>IF(AND(S$5&gt;=$C274,S$5&lt;=$D274,$A274&lt;&gt;""),"●","")</x:f>
      </x:c>
      <x:c r="T274" s="165" t="str">
        <x:f>IF(AND(T$5&gt;=$C274,T$5&lt;=$D274,$A274&lt;&gt;""),"●","")</x:f>
      </x:c>
      <x:c r="U274" s="165" t="str">
        <x:f>IF(AND(U$5&gt;=$C274,U$5&lt;=$D274,$A274&lt;&gt;""),"●","")</x:f>
      </x:c>
      <x:c r="V274" s="165" t="str">
        <x:f>IF(AND(V$5&gt;=$C274,V$5&lt;=$D274,$A274&lt;&gt;""),"●","")</x:f>
      </x:c>
      <x:c r="W274" s="165" t="str">
        <x:f>IF(AND(W$5&gt;=$C274,W$5&lt;=$D274,$A274&lt;&gt;""),"●","")</x:f>
      </x:c>
      <x:c r="X274" s="165" t="str">
        <x:f>IF(AND(X$5&gt;=$C274,X$5&lt;=$D274,$A274&lt;&gt;""),"●","")</x:f>
      </x:c>
      <x:c r="Y274" s="165" t="str">
        <x:f>IF(AND(Y$5&gt;=$C274,Y$5&lt;=$D274,$A274&lt;&gt;""),"●","")</x:f>
      </x:c>
      <x:c r="Z274" s="165" t="str">
        <x:f>IF(AND(Z$5&gt;=$C274,Z$5&lt;=$D274,$A274&lt;&gt;""),"●","")</x:f>
      </x:c>
      <x:c r="AA274" s="165" t="str">
        <x:f>IF(AND(AA$5&gt;=$C274,AA$5&lt;=$D274,$A274&lt;&gt;""),"●","")</x:f>
      </x:c>
      <x:c r="AB274" s="165" t="str">
        <x:f>IF(AND(AB$5&gt;=$C274,AB$5&lt;=$D274,$A274&lt;&gt;""),"●","")</x:f>
      </x:c>
      <x:c r="AC274" s="165" t="str">
        <x:f>IF(AND(AC$5&gt;=$C274,AC$5&lt;=$D274,$A274&lt;&gt;""),"●","")</x:f>
      </x:c>
      <x:c r="AD274" s="165" t="str">
        <x:f>IF(AND(AD$5&gt;=$C274,AD$5&lt;=$D274,$A274&lt;&gt;""),"●","")</x:f>
      </x:c>
      <x:c r="AE274" s="165" t="str">
        <x:f>IF(AND(AE$5&gt;=$C274,AE$5&lt;=$D274,$A274&lt;&gt;""),"●","")</x:f>
      </x:c>
      <x:c r="AF274" s="165" t="str">
        <x:f>IF(AND(AF$5&gt;=$C274,AF$5&lt;=$D274,$A274&lt;&gt;""),"●","")</x:f>
      </x:c>
      <x:c r="AG274" s="165" t="str">
        <x:f>IF(AND(AG$5&gt;=$C274,AG$5&lt;=$D274,$A274&lt;&gt;""),"●","")</x:f>
      </x:c>
      <x:c r="AH274" s="165" t="str">
        <x:f>IF(AND(AH$5&gt;=$C274,AH$5&lt;=$D274,$A274&lt;&gt;""),"●","")</x:f>
      </x:c>
      <x:c r="AI274" s="165" t="str">
        <x:f>IF(AND(AI$5&gt;=$C274,AI$5&lt;=$D274,$A274&lt;&gt;""),"●","")</x:f>
      </x:c>
      <x:c r="AJ274" s="165" t="str">
        <x:f>IF(AND(AJ$5&gt;=$C274,AJ$5&lt;=$D274,$A274&lt;&gt;""),"●","")</x:f>
      </x:c>
      <x:c r="AK274" s="165" t="str">
        <x:f>IF(AND(AK$5&gt;=$C274,AK$5&lt;=$D274,$A274&lt;&gt;""),"●","")</x:f>
      </x:c>
      <x:c r="AL274" s="165" t="str">
        <x:f>IF(AND(AL$5&gt;=$C274,AL$5&lt;=$D274,$A274&lt;&gt;""),"●","")</x:f>
      </x:c>
      <x:c r="AM274" s="165" t="str">
        <x:f>IF(AND(AM$5&gt;=$C274,AM$5&lt;=$D274,$A274&lt;&gt;""),"●","")</x:f>
      </x:c>
      <x:c r="AN274" s="165" t="str">
        <x:f>IF(AND(AN$5&gt;=$C274,AN$5&lt;=$D274,$A274&lt;&gt;""),"●","")</x:f>
      </x:c>
      <x:c r="AO274" s="165" t="str">
        <x:f>IF(AND(AO$5&gt;=$C274,AO$5&lt;=$D274,$A274&lt;&gt;""),"●","")</x:f>
      </x:c>
      <x:c r="AP274" s="165" t="str">
        <x:f>IF(AND(AP$5&gt;=$C274,AP$5&lt;=$D274,$A274&lt;&gt;""),"●","")</x:f>
      </x:c>
      <x:c r="AQ274" s="165" t="str">
        <x:f>IF(AND(AQ$5&gt;=$C274,AQ$5&lt;=$D274,$A274&lt;&gt;""),"●","")</x:f>
      </x:c>
      <x:c r="AR274" s="165" t="str">
        <x:f>IF(AND(AR$5&gt;=$C274,AR$5&lt;=$D274,$A274&lt;&gt;""),"●","")</x:f>
      </x:c>
      <x:c r="AS274" s="165" t="str">
        <x:f>IF(AND(AS$5&gt;=$C274,AS$5&lt;=$D274,$A274&lt;&gt;""),"●","")</x:f>
      </x:c>
      <x:c r="AT274" s="165" t="str">
        <x:f>IF(AND(AT$5&gt;=$C274,AT$5&lt;=$D274,$A274&lt;&gt;""),"●","")</x:f>
      </x:c>
      <x:c r="AU274" s="165" t="str">
        <x:f>IF(AND(AU$5&gt;=$C274,AU$5&lt;=$D274,$A274&lt;&gt;""),"●","")</x:f>
      </x:c>
      <x:c r="AV274" s="165" t="str">
        <x:f>IF(AND(AV$5&gt;=$C274,AV$5&lt;=$D274,$A274&lt;&gt;""),"●","")</x:f>
      </x:c>
      <x:c r="AW274" s="165" t="str">
        <x:f>IF(AND(AW$5&gt;=$C274,AW$5&lt;=$D274,$A274&lt;&gt;""),"●","")</x:f>
      </x:c>
      <x:c r="AX274" s="165" t="str">
        <x:f>IF(AND(AX$5&gt;=$C274,AX$5&lt;=$D274,$A274&lt;&gt;""),"●","")</x:f>
      </x:c>
      <x:c r="AY274" s="165" t="str">
        <x:f>IF(AND(AY$5&gt;=$C274,AY$5&lt;=$D274,$A274&lt;&gt;""),"●","")</x:f>
      </x:c>
      <x:c r="AZ274" s="165" t="str">
        <x:f>IF(AND(AZ$5&gt;=$C274,AZ$5&lt;=$D274,$A274&lt;&gt;""),"●","")</x:f>
      </x:c>
      <x:c r="BA274" s="165" t="str">
        <x:f>IF(AND(BA$5&gt;=$C274,BA$5&lt;=$D274,$A274&lt;&gt;""),"●","")</x:f>
      </x:c>
      <x:c r="BB274" s="165" t="str">
        <x:f>IF(AND(BB$5&gt;=$C274,BB$5&lt;=$D274,$A274&lt;&gt;""),"●","")</x:f>
      </x:c>
      <x:c r="BC274" s="165" t="str">
        <x:f>IF(AND(BC$5&gt;=$C274,BC$5&lt;=$D274,$A274&lt;&gt;""),"●","")</x:f>
      </x:c>
      <x:c r="BD274" s="165" t="str">
        <x:f>IF(AND(BD$5&gt;=$C274,BD$5&lt;=$D274,$A274&lt;&gt;""),"●","")</x:f>
      </x:c>
      <x:c r="BE274" s="165" t="str">
        <x:f>IF(AND(BE$5&gt;=$C274,BE$5&lt;=$D274,$A274&lt;&gt;""),"●","")</x:f>
      </x:c>
      <x:c r="BF274" s="165" t="str">
        <x:f>IF(AND(BF$5&gt;=$C274,BF$5&lt;=$D274,$A274&lt;&gt;""),"●","")</x:f>
      </x:c>
      <x:c r="BG274" s="165" t="str">
        <x:f>IF(AND(BG$5&gt;=$C274,BG$5&lt;=$D274,$A274&lt;&gt;""),"●","")</x:f>
      </x:c>
      <x:c r="BH274" s="165" t="str">
        <x:f>IF(AND(BH$5&gt;=$C274,BH$5&lt;=$D274,$A274&lt;&gt;""),"●","")</x:f>
      </x:c>
      <x:c r="BI274" s="165" t="str">
        <x:f>IF(AND(BI$5&gt;=$C274,BI$5&lt;=$D274,$A274&lt;&gt;""),"●","")</x:f>
      </x:c>
      <x:c r="BJ274" s="165" t="str">
        <x:f>IF(AND(BJ$5&gt;=$C274,BJ$5&lt;=$D274,$A274&lt;&gt;""),"●","")</x:f>
      </x:c>
      <x:c r="BK274" s="165" t="str">
        <x:f>IF(AND(BK$5&gt;=$C274,BK$5&lt;=$D274,$A274&lt;&gt;""),"●","")</x:f>
      </x:c>
      <x:c r="BL274" s="165" t="str">
        <x:f>IF(AND(BL$5&gt;=$C274,BL$5&lt;=$D274,$A274&lt;&gt;""),"●","")</x:f>
      </x:c>
      <x:c r="BM274" s="165" t="str">
        <x:f>IF(AND(BM$5&gt;=$C274,BM$5&lt;=$D274,$A274&lt;&gt;""),"●","")</x:f>
      </x:c>
      <x:c r="BN274" s="165" t="str">
        <x:f>IF(AND(BN$5&gt;=$C274,BN$5&lt;=$D274,$A274&lt;&gt;""),"●","")</x:f>
      </x:c>
      <x:c r="BO274" s="165" t="str">
        <x:f>IF(AND(BO$5&gt;=$C274,BO$5&lt;=$D274,$A274&lt;&gt;""),"●","")</x:f>
      </x:c>
      <x:c r="BP274" s="165" t="str">
        <x:f>IF(AND(BP$5&gt;=$C274,BP$5&lt;=$D274,$A274&lt;&gt;""),"●","")</x:f>
      </x:c>
      <x:c r="BQ274" s="165" t="str">
        <x:f>IF(AND(BQ$5&gt;=$C274,BQ$5&lt;=$D274,$A274&lt;&gt;""),"●","")</x:f>
      </x:c>
      <x:c r="BR274" s="165" t="str">
        <x:f>IF(AND(BR$5&gt;=$C274,BR$5&lt;=$D274,$A274&lt;&gt;""),"●","")</x:f>
      </x:c>
      <x:c r="BS274" s="165" t="str">
        <x:f>IF(AND(BS$5&gt;=$C274,BS$5&lt;=$D274,$A274&lt;&gt;""),"●","")</x:f>
      </x:c>
      <x:c r="BT274" s="165" t="str">
        <x:f>IF(AND(BT$5&gt;=$C274,BT$5&lt;=$D274,$A274&lt;&gt;""),"●","")</x:f>
      </x:c>
      <x:c r="BU274" s="165" t="str">
        <x:f>IF(AND(BU$5&gt;=$C274,BU$5&lt;=$D274,$A274&lt;&gt;""),"●","")</x:f>
      </x:c>
      <x:c r="BV274" s="165" t="str">
        <x:f>IF(AND(BV$5&gt;=$C274,BV$5&lt;=$D274,$A274&lt;&gt;""),"●","")</x:f>
      </x:c>
      <x:c r="BW274" s="165" t="str">
        <x:f>IF(AND(BW$5&gt;=$C274,BW$5&lt;=$D274,$A274&lt;&gt;""),"●","")</x:f>
      </x:c>
    </x:row>
    <x:row r="275">
      <x:c r="A275" s="159" t="str">
        <x:f>IF('รายการสัญญา'!A275="","",'รายการสัญญา'!A275)</x:f>
      </x:c>
      <x:c r="B275" s="159" t="str">
        <x:f>IF('รายการสัญญา'!A275="","",'รายการสัญญา'!C275)</x:f>
      </x:c>
      <x:c r="C275" s="162" t="str">
        <x:f>IF('รายการสัญญา'!A275="","",'รายการสัญญา'!E275)</x:f>
      </x:c>
      <x:c r="D275" s="162" t="str">
        <x:f>IF('รายการสัญญา'!A275="","",'รายการสัญญา'!G275)</x:f>
      </x:c>
      <x:c r="E275" s="159" t="str">
        <x:f>IF('รายการสัญญา'!A275="","",'รายการสัญญา'!K275)</x:f>
      </x:c>
      <x:c r="F275" s="165" t="str">
        <x:f>IF(AND(F$5&gt;=$C275,F$5&lt;=$D275,$A275&lt;&gt;""),"●","")</x:f>
      </x:c>
      <x:c r="G275" s="165" t="str">
        <x:f>IF(AND(G$5&gt;=$C275,G$5&lt;=$D275,$A275&lt;&gt;""),"●","")</x:f>
      </x:c>
      <x:c r="H275" s="165" t="str">
        <x:f>IF(AND(H$5&gt;=$C275,H$5&lt;=$D275,$A275&lt;&gt;""),"●","")</x:f>
      </x:c>
      <x:c r="I275" s="165" t="str">
        <x:f>IF(AND(I$5&gt;=$C275,I$5&lt;=$D275,$A275&lt;&gt;""),"●","")</x:f>
      </x:c>
      <x:c r="J275" s="165" t="str">
        <x:f>IF(AND(J$5&gt;=$C275,J$5&lt;=$D275,$A275&lt;&gt;""),"●","")</x:f>
      </x:c>
      <x:c r="K275" s="165" t="str">
        <x:f>IF(AND(K$5&gt;=$C275,K$5&lt;=$D275,$A275&lt;&gt;""),"●","")</x:f>
      </x:c>
      <x:c r="L275" s="165" t="str">
        <x:f>IF(AND(L$5&gt;=$C275,L$5&lt;=$D275,$A275&lt;&gt;""),"●","")</x:f>
      </x:c>
      <x:c r="M275" s="165" t="str">
        <x:f>IF(AND(M$5&gt;=$C275,M$5&lt;=$D275,$A275&lt;&gt;""),"●","")</x:f>
      </x:c>
      <x:c r="N275" s="165" t="str">
        <x:f>IF(AND(N$5&gt;=$C275,N$5&lt;=$D275,$A275&lt;&gt;""),"●","")</x:f>
      </x:c>
      <x:c r="O275" s="165" t="str">
        <x:f>IF(AND(O$5&gt;=$C275,O$5&lt;=$D275,$A275&lt;&gt;""),"●","")</x:f>
      </x:c>
      <x:c r="P275" s="165" t="str">
        <x:f>IF(AND(P$5&gt;=$C275,P$5&lt;=$D275,$A275&lt;&gt;""),"●","")</x:f>
      </x:c>
      <x:c r="Q275" s="165" t="str">
        <x:f>IF(AND(Q$5&gt;=$C275,Q$5&lt;=$D275,$A275&lt;&gt;""),"●","")</x:f>
      </x:c>
      <x:c r="R275" s="165" t="str">
        <x:f>IF(AND(R$5&gt;=$C275,R$5&lt;=$D275,$A275&lt;&gt;""),"●","")</x:f>
      </x:c>
      <x:c r="S275" s="165" t="str">
        <x:f>IF(AND(S$5&gt;=$C275,S$5&lt;=$D275,$A275&lt;&gt;""),"●","")</x:f>
      </x:c>
      <x:c r="T275" s="165" t="str">
        <x:f>IF(AND(T$5&gt;=$C275,T$5&lt;=$D275,$A275&lt;&gt;""),"●","")</x:f>
      </x:c>
      <x:c r="U275" s="165" t="str">
        <x:f>IF(AND(U$5&gt;=$C275,U$5&lt;=$D275,$A275&lt;&gt;""),"●","")</x:f>
      </x:c>
      <x:c r="V275" s="165" t="str">
        <x:f>IF(AND(V$5&gt;=$C275,V$5&lt;=$D275,$A275&lt;&gt;""),"●","")</x:f>
      </x:c>
      <x:c r="W275" s="165" t="str">
        <x:f>IF(AND(W$5&gt;=$C275,W$5&lt;=$D275,$A275&lt;&gt;""),"●","")</x:f>
      </x:c>
      <x:c r="X275" s="165" t="str">
        <x:f>IF(AND(X$5&gt;=$C275,X$5&lt;=$D275,$A275&lt;&gt;""),"●","")</x:f>
      </x:c>
      <x:c r="Y275" s="165" t="str">
        <x:f>IF(AND(Y$5&gt;=$C275,Y$5&lt;=$D275,$A275&lt;&gt;""),"●","")</x:f>
      </x:c>
      <x:c r="Z275" s="165" t="str">
        <x:f>IF(AND(Z$5&gt;=$C275,Z$5&lt;=$D275,$A275&lt;&gt;""),"●","")</x:f>
      </x:c>
      <x:c r="AA275" s="165" t="str">
        <x:f>IF(AND(AA$5&gt;=$C275,AA$5&lt;=$D275,$A275&lt;&gt;""),"●","")</x:f>
      </x:c>
      <x:c r="AB275" s="165" t="str">
        <x:f>IF(AND(AB$5&gt;=$C275,AB$5&lt;=$D275,$A275&lt;&gt;""),"●","")</x:f>
      </x:c>
      <x:c r="AC275" s="165" t="str">
        <x:f>IF(AND(AC$5&gt;=$C275,AC$5&lt;=$D275,$A275&lt;&gt;""),"●","")</x:f>
      </x:c>
      <x:c r="AD275" s="165" t="str">
        <x:f>IF(AND(AD$5&gt;=$C275,AD$5&lt;=$D275,$A275&lt;&gt;""),"●","")</x:f>
      </x:c>
      <x:c r="AE275" s="165" t="str">
        <x:f>IF(AND(AE$5&gt;=$C275,AE$5&lt;=$D275,$A275&lt;&gt;""),"●","")</x:f>
      </x:c>
      <x:c r="AF275" s="165" t="str">
        <x:f>IF(AND(AF$5&gt;=$C275,AF$5&lt;=$D275,$A275&lt;&gt;""),"●","")</x:f>
      </x:c>
      <x:c r="AG275" s="165" t="str">
        <x:f>IF(AND(AG$5&gt;=$C275,AG$5&lt;=$D275,$A275&lt;&gt;""),"●","")</x:f>
      </x:c>
      <x:c r="AH275" s="165" t="str">
        <x:f>IF(AND(AH$5&gt;=$C275,AH$5&lt;=$D275,$A275&lt;&gt;""),"●","")</x:f>
      </x:c>
      <x:c r="AI275" s="165" t="str">
        <x:f>IF(AND(AI$5&gt;=$C275,AI$5&lt;=$D275,$A275&lt;&gt;""),"●","")</x:f>
      </x:c>
      <x:c r="AJ275" s="165" t="str">
        <x:f>IF(AND(AJ$5&gt;=$C275,AJ$5&lt;=$D275,$A275&lt;&gt;""),"●","")</x:f>
      </x:c>
      <x:c r="AK275" s="165" t="str">
        <x:f>IF(AND(AK$5&gt;=$C275,AK$5&lt;=$D275,$A275&lt;&gt;""),"●","")</x:f>
      </x:c>
      <x:c r="AL275" s="165" t="str">
        <x:f>IF(AND(AL$5&gt;=$C275,AL$5&lt;=$D275,$A275&lt;&gt;""),"●","")</x:f>
      </x:c>
      <x:c r="AM275" s="165" t="str">
        <x:f>IF(AND(AM$5&gt;=$C275,AM$5&lt;=$D275,$A275&lt;&gt;""),"●","")</x:f>
      </x:c>
      <x:c r="AN275" s="165" t="str">
        <x:f>IF(AND(AN$5&gt;=$C275,AN$5&lt;=$D275,$A275&lt;&gt;""),"●","")</x:f>
      </x:c>
      <x:c r="AO275" s="165" t="str">
        <x:f>IF(AND(AO$5&gt;=$C275,AO$5&lt;=$D275,$A275&lt;&gt;""),"●","")</x:f>
      </x:c>
      <x:c r="AP275" s="165" t="str">
        <x:f>IF(AND(AP$5&gt;=$C275,AP$5&lt;=$D275,$A275&lt;&gt;""),"●","")</x:f>
      </x:c>
      <x:c r="AQ275" s="165" t="str">
        <x:f>IF(AND(AQ$5&gt;=$C275,AQ$5&lt;=$D275,$A275&lt;&gt;""),"●","")</x:f>
      </x:c>
      <x:c r="AR275" s="165" t="str">
        <x:f>IF(AND(AR$5&gt;=$C275,AR$5&lt;=$D275,$A275&lt;&gt;""),"●","")</x:f>
      </x:c>
      <x:c r="AS275" s="165" t="str">
        <x:f>IF(AND(AS$5&gt;=$C275,AS$5&lt;=$D275,$A275&lt;&gt;""),"●","")</x:f>
      </x:c>
      <x:c r="AT275" s="165" t="str">
        <x:f>IF(AND(AT$5&gt;=$C275,AT$5&lt;=$D275,$A275&lt;&gt;""),"●","")</x:f>
      </x:c>
      <x:c r="AU275" s="165" t="str">
        <x:f>IF(AND(AU$5&gt;=$C275,AU$5&lt;=$D275,$A275&lt;&gt;""),"●","")</x:f>
      </x:c>
      <x:c r="AV275" s="165" t="str">
        <x:f>IF(AND(AV$5&gt;=$C275,AV$5&lt;=$D275,$A275&lt;&gt;""),"●","")</x:f>
      </x:c>
      <x:c r="AW275" s="165" t="str">
        <x:f>IF(AND(AW$5&gt;=$C275,AW$5&lt;=$D275,$A275&lt;&gt;""),"●","")</x:f>
      </x:c>
      <x:c r="AX275" s="165" t="str">
        <x:f>IF(AND(AX$5&gt;=$C275,AX$5&lt;=$D275,$A275&lt;&gt;""),"●","")</x:f>
      </x:c>
      <x:c r="AY275" s="165" t="str">
        <x:f>IF(AND(AY$5&gt;=$C275,AY$5&lt;=$D275,$A275&lt;&gt;""),"●","")</x:f>
      </x:c>
      <x:c r="AZ275" s="165" t="str">
        <x:f>IF(AND(AZ$5&gt;=$C275,AZ$5&lt;=$D275,$A275&lt;&gt;""),"●","")</x:f>
      </x:c>
      <x:c r="BA275" s="165" t="str">
        <x:f>IF(AND(BA$5&gt;=$C275,BA$5&lt;=$D275,$A275&lt;&gt;""),"●","")</x:f>
      </x:c>
      <x:c r="BB275" s="165" t="str">
        <x:f>IF(AND(BB$5&gt;=$C275,BB$5&lt;=$D275,$A275&lt;&gt;""),"●","")</x:f>
      </x:c>
      <x:c r="BC275" s="165" t="str">
        <x:f>IF(AND(BC$5&gt;=$C275,BC$5&lt;=$D275,$A275&lt;&gt;""),"●","")</x:f>
      </x:c>
      <x:c r="BD275" s="165" t="str">
        <x:f>IF(AND(BD$5&gt;=$C275,BD$5&lt;=$D275,$A275&lt;&gt;""),"●","")</x:f>
      </x:c>
      <x:c r="BE275" s="165" t="str">
        <x:f>IF(AND(BE$5&gt;=$C275,BE$5&lt;=$D275,$A275&lt;&gt;""),"●","")</x:f>
      </x:c>
      <x:c r="BF275" s="165" t="str">
        <x:f>IF(AND(BF$5&gt;=$C275,BF$5&lt;=$D275,$A275&lt;&gt;""),"●","")</x:f>
      </x:c>
      <x:c r="BG275" s="165" t="str">
        <x:f>IF(AND(BG$5&gt;=$C275,BG$5&lt;=$D275,$A275&lt;&gt;""),"●","")</x:f>
      </x:c>
      <x:c r="BH275" s="165" t="str">
        <x:f>IF(AND(BH$5&gt;=$C275,BH$5&lt;=$D275,$A275&lt;&gt;""),"●","")</x:f>
      </x:c>
      <x:c r="BI275" s="165" t="str">
        <x:f>IF(AND(BI$5&gt;=$C275,BI$5&lt;=$D275,$A275&lt;&gt;""),"●","")</x:f>
      </x:c>
      <x:c r="BJ275" s="165" t="str">
        <x:f>IF(AND(BJ$5&gt;=$C275,BJ$5&lt;=$D275,$A275&lt;&gt;""),"●","")</x:f>
      </x:c>
      <x:c r="BK275" s="165" t="str">
        <x:f>IF(AND(BK$5&gt;=$C275,BK$5&lt;=$D275,$A275&lt;&gt;""),"●","")</x:f>
      </x:c>
      <x:c r="BL275" s="165" t="str">
        <x:f>IF(AND(BL$5&gt;=$C275,BL$5&lt;=$D275,$A275&lt;&gt;""),"●","")</x:f>
      </x:c>
      <x:c r="BM275" s="165" t="str">
        <x:f>IF(AND(BM$5&gt;=$C275,BM$5&lt;=$D275,$A275&lt;&gt;""),"●","")</x:f>
      </x:c>
      <x:c r="BN275" s="165" t="str">
        <x:f>IF(AND(BN$5&gt;=$C275,BN$5&lt;=$D275,$A275&lt;&gt;""),"●","")</x:f>
      </x:c>
      <x:c r="BO275" s="165" t="str">
        <x:f>IF(AND(BO$5&gt;=$C275,BO$5&lt;=$D275,$A275&lt;&gt;""),"●","")</x:f>
      </x:c>
      <x:c r="BP275" s="165" t="str">
        <x:f>IF(AND(BP$5&gt;=$C275,BP$5&lt;=$D275,$A275&lt;&gt;""),"●","")</x:f>
      </x:c>
      <x:c r="BQ275" s="165" t="str">
        <x:f>IF(AND(BQ$5&gt;=$C275,BQ$5&lt;=$D275,$A275&lt;&gt;""),"●","")</x:f>
      </x:c>
      <x:c r="BR275" s="165" t="str">
        <x:f>IF(AND(BR$5&gt;=$C275,BR$5&lt;=$D275,$A275&lt;&gt;""),"●","")</x:f>
      </x:c>
      <x:c r="BS275" s="165" t="str">
        <x:f>IF(AND(BS$5&gt;=$C275,BS$5&lt;=$D275,$A275&lt;&gt;""),"●","")</x:f>
      </x:c>
      <x:c r="BT275" s="165" t="str">
        <x:f>IF(AND(BT$5&gt;=$C275,BT$5&lt;=$D275,$A275&lt;&gt;""),"●","")</x:f>
      </x:c>
      <x:c r="BU275" s="165" t="str">
        <x:f>IF(AND(BU$5&gt;=$C275,BU$5&lt;=$D275,$A275&lt;&gt;""),"●","")</x:f>
      </x:c>
      <x:c r="BV275" s="165" t="str">
        <x:f>IF(AND(BV$5&gt;=$C275,BV$5&lt;=$D275,$A275&lt;&gt;""),"●","")</x:f>
      </x:c>
      <x:c r="BW275" s="165" t="str">
        <x:f>IF(AND(BW$5&gt;=$C275,BW$5&lt;=$D275,$A275&lt;&gt;""),"●","")</x:f>
      </x:c>
    </x:row>
    <x:row r="276">
      <x:c r="A276" s="159" t="str">
        <x:f>IF('รายการสัญญา'!A276="","",'รายการสัญญา'!A276)</x:f>
      </x:c>
      <x:c r="B276" s="159" t="str">
        <x:f>IF('รายการสัญญา'!A276="","",'รายการสัญญา'!C276)</x:f>
      </x:c>
      <x:c r="C276" s="162" t="str">
        <x:f>IF('รายการสัญญา'!A276="","",'รายการสัญญา'!E276)</x:f>
      </x:c>
      <x:c r="D276" s="162" t="str">
        <x:f>IF('รายการสัญญา'!A276="","",'รายการสัญญา'!G276)</x:f>
      </x:c>
      <x:c r="E276" s="159" t="str">
        <x:f>IF('รายการสัญญา'!A276="","",'รายการสัญญา'!K276)</x:f>
      </x:c>
      <x:c r="F276" s="165" t="str">
        <x:f>IF(AND(F$5&gt;=$C276,F$5&lt;=$D276,$A276&lt;&gt;""),"●","")</x:f>
      </x:c>
      <x:c r="G276" s="165" t="str">
        <x:f>IF(AND(G$5&gt;=$C276,G$5&lt;=$D276,$A276&lt;&gt;""),"●","")</x:f>
      </x:c>
      <x:c r="H276" s="165" t="str">
        <x:f>IF(AND(H$5&gt;=$C276,H$5&lt;=$D276,$A276&lt;&gt;""),"●","")</x:f>
      </x:c>
      <x:c r="I276" s="165" t="str">
        <x:f>IF(AND(I$5&gt;=$C276,I$5&lt;=$D276,$A276&lt;&gt;""),"●","")</x:f>
      </x:c>
      <x:c r="J276" s="165" t="str">
        <x:f>IF(AND(J$5&gt;=$C276,J$5&lt;=$D276,$A276&lt;&gt;""),"●","")</x:f>
      </x:c>
      <x:c r="K276" s="165" t="str">
        <x:f>IF(AND(K$5&gt;=$C276,K$5&lt;=$D276,$A276&lt;&gt;""),"●","")</x:f>
      </x:c>
      <x:c r="L276" s="165" t="str">
        <x:f>IF(AND(L$5&gt;=$C276,L$5&lt;=$D276,$A276&lt;&gt;""),"●","")</x:f>
      </x:c>
      <x:c r="M276" s="165" t="str">
        <x:f>IF(AND(M$5&gt;=$C276,M$5&lt;=$D276,$A276&lt;&gt;""),"●","")</x:f>
      </x:c>
      <x:c r="N276" s="165" t="str">
        <x:f>IF(AND(N$5&gt;=$C276,N$5&lt;=$D276,$A276&lt;&gt;""),"●","")</x:f>
      </x:c>
      <x:c r="O276" s="165" t="str">
        <x:f>IF(AND(O$5&gt;=$C276,O$5&lt;=$D276,$A276&lt;&gt;""),"●","")</x:f>
      </x:c>
      <x:c r="P276" s="165" t="str">
        <x:f>IF(AND(P$5&gt;=$C276,P$5&lt;=$D276,$A276&lt;&gt;""),"●","")</x:f>
      </x:c>
      <x:c r="Q276" s="165" t="str">
        <x:f>IF(AND(Q$5&gt;=$C276,Q$5&lt;=$D276,$A276&lt;&gt;""),"●","")</x:f>
      </x:c>
      <x:c r="R276" s="165" t="str">
        <x:f>IF(AND(R$5&gt;=$C276,R$5&lt;=$D276,$A276&lt;&gt;""),"●","")</x:f>
      </x:c>
      <x:c r="S276" s="165" t="str">
        <x:f>IF(AND(S$5&gt;=$C276,S$5&lt;=$D276,$A276&lt;&gt;""),"●","")</x:f>
      </x:c>
      <x:c r="T276" s="165" t="str">
        <x:f>IF(AND(T$5&gt;=$C276,T$5&lt;=$D276,$A276&lt;&gt;""),"●","")</x:f>
      </x:c>
      <x:c r="U276" s="165" t="str">
        <x:f>IF(AND(U$5&gt;=$C276,U$5&lt;=$D276,$A276&lt;&gt;""),"●","")</x:f>
      </x:c>
      <x:c r="V276" s="165" t="str">
        <x:f>IF(AND(V$5&gt;=$C276,V$5&lt;=$D276,$A276&lt;&gt;""),"●","")</x:f>
      </x:c>
      <x:c r="W276" s="165" t="str">
        <x:f>IF(AND(W$5&gt;=$C276,W$5&lt;=$D276,$A276&lt;&gt;""),"●","")</x:f>
      </x:c>
      <x:c r="X276" s="165" t="str">
        <x:f>IF(AND(X$5&gt;=$C276,X$5&lt;=$D276,$A276&lt;&gt;""),"●","")</x:f>
      </x:c>
      <x:c r="Y276" s="165" t="str">
        <x:f>IF(AND(Y$5&gt;=$C276,Y$5&lt;=$D276,$A276&lt;&gt;""),"●","")</x:f>
      </x:c>
      <x:c r="Z276" s="165" t="str">
        <x:f>IF(AND(Z$5&gt;=$C276,Z$5&lt;=$D276,$A276&lt;&gt;""),"●","")</x:f>
      </x:c>
      <x:c r="AA276" s="165" t="str">
        <x:f>IF(AND(AA$5&gt;=$C276,AA$5&lt;=$D276,$A276&lt;&gt;""),"●","")</x:f>
      </x:c>
      <x:c r="AB276" s="165" t="str">
        <x:f>IF(AND(AB$5&gt;=$C276,AB$5&lt;=$D276,$A276&lt;&gt;""),"●","")</x:f>
      </x:c>
      <x:c r="AC276" s="165" t="str">
        <x:f>IF(AND(AC$5&gt;=$C276,AC$5&lt;=$D276,$A276&lt;&gt;""),"●","")</x:f>
      </x:c>
      <x:c r="AD276" s="165" t="str">
        <x:f>IF(AND(AD$5&gt;=$C276,AD$5&lt;=$D276,$A276&lt;&gt;""),"●","")</x:f>
      </x:c>
      <x:c r="AE276" s="165" t="str">
        <x:f>IF(AND(AE$5&gt;=$C276,AE$5&lt;=$D276,$A276&lt;&gt;""),"●","")</x:f>
      </x:c>
      <x:c r="AF276" s="165" t="str">
        <x:f>IF(AND(AF$5&gt;=$C276,AF$5&lt;=$D276,$A276&lt;&gt;""),"●","")</x:f>
      </x:c>
      <x:c r="AG276" s="165" t="str">
        <x:f>IF(AND(AG$5&gt;=$C276,AG$5&lt;=$D276,$A276&lt;&gt;""),"●","")</x:f>
      </x:c>
      <x:c r="AH276" s="165" t="str">
        <x:f>IF(AND(AH$5&gt;=$C276,AH$5&lt;=$D276,$A276&lt;&gt;""),"●","")</x:f>
      </x:c>
      <x:c r="AI276" s="165" t="str">
        <x:f>IF(AND(AI$5&gt;=$C276,AI$5&lt;=$D276,$A276&lt;&gt;""),"●","")</x:f>
      </x:c>
      <x:c r="AJ276" s="165" t="str">
        <x:f>IF(AND(AJ$5&gt;=$C276,AJ$5&lt;=$D276,$A276&lt;&gt;""),"●","")</x:f>
      </x:c>
      <x:c r="AK276" s="165" t="str">
        <x:f>IF(AND(AK$5&gt;=$C276,AK$5&lt;=$D276,$A276&lt;&gt;""),"●","")</x:f>
      </x:c>
      <x:c r="AL276" s="165" t="str">
        <x:f>IF(AND(AL$5&gt;=$C276,AL$5&lt;=$D276,$A276&lt;&gt;""),"●","")</x:f>
      </x:c>
      <x:c r="AM276" s="165" t="str">
        <x:f>IF(AND(AM$5&gt;=$C276,AM$5&lt;=$D276,$A276&lt;&gt;""),"●","")</x:f>
      </x:c>
      <x:c r="AN276" s="165" t="str">
        <x:f>IF(AND(AN$5&gt;=$C276,AN$5&lt;=$D276,$A276&lt;&gt;""),"●","")</x:f>
      </x:c>
      <x:c r="AO276" s="165" t="str">
        <x:f>IF(AND(AO$5&gt;=$C276,AO$5&lt;=$D276,$A276&lt;&gt;""),"●","")</x:f>
      </x:c>
      <x:c r="AP276" s="165" t="str">
        <x:f>IF(AND(AP$5&gt;=$C276,AP$5&lt;=$D276,$A276&lt;&gt;""),"●","")</x:f>
      </x:c>
      <x:c r="AQ276" s="165" t="str">
        <x:f>IF(AND(AQ$5&gt;=$C276,AQ$5&lt;=$D276,$A276&lt;&gt;""),"●","")</x:f>
      </x:c>
      <x:c r="AR276" s="165" t="str">
        <x:f>IF(AND(AR$5&gt;=$C276,AR$5&lt;=$D276,$A276&lt;&gt;""),"●","")</x:f>
      </x:c>
      <x:c r="AS276" s="165" t="str">
        <x:f>IF(AND(AS$5&gt;=$C276,AS$5&lt;=$D276,$A276&lt;&gt;""),"●","")</x:f>
      </x:c>
      <x:c r="AT276" s="165" t="str">
        <x:f>IF(AND(AT$5&gt;=$C276,AT$5&lt;=$D276,$A276&lt;&gt;""),"●","")</x:f>
      </x:c>
      <x:c r="AU276" s="165" t="str">
        <x:f>IF(AND(AU$5&gt;=$C276,AU$5&lt;=$D276,$A276&lt;&gt;""),"●","")</x:f>
      </x:c>
      <x:c r="AV276" s="165" t="str">
        <x:f>IF(AND(AV$5&gt;=$C276,AV$5&lt;=$D276,$A276&lt;&gt;""),"●","")</x:f>
      </x:c>
      <x:c r="AW276" s="165" t="str">
        <x:f>IF(AND(AW$5&gt;=$C276,AW$5&lt;=$D276,$A276&lt;&gt;""),"●","")</x:f>
      </x:c>
      <x:c r="AX276" s="165" t="str">
        <x:f>IF(AND(AX$5&gt;=$C276,AX$5&lt;=$D276,$A276&lt;&gt;""),"●","")</x:f>
      </x:c>
      <x:c r="AY276" s="165" t="str">
        <x:f>IF(AND(AY$5&gt;=$C276,AY$5&lt;=$D276,$A276&lt;&gt;""),"●","")</x:f>
      </x:c>
      <x:c r="AZ276" s="165" t="str">
        <x:f>IF(AND(AZ$5&gt;=$C276,AZ$5&lt;=$D276,$A276&lt;&gt;""),"●","")</x:f>
      </x:c>
      <x:c r="BA276" s="165" t="str">
        <x:f>IF(AND(BA$5&gt;=$C276,BA$5&lt;=$D276,$A276&lt;&gt;""),"●","")</x:f>
      </x:c>
      <x:c r="BB276" s="165" t="str">
        <x:f>IF(AND(BB$5&gt;=$C276,BB$5&lt;=$D276,$A276&lt;&gt;""),"●","")</x:f>
      </x:c>
      <x:c r="BC276" s="165" t="str">
        <x:f>IF(AND(BC$5&gt;=$C276,BC$5&lt;=$D276,$A276&lt;&gt;""),"●","")</x:f>
      </x:c>
      <x:c r="BD276" s="165" t="str">
        <x:f>IF(AND(BD$5&gt;=$C276,BD$5&lt;=$D276,$A276&lt;&gt;""),"●","")</x:f>
      </x:c>
      <x:c r="BE276" s="165" t="str">
        <x:f>IF(AND(BE$5&gt;=$C276,BE$5&lt;=$D276,$A276&lt;&gt;""),"●","")</x:f>
      </x:c>
      <x:c r="BF276" s="165" t="str">
        <x:f>IF(AND(BF$5&gt;=$C276,BF$5&lt;=$D276,$A276&lt;&gt;""),"●","")</x:f>
      </x:c>
      <x:c r="BG276" s="165" t="str">
        <x:f>IF(AND(BG$5&gt;=$C276,BG$5&lt;=$D276,$A276&lt;&gt;""),"●","")</x:f>
      </x:c>
      <x:c r="BH276" s="165" t="str">
        <x:f>IF(AND(BH$5&gt;=$C276,BH$5&lt;=$D276,$A276&lt;&gt;""),"●","")</x:f>
      </x:c>
      <x:c r="BI276" s="165" t="str">
        <x:f>IF(AND(BI$5&gt;=$C276,BI$5&lt;=$D276,$A276&lt;&gt;""),"●","")</x:f>
      </x:c>
      <x:c r="BJ276" s="165" t="str">
        <x:f>IF(AND(BJ$5&gt;=$C276,BJ$5&lt;=$D276,$A276&lt;&gt;""),"●","")</x:f>
      </x:c>
      <x:c r="BK276" s="165" t="str">
        <x:f>IF(AND(BK$5&gt;=$C276,BK$5&lt;=$D276,$A276&lt;&gt;""),"●","")</x:f>
      </x:c>
      <x:c r="BL276" s="165" t="str">
        <x:f>IF(AND(BL$5&gt;=$C276,BL$5&lt;=$D276,$A276&lt;&gt;""),"●","")</x:f>
      </x:c>
      <x:c r="BM276" s="165" t="str">
        <x:f>IF(AND(BM$5&gt;=$C276,BM$5&lt;=$D276,$A276&lt;&gt;""),"●","")</x:f>
      </x:c>
      <x:c r="BN276" s="165" t="str">
        <x:f>IF(AND(BN$5&gt;=$C276,BN$5&lt;=$D276,$A276&lt;&gt;""),"●","")</x:f>
      </x:c>
      <x:c r="BO276" s="165" t="str">
        <x:f>IF(AND(BO$5&gt;=$C276,BO$5&lt;=$D276,$A276&lt;&gt;""),"●","")</x:f>
      </x:c>
      <x:c r="BP276" s="165" t="str">
        <x:f>IF(AND(BP$5&gt;=$C276,BP$5&lt;=$D276,$A276&lt;&gt;""),"●","")</x:f>
      </x:c>
      <x:c r="BQ276" s="165" t="str">
        <x:f>IF(AND(BQ$5&gt;=$C276,BQ$5&lt;=$D276,$A276&lt;&gt;""),"●","")</x:f>
      </x:c>
      <x:c r="BR276" s="165" t="str">
        <x:f>IF(AND(BR$5&gt;=$C276,BR$5&lt;=$D276,$A276&lt;&gt;""),"●","")</x:f>
      </x:c>
      <x:c r="BS276" s="165" t="str">
        <x:f>IF(AND(BS$5&gt;=$C276,BS$5&lt;=$D276,$A276&lt;&gt;""),"●","")</x:f>
      </x:c>
      <x:c r="BT276" s="165" t="str">
        <x:f>IF(AND(BT$5&gt;=$C276,BT$5&lt;=$D276,$A276&lt;&gt;""),"●","")</x:f>
      </x:c>
      <x:c r="BU276" s="165" t="str">
        <x:f>IF(AND(BU$5&gt;=$C276,BU$5&lt;=$D276,$A276&lt;&gt;""),"●","")</x:f>
      </x:c>
      <x:c r="BV276" s="165" t="str">
        <x:f>IF(AND(BV$5&gt;=$C276,BV$5&lt;=$D276,$A276&lt;&gt;""),"●","")</x:f>
      </x:c>
      <x:c r="BW276" s="165" t="str">
        <x:f>IF(AND(BW$5&gt;=$C276,BW$5&lt;=$D276,$A276&lt;&gt;""),"●","")</x:f>
      </x:c>
    </x:row>
    <x:row r="277">
      <x:c r="A277" s="159" t="str">
        <x:f>IF('รายการสัญญา'!A277="","",'รายการสัญญา'!A277)</x:f>
      </x:c>
      <x:c r="B277" s="159" t="str">
        <x:f>IF('รายการสัญญา'!A277="","",'รายการสัญญา'!C277)</x:f>
      </x:c>
      <x:c r="C277" s="162" t="str">
        <x:f>IF('รายการสัญญา'!A277="","",'รายการสัญญา'!E277)</x:f>
      </x:c>
      <x:c r="D277" s="162" t="str">
        <x:f>IF('รายการสัญญา'!A277="","",'รายการสัญญา'!G277)</x:f>
      </x:c>
      <x:c r="E277" s="159" t="str">
        <x:f>IF('รายการสัญญา'!A277="","",'รายการสัญญา'!K277)</x:f>
      </x:c>
      <x:c r="F277" s="165" t="str">
        <x:f>IF(AND(F$5&gt;=$C277,F$5&lt;=$D277,$A277&lt;&gt;""),"●","")</x:f>
      </x:c>
      <x:c r="G277" s="165" t="str">
        <x:f>IF(AND(G$5&gt;=$C277,G$5&lt;=$D277,$A277&lt;&gt;""),"●","")</x:f>
      </x:c>
      <x:c r="H277" s="165" t="str">
        <x:f>IF(AND(H$5&gt;=$C277,H$5&lt;=$D277,$A277&lt;&gt;""),"●","")</x:f>
      </x:c>
      <x:c r="I277" s="165" t="str">
        <x:f>IF(AND(I$5&gt;=$C277,I$5&lt;=$D277,$A277&lt;&gt;""),"●","")</x:f>
      </x:c>
      <x:c r="J277" s="165" t="str">
        <x:f>IF(AND(J$5&gt;=$C277,J$5&lt;=$D277,$A277&lt;&gt;""),"●","")</x:f>
      </x:c>
      <x:c r="K277" s="165" t="str">
        <x:f>IF(AND(K$5&gt;=$C277,K$5&lt;=$D277,$A277&lt;&gt;""),"●","")</x:f>
      </x:c>
      <x:c r="L277" s="165" t="str">
        <x:f>IF(AND(L$5&gt;=$C277,L$5&lt;=$D277,$A277&lt;&gt;""),"●","")</x:f>
      </x:c>
      <x:c r="M277" s="165" t="str">
        <x:f>IF(AND(M$5&gt;=$C277,M$5&lt;=$D277,$A277&lt;&gt;""),"●","")</x:f>
      </x:c>
      <x:c r="N277" s="165" t="str">
        <x:f>IF(AND(N$5&gt;=$C277,N$5&lt;=$D277,$A277&lt;&gt;""),"●","")</x:f>
      </x:c>
      <x:c r="O277" s="165" t="str">
        <x:f>IF(AND(O$5&gt;=$C277,O$5&lt;=$D277,$A277&lt;&gt;""),"●","")</x:f>
      </x:c>
      <x:c r="P277" s="165" t="str">
        <x:f>IF(AND(P$5&gt;=$C277,P$5&lt;=$D277,$A277&lt;&gt;""),"●","")</x:f>
      </x:c>
      <x:c r="Q277" s="165" t="str">
        <x:f>IF(AND(Q$5&gt;=$C277,Q$5&lt;=$D277,$A277&lt;&gt;""),"●","")</x:f>
      </x:c>
      <x:c r="R277" s="165" t="str">
        <x:f>IF(AND(R$5&gt;=$C277,R$5&lt;=$D277,$A277&lt;&gt;""),"●","")</x:f>
      </x:c>
      <x:c r="S277" s="165" t="str">
        <x:f>IF(AND(S$5&gt;=$C277,S$5&lt;=$D277,$A277&lt;&gt;""),"●","")</x:f>
      </x:c>
      <x:c r="T277" s="165" t="str">
        <x:f>IF(AND(T$5&gt;=$C277,T$5&lt;=$D277,$A277&lt;&gt;""),"●","")</x:f>
      </x:c>
      <x:c r="U277" s="165" t="str">
        <x:f>IF(AND(U$5&gt;=$C277,U$5&lt;=$D277,$A277&lt;&gt;""),"●","")</x:f>
      </x:c>
      <x:c r="V277" s="165" t="str">
        <x:f>IF(AND(V$5&gt;=$C277,V$5&lt;=$D277,$A277&lt;&gt;""),"●","")</x:f>
      </x:c>
      <x:c r="W277" s="165" t="str">
        <x:f>IF(AND(W$5&gt;=$C277,W$5&lt;=$D277,$A277&lt;&gt;""),"●","")</x:f>
      </x:c>
      <x:c r="X277" s="165" t="str">
        <x:f>IF(AND(X$5&gt;=$C277,X$5&lt;=$D277,$A277&lt;&gt;""),"●","")</x:f>
      </x:c>
      <x:c r="Y277" s="165" t="str">
        <x:f>IF(AND(Y$5&gt;=$C277,Y$5&lt;=$D277,$A277&lt;&gt;""),"●","")</x:f>
      </x:c>
      <x:c r="Z277" s="165" t="str">
        <x:f>IF(AND(Z$5&gt;=$C277,Z$5&lt;=$D277,$A277&lt;&gt;""),"●","")</x:f>
      </x:c>
      <x:c r="AA277" s="165" t="str">
        <x:f>IF(AND(AA$5&gt;=$C277,AA$5&lt;=$D277,$A277&lt;&gt;""),"●","")</x:f>
      </x:c>
      <x:c r="AB277" s="165" t="str">
        <x:f>IF(AND(AB$5&gt;=$C277,AB$5&lt;=$D277,$A277&lt;&gt;""),"●","")</x:f>
      </x:c>
      <x:c r="AC277" s="165" t="str">
        <x:f>IF(AND(AC$5&gt;=$C277,AC$5&lt;=$D277,$A277&lt;&gt;""),"●","")</x:f>
      </x:c>
      <x:c r="AD277" s="165" t="str">
        <x:f>IF(AND(AD$5&gt;=$C277,AD$5&lt;=$D277,$A277&lt;&gt;""),"●","")</x:f>
      </x:c>
      <x:c r="AE277" s="165" t="str">
        <x:f>IF(AND(AE$5&gt;=$C277,AE$5&lt;=$D277,$A277&lt;&gt;""),"●","")</x:f>
      </x:c>
      <x:c r="AF277" s="165" t="str">
        <x:f>IF(AND(AF$5&gt;=$C277,AF$5&lt;=$D277,$A277&lt;&gt;""),"●","")</x:f>
      </x:c>
      <x:c r="AG277" s="165" t="str">
        <x:f>IF(AND(AG$5&gt;=$C277,AG$5&lt;=$D277,$A277&lt;&gt;""),"●","")</x:f>
      </x:c>
      <x:c r="AH277" s="165" t="str">
        <x:f>IF(AND(AH$5&gt;=$C277,AH$5&lt;=$D277,$A277&lt;&gt;""),"●","")</x:f>
      </x:c>
      <x:c r="AI277" s="165" t="str">
        <x:f>IF(AND(AI$5&gt;=$C277,AI$5&lt;=$D277,$A277&lt;&gt;""),"●","")</x:f>
      </x:c>
      <x:c r="AJ277" s="165" t="str">
        <x:f>IF(AND(AJ$5&gt;=$C277,AJ$5&lt;=$D277,$A277&lt;&gt;""),"●","")</x:f>
      </x:c>
      <x:c r="AK277" s="165" t="str">
        <x:f>IF(AND(AK$5&gt;=$C277,AK$5&lt;=$D277,$A277&lt;&gt;""),"●","")</x:f>
      </x:c>
      <x:c r="AL277" s="165" t="str">
        <x:f>IF(AND(AL$5&gt;=$C277,AL$5&lt;=$D277,$A277&lt;&gt;""),"●","")</x:f>
      </x:c>
      <x:c r="AM277" s="165" t="str">
        <x:f>IF(AND(AM$5&gt;=$C277,AM$5&lt;=$D277,$A277&lt;&gt;""),"●","")</x:f>
      </x:c>
      <x:c r="AN277" s="165" t="str">
        <x:f>IF(AND(AN$5&gt;=$C277,AN$5&lt;=$D277,$A277&lt;&gt;""),"●","")</x:f>
      </x:c>
      <x:c r="AO277" s="165" t="str">
        <x:f>IF(AND(AO$5&gt;=$C277,AO$5&lt;=$D277,$A277&lt;&gt;""),"●","")</x:f>
      </x:c>
      <x:c r="AP277" s="165" t="str">
        <x:f>IF(AND(AP$5&gt;=$C277,AP$5&lt;=$D277,$A277&lt;&gt;""),"●","")</x:f>
      </x:c>
      <x:c r="AQ277" s="165" t="str">
        <x:f>IF(AND(AQ$5&gt;=$C277,AQ$5&lt;=$D277,$A277&lt;&gt;""),"●","")</x:f>
      </x:c>
      <x:c r="AR277" s="165" t="str">
        <x:f>IF(AND(AR$5&gt;=$C277,AR$5&lt;=$D277,$A277&lt;&gt;""),"●","")</x:f>
      </x:c>
      <x:c r="AS277" s="165" t="str">
        <x:f>IF(AND(AS$5&gt;=$C277,AS$5&lt;=$D277,$A277&lt;&gt;""),"●","")</x:f>
      </x:c>
      <x:c r="AT277" s="165" t="str">
        <x:f>IF(AND(AT$5&gt;=$C277,AT$5&lt;=$D277,$A277&lt;&gt;""),"●","")</x:f>
      </x:c>
      <x:c r="AU277" s="165" t="str">
        <x:f>IF(AND(AU$5&gt;=$C277,AU$5&lt;=$D277,$A277&lt;&gt;""),"●","")</x:f>
      </x:c>
      <x:c r="AV277" s="165" t="str">
        <x:f>IF(AND(AV$5&gt;=$C277,AV$5&lt;=$D277,$A277&lt;&gt;""),"●","")</x:f>
      </x:c>
      <x:c r="AW277" s="165" t="str">
        <x:f>IF(AND(AW$5&gt;=$C277,AW$5&lt;=$D277,$A277&lt;&gt;""),"●","")</x:f>
      </x:c>
      <x:c r="AX277" s="165" t="str">
        <x:f>IF(AND(AX$5&gt;=$C277,AX$5&lt;=$D277,$A277&lt;&gt;""),"●","")</x:f>
      </x:c>
      <x:c r="AY277" s="165" t="str">
        <x:f>IF(AND(AY$5&gt;=$C277,AY$5&lt;=$D277,$A277&lt;&gt;""),"●","")</x:f>
      </x:c>
      <x:c r="AZ277" s="165" t="str">
        <x:f>IF(AND(AZ$5&gt;=$C277,AZ$5&lt;=$D277,$A277&lt;&gt;""),"●","")</x:f>
      </x:c>
      <x:c r="BA277" s="165" t="str">
        <x:f>IF(AND(BA$5&gt;=$C277,BA$5&lt;=$D277,$A277&lt;&gt;""),"●","")</x:f>
      </x:c>
      <x:c r="BB277" s="165" t="str">
        <x:f>IF(AND(BB$5&gt;=$C277,BB$5&lt;=$D277,$A277&lt;&gt;""),"●","")</x:f>
      </x:c>
      <x:c r="BC277" s="165" t="str">
        <x:f>IF(AND(BC$5&gt;=$C277,BC$5&lt;=$D277,$A277&lt;&gt;""),"●","")</x:f>
      </x:c>
      <x:c r="BD277" s="165" t="str">
        <x:f>IF(AND(BD$5&gt;=$C277,BD$5&lt;=$D277,$A277&lt;&gt;""),"●","")</x:f>
      </x:c>
      <x:c r="BE277" s="165" t="str">
        <x:f>IF(AND(BE$5&gt;=$C277,BE$5&lt;=$D277,$A277&lt;&gt;""),"●","")</x:f>
      </x:c>
      <x:c r="BF277" s="165" t="str">
        <x:f>IF(AND(BF$5&gt;=$C277,BF$5&lt;=$D277,$A277&lt;&gt;""),"●","")</x:f>
      </x:c>
      <x:c r="BG277" s="165" t="str">
        <x:f>IF(AND(BG$5&gt;=$C277,BG$5&lt;=$D277,$A277&lt;&gt;""),"●","")</x:f>
      </x:c>
      <x:c r="BH277" s="165" t="str">
        <x:f>IF(AND(BH$5&gt;=$C277,BH$5&lt;=$D277,$A277&lt;&gt;""),"●","")</x:f>
      </x:c>
      <x:c r="BI277" s="165" t="str">
        <x:f>IF(AND(BI$5&gt;=$C277,BI$5&lt;=$D277,$A277&lt;&gt;""),"●","")</x:f>
      </x:c>
      <x:c r="BJ277" s="165" t="str">
        <x:f>IF(AND(BJ$5&gt;=$C277,BJ$5&lt;=$D277,$A277&lt;&gt;""),"●","")</x:f>
      </x:c>
      <x:c r="BK277" s="165" t="str">
        <x:f>IF(AND(BK$5&gt;=$C277,BK$5&lt;=$D277,$A277&lt;&gt;""),"●","")</x:f>
      </x:c>
      <x:c r="BL277" s="165" t="str">
        <x:f>IF(AND(BL$5&gt;=$C277,BL$5&lt;=$D277,$A277&lt;&gt;""),"●","")</x:f>
      </x:c>
      <x:c r="BM277" s="165" t="str">
        <x:f>IF(AND(BM$5&gt;=$C277,BM$5&lt;=$D277,$A277&lt;&gt;""),"●","")</x:f>
      </x:c>
      <x:c r="BN277" s="165" t="str">
        <x:f>IF(AND(BN$5&gt;=$C277,BN$5&lt;=$D277,$A277&lt;&gt;""),"●","")</x:f>
      </x:c>
      <x:c r="BO277" s="165" t="str">
        <x:f>IF(AND(BO$5&gt;=$C277,BO$5&lt;=$D277,$A277&lt;&gt;""),"●","")</x:f>
      </x:c>
      <x:c r="BP277" s="165" t="str">
        <x:f>IF(AND(BP$5&gt;=$C277,BP$5&lt;=$D277,$A277&lt;&gt;""),"●","")</x:f>
      </x:c>
      <x:c r="BQ277" s="165" t="str">
        <x:f>IF(AND(BQ$5&gt;=$C277,BQ$5&lt;=$D277,$A277&lt;&gt;""),"●","")</x:f>
      </x:c>
      <x:c r="BR277" s="165" t="str">
        <x:f>IF(AND(BR$5&gt;=$C277,BR$5&lt;=$D277,$A277&lt;&gt;""),"●","")</x:f>
      </x:c>
      <x:c r="BS277" s="165" t="str">
        <x:f>IF(AND(BS$5&gt;=$C277,BS$5&lt;=$D277,$A277&lt;&gt;""),"●","")</x:f>
      </x:c>
      <x:c r="BT277" s="165" t="str">
        <x:f>IF(AND(BT$5&gt;=$C277,BT$5&lt;=$D277,$A277&lt;&gt;""),"●","")</x:f>
      </x:c>
      <x:c r="BU277" s="165" t="str">
        <x:f>IF(AND(BU$5&gt;=$C277,BU$5&lt;=$D277,$A277&lt;&gt;""),"●","")</x:f>
      </x:c>
      <x:c r="BV277" s="165" t="str">
        <x:f>IF(AND(BV$5&gt;=$C277,BV$5&lt;=$D277,$A277&lt;&gt;""),"●","")</x:f>
      </x:c>
      <x:c r="BW277" s="165" t="str">
        <x:f>IF(AND(BW$5&gt;=$C277,BW$5&lt;=$D277,$A277&lt;&gt;""),"●","")</x:f>
      </x:c>
    </x:row>
    <x:row r="278">
      <x:c r="A278" s="159" t="str">
        <x:f>IF('รายการสัญญา'!A278="","",'รายการสัญญา'!A278)</x:f>
      </x:c>
      <x:c r="B278" s="159" t="str">
        <x:f>IF('รายการสัญญา'!A278="","",'รายการสัญญา'!C278)</x:f>
      </x:c>
      <x:c r="C278" s="162" t="str">
        <x:f>IF('รายการสัญญา'!A278="","",'รายการสัญญา'!E278)</x:f>
      </x:c>
      <x:c r="D278" s="162" t="str">
        <x:f>IF('รายการสัญญา'!A278="","",'รายการสัญญา'!G278)</x:f>
      </x:c>
      <x:c r="E278" s="159" t="str">
        <x:f>IF('รายการสัญญา'!A278="","",'รายการสัญญา'!K278)</x:f>
      </x:c>
      <x:c r="F278" s="165" t="str">
        <x:f>IF(AND(F$5&gt;=$C278,F$5&lt;=$D278,$A278&lt;&gt;""),"●","")</x:f>
      </x:c>
      <x:c r="G278" s="165" t="str">
        <x:f>IF(AND(G$5&gt;=$C278,G$5&lt;=$D278,$A278&lt;&gt;""),"●","")</x:f>
      </x:c>
      <x:c r="H278" s="165" t="str">
        <x:f>IF(AND(H$5&gt;=$C278,H$5&lt;=$D278,$A278&lt;&gt;""),"●","")</x:f>
      </x:c>
      <x:c r="I278" s="165" t="str">
        <x:f>IF(AND(I$5&gt;=$C278,I$5&lt;=$D278,$A278&lt;&gt;""),"●","")</x:f>
      </x:c>
      <x:c r="J278" s="165" t="str">
        <x:f>IF(AND(J$5&gt;=$C278,J$5&lt;=$D278,$A278&lt;&gt;""),"●","")</x:f>
      </x:c>
      <x:c r="K278" s="165" t="str">
        <x:f>IF(AND(K$5&gt;=$C278,K$5&lt;=$D278,$A278&lt;&gt;""),"●","")</x:f>
      </x:c>
      <x:c r="L278" s="165" t="str">
        <x:f>IF(AND(L$5&gt;=$C278,L$5&lt;=$D278,$A278&lt;&gt;""),"●","")</x:f>
      </x:c>
      <x:c r="M278" s="165" t="str">
        <x:f>IF(AND(M$5&gt;=$C278,M$5&lt;=$D278,$A278&lt;&gt;""),"●","")</x:f>
      </x:c>
      <x:c r="N278" s="165" t="str">
        <x:f>IF(AND(N$5&gt;=$C278,N$5&lt;=$D278,$A278&lt;&gt;""),"●","")</x:f>
      </x:c>
      <x:c r="O278" s="165" t="str">
        <x:f>IF(AND(O$5&gt;=$C278,O$5&lt;=$D278,$A278&lt;&gt;""),"●","")</x:f>
      </x:c>
      <x:c r="P278" s="165" t="str">
        <x:f>IF(AND(P$5&gt;=$C278,P$5&lt;=$D278,$A278&lt;&gt;""),"●","")</x:f>
      </x:c>
      <x:c r="Q278" s="165" t="str">
        <x:f>IF(AND(Q$5&gt;=$C278,Q$5&lt;=$D278,$A278&lt;&gt;""),"●","")</x:f>
      </x:c>
      <x:c r="R278" s="165" t="str">
        <x:f>IF(AND(R$5&gt;=$C278,R$5&lt;=$D278,$A278&lt;&gt;""),"●","")</x:f>
      </x:c>
      <x:c r="S278" s="165" t="str">
        <x:f>IF(AND(S$5&gt;=$C278,S$5&lt;=$D278,$A278&lt;&gt;""),"●","")</x:f>
      </x:c>
      <x:c r="T278" s="165" t="str">
        <x:f>IF(AND(T$5&gt;=$C278,T$5&lt;=$D278,$A278&lt;&gt;""),"●","")</x:f>
      </x:c>
      <x:c r="U278" s="165" t="str">
        <x:f>IF(AND(U$5&gt;=$C278,U$5&lt;=$D278,$A278&lt;&gt;""),"●","")</x:f>
      </x:c>
      <x:c r="V278" s="165" t="str">
        <x:f>IF(AND(V$5&gt;=$C278,V$5&lt;=$D278,$A278&lt;&gt;""),"●","")</x:f>
      </x:c>
      <x:c r="W278" s="165" t="str">
        <x:f>IF(AND(W$5&gt;=$C278,W$5&lt;=$D278,$A278&lt;&gt;""),"●","")</x:f>
      </x:c>
      <x:c r="X278" s="165" t="str">
        <x:f>IF(AND(X$5&gt;=$C278,X$5&lt;=$D278,$A278&lt;&gt;""),"●","")</x:f>
      </x:c>
      <x:c r="Y278" s="165" t="str">
        <x:f>IF(AND(Y$5&gt;=$C278,Y$5&lt;=$D278,$A278&lt;&gt;""),"●","")</x:f>
      </x:c>
      <x:c r="Z278" s="165" t="str">
        <x:f>IF(AND(Z$5&gt;=$C278,Z$5&lt;=$D278,$A278&lt;&gt;""),"●","")</x:f>
      </x:c>
      <x:c r="AA278" s="165" t="str">
        <x:f>IF(AND(AA$5&gt;=$C278,AA$5&lt;=$D278,$A278&lt;&gt;""),"●","")</x:f>
      </x:c>
      <x:c r="AB278" s="165" t="str">
        <x:f>IF(AND(AB$5&gt;=$C278,AB$5&lt;=$D278,$A278&lt;&gt;""),"●","")</x:f>
      </x:c>
      <x:c r="AC278" s="165" t="str">
        <x:f>IF(AND(AC$5&gt;=$C278,AC$5&lt;=$D278,$A278&lt;&gt;""),"●","")</x:f>
      </x:c>
      <x:c r="AD278" s="165" t="str">
        <x:f>IF(AND(AD$5&gt;=$C278,AD$5&lt;=$D278,$A278&lt;&gt;""),"●","")</x:f>
      </x:c>
      <x:c r="AE278" s="165" t="str">
        <x:f>IF(AND(AE$5&gt;=$C278,AE$5&lt;=$D278,$A278&lt;&gt;""),"●","")</x:f>
      </x:c>
      <x:c r="AF278" s="165" t="str">
        <x:f>IF(AND(AF$5&gt;=$C278,AF$5&lt;=$D278,$A278&lt;&gt;""),"●","")</x:f>
      </x:c>
      <x:c r="AG278" s="165" t="str">
        <x:f>IF(AND(AG$5&gt;=$C278,AG$5&lt;=$D278,$A278&lt;&gt;""),"●","")</x:f>
      </x:c>
      <x:c r="AH278" s="165" t="str">
        <x:f>IF(AND(AH$5&gt;=$C278,AH$5&lt;=$D278,$A278&lt;&gt;""),"●","")</x:f>
      </x:c>
      <x:c r="AI278" s="165" t="str">
        <x:f>IF(AND(AI$5&gt;=$C278,AI$5&lt;=$D278,$A278&lt;&gt;""),"●","")</x:f>
      </x:c>
      <x:c r="AJ278" s="165" t="str">
        <x:f>IF(AND(AJ$5&gt;=$C278,AJ$5&lt;=$D278,$A278&lt;&gt;""),"●","")</x:f>
      </x:c>
      <x:c r="AK278" s="165" t="str">
        <x:f>IF(AND(AK$5&gt;=$C278,AK$5&lt;=$D278,$A278&lt;&gt;""),"●","")</x:f>
      </x:c>
      <x:c r="AL278" s="165" t="str">
        <x:f>IF(AND(AL$5&gt;=$C278,AL$5&lt;=$D278,$A278&lt;&gt;""),"●","")</x:f>
      </x:c>
      <x:c r="AM278" s="165" t="str">
        <x:f>IF(AND(AM$5&gt;=$C278,AM$5&lt;=$D278,$A278&lt;&gt;""),"●","")</x:f>
      </x:c>
      <x:c r="AN278" s="165" t="str">
        <x:f>IF(AND(AN$5&gt;=$C278,AN$5&lt;=$D278,$A278&lt;&gt;""),"●","")</x:f>
      </x:c>
      <x:c r="AO278" s="165" t="str">
        <x:f>IF(AND(AO$5&gt;=$C278,AO$5&lt;=$D278,$A278&lt;&gt;""),"●","")</x:f>
      </x:c>
      <x:c r="AP278" s="165" t="str">
        <x:f>IF(AND(AP$5&gt;=$C278,AP$5&lt;=$D278,$A278&lt;&gt;""),"●","")</x:f>
      </x:c>
      <x:c r="AQ278" s="165" t="str">
        <x:f>IF(AND(AQ$5&gt;=$C278,AQ$5&lt;=$D278,$A278&lt;&gt;""),"●","")</x:f>
      </x:c>
      <x:c r="AR278" s="165" t="str">
        <x:f>IF(AND(AR$5&gt;=$C278,AR$5&lt;=$D278,$A278&lt;&gt;""),"●","")</x:f>
      </x:c>
      <x:c r="AS278" s="165" t="str">
        <x:f>IF(AND(AS$5&gt;=$C278,AS$5&lt;=$D278,$A278&lt;&gt;""),"●","")</x:f>
      </x:c>
      <x:c r="AT278" s="165" t="str">
        <x:f>IF(AND(AT$5&gt;=$C278,AT$5&lt;=$D278,$A278&lt;&gt;""),"●","")</x:f>
      </x:c>
      <x:c r="AU278" s="165" t="str">
        <x:f>IF(AND(AU$5&gt;=$C278,AU$5&lt;=$D278,$A278&lt;&gt;""),"●","")</x:f>
      </x:c>
      <x:c r="AV278" s="165" t="str">
        <x:f>IF(AND(AV$5&gt;=$C278,AV$5&lt;=$D278,$A278&lt;&gt;""),"●","")</x:f>
      </x:c>
      <x:c r="AW278" s="165" t="str">
        <x:f>IF(AND(AW$5&gt;=$C278,AW$5&lt;=$D278,$A278&lt;&gt;""),"●","")</x:f>
      </x:c>
      <x:c r="AX278" s="165" t="str">
        <x:f>IF(AND(AX$5&gt;=$C278,AX$5&lt;=$D278,$A278&lt;&gt;""),"●","")</x:f>
      </x:c>
      <x:c r="AY278" s="165" t="str">
        <x:f>IF(AND(AY$5&gt;=$C278,AY$5&lt;=$D278,$A278&lt;&gt;""),"●","")</x:f>
      </x:c>
      <x:c r="AZ278" s="165" t="str">
        <x:f>IF(AND(AZ$5&gt;=$C278,AZ$5&lt;=$D278,$A278&lt;&gt;""),"●","")</x:f>
      </x:c>
      <x:c r="BA278" s="165" t="str">
        <x:f>IF(AND(BA$5&gt;=$C278,BA$5&lt;=$D278,$A278&lt;&gt;""),"●","")</x:f>
      </x:c>
      <x:c r="BB278" s="165" t="str">
        <x:f>IF(AND(BB$5&gt;=$C278,BB$5&lt;=$D278,$A278&lt;&gt;""),"●","")</x:f>
      </x:c>
      <x:c r="BC278" s="165" t="str">
        <x:f>IF(AND(BC$5&gt;=$C278,BC$5&lt;=$D278,$A278&lt;&gt;""),"●","")</x:f>
      </x:c>
      <x:c r="BD278" s="165" t="str">
        <x:f>IF(AND(BD$5&gt;=$C278,BD$5&lt;=$D278,$A278&lt;&gt;""),"●","")</x:f>
      </x:c>
      <x:c r="BE278" s="165" t="str">
        <x:f>IF(AND(BE$5&gt;=$C278,BE$5&lt;=$D278,$A278&lt;&gt;""),"●","")</x:f>
      </x:c>
      <x:c r="BF278" s="165" t="str">
        <x:f>IF(AND(BF$5&gt;=$C278,BF$5&lt;=$D278,$A278&lt;&gt;""),"●","")</x:f>
      </x:c>
      <x:c r="BG278" s="165" t="str">
        <x:f>IF(AND(BG$5&gt;=$C278,BG$5&lt;=$D278,$A278&lt;&gt;""),"●","")</x:f>
      </x:c>
      <x:c r="BH278" s="165" t="str">
        <x:f>IF(AND(BH$5&gt;=$C278,BH$5&lt;=$D278,$A278&lt;&gt;""),"●","")</x:f>
      </x:c>
      <x:c r="BI278" s="165" t="str">
        <x:f>IF(AND(BI$5&gt;=$C278,BI$5&lt;=$D278,$A278&lt;&gt;""),"●","")</x:f>
      </x:c>
      <x:c r="BJ278" s="165" t="str">
        <x:f>IF(AND(BJ$5&gt;=$C278,BJ$5&lt;=$D278,$A278&lt;&gt;""),"●","")</x:f>
      </x:c>
      <x:c r="BK278" s="165" t="str">
        <x:f>IF(AND(BK$5&gt;=$C278,BK$5&lt;=$D278,$A278&lt;&gt;""),"●","")</x:f>
      </x:c>
      <x:c r="BL278" s="165" t="str">
        <x:f>IF(AND(BL$5&gt;=$C278,BL$5&lt;=$D278,$A278&lt;&gt;""),"●","")</x:f>
      </x:c>
      <x:c r="BM278" s="165" t="str">
        <x:f>IF(AND(BM$5&gt;=$C278,BM$5&lt;=$D278,$A278&lt;&gt;""),"●","")</x:f>
      </x:c>
      <x:c r="BN278" s="165" t="str">
        <x:f>IF(AND(BN$5&gt;=$C278,BN$5&lt;=$D278,$A278&lt;&gt;""),"●","")</x:f>
      </x:c>
      <x:c r="BO278" s="165" t="str">
        <x:f>IF(AND(BO$5&gt;=$C278,BO$5&lt;=$D278,$A278&lt;&gt;""),"●","")</x:f>
      </x:c>
      <x:c r="BP278" s="165" t="str">
        <x:f>IF(AND(BP$5&gt;=$C278,BP$5&lt;=$D278,$A278&lt;&gt;""),"●","")</x:f>
      </x:c>
      <x:c r="BQ278" s="165" t="str">
        <x:f>IF(AND(BQ$5&gt;=$C278,BQ$5&lt;=$D278,$A278&lt;&gt;""),"●","")</x:f>
      </x:c>
      <x:c r="BR278" s="165" t="str">
        <x:f>IF(AND(BR$5&gt;=$C278,BR$5&lt;=$D278,$A278&lt;&gt;""),"●","")</x:f>
      </x:c>
      <x:c r="BS278" s="165" t="str">
        <x:f>IF(AND(BS$5&gt;=$C278,BS$5&lt;=$D278,$A278&lt;&gt;""),"●","")</x:f>
      </x:c>
      <x:c r="BT278" s="165" t="str">
        <x:f>IF(AND(BT$5&gt;=$C278,BT$5&lt;=$D278,$A278&lt;&gt;""),"●","")</x:f>
      </x:c>
      <x:c r="BU278" s="165" t="str">
        <x:f>IF(AND(BU$5&gt;=$C278,BU$5&lt;=$D278,$A278&lt;&gt;""),"●","")</x:f>
      </x:c>
      <x:c r="BV278" s="165" t="str">
        <x:f>IF(AND(BV$5&gt;=$C278,BV$5&lt;=$D278,$A278&lt;&gt;""),"●","")</x:f>
      </x:c>
      <x:c r="BW278" s="165" t="str">
        <x:f>IF(AND(BW$5&gt;=$C278,BW$5&lt;=$D278,$A278&lt;&gt;""),"●","")</x:f>
      </x:c>
    </x:row>
    <x:row r="279">
      <x:c r="A279" s="159" t="str">
        <x:f>IF('รายการสัญญา'!A279="","",'รายการสัญญา'!A279)</x:f>
      </x:c>
      <x:c r="B279" s="159" t="str">
        <x:f>IF('รายการสัญญา'!A279="","",'รายการสัญญา'!C279)</x:f>
      </x:c>
      <x:c r="C279" s="162" t="str">
        <x:f>IF('รายการสัญญา'!A279="","",'รายการสัญญา'!E279)</x:f>
      </x:c>
      <x:c r="D279" s="162" t="str">
        <x:f>IF('รายการสัญญา'!A279="","",'รายการสัญญา'!G279)</x:f>
      </x:c>
      <x:c r="E279" s="159" t="str">
        <x:f>IF('รายการสัญญา'!A279="","",'รายการสัญญา'!K279)</x:f>
      </x:c>
      <x:c r="F279" s="165" t="str">
        <x:f>IF(AND(F$5&gt;=$C279,F$5&lt;=$D279,$A279&lt;&gt;""),"●","")</x:f>
      </x:c>
      <x:c r="G279" s="165" t="str">
        <x:f>IF(AND(G$5&gt;=$C279,G$5&lt;=$D279,$A279&lt;&gt;""),"●","")</x:f>
      </x:c>
      <x:c r="H279" s="165" t="str">
        <x:f>IF(AND(H$5&gt;=$C279,H$5&lt;=$D279,$A279&lt;&gt;""),"●","")</x:f>
      </x:c>
      <x:c r="I279" s="165" t="str">
        <x:f>IF(AND(I$5&gt;=$C279,I$5&lt;=$D279,$A279&lt;&gt;""),"●","")</x:f>
      </x:c>
      <x:c r="J279" s="165" t="str">
        <x:f>IF(AND(J$5&gt;=$C279,J$5&lt;=$D279,$A279&lt;&gt;""),"●","")</x:f>
      </x:c>
      <x:c r="K279" s="165" t="str">
        <x:f>IF(AND(K$5&gt;=$C279,K$5&lt;=$D279,$A279&lt;&gt;""),"●","")</x:f>
      </x:c>
      <x:c r="L279" s="165" t="str">
        <x:f>IF(AND(L$5&gt;=$C279,L$5&lt;=$D279,$A279&lt;&gt;""),"●","")</x:f>
      </x:c>
      <x:c r="M279" s="165" t="str">
        <x:f>IF(AND(M$5&gt;=$C279,M$5&lt;=$D279,$A279&lt;&gt;""),"●","")</x:f>
      </x:c>
      <x:c r="N279" s="165" t="str">
        <x:f>IF(AND(N$5&gt;=$C279,N$5&lt;=$D279,$A279&lt;&gt;""),"●","")</x:f>
      </x:c>
      <x:c r="O279" s="165" t="str">
        <x:f>IF(AND(O$5&gt;=$C279,O$5&lt;=$D279,$A279&lt;&gt;""),"●","")</x:f>
      </x:c>
      <x:c r="P279" s="165" t="str">
        <x:f>IF(AND(P$5&gt;=$C279,P$5&lt;=$D279,$A279&lt;&gt;""),"●","")</x:f>
      </x:c>
      <x:c r="Q279" s="165" t="str">
        <x:f>IF(AND(Q$5&gt;=$C279,Q$5&lt;=$D279,$A279&lt;&gt;""),"●","")</x:f>
      </x:c>
      <x:c r="R279" s="165" t="str">
        <x:f>IF(AND(R$5&gt;=$C279,R$5&lt;=$D279,$A279&lt;&gt;""),"●","")</x:f>
      </x:c>
      <x:c r="S279" s="165" t="str">
        <x:f>IF(AND(S$5&gt;=$C279,S$5&lt;=$D279,$A279&lt;&gt;""),"●","")</x:f>
      </x:c>
      <x:c r="T279" s="165" t="str">
        <x:f>IF(AND(T$5&gt;=$C279,T$5&lt;=$D279,$A279&lt;&gt;""),"●","")</x:f>
      </x:c>
      <x:c r="U279" s="165" t="str">
        <x:f>IF(AND(U$5&gt;=$C279,U$5&lt;=$D279,$A279&lt;&gt;""),"●","")</x:f>
      </x:c>
      <x:c r="V279" s="165" t="str">
        <x:f>IF(AND(V$5&gt;=$C279,V$5&lt;=$D279,$A279&lt;&gt;""),"●","")</x:f>
      </x:c>
      <x:c r="W279" s="165" t="str">
        <x:f>IF(AND(W$5&gt;=$C279,W$5&lt;=$D279,$A279&lt;&gt;""),"●","")</x:f>
      </x:c>
      <x:c r="X279" s="165" t="str">
        <x:f>IF(AND(X$5&gt;=$C279,X$5&lt;=$D279,$A279&lt;&gt;""),"●","")</x:f>
      </x:c>
      <x:c r="Y279" s="165" t="str">
        <x:f>IF(AND(Y$5&gt;=$C279,Y$5&lt;=$D279,$A279&lt;&gt;""),"●","")</x:f>
      </x:c>
      <x:c r="Z279" s="165" t="str">
        <x:f>IF(AND(Z$5&gt;=$C279,Z$5&lt;=$D279,$A279&lt;&gt;""),"●","")</x:f>
      </x:c>
      <x:c r="AA279" s="165" t="str">
        <x:f>IF(AND(AA$5&gt;=$C279,AA$5&lt;=$D279,$A279&lt;&gt;""),"●","")</x:f>
      </x:c>
      <x:c r="AB279" s="165" t="str">
        <x:f>IF(AND(AB$5&gt;=$C279,AB$5&lt;=$D279,$A279&lt;&gt;""),"●","")</x:f>
      </x:c>
      <x:c r="AC279" s="165" t="str">
        <x:f>IF(AND(AC$5&gt;=$C279,AC$5&lt;=$D279,$A279&lt;&gt;""),"●","")</x:f>
      </x:c>
      <x:c r="AD279" s="165" t="str">
        <x:f>IF(AND(AD$5&gt;=$C279,AD$5&lt;=$D279,$A279&lt;&gt;""),"●","")</x:f>
      </x:c>
      <x:c r="AE279" s="165" t="str">
        <x:f>IF(AND(AE$5&gt;=$C279,AE$5&lt;=$D279,$A279&lt;&gt;""),"●","")</x:f>
      </x:c>
      <x:c r="AF279" s="165" t="str">
        <x:f>IF(AND(AF$5&gt;=$C279,AF$5&lt;=$D279,$A279&lt;&gt;""),"●","")</x:f>
      </x:c>
      <x:c r="AG279" s="165" t="str">
        <x:f>IF(AND(AG$5&gt;=$C279,AG$5&lt;=$D279,$A279&lt;&gt;""),"●","")</x:f>
      </x:c>
      <x:c r="AH279" s="165" t="str">
        <x:f>IF(AND(AH$5&gt;=$C279,AH$5&lt;=$D279,$A279&lt;&gt;""),"●","")</x:f>
      </x:c>
      <x:c r="AI279" s="165" t="str">
        <x:f>IF(AND(AI$5&gt;=$C279,AI$5&lt;=$D279,$A279&lt;&gt;""),"●","")</x:f>
      </x:c>
      <x:c r="AJ279" s="165" t="str">
        <x:f>IF(AND(AJ$5&gt;=$C279,AJ$5&lt;=$D279,$A279&lt;&gt;""),"●","")</x:f>
      </x:c>
      <x:c r="AK279" s="165" t="str">
        <x:f>IF(AND(AK$5&gt;=$C279,AK$5&lt;=$D279,$A279&lt;&gt;""),"●","")</x:f>
      </x:c>
      <x:c r="AL279" s="165" t="str">
        <x:f>IF(AND(AL$5&gt;=$C279,AL$5&lt;=$D279,$A279&lt;&gt;""),"●","")</x:f>
      </x:c>
      <x:c r="AM279" s="165" t="str">
        <x:f>IF(AND(AM$5&gt;=$C279,AM$5&lt;=$D279,$A279&lt;&gt;""),"●","")</x:f>
      </x:c>
      <x:c r="AN279" s="165" t="str">
        <x:f>IF(AND(AN$5&gt;=$C279,AN$5&lt;=$D279,$A279&lt;&gt;""),"●","")</x:f>
      </x:c>
      <x:c r="AO279" s="165" t="str">
        <x:f>IF(AND(AO$5&gt;=$C279,AO$5&lt;=$D279,$A279&lt;&gt;""),"●","")</x:f>
      </x:c>
      <x:c r="AP279" s="165" t="str">
        <x:f>IF(AND(AP$5&gt;=$C279,AP$5&lt;=$D279,$A279&lt;&gt;""),"●","")</x:f>
      </x:c>
      <x:c r="AQ279" s="165" t="str">
        <x:f>IF(AND(AQ$5&gt;=$C279,AQ$5&lt;=$D279,$A279&lt;&gt;""),"●","")</x:f>
      </x:c>
      <x:c r="AR279" s="165" t="str">
        <x:f>IF(AND(AR$5&gt;=$C279,AR$5&lt;=$D279,$A279&lt;&gt;""),"●","")</x:f>
      </x:c>
      <x:c r="AS279" s="165" t="str">
        <x:f>IF(AND(AS$5&gt;=$C279,AS$5&lt;=$D279,$A279&lt;&gt;""),"●","")</x:f>
      </x:c>
      <x:c r="AT279" s="165" t="str">
        <x:f>IF(AND(AT$5&gt;=$C279,AT$5&lt;=$D279,$A279&lt;&gt;""),"●","")</x:f>
      </x:c>
      <x:c r="AU279" s="165" t="str">
        <x:f>IF(AND(AU$5&gt;=$C279,AU$5&lt;=$D279,$A279&lt;&gt;""),"●","")</x:f>
      </x:c>
      <x:c r="AV279" s="165" t="str">
        <x:f>IF(AND(AV$5&gt;=$C279,AV$5&lt;=$D279,$A279&lt;&gt;""),"●","")</x:f>
      </x:c>
      <x:c r="AW279" s="165" t="str">
        <x:f>IF(AND(AW$5&gt;=$C279,AW$5&lt;=$D279,$A279&lt;&gt;""),"●","")</x:f>
      </x:c>
      <x:c r="AX279" s="165" t="str">
        <x:f>IF(AND(AX$5&gt;=$C279,AX$5&lt;=$D279,$A279&lt;&gt;""),"●","")</x:f>
      </x:c>
      <x:c r="AY279" s="165" t="str">
        <x:f>IF(AND(AY$5&gt;=$C279,AY$5&lt;=$D279,$A279&lt;&gt;""),"●","")</x:f>
      </x:c>
      <x:c r="AZ279" s="165" t="str">
        <x:f>IF(AND(AZ$5&gt;=$C279,AZ$5&lt;=$D279,$A279&lt;&gt;""),"●","")</x:f>
      </x:c>
      <x:c r="BA279" s="165" t="str">
        <x:f>IF(AND(BA$5&gt;=$C279,BA$5&lt;=$D279,$A279&lt;&gt;""),"●","")</x:f>
      </x:c>
      <x:c r="BB279" s="165" t="str">
        <x:f>IF(AND(BB$5&gt;=$C279,BB$5&lt;=$D279,$A279&lt;&gt;""),"●","")</x:f>
      </x:c>
      <x:c r="BC279" s="165" t="str">
        <x:f>IF(AND(BC$5&gt;=$C279,BC$5&lt;=$D279,$A279&lt;&gt;""),"●","")</x:f>
      </x:c>
      <x:c r="BD279" s="165" t="str">
        <x:f>IF(AND(BD$5&gt;=$C279,BD$5&lt;=$D279,$A279&lt;&gt;""),"●","")</x:f>
      </x:c>
      <x:c r="BE279" s="165" t="str">
        <x:f>IF(AND(BE$5&gt;=$C279,BE$5&lt;=$D279,$A279&lt;&gt;""),"●","")</x:f>
      </x:c>
      <x:c r="BF279" s="165" t="str">
        <x:f>IF(AND(BF$5&gt;=$C279,BF$5&lt;=$D279,$A279&lt;&gt;""),"●","")</x:f>
      </x:c>
      <x:c r="BG279" s="165" t="str">
        <x:f>IF(AND(BG$5&gt;=$C279,BG$5&lt;=$D279,$A279&lt;&gt;""),"●","")</x:f>
      </x:c>
      <x:c r="BH279" s="165" t="str">
        <x:f>IF(AND(BH$5&gt;=$C279,BH$5&lt;=$D279,$A279&lt;&gt;""),"●","")</x:f>
      </x:c>
      <x:c r="BI279" s="165" t="str">
        <x:f>IF(AND(BI$5&gt;=$C279,BI$5&lt;=$D279,$A279&lt;&gt;""),"●","")</x:f>
      </x:c>
      <x:c r="BJ279" s="165" t="str">
        <x:f>IF(AND(BJ$5&gt;=$C279,BJ$5&lt;=$D279,$A279&lt;&gt;""),"●","")</x:f>
      </x:c>
      <x:c r="BK279" s="165" t="str">
        <x:f>IF(AND(BK$5&gt;=$C279,BK$5&lt;=$D279,$A279&lt;&gt;""),"●","")</x:f>
      </x:c>
      <x:c r="BL279" s="165" t="str">
        <x:f>IF(AND(BL$5&gt;=$C279,BL$5&lt;=$D279,$A279&lt;&gt;""),"●","")</x:f>
      </x:c>
      <x:c r="BM279" s="165" t="str">
        <x:f>IF(AND(BM$5&gt;=$C279,BM$5&lt;=$D279,$A279&lt;&gt;""),"●","")</x:f>
      </x:c>
      <x:c r="BN279" s="165" t="str">
        <x:f>IF(AND(BN$5&gt;=$C279,BN$5&lt;=$D279,$A279&lt;&gt;""),"●","")</x:f>
      </x:c>
      <x:c r="BO279" s="165" t="str">
        <x:f>IF(AND(BO$5&gt;=$C279,BO$5&lt;=$D279,$A279&lt;&gt;""),"●","")</x:f>
      </x:c>
      <x:c r="BP279" s="165" t="str">
        <x:f>IF(AND(BP$5&gt;=$C279,BP$5&lt;=$D279,$A279&lt;&gt;""),"●","")</x:f>
      </x:c>
      <x:c r="BQ279" s="165" t="str">
        <x:f>IF(AND(BQ$5&gt;=$C279,BQ$5&lt;=$D279,$A279&lt;&gt;""),"●","")</x:f>
      </x:c>
      <x:c r="BR279" s="165" t="str">
        <x:f>IF(AND(BR$5&gt;=$C279,BR$5&lt;=$D279,$A279&lt;&gt;""),"●","")</x:f>
      </x:c>
      <x:c r="BS279" s="165" t="str">
        <x:f>IF(AND(BS$5&gt;=$C279,BS$5&lt;=$D279,$A279&lt;&gt;""),"●","")</x:f>
      </x:c>
      <x:c r="BT279" s="165" t="str">
        <x:f>IF(AND(BT$5&gt;=$C279,BT$5&lt;=$D279,$A279&lt;&gt;""),"●","")</x:f>
      </x:c>
      <x:c r="BU279" s="165" t="str">
        <x:f>IF(AND(BU$5&gt;=$C279,BU$5&lt;=$D279,$A279&lt;&gt;""),"●","")</x:f>
      </x:c>
      <x:c r="BV279" s="165" t="str">
        <x:f>IF(AND(BV$5&gt;=$C279,BV$5&lt;=$D279,$A279&lt;&gt;""),"●","")</x:f>
      </x:c>
      <x:c r="BW279" s="165" t="str">
        <x:f>IF(AND(BW$5&gt;=$C279,BW$5&lt;=$D279,$A279&lt;&gt;""),"●","")</x:f>
      </x:c>
    </x:row>
    <x:row r="280">
      <x:c r="A280" s="159" t="str">
        <x:f>IF('รายการสัญญา'!A280="","",'รายการสัญญา'!A280)</x:f>
      </x:c>
      <x:c r="B280" s="159" t="str">
        <x:f>IF('รายการสัญญา'!A280="","",'รายการสัญญา'!C280)</x:f>
      </x:c>
      <x:c r="C280" s="162" t="str">
        <x:f>IF('รายการสัญญา'!A280="","",'รายการสัญญา'!E280)</x:f>
      </x:c>
      <x:c r="D280" s="162" t="str">
        <x:f>IF('รายการสัญญา'!A280="","",'รายการสัญญา'!G280)</x:f>
      </x:c>
      <x:c r="E280" s="159" t="str">
        <x:f>IF('รายการสัญญา'!A280="","",'รายการสัญญา'!K280)</x:f>
      </x:c>
      <x:c r="F280" s="165" t="str">
        <x:f>IF(AND(F$5&gt;=$C280,F$5&lt;=$D280,$A280&lt;&gt;""),"●","")</x:f>
      </x:c>
      <x:c r="G280" s="165" t="str">
        <x:f>IF(AND(G$5&gt;=$C280,G$5&lt;=$D280,$A280&lt;&gt;""),"●","")</x:f>
      </x:c>
      <x:c r="H280" s="165" t="str">
        <x:f>IF(AND(H$5&gt;=$C280,H$5&lt;=$D280,$A280&lt;&gt;""),"●","")</x:f>
      </x:c>
      <x:c r="I280" s="165" t="str">
        <x:f>IF(AND(I$5&gt;=$C280,I$5&lt;=$D280,$A280&lt;&gt;""),"●","")</x:f>
      </x:c>
      <x:c r="J280" s="165" t="str">
        <x:f>IF(AND(J$5&gt;=$C280,J$5&lt;=$D280,$A280&lt;&gt;""),"●","")</x:f>
      </x:c>
      <x:c r="K280" s="165" t="str">
        <x:f>IF(AND(K$5&gt;=$C280,K$5&lt;=$D280,$A280&lt;&gt;""),"●","")</x:f>
      </x:c>
      <x:c r="L280" s="165" t="str">
        <x:f>IF(AND(L$5&gt;=$C280,L$5&lt;=$D280,$A280&lt;&gt;""),"●","")</x:f>
      </x:c>
      <x:c r="M280" s="165" t="str">
        <x:f>IF(AND(M$5&gt;=$C280,M$5&lt;=$D280,$A280&lt;&gt;""),"●","")</x:f>
      </x:c>
      <x:c r="N280" s="165" t="str">
        <x:f>IF(AND(N$5&gt;=$C280,N$5&lt;=$D280,$A280&lt;&gt;""),"●","")</x:f>
      </x:c>
      <x:c r="O280" s="165" t="str">
        <x:f>IF(AND(O$5&gt;=$C280,O$5&lt;=$D280,$A280&lt;&gt;""),"●","")</x:f>
      </x:c>
      <x:c r="P280" s="165" t="str">
        <x:f>IF(AND(P$5&gt;=$C280,P$5&lt;=$D280,$A280&lt;&gt;""),"●","")</x:f>
      </x:c>
      <x:c r="Q280" s="165" t="str">
        <x:f>IF(AND(Q$5&gt;=$C280,Q$5&lt;=$D280,$A280&lt;&gt;""),"●","")</x:f>
      </x:c>
      <x:c r="R280" s="165" t="str">
        <x:f>IF(AND(R$5&gt;=$C280,R$5&lt;=$D280,$A280&lt;&gt;""),"●","")</x:f>
      </x:c>
      <x:c r="S280" s="165" t="str">
        <x:f>IF(AND(S$5&gt;=$C280,S$5&lt;=$D280,$A280&lt;&gt;""),"●","")</x:f>
      </x:c>
      <x:c r="T280" s="165" t="str">
        <x:f>IF(AND(T$5&gt;=$C280,T$5&lt;=$D280,$A280&lt;&gt;""),"●","")</x:f>
      </x:c>
      <x:c r="U280" s="165" t="str">
        <x:f>IF(AND(U$5&gt;=$C280,U$5&lt;=$D280,$A280&lt;&gt;""),"●","")</x:f>
      </x:c>
      <x:c r="V280" s="165" t="str">
        <x:f>IF(AND(V$5&gt;=$C280,V$5&lt;=$D280,$A280&lt;&gt;""),"●","")</x:f>
      </x:c>
      <x:c r="W280" s="165" t="str">
        <x:f>IF(AND(W$5&gt;=$C280,W$5&lt;=$D280,$A280&lt;&gt;""),"●","")</x:f>
      </x:c>
      <x:c r="X280" s="165" t="str">
        <x:f>IF(AND(X$5&gt;=$C280,X$5&lt;=$D280,$A280&lt;&gt;""),"●","")</x:f>
      </x:c>
      <x:c r="Y280" s="165" t="str">
        <x:f>IF(AND(Y$5&gt;=$C280,Y$5&lt;=$D280,$A280&lt;&gt;""),"●","")</x:f>
      </x:c>
      <x:c r="Z280" s="165" t="str">
        <x:f>IF(AND(Z$5&gt;=$C280,Z$5&lt;=$D280,$A280&lt;&gt;""),"●","")</x:f>
      </x:c>
      <x:c r="AA280" s="165" t="str">
        <x:f>IF(AND(AA$5&gt;=$C280,AA$5&lt;=$D280,$A280&lt;&gt;""),"●","")</x:f>
      </x:c>
      <x:c r="AB280" s="165" t="str">
        <x:f>IF(AND(AB$5&gt;=$C280,AB$5&lt;=$D280,$A280&lt;&gt;""),"●","")</x:f>
      </x:c>
      <x:c r="AC280" s="165" t="str">
        <x:f>IF(AND(AC$5&gt;=$C280,AC$5&lt;=$D280,$A280&lt;&gt;""),"●","")</x:f>
      </x:c>
      <x:c r="AD280" s="165" t="str">
        <x:f>IF(AND(AD$5&gt;=$C280,AD$5&lt;=$D280,$A280&lt;&gt;""),"●","")</x:f>
      </x:c>
      <x:c r="AE280" s="165" t="str">
        <x:f>IF(AND(AE$5&gt;=$C280,AE$5&lt;=$D280,$A280&lt;&gt;""),"●","")</x:f>
      </x:c>
      <x:c r="AF280" s="165" t="str">
        <x:f>IF(AND(AF$5&gt;=$C280,AF$5&lt;=$D280,$A280&lt;&gt;""),"●","")</x:f>
      </x:c>
      <x:c r="AG280" s="165" t="str">
        <x:f>IF(AND(AG$5&gt;=$C280,AG$5&lt;=$D280,$A280&lt;&gt;""),"●","")</x:f>
      </x:c>
      <x:c r="AH280" s="165" t="str">
        <x:f>IF(AND(AH$5&gt;=$C280,AH$5&lt;=$D280,$A280&lt;&gt;""),"●","")</x:f>
      </x:c>
      <x:c r="AI280" s="165" t="str">
        <x:f>IF(AND(AI$5&gt;=$C280,AI$5&lt;=$D280,$A280&lt;&gt;""),"●","")</x:f>
      </x:c>
      <x:c r="AJ280" s="165" t="str">
        <x:f>IF(AND(AJ$5&gt;=$C280,AJ$5&lt;=$D280,$A280&lt;&gt;""),"●","")</x:f>
      </x:c>
      <x:c r="AK280" s="165" t="str">
        <x:f>IF(AND(AK$5&gt;=$C280,AK$5&lt;=$D280,$A280&lt;&gt;""),"●","")</x:f>
      </x:c>
      <x:c r="AL280" s="165" t="str">
        <x:f>IF(AND(AL$5&gt;=$C280,AL$5&lt;=$D280,$A280&lt;&gt;""),"●","")</x:f>
      </x:c>
      <x:c r="AM280" s="165" t="str">
        <x:f>IF(AND(AM$5&gt;=$C280,AM$5&lt;=$D280,$A280&lt;&gt;""),"●","")</x:f>
      </x:c>
      <x:c r="AN280" s="165" t="str">
        <x:f>IF(AND(AN$5&gt;=$C280,AN$5&lt;=$D280,$A280&lt;&gt;""),"●","")</x:f>
      </x:c>
      <x:c r="AO280" s="165" t="str">
        <x:f>IF(AND(AO$5&gt;=$C280,AO$5&lt;=$D280,$A280&lt;&gt;""),"●","")</x:f>
      </x:c>
      <x:c r="AP280" s="165" t="str">
        <x:f>IF(AND(AP$5&gt;=$C280,AP$5&lt;=$D280,$A280&lt;&gt;""),"●","")</x:f>
      </x:c>
      <x:c r="AQ280" s="165" t="str">
        <x:f>IF(AND(AQ$5&gt;=$C280,AQ$5&lt;=$D280,$A280&lt;&gt;""),"●","")</x:f>
      </x:c>
      <x:c r="AR280" s="165" t="str">
        <x:f>IF(AND(AR$5&gt;=$C280,AR$5&lt;=$D280,$A280&lt;&gt;""),"●","")</x:f>
      </x:c>
      <x:c r="AS280" s="165" t="str">
        <x:f>IF(AND(AS$5&gt;=$C280,AS$5&lt;=$D280,$A280&lt;&gt;""),"●","")</x:f>
      </x:c>
      <x:c r="AT280" s="165" t="str">
        <x:f>IF(AND(AT$5&gt;=$C280,AT$5&lt;=$D280,$A280&lt;&gt;""),"●","")</x:f>
      </x:c>
      <x:c r="AU280" s="165" t="str">
        <x:f>IF(AND(AU$5&gt;=$C280,AU$5&lt;=$D280,$A280&lt;&gt;""),"●","")</x:f>
      </x:c>
      <x:c r="AV280" s="165" t="str">
        <x:f>IF(AND(AV$5&gt;=$C280,AV$5&lt;=$D280,$A280&lt;&gt;""),"●","")</x:f>
      </x:c>
      <x:c r="AW280" s="165" t="str">
        <x:f>IF(AND(AW$5&gt;=$C280,AW$5&lt;=$D280,$A280&lt;&gt;""),"●","")</x:f>
      </x:c>
      <x:c r="AX280" s="165" t="str">
        <x:f>IF(AND(AX$5&gt;=$C280,AX$5&lt;=$D280,$A280&lt;&gt;""),"●","")</x:f>
      </x:c>
      <x:c r="AY280" s="165" t="str">
        <x:f>IF(AND(AY$5&gt;=$C280,AY$5&lt;=$D280,$A280&lt;&gt;""),"●","")</x:f>
      </x:c>
      <x:c r="AZ280" s="165" t="str">
        <x:f>IF(AND(AZ$5&gt;=$C280,AZ$5&lt;=$D280,$A280&lt;&gt;""),"●","")</x:f>
      </x:c>
      <x:c r="BA280" s="165" t="str">
        <x:f>IF(AND(BA$5&gt;=$C280,BA$5&lt;=$D280,$A280&lt;&gt;""),"●","")</x:f>
      </x:c>
      <x:c r="BB280" s="165" t="str">
        <x:f>IF(AND(BB$5&gt;=$C280,BB$5&lt;=$D280,$A280&lt;&gt;""),"●","")</x:f>
      </x:c>
      <x:c r="BC280" s="165" t="str">
        <x:f>IF(AND(BC$5&gt;=$C280,BC$5&lt;=$D280,$A280&lt;&gt;""),"●","")</x:f>
      </x:c>
      <x:c r="BD280" s="165" t="str">
        <x:f>IF(AND(BD$5&gt;=$C280,BD$5&lt;=$D280,$A280&lt;&gt;""),"●","")</x:f>
      </x:c>
      <x:c r="BE280" s="165" t="str">
        <x:f>IF(AND(BE$5&gt;=$C280,BE$5&lt;=$D280,$A280&lt;&gt;""),"●","")</x:f>
      </x:c>
      <x:c r="BF280" s="165" t="str">
        <x:f>IF(AND(BF$5&gt;=$C280,BF$5&lt;=$D280,$A280&lt;&gt;""),"●","")</x:f>
      </x:c>
      <x:c r="BG280" s="165" t="str">
        <x:f>IF(AND(BG$5&gt;=$C280,BG$5&lt;=$D280,$A280&lt;&gt;""),"●","")</x:f>
      </x:c>
      <x:c r="BH280" s="165" t="str">
        <x:f>IF(AND(BH$5&gt;=$C280,BH$5&lt;=$D280,$A280&lt;&gt;""),"●","")</x:f>
      </x:c>
      <x:c r="BI280" s="165" t="str">
        <x:f>IF(AND(BI$5&gt;=$C280,BI$5&lt;=$D280,$A280&lt;&gt;""),"●","")</x:f>
      </x:c>
      <x:c r="BJ280" s="165" t="str">
        <x:f>IF(AND(BJ$5&gt;=$C280,BJ$5&lt;=$D280,$A280&lt;&gt;""),"●","")</x:f>
      </x:c>
      <x:c r="BK280" s="165" t="str">
        <x:f>IF(AND(BK$5&gt;=$C280,BK$5&lt;=$D280,$A280&lt;&gt;""),"●","")</x:f>
      </x:c>
      <x:c r="BL280" s="165" t="str">
        <x:f>IF(AND(BL$5&gt;=$C280,BL$5&lt;=$D280,$A280&lt;&gt;""),"●","")</x:f>
      </x:c>
      <x:c r="BM280" s="165" t="str">
        <x:f>IF(AND(BM$5&gt;=$C280,BM$5&lt;=$D280,$A280&lt;&gt;""),"●","")</x:f>
      </x:c>
      <x:c r="BN280" s="165" t="str">
        <x:f>IF(AND(BN$5&gt;=$C280,BN$5&lt;=$D280,$A280&lt;&gt;""),"●","")</x:f>
      </x:c>
      <x:c r="BO280" s="165" t="str">
        <x:f>IF(AND(BO$5&gt;=$C280,BO$5&lt;=$D280,$A280&lt;&gt;""),"●","")</x:f>
      </x:c>
      <x:c r="BP280" s="165" t="str">
        <x:f>IF(AND(BP$5&gt;=$C280,BP$5&lt;=$D280,$A280&lt;&gt;""),"●","")</x:f>
      </x:c>
      <x:c r="BQ280" s="165" t="str">
        <x:f>IF(AND(BQ$5&gt;=$C280,BQ$5&lt;=$D280,$A280&lt;&gt;""),"●","")</x:f>
      </x:c>
      <x:c r="BR280" s="165" t="str">
        <x:f>IF(AND(BR$5&gt;=$C280,BR$5&lt;=$D280,$A280&lt;&gt;""),"●","")</x:f>
      </x:c>
      <x:c r="BS280" s="165" t="str">
        <x:f>IF(AND(BS$5&gt;=$C280,BS$5&lt;=$D280,$A280&lt;&gt;""),"●","")</x:f>
      </x:c>
      <x:c r="BT280" s="165" t="str">
        <x:f>IF(AND(BT$5&gt;=$C280,BT$5&lt;=$D280,$A280&lt;&gt;""),"●","")</x:f>
      </x:c>
      <x:c r="BU280" s="165" t="str">
        <x:f>IF(AND(BU$5&gt;=$C280,BU$5&lt;=$D280,$A280&lt;&gt;""),"●","")</x:f>
      </x:c>
      <x:c r="BV280" s="165" t="str">
        <x:f>IF(AND(BV$5&gt;=$C280,BV$5&lt;=$D280,$A280&lt;&gt;""),"●","")</x:f>
      </x:c>
      <x:c r="BW280" s="165" t="str">
        <x:f>IF(AND(BW$5&gt;=$C280,BW$5&lt;=$D280,$A280&lt;&gt;""),"●","")</x:f>
      </x:c>
    </x:row>
    <x:row r="281">
      <x:c r="A281" s="159" t="str">
        <x:f>IF('รายการสัญญา'!A281="","",'รายการสัญญา'!A281)</x:f>
      </x:c>
      <x:c r="B281" s="159" t="str">
        <x:f>IF('รายการสัญญา'!A281="","",'รายการสัญญา'!C281)</x:f>
      </x:c>
      <x:c r="C281" s="162" t="str">
        <x:f>IF('รายการสัญญา'!A281="","",'รายการสัญญา'!E281)</x:f>
      </x:c>
      <x:c r="D281" s="162" t="str">
        <x:f>IF('รายการสัญญา'!A281="","",'รายการสัญญา'!G281)</x:f>
      </x:c>
      <x:c r="E281" s="159" t="str">
        <x:f>IF('รายการสัญญา'!A281="","",'รายการสัญญา'!K281)</x:f>
      </x:c>
      <x:c r="F281" s="165" t="str">
        <x:f>IF(AND(F$5&gt;=$C281,F$5&lt;=$D281,$A281&lt;&gt;""),"●","")</x:f>
      </x:c>
      <x:c r="G281" s="165" t="str">
        <x:f>IF(AND(G$5&gt;=$C281,G$5&lt;=$D281,$A281&lt;&gt;""),"●","")</x:f>
      </x:c>
      <x:c r="H281" s="165" t="str">
        <x:f>IF(AND(H$5&gt;=$C281,H$5&lt;=$D281,$A281&lt;&gt;""),"●","")</x:f>
      </x:c>
      <x:c r="I281" s="165" t="str">
        <x:f>IF(AND(I$5&gt;=$C281,I$5&lt;=$D281,$A281&lt;&gt;""),"●","")</x:f>
      </x:c>
      <x:c r="J281" s="165" t="str">
        <x:f>IF(AND(J$5&gt;=$C281,J$5&lt;=$D281,$A281&lt;&gt;""),"●","")</x:f>
      </x:c>
      <x:c r="K281" s="165" t="str">
        <x:f>IF(AND(K$5&gt;=$C281,K$5&lt;=$D281,$A281&lt;&gt;""),"●","")</x:f>
      </x:c>
      <x:c r="L281" s="165" t="str">
        <x:f>IF(AND(L$5&gt;=$C281,L$5&lt;=$D281,$A281&lt;&gt;""),"●","")</x:f>
      </x:c>
      <x:c r="M281" s="165" t="str">
        <x:f>IF(AND(M$5&gt;=$C281,M$5&lt;=$D281,$A281&lt;&gt;""),"●","")</x:f>
      </x:c>
      <x:c r="N281" s="165" t="str">
        <x:f>IF(AND(N$5&gt;=$C281,N$5&lt;=$D281,$A281&lt;&gt;""),"●","")</x:f>
      </x:c>
      <x:c r="O281" s="165" t="str">
        <x:f>IF(AND(O$5&gt;=$C281,O$5&lt;=$D281,$A281&lt;&gt;""),"●","")</x:f>
      </x:c>
      <x:c r="P281" s="165" t="str">
        <x:f>IF(AND(P$5&gt;=$C281,P$5&lt;=$D281,$A281&lt;&gt;""),"●","")</x:f>
      </x:c>
      <x:c r="Q281" s="165" t="str">
        <x:f>IF(AND(Q$5&gt;=$C281,Q$5&lt;=$D281,$A281&lt;&gt;""),"●","")</x:f>
      </x:c>
      <x:c r="R281" s="165" t="str">
        <x:f>IF(AND(R$5&gt;=$C281,R$5&lt;=$D281,$A281&lt;&gt;""),"●","")</x:f>
      </x:c>
      <x:c r="S281" s="165" t="str">
        <x:f>IF(AND(S$5&gt;=$C281,S$5&lt;=$D281,$A281&lt;&gt;""),"●","")</x:f>
      </x:c>
      <x:c r="T281" s="165" t="str">
        <x:f>IF(AND(T$5&gt;=$C281,T$5&lt;=$D281,$A281&lt;&gt;""),"●","")</x:f>
      </x:c>
      <x:c r="U281" s="165" t="str">
        <x:f>IF(AND(U$5&gt;=$C281,U$5&lt;=$D281,$A281&lt;&gt;""),"●","")</x:f>
      </x:c>
      <x:c r="V281" s="165" t="str">
        <x:f>IF(AND(V$5&gt;=$C281,V$5&lt;=$D281,$A281&lt;&gt;""),"●","")</x:f>
      </x:c>
      <x:c r="W281" s="165" t="str">
        <x:f>IF(AND(W$5&gt;=$C281,W$5&lt;=$D281,$A281&lt;&gt;""),"●","")</x:f>
      </x:c>
      <x:c r="X281" s="165" t="str">
        <x:f>IF(AND(X$5&gt;=$C281,X$5&lt;=$D281,$A281&lt;&gt;""),"●","")</x:f>
      </x:c>
      <x:c r="Y281" s="165" t="str">
        <x:f>IF(AND(Y$5&gt;=$C281,Y$5&lt;=$D281,$A281&lt;&gt;""),"●","")</x:f>
      </x:c>
      <x:c r="Z281" s="165" t="str">
        <x:f>IF(AND(Z$5&gt;=$C281,Z$5&lt;=$D281,$A281&lt;&gt;""),"●","")</x:f>
      </x:c>
      <x:c r="AA281" s="165" t="str">
        <x:f>IF(AND(AA$5&gt;=$C281,AA$5&lt;=$D281,$A281&lt;&gt;""),"●","")</x:f>
      </x:c>
      <x:c r="AB281" s="165" t="str">
        <x:f>IF(AND(AB$5&gt;=$C281,AB$5&lt;=$D281,$A281&lt;&gt;""),"●","")</x:f>
      </x:c>
      <x:c r="AC281" s="165" t="str">
        <x:f>IF(AND(AC$5&gt;=$C281,AC$5&lt;=$D281,$A281&lt;&gt;""),"●","")</x:f>
      </x:c>
      <x:c r="AD281" s="165" t="str">
        <x:f>IF(AND(AD$5&gt;=$C281,AD$5&lt;=$D281,$A281&lt;&gt;""),"●","")</x:f>
      </x:c>
      <x:c r="AE281" s="165" t="str">
        <x:f>IF(AND(AE$5&gt;=$C281,AE$5&lt;=$D281,$A281&lt;&gt;""),"●","")</x:f>
      </x:c>
      <x:c r="AF281" s="165" t="str">
        <x:f>IF(AND(AF$5&gt;=$C281,AF$5&lt;=$D281,$A281&lt;&gt;""),"●","")</x:f>
      </x:c>
      <x:c r="AG281" s="165" t="str">
        <x:f>IF(AND(AG$5&gt;=$C281,AG$5&lt;=$D281,$A281&lt;&gt;""),"●","")</x:f>
      </x:c>
      <x:c r="AH281" s="165" t="str">
        <x:f>IF(AND(AH$5&gt;=$C281,AH$5&lt;=$D281,$A281&lt;&gt;""),"●","")</x:f>
      </x:c>
      <x:c r="AI281" s="165" t="str">
        <x:f>IF(AND(AI$5&gt;=$C281,AI$5&lt;=$D281,$A281&lt;&gt;""),"●","")</x:f>
      </x:c>
      <x:c r="AJ281" s="165" t="str">
        <x:f>IF(AND(AJ$5&gt;=$C281,AJ$5&lt;=$D281,$A281&lt;&gt;""),"●","")</x:f>
      </x:c>
      <x:c r="AK281" s="165" t="str">
        <x:f>IF(AND(AK$5&gt;=$C281,AK$5&lt;=$D281,$A281&lt;&gt;""),"●","")</x:f>
      </x:c>
      <x:c r="AL281" s="165" t="str">
        <x:f>IF(AND(AL$5&gt;=$C281,AL$5&lt;=$D281,$A281&lt;&gt;""),"●","")</x:f>
      </x:c>
      <x:c r="AM281" s="165" t="str">
        <x:f>IF(AND(AM$5&gt;=$C281,AM$5&lt;=$D281,$A281&lt;&gt;""),"●","")</x:f>
      </x:c>
      <x:c r="AN281" s="165" t="str">
        <x:f>IF(AND(AN$5&gt;=$C281,AN$5&lt;=$D281,$A281&lt;&gt;""),"●","")</x:f>
      </x:c>
      <x:c r="AO281" s="165" t="str">
        <x:f>IF(AND(AO$5&gt;=$C281,AO$5&lt;=$D281,$A281&lt;&gt;""),"●","")</x:f>
      </x:c>
      <x:c r="AP281" s="165" t="str">
        <x:f>IF(AND(AP$5&gt;=$C281,AP$5&lt;=$D281,$A281&lt;&gt;""),"●","")</x:f>
      </x:c>
      <x:c r="AQ281" s="165" t="str">
        <x:f>IF(AND(AQ$5&gt;=$C281,AQ$5&lt;=$D281,$A281&lt;&gt;""),"●","")</x:f>
      </x:c>
      <x:c r="AR281" s="165" t="str">
        <x:f>IF(AND(AR$5&gt;=$C281,AR$5&lt;=$D281,$A281&lt;&gt;""),"●","")</x:f>
      </x:c>
      <x:c r="AS281" s="165" t="str">
        <x:f>IF(AND(AS$5&gt;=$C281,AS$5&lt;=$D281,$A281&lt;&gt;""),"●","")</x:f>
      </x:c>
      <x:c r="AT281" s="165" t="str">
        <x:f>IF(AND(AT$5&gt;=$C281,AT$5&lt;=$D281,$A281&lt;&gt;""),"●","")</x:f>
      </x:c>
      <x:c r="AU281" s="165" t="str">
        <x:f>IF(AND(AU$5&gt;=$C281,AU$5&lt;=$D281,$A281&lt;&gt;""),"●","")</x:f>
      </x:c>
      <x:c r="AV281" s="165" t="str">
        <x:f>IF(AND(AV$5&gt;=$C281,AV$5&lt;=$D281,$A281&lt;&gt;""),"●","")</x:f>
      </x:c>
      <x:c r="AW281" s="165" t="str">
        <x:f>IF(AND(AW$5&gt;=$C281,AW$5&lt;=$D281,$A281&lt;&gt;""),"●","")</x:f>
      </x:c>
      <x:c r="AX281" s="165" t="str">
        <x:f>IF(AND(AX$5&gt;=$C281,AX$5&lt;=$D281,$A281&lt;&gt;""),"●","")</x:f>
      </x:c>
      <x:c r="AY281" s="165" t="str">
        <x:f>IF(AND(AY$5&gt;=$C281,AY$5&lt;=$D281,$A281&lt;&gt;""),"●","")</x:f>
      </x:c>
      <x:c r="AZ281" s="165" t="str">
        <x:f>IF(AND(AZ$5&gt;=$C281,AZ$5&lt;=$D281,$A281&lt;&gt;""),"●","")</x:f>
      </x:c>
      <x:c r="BA281" s="165" t="str">
        <x:f>IF(AND(BA$5&gt;=$C281,BA$5&lt;=$D281,$A281&lt;&gt;""),"●","")</x:f>
      </x:c>
      <x:c r="BB281" s="165" t="str">
        <x:f>IF(AND(BB$5&gt;=$C281,BB$5&lt;=$D281,$A281&lt;&gt;""),"●","")</x:f>
      </x:c>
      <x:c r="BC281" s="165" t="str">
        <x:f>IF(AND(BC$5&gt;=$C281,BC$5&lt;=$D281,$A281&lt;&gt;""),"●","")</x:f>
      </x:c>
      <x:c r="BD281" s="165" t="str">
        <x:f>IF(AND(BD$5&gt;=$C281,BD$5&lt;=$D281,$A281&lt;&gt;""),"●","")</x:f>
      </x:c>
      <x:c r="BE281" s="165" t="str">
        <x:f>IF(AND(BE$5&gt;=$C281,BE$5&lt;=$D281,$A281&lt;&gt;""),"●","")</x:f>
      </x:c>
      <x:c r="BF281" s="165" t="str">
        <x:f>IF(AND(BF$5&gt;=$C281,BF$5&lt;=$D281,$A281&lt;&gt;""),"●","")</x:f>
      </x:c>
      <x:c r="BG281" s="165" t="str">
        <x:f>IF(AND(BG$5&gt;=$C281,BG$5&lt;=$D281,$A281&lt;&gt;""),"●","")</x:f>
      </x:c>
      <x:c r="BH281" s="165" t="str">
        <x:f>IF(AND(BH$5&gt;=$C281,BH$5&lt;=$D281,$A281&lt;&gt;""),"●","")</x:f>
      </x:c>
      <x:c r="BI281" s="165" t="str">
        <x:f>IF(AND(BI$5&gt;=$C281,BI$5&lt;=$D281,$A281&lt;&gt;""),"●","")</x:f>
      </x:c>
      <x:c r="BJ281" s="165" t="str">
        <x:f>IF(AND(BJ$5&gt;=$C281,BJ$5&lt;=$D281,$A281&lt;&gt;""),"●","")</x:f>
      </x:c>
      <x:c r="BK281" s="165" t="str">
        <x:f>IF(AND(BK$5&gt;=$C281,BK$5&lt;=$D281,$A281&lt;&gt;""),"●","")</x:f>
      </x:c>
      <x:c r="BL281" s="165" t="str">
        <x:f>IF(AND(BL$5&gt;=$C281,BL$5&lt;=$D281,$A281&lt;&gt;""),"●","")</x:f>
      </x:c>
      <x:c r="BM281" s="165" t="str">
        <x:f>IF(AND(BM$5&gt;=$C281,BM$5&lt;=$D281,$A281&lt;&gt;""),"●","")</x:f>
      </x:c>
      <x:c r="BN281" s="165" t="str">
        <x:f>IF(AND(BN$5&gt;=$C281,BN$5&lt;=$D281,$A281&lt;&gt;""),"●","")</x:f>
      </x:c>
      <x:c r="BO281" s="165" t="str">
        <x:f>IF(AND(BO$5&gt;=$C281,BO$5&lt;=$D281,$A281&lt;&gt;""),"●","")</x:f>
      </x:c>
      <x:c r="BP281" s="165" t="str">
        <x:f>IF(AND(BP$5&gt;=$C281,BP$5&lt;=$D281,$A281&lt;&gt;""),"●","")</x:f>
      </x:c>
      <x:c r="BQ281" s="165" t="str">
        <x:f>IF(AND(BQ$5&gt;=$C281,BQ$5&lt;=$D281,$A281&lt;&gt;""),"●","")</x:f>
      </x:c>
      <x:c r="BR281" s="165" t="str">
        <x:f>IF(AND(BR$5&gt;=$C281,BR$5&lt;=$D281,$A281&lt;&gt;""),"●","")</x:f>
      </x:c>
      <x:c r="BS281" s="165" t="str">
        <x:f>IF(AND(BS$5&gt;=$C281,BS$5&lt;=$D281,$A281&lt;&gt;""),"●","")</x:f>
      </x:c>
      <x:c r="BT281" s="165" t="str">
        <x:f>IF(AND(BT$5&gt;=$C281,BT$5&lt;=$D281,$A281&lt;&gt;""),"●","")</x:f>
      </x:c>
      <x:c r="BU281" s="165" t="str">
        <x:f>IF(AND(BU$5&gt;=$C281,BU$5&lt;=$D281,$A281&lt;&gt;""),"●","")</x:f>
      </x:c>
      <x:c r="BV281" s="165" t="str">
        <x:f>IF(AND(BV$5&gt;=$C281,BV$5&lt;=$D281,$A281&lt;&gt;""),"●","")</x:f>
      </x:c>
      <x:c r="BW281" s="165" t="str">
        <x:f>IF(AND(BW$5&gt;=$C281,BW$5&lt;=$D281,$A281&lt;&gt;""),"●","")</x:f>
      </x:c>
    </x:row>
    <x:row r="282">
      <x:c r="A282" s="159" t="str">
        <x:f>IF('รายการสัญญา'!A282="","",'รายการสัญญา'!A282)</x:f>
      </x:c>
      <x:c r="B282" s="159" t="str">
        <x:f>IF('รายการสัญญา'!A282="","",'รายการสัญญา'!C282)</x:f>
      </x:c>
      <x:c r="C282" s="162" t="str">
        <x:f>IF('รายการสัญญา'!A282="","",'รายการสัญญา'!E282)</x:f>
      </x:c>
      <x:c r="D282" s="162" t="str">
        <x:f>IF('รายการสัญญา'!A282="","",'รายการสัญญา'!G282)</x:f>
      </x:c>
      <x:c r="E282" s="159" t="str">
        <x:f>IF('รายการสัญญา'!A282="","",'รายการสัญญา'!K282)</x:f>
      </x:c>
      <x:c r="F282" s="165" t="str">
        <x:f>IF(AND(F$5&gt;=$C282,F$5&lt;=$D282,$A282&lt;&gt;""),"●","")</x:f>
      </x:c>
      <x:c r="G282" s="165" t="str">
        <x:f>IF(AND(G$5&gt;=$C282,G$5&lt;=$D282,$A282&lt;&gt;""),"●","")</x:f>
      </x:c>
      <x:c r="H282" s="165" t="str">
        <x:f>IF(AND(H$5&gt;=$C282,H$5&lt;=$D282,$A282&lt;&gt;""),"●","")</x:f>
      </x:c>
      <x:c r="I282" s="165" t="str">
        <x:f>IF(AND(I$5&gt;=$C282,I$5&lt;=$D282,$A282&lt;&gt;""),"●","")</x:f>
      </x:c>
      <x:c r="J282" s="165" t="str">
        <x:f>IF(AND(J$5&gt;=$C282,J$5&lt;=$D282,$A282&lt;&gt;""),"●","")</x:f>
      </x:c>
      <x:c r="K282" s="165" t="str">
        <x:f>IF(AND(K$5&gt;=$C282,K$5&lt;=$D282,$A282&lt;&gt;""),"●","")</x:f>
      </x:c>
      <x:c r="L282" s="165" t="str">
        <x:f>IF(AND(L$5&gt;=$C282,L$5&lt;=$D282,$A282&lt;&gt;""),"●","")</x:f>
      </x:c>
      <x:c r="M282" s="165" t="str">
        <x:f>IF(AND(M$5&gt;=$C282,M$5&lt;=$D282,$A282&lt;&gt;""),"●","")</x:f>
      </x:c>
      <x:c r="N282" s="165" t="str">
        <x:f>IF(AND(N$5&gt;=$C282,N$5&lt;=$D282,$A282&lt;&gt;""),"●","")</x:f>
      </x:c>
      <x:c r="O282" s="165" t="str">
        <x:f>IF(AND(O$5&gt;=$C282,O$5&lt;=$D282,$A282&lt;&gt;""),"●","")</x:f>
      </x:c>
      <x:c r="P282" s="165" t="str">
        <x:f>IF(AND(P$5&gt;=$C282,P$5&lt;=$D282,$A282&lt;&gt;""),"●","")</x:f>
      </x:c>
      <x:c r="Q282" s="165" t="str">
        <x:f>IF(AND(Q$5&gt;=$C282,Q$5&lt;=$D282,$A282&lt;&gt;""),"●","")</x:f>
      </x:c>
      <x:c r="R282" s="165" t="str">
        <x:f>IF(AND(R$5&gt;=$C282,R$5&lt;=$D282,$A282&lt;&gt;""),"●","")</x:f>
      </x:c>
      <x:c r="S282" s="165" t="str">
        <x:f>IF(AND(S$5&gt;=$C282,S$5&lt;=$D282,$A282&lt;&gt;""),"●","")</x:f>
      </x:c>
      <x:c r="T282" s="165" t="str">
        <x:f>IF(AND(T$5&gt;=$C282,T$5&lt;=$D282,$A282&lt;&gt;""),"●","")</x:f>
      </x:c>
      <x:c r="U282" s="165" t="str">
        <x:f>IF(AND(U$5&gt;=$C282,U$5&lt;=$D282,$A282&lt;&gt;""),"●","")</x:f>
      </x:c>
      <x:c r="V282" s="165" t="str">
        <x:f>IF(AND(V$5&gt;=$C282,V$5&lt;=$D282,$A282&lt;&gt;""),"●","")</x:f>
      </x:c>
      <x:c r="W282" s="165" t="str">
        <x:f>IF(AND(W$5&gt;=$C282,W$5&lt;=$D282,$A282&lt;&gt;""),"●","")</x:f>
      </x:c>
      <x:c r="X282" s="165" t="str">
        <x:f>IF(AND(X$5&gt;=$C282,X$5&lt;=$D282,$A282&lt;&gt;""),"●","")</x:f>
      </x:c>
      <x:c r="Y282" s="165" t="str">
        <x:f>IF(AND(Y$5&gt;=$C282,Y$5&lt;=$D282,$A282&lt;&gt;""),"●","")</x:f>
      </x:c>
      <x:c r="Z282" s="165" t="str">
        <x:f>IF(AND(Z$5&gt;=$C282,Z$5&lt;=$D282,$A282&lt;&gt;""),"●","")</x:f>
      </x:c>
      <x:c r="AA282" s="165" t="str">
        <x:f>IF(AND(AA$5&gt;=$C282,AA$5&lt;=$D282,$A282&lt;&gt;""),"●","")</x:f>
      </x:c>
      <x:c r="AB282" s="165" t="str">
        <x:f>IF(AND(AB$5&gt;=$C282,AB$5&lt;=$D282,$A282&lt;&gt;""),"●","")</x:f>
      </x:c>
      <x:c r="AC282" s="165" t="str">
        <x:f>IF(AND(AC$5&gt;=$C282,AC$5&lt;=$D282,$A282&lt;&gt;""),"●","")</x:f>
      </x:c>
      <x:c r="AD282" s="165" t="str">
        <x:f>IF(AND(AD$5&gt;=$C282,AD$5&lt;=$D282,$A282&lt;&gt;""),"●","")</x:f>
      </x:c>
      <x:c r="AE282" s="165" t="str">
        <x:f>IF(AND(AE$5&gt;=$C282,AE$5&lt;=$D282,$A282&lt;&gt;""),"●","")</x:f>
      </x:c>
      <x:c r="AF282" s="165" t="str">
        <x:f>IF(AND(AF$5&gt;=$C282,AF$5&lt;=$D282,$A282&lt;&gt;""),"●","")</x:f>
      </x:c>
      <x:c r="AG282" s="165" t="str">
        <x:f>IF(AND(AG$5&gt;=$C282,AG$5&lt;=$D282,$A282&lt;&gt;""),"●","")</x:f>
      </x:c>
      <x:c r="AH282" s="165" t="str">
        <x:f>IF(AND(AH$5&gt;=$C282,AH$5&lt;=$D282,$A282&lt;&gt;""),"●","")</x:f>
      </x:c>
      <x:c r="AI282" s="165" t="str">
        <x:f>IF(AND(AI$5&gt;=$C282,AI$5&lt;=$D282,$A282&lt;&gt;""),"●","")</x:f>
      </x:c>
      <x:c r="AJ282" s="165" t="str">
        <x:f>IF(AND(AJ$5&gt;=$C282,AJ$5&lt;=$D282,$A282&lt;&gt;""),"●","")</x:f>
      </x:c>
      <x:c r="AK282" s="165" t="str">
        <x:f>IF(AND(AK$5&gt;=$C282,AK$5&lt;=$D282,$A282&lt;&gt;""),"●","")</x:f>
      </x:c>
      <x:c r="AL282" s="165" t="str">
        <x:f>IF(AND(AL$5&gt;=$C282,AL$5&lt;=$D282,$A282&lt;&gt;""),"●","")</x:f>
      </x:c>
      <x:c r="AM282" s="165" t="str">
        <x:f>IF(AND(AM$5&gt;=$C282,AM$5&lt;=$D282,$A282&lt;&gt;""),"●","")</x:f>
      </x:c>
      <x:c r="AN282" s="165" t="str">
        <x:f>IF(AND(AN$5&gt;=$C282,AN$5&lt;=$D282,$A282&lt;&gt;""),"●","")</x:f>
      </x:c>
      <x:c r="AO282" s="165" t="str">
        <x:f>IF(AND(AO$5&gt;=$C282,AO$5&lt;=$D282,$A282&lt;&gt;""),"●","")</x:f>
      </x:c>
      <x:c r="AP282" s="165" t="str">
        <x:f>IF(AND(AP$5&gt;=$C282,AP$5&lt;=$D282,$A282&lt;&gt;""),"●","")</x:f>
      </x:c>
      <x:c r="AQ282" s="165" t="str">
        <x:f>IF(AND(AQ$5&gt;=$C282,AQ$5&lt;=$D282,$A282&lt;&gt;""),"●","")</x:f>
      </x:c>
      <x:c r="AR282" s="165" t="str">
        <x:f>IF(AND(AR$5&gt;=$C282,AR$5&lt;=$D282,$A282&lt;&gt;""),"●","")</x:f>
      </x:c>
      <x:c r="AS282" s="165" t="str">
        <x:f>IF(AND(AS$5&gt;=$C282,AS$5&lt;=$D282,$A282&lt;&gt;""),"●","")</x:f>
      </x:c>
      <x:c r="AT282" s="165" t="str">
        <x:f>IF(AND(AT$5&gt;=$C282,AT$5&lt;=$D282,$A282&lt;&gt;""),"●","")</x:f>
      </x:c>
      <x:c r="AU282" s="165" t="str">
        <x:f>IF(AND(AU$5&gt;=$C282,AU$5&lt;=$D282,$A282&lt;&gt;""),"●","")</x:f>
      </x:c>
      <x:c r="AV282" s="165" t="str">
        <x:f>IF(AND(AV$5&gt;=$C282,AV$5&lt;=$D282,$A282&lt;&gt;""),"●","")</x:f>
      </x:c>
      <x:c r="AW282" s="165" t="str">
        <x:f>IF(AND(AW$5&gt;=$C282,AW$5&lt;=$D282,$A282&lt;&gt;""),"●","")</x:f>
      </x:c>
      <x:c r="AX282" s="165" t="str">
        <x:f>IF(AND(AX$5&gt;=$C282,AX$5&lt;=$D282,$A282&lt;&gt;""),"●","")</x:f>
      </x:c>
      <x:c r="AY282" s="165" t="str">
        <x:f>IF(AND(AY$5&gt;=$C282,AY$5&lt;=$D282,$A282&lt;&gt;""),"●","")</x:f>
      </x:c>
      <x:c r="AZ282" s="165" t="str">
        <x:f>IF(AND(AZ$5&gt;=$C282,AZ$5&lt;=$D282,$A282&lt;&gt;""),"●","")</x:f>
      </x:c>
      <x:c r="BA282" s="165" t="str">
        <x:f>IF(AND(BA$5&gt;=$C282,BA$5&lt;=$D282,$A282&lt;&gt;""),"●","")</x:f>
      </x:c>
      <x:c r="BB282" s="165" t="str">
        <x:f>IF(AND(BB$5&gt;=$C282,BB$5&lt;=$D282,$A282&lt;&gt;""),"●","")</x:f>
      </x:c>
      <x:c r="BC282" s="165" t="str">
        <x:f>IF(AND(BC$5&gt;=$C282,BC$5&lt;=$D282,$A282&lt;&gt;""),"●","")</x:f>
      </x:c>
      <x:c r="BD282" s="165" t="str">
        <x:f>IF(AND(BD$5&gt;=$C282,BD$5&lt;=$D282,$A282&lt;&gt;""),"●","")</x:f>
      </x:c>
      <x:c r="BE282" s="165" t="str">
        <x:f>IF(AND(BE$5&gt;=$C282,BE$5&lt;=$D282,$A282&lt;&gt;""),"●","")</x:f>
      </x:c>
      <x:c r="BF282" s="165" t="str">
        <x:f>IF(AND(BF$5&gt;=$C282,BF$5&lt;=$D282,$A282&lt;&gt;""),"●","")</x:f>
      </x:c>
      <x:c r="BG282" s="165" t="str">
        <x:f>IF(AND(BG$5&gt;=$C282,BG$5&lt;=$D282,$A282&lt;&gt;""),"●","")</x:f>
      </x:c>
      <x:c r="BH282" s="165" t="str">
        <x:f>IF(AND(BH$5&gt;=$C282,BH$5&lt;=$D282,$A282&lt;&gt;""),"●","")</x:f>
      </x:c>
      <x:c r="BI282" s="165" t="str">
        <x:f>IF(AND(BI$5&gt;=$C282,BI$5&lt;=$D282,$A282&lt;&gt;""),"●","")</x:f>
      </x:c>
      <x:c r="BJ282" s="165" t="str">
        <x:f>IF(AND(BJ$5&gt;=$C282,BJ$5&lt;=$D282,$A282&lt;&gt;""),"●","")</x:f>
      </x:c>
      <x:c r="BK282" s="165" t="str">
        <x:f>IF(AND(BK$5&gt;=$C282,BK$5&lt;=$D282,$A282&lt;&gt;""),"●","")</x:f>
      </x:c>
      <x:c r="BL282" s="165" t="str">
        <x:f>IF(AND(BL$5&gt;=$C282,BL$5&lt;=$D282,$A282&lt;&gt;""),"●","")</x:f>
      </x:c>
      <x:c r="BM282" s="165" t="str">
        <x:f>IF(AND(BM$5&gt;=$C282,BM$5&lt;=$D282,$A282&lt;&gt;""),"●","")</x:f>
      </x:c>
      <x:c r="BN282" s="165" t="str">
        <x:f>IF(AND(BN$5&gt;=$C282,BN$5&lt;=$D282,$A282&lt;&gt;""),"●","")</x:f>
      </x:c>
      <x:c r="BO282" s="165" t="str">
        <x:f>IF(AND(BO$5&gt;=$C282,BO$5&lt;=$D282,$A282&lt;&gt;""),"●","")</x:f>
      </x:c>
      <x:c r="BP282" s="165" t="str">
        <x:f>IF(AND(BP$5&gt;=$C282,BP$5&lt;=$D282,$A282&lt;&gt;""),"●","")</x:f>
      </x:c>
      <x:c r="BQ282" s="165" t="str">
        <x:f>IF(AND(BQ$5&gt;=$C282,BQ$5&lt;=$D282,$A282&lt;&gt;""),"●","")</x:f>
      </x:c>
      <x:c r="BR282" s="165" t="str">
        <x:f>IF(AND(BR$5&gt;=$C282,BR$5&lt;=$D282,$A282&lt;&gt;""),"●","")</x:f>
      </x:c>
      <x:c r="BS282" s="165" t="str">
        <x:f>IF(AND(BS$5&gt;=$C282,BS$5&lt;=$D282,$A282&lt;&gt;""),"●","")</x:f>
      </x:c>
      <x:c r="BT282" s="165" t="str">
        <x:f>IF(AND(BT$5&gt;=$C282,BT$5&lt;=$D282,$A282&lt;&gt;""),"●","")</x:f>
      </x:c>
      <x:c r="BU282" s="165" t="str">
        <x:f>IF(AND(BU$5&gt;=$C282,BU$5&lt;=$D282,$A282&lt;&gt;""),"●","")</x:f>
      </x:c>
      <x:c r="BV282" s="165" t="str">
        <x:f>IF(AND(BV$5&gt;=$C282,BV$5&lt;=$D282,$A282&lt;&gt;""),"●","")</x:f>
      </x:c>
      <x:c r="BW282" s="165" t="str">
        <x:f>IF(AND(BW$5&gt;=$C282,BW$5&lt;=$D282,$A282&lt;&gt;""),"●","")</x:f>
      </x:c>
    </x:row>
    <x:row r="283">
      <x:c r="A283" s="159" t="str">
        <x:f>IF('รายการสัญญา'!A283="","",'รายการสัญญา'!A283)</x:f>
      </x:c>
      <x:c r="B283" s="159" t="str">
        <x:f>IF('รายการสัญญา'!A283="","",'รายการสัญญา'!C283)</x:f>
      </x:c>
      <x:c r="C283" s="162" t="str">
        <x:f>IF('รายการสัญญา'!A283="","",'รายการสัญญา'!E283)</x:f>
      </x:c>
      <x:c r="D283" s="162" t="str">
        <x:f>IF('รายการสัญญา'!A283="","",'รายการสัญญา'!G283)</x:f>
      </x:c>
      <x:c r="E283" s="159" t="str">
        <x:f>IF('รายการสัญญา'!A283="","",'รายการสัญญา'!K283)</x:f>
      </x:c>
      <x:c r="F283" s="165" t="str">
        <x:f>IF(AND(F$5&gt;=$C283,F$5&lt;=$D283,$A283&lt;&gt;""),"●","")</x:f>
      </x:c>
      <x:c r="G283" s="165" t="str">
        <x:f>IF(AND(G$5&gt;=$C283,G$5&lt;=$D283,$A283&lt;&gt;""),"●","")</x:f>
      </x:c>
      <x:c r="H283" s="165" t="str">
        <x:f>IF(AND(H$5&gt;=$C283,H$5&lt;=$D283,$A283&lt;&gt;""),"●","")</x:f>
      </x:c>
      <x:c r="I283" s="165" t="str">
        <x:f>IF(AND(I$5&gt;=$C283,I$5&lt;=$D283,$A283&lt;&gt;""),"●","")</x:f>
      </x:c>
      <x:c r="J283" s="165" t="str">
        <x:f>IF(AND(J$5&gt;=$C283,J$5&lt;=$D283,$A283&lt;&gt;""),"●","")</x:f>
      </x:c>
      <x:c r="K283" s="165" t="str">
        <x:f>IF(AND(K$5&gt;=$C283,K$5&lt;=$D283,$A283&lt;&gt;""),"●","")</x:f>
      </x:c>
      <x:c r="L283" s="165" t="str">
        <x:f>IF(AND(L$5&gt;=$C283,L$5&lt;=$D283,$A283&lt;&gt;""),"●","")</x:f>
      </x:c>
      <x:c r="M283" s="165" t="str">
        <x:f>IF(AND(M$5&gt;=$C283,M$5&lt;=$D283,$A283&lt;&gt;""),"●","")</x:f>
      </x:c>
      <x:c r="N283" s="165" t="str">
        <x:f>IF(AND(N$5&gt;=$C283,N$5&lt;=$D283,$A283&lt;&gt;""),"●","")</x:f>
      </x:c>
      <x:c r="O283" s="165" t="str">
        <x:f>IF(AND(O$5&gt;=$C283,O$5&lt;=$D283,$A283&lt;&gt;""),"●","")</x:f>
      </x:c>
      <x:c r="P283" s="165" t="str">
        <x:f>IF(AND(P$5&gt;=$C283,P$5&lt;=$D283,$A283&lt;&gt;""),"●","")</x:f>
      </x:c>
      <x:c r="Q283" s="165" t="str">
        <x:f>IF(AND(Q$5&gt;=$C283,Q$5&lt;=$D283,$A283&lt;&gt;""),"●","")</x:f>
      </x:c>
      <x:c r="R283" s="165" t="str">
        <x:f>IF(AND(R$5&gt;=$C283,R$5&lt;=$D283,$A283&lt;&gt;""),"●","")</x:f>
      </x:c>
      <x:c r="S283" s="165" t="str">
        <x:f>IF(AND(S$5&gt;=$C283,S$5&lt;=$D283,$A283&lt;&gt;""),"●","")</x:f>
      </x:c>
      <x:c r="T283" s="165" t="str">
        <x:f>IF(AND(T$5&gt;=$C283,T$5&lt;=$D283,$A283&lt;&gt;""),"●","")</x:f>
      </x:c>
      <x:c r="U283" s="165" t="str">
        <x:f>IF(AND(U$5&gt;=$C283,U$5&lt;=$D283,$A283&lt;&gt;""),"●","")</x:f>
      </x:c>
      <x:c r="V283" s="165" t="str">
        <x:f>IF(AND(V$5&gt;=$C283,V$5&lt;=$D283,$A283&lt;&gt;""),"●","")</x:f>
      </x:c>
      <x:c r="W283" s="165" t="str">
        <x:f>IF(AND(W$5&gt;=$C283,W$5&lt;=$D283,$A283&lt;&gt;""),"●","")</x:f>
      </x:c>
      <x:c r="X283" s="165" t="str">
        <x:f>IF(AND(X$5&gt;=$C283,X$5&lt;=$D283,$A283&lt;&gt;""),"●","")</x:f>
      </x:c>
      <x:c r="Y283" s="165" t="str">
        <x:f>IF(AND(Y$5&gt;=$C283,Y$5&lt;=$D283,$A283&lt;&gt;""),"●","")</x:f>
      </x:c>
      <x:c r="Z283" s="165" t="str">
        <x:f>IF(AND(Z$5&gt;=$C283,Z$5&lt;=$D283,$A283&lt;&gt;""),"●","")</x:f>
      </x:c>
      <x:c r="AA283" s="165" t="str">
        <x:f>IF(AND(AA$5&gt;=$C283,AA$5&lt;=$D283,$A283&lt;&gt;""),"●","")</x:f>
      </x:c>
      <x:c r="AB283" s="165" t="str">
        <x:f>IF(AND(AB$5&gt;=$C283,AB$5&lt;=$D283,$A283&lt;&gt;""),"●","")</x:f>
      </x:c>
      <x:c r="AC283" s="165" t="str">
        <x:f>IF(AND(AC$5&gt;=$C283,AC$5&lt;=$D283,$A283&lt;&gt;""),"●","")</x:f>
      </x:c>
      <x:c r="AD283" s="165" t="str">
        <x:f>IF(AND(AD$5&gt;=$C283,AD$5&lt;=$D283,$A283&lt;&gt;""),"●","")</x:f>
      </x:c>
      <x:c r="AE283" s="165" t="str">
        <x:f>IF(AND(AE$5&gt;=$C283,AE$5&lt;=$D283,$A283&lt;&gt;""),"●","")</x:f>
      </x:c>
      <x:c r="AF283" s="165" t="str">
        <x:f>IF(AND(AF$5&gt;=$C283,AF$5&lt;=$D283,$A283&lt;&gt;""),"●","")</x:f>
      </x:c>
      <x:c r="AG283" s="165" t="str">
        <x:f>IF(AND(AG$5&gt;=$C283,AG$5&lt;=$D283,$A283&lt;&gt;""),"●","")</x:f>
      </x:c>
      <x:c r="AH283" s="165" t="str">
        <x:f>IF(AND(AH$5&gt;=$C283,AH$5&lt;=$D283,$A283&lt;&gt;""),"●","")</x:f>
      </x:c>
      <x:c r="AI283" s="165" t="str">
        <x:f>IF(AND(AI$5&gt;=$C283,AI$5&lt;=$D283,$A283&lt;&gt;""),"●","")</x:f>
      </x:c>
      <x:c r="AJ283" s="165" t="str">
        <x:f>IF(AND(AJ$5&gt;=$C283,AJ$5&lt;=$D283,$A283&lt;&gt;""),"●","")</x:f>
      </x:c>
      <x:c r="AK283" s="165" t="str">
        <x:f>IF(AND(AK$5&gt;=$C283,AK$5&lt;=$D283,$A283&lt;&gt;""),"●","")</x:f>
      </x:c>
      <x:c r="AL283" s="165" t="str">
        <x:f>IF(AND(AL$5&gt;=$C283,AL$5&lt;=$D283,$A283&lt;&gt;""),"●","")</x:f>
      </x:c>
      <x:c r="AM283" s="165" t="str">
        <x:f>IF(AND(AM$5&gt;=$C283,AM$5&lt;=$D283,$A283&lt;&gt;""),"●","")</x:f>
      </x:c>
      <x:c r="AN283" s="165" t="str">
        <x:f>IF(AND(AN$5&gt;=$C283,AN$5&lt;=$D283,$A283&lt;&gt;""),"●","")</x:f>
      </x:c>
      <x:c r="AO283" s="165" t="str">
        <x:f>IF(AND(AO$5&gt;=$C283,AO$5&lt;=$D283,$A283&lt;&gt;""),"●","")</x:f>
      </x:c>
      <x:c r="AP283" s="165" t="str">
        <x:f>IF(AND(AP$5&gt;=$C283,AP$5&lt;=$D283,$A283&lt;&gt;""),"●","")</x:f>
      </x:c>
      <x:c r="AQ283" s="165" t="str">
        <x:f>IF(AND(AQ$5&gt;=$C283,AQ$5&lt;=$D283,$A283&lt;&gt;""),"●","")</x:f>
      </x:c>
      <x:c r="AR283" s="165" t="str">
        <x:f>IF(AND(AR$5&gt;=$C283,AR$5&lt;=$D283,$A283&lt;&gt;""),"●","")</x:f>
      </x:c>
      <x:c r="AS283" s="165" t="str">
        <x:f>IF(AND(AS$5&gt;=$C283,AS$5&lt;=$D283,$A283&lt;&gt;""),"●","")</x:f>
      </x:c>
      <x:c r="AT283" s="165" t="str">
        <x:f>IF(AND(AT$5&gt;=$C283,AT$5&lt;=$D283,$A283&lt;&gt;""),"●","")</x:f>
      </x:c>
      <x:c r="AU283" s="165" t="str">
        <x:f>IF(AND(AU$5&gt;=$C283,AU$5&lt;=$D283,$A283&lt;&gt;""),"●","")</x:f>
      </x:c>
      <x:c r="AV283" s="165" t="str">
        <x:f>IF(AND(AV$5&gt;=$C283,AV$5&lt;=$D283,$A283&lt;&gt;""),"●","")</x:f>
      </x:c>
      <x:c r="AW283" s="165" t="str">
        <x:f>IF(AND(AW$5&gt;=$C283,AW$5&lt;=$D283,$A283&lt;&gt;""),"●","")</x:f>
      </x:c>
      <x:c r="AX283" s="165" t="str">
        <x:f>IF(AND(AX$5&gt;=$C283,AX$5&lt;=$D283,$A283&lt;&gt;""),"●","")</x:f>
      </x:c>
      <x:c r="AY283" s="165" t="str">
        <x:f>IF(AND(AY$5&gt;=$C283,AY$5&lt;=$D283,$A283&lt;&gt;""),"●","")</x:f>
      </x:c>
      <x:c r="AZ283" s="165" t="str">
        <x:f>IF(AND(AZ$5&gt;=$C283,AZ$5&lt;=$D283,$A283&lt;&gt;""),"●","")</x:f>
      </x:c>
      <x:c r="BA283" s="165" t="str">
        <x:f>IF(AND(BA$5&gt;=$C283,BA$5&lt;=$D283,$A283&lt;&gt;""),"●","")</x:f>
      </x:c>
      <x:c r="BB283" s="165" t="str">
        <x:f>IF(AND(BB$5&gt;=$C283,BB$5&lt;=$D283,$A283&lt;&gt;""),"●","")</x:f>
      </x:c>
      <x:c r="BC283" s="165" t="str">
        <x:f>IF(AND(BC$5&gt;=$C283,BC$5&lt;=$D283,$A283&lt;&gt;""),"●","")</x:f>
      </x:c>
      <x:c r="BD283" s="165" t="str">
        <x:f>IF(AND(BD$5&gt;=$C283,BD$5&lt;=$D283,$A283&lt;&gt;""),"●","")</x:f>
      </x:c>
      <x:c r="BE283" s="165" t="str">
        <x:f>IF(AND(BE$5&gt;=$C283,BE$5&lt;=$D283,$A283&lt;&gt;""),"●","")</x:f>
      </x:c>
      <x:c r="BF283" s="165" t="str">
        <x:f>IF(AND(BF$5&gt;=$C283,BF$5&lt;=$D283,$A283&lt;&gt;""),"●","")</x:f>
      </x:c>
      <x:c r="BG283" s="165" t="str">
        <x:f>IF(AND(BG$5&gt;=$C283,BG$5&lt;=$D283,$A283&lt;&gt;""),"●","")</x:f>
      </x:c>
      <x:c r="BH283" s="165" t="str">
        <x:f>IF(AND(BH$5&gt;=$C283,BH$5&lt;=$D283,$A283&lt;&gt;""),"●","")</x:f>
      </x:c>
      <x:c r="BI283" s="165" t="str">
        <x:f>IF(AND(BI$5&gt;=$C283,BI$5&lt;=$D283,$A283&lt;&gt;""),"●","")</x:f>
      </x:c>
      <x:c r="BJ283" s="165" t="str">
        <x:f>IF(AND(BJ$5&gt;=$C283,BJ$5&lt;=$D283,$A283&lt;&gt;""),"●","")</x:f>
      </x:c>
      <x:c r="BK283" s="165" t="str">
        <x:f>IF(AND(BK$5&gt;=$C283,BK$5&lt;=$D283,$A283&lt;&gt;""),"●","")</x:f>
      </x:c>
      <x:c r="BL283" s="165" t="str">
        <x:f>IF(AND(BL$5&gt;=$C283,BL$5&lt;=$D283,$A283&lt;&gt;""),"●","")</x:f>
      </x:c>
      <x:c r="BM283" s="165" t="str">
        <x:f>IF(AND(BM$5&gt;=$C283,BM$5&lt;=$D283,$A283&lt;&gt;""),"●","")</x:f>
      </x:c>
      <x:c r="BN283" s="165" t="str">
        <x:f>IF(AND(BN$5&gt;=$C283,BN$5&lt;=$D283,$A283&lt;&gt;""),"●","")</x:f>
      </x:c>
      <x:c r="BO283" s="165" t="str">
        <x:f>IF(AND(BO$5&gt;=$C283,BO$5&lt;=$D283,$A283&lt;&gt;""),"●","")</x:f>
      </x:c>
      <x:c r="BP283" s="165" t="str">
        <x:f>IF(AND(BP$5&gt;=$C283,BP$5&lt;=$D283,$A283&lt;&gt;""),"●","")</x:f>
      </x:c>
      <x:c r="BQ283" s="165" t="str">
        <x:f>IF(AND(BQ$5&gt;=$C283,BQ$5&lt;=$D283,$A283&lt;&gt;""),"●","")</x:f>
      </x:c>
      <x:c r="BR283" s="165" t="str">
        <x:f>IF(AND(BR$5&gt;=$C283,BR$5&lt;=$D283,$A283&lt;&gt;""),"●","")</x:f>
      </x:c>
      <x:c r="BS283" s="165" t="str">
        <x:f>IF(AND(BS$5&gt;=$C283,BS$5&lt;=$D283,$A283&lt;&gt;""),"●","")</x:f>
      </x:c>
      <x:c r="BT283" s="165" t="str">
        <x:f>IF(AND(BT$5&gt;=$C283,BT$5&lt;=$D283,$A283&lt;&gt;""),"●","")</x:f>
      </x:c>
      <x:c r="BU283" s="165" t="str">
        <x:f>IF(AND(BU$5&gt;=$C283,BU$5&lt;=$D283,$A283&lt;&gt;""),"●","")</x:f>
      </x:c>
      <x:c r="BV283" s="165" t="str">
        <x:f>IF(AND(BV$5&gt;=$C283,BV$5&lt;=$D283,$A283&lt;&gt;""),"●","")</x:f>
      </x:c>
      <x:c r="BW283" s="165" t="str">
        <x:f>IF(AND(BW$5&gt;=$C283,BW$5&lt;=$D283,$A283&lt;&gt;""),"●","")</x:f>
      </x:c>
    </x:row>
    <x:row r="284">
      <x:c r="A284" s="159" t="str">
        <x:f>IF('รายการสัญญา'!A284="","",'รายการสัญญา'!A284)</x:f>
      </x:c>
      <x:c r="B284" s="159" t="str">
        <x:f>IF('รายการสัญญา'!A284="","",'รายการสัญญา'!C284)</x:f>
      </x:c>
      <x:c r="C284" s="162" t="str">
        <x:f>IF('รายการสัญญา'!A284="","",'รายการสัญญา'!E284)</x:f>
      </x:c>
      <x:c r="D284" s="162" t="str">
        <x:f>IF('รายการสัญญา'!A284="","",'รายการสัญญา'!G284)</x:f>
      </x:c>
      <x:c r="E284" s="159" t="str">
        <x:f>IF('รายการสัญญา'!A284="","",'รายการสัญญา'!K284)</x:f>
      </x:c>
      <x:c r="F284" s="165" t="str">
        <x:f>IF(AND(F$5&gt;=$C284,F$5&lt;=$D284,$A284&lt;&gt;""),"●","")</x:f>
      </x:c>
      <x:c r="G284" s="165" t="str">
        <x:f>IF(AND(G$5&gt;=$C284,G$5&lt;=$D284,$A284&lt;&gt;""),"●","")</x:f>
      </x:c>
      <x:c r="H284" s="165" t="str">
        <x:f>IF(AND(H$5&gt;=$C284,H$5&lt;=$D284,$A284&lt;&gt;""),"●","")</x:f>
      </x:c>
      <x:c r="I284" s="165" t="str">
        <x:f>IF(AND(I$5&gt;=$C284,I$5&lt;=$D284,$A284&lt;&gt;""),"●","")</x:f>
      </x:c>
      <x:c r="J284" s="165" t="str">
        <x:f>IF(AND(J$5&gt;=$C284,J$5&lt;=$D284,$A284&lt;&gt;""),"●","")</x:f>
      </x:c>
      <x:c r="K284" s="165" t="str">
        <x:f>IF(AND(K$5&gt;=$C284,K$5&lt;=$D284,$A284&lt;&gt;""),"●","")</x:f>
      </x:c>
      <x:c r="L284" s="165" t="str">
        <x:f>IF(AND(L$5&gt;=$C284,L$5&lt;=$D284,$A284&lt;&gt;""),"●","")</x:f>
      </x:c>
      <x:c r="M284" s="165" t="str">
        <x:f>IF(AND(M$5&gt;=$C284,M$5&lt;=$D284,$A284&lt;&gt;""),"●","")</x:f>
      </x:c>
      <x:c r="N284" s="165" t="str">
        <x:f>IF(AND(N$5&gt;=$C284,N$5&lt;=$D284,$A284&lt;&gt;""),"●","")</x:f>
      </x:c>
      <x:c r="O284" s="165" t="str">
        <x:f>IF(AND(O$5&gt;=$C284,O$5&lt;=$D284,$A284&lt;&gt;""),"●","")</x:f>
      </x:c>
      <x:c r="P284" s="165" t="str">
        <x:f>IF(AND(P$5&gt;=$C284,P$5&lt;=$D284,$A284&lt;&gt;""),"●","")</x:f>
      </x:c>
      <x:c r="Q284" s="165" t="str">
        <x:f>IF(AND(Q$5&gt;=$C284,Q$5&lt;=$D284,$A284&lt;&gt;""),"●","")</x:f>
      </x:c>
      <x:c r="R284" s="165" t="str">
        <x:f>IF(AND(R$5&gt;=$C284,R$5&lt;=$D284,$A284&lt;&gt;""),"●","")</x:f>
      </x:c>
      <x:c r="S284" s="165" t="str">
        <x:f>IF(AND(S$5&gt;=$C284,S$5&lt;=$D284,$A284&lt;&gt;""),"●","")</x:f>
      </x:c>
      <x:c r="T284" s="165" t="str">
        <x:f>IF(AND(T$5&gt;=$C284,T$5&lt;=$D284,$A284&lt;&gt;""),"●","")</x:f>
      </x:c>
      <x:c r="U284" s="165" t="str">
        <x:f>IF(AND(U$5&gt;=$C284,U$5&lt;=$D284,$A284&lt;&gt;""),"●","")</x:f>
      </x:c>
      <x:c r="V284" s="165" t="str">
        <x:f>IF(AND(V$5&gt;=$C284,V$5&lt;=$D284,$A284&lt;&gt;""),"●","")</x:f>
      </x:c>
      <x:c r="W284" s="165" t="str">
        <x:f>IF(AND(W$5&gt;=$C284,W$5&lt;=$D284,$A284&lt;&gt;""),"●","")</x:f>
      </x:c>
      <x:c r="X284" s="165" t="str">
        <x:f>IF(AND(X$5&gt;=$C284,X$5&lt;=$D284,$A284&lt;&gt;""),"●","")</x:f>
      </x:c>
      <x:c r="Y284" s="165" t="str">
        <x:f>IF(AND(Y$5&gt;=$C284,Y$5&lt;=$D284,$A284&lt;&gt;""),"●","")</x:f>
      </x:c>
      <x:c r="Z284" s="165" t="str">
        <x:f>IF(AND(Z$5&gt;=$C284,Z$5&lt;=$D284,$A284&lt;&gt;""),"●","")</x:f>
      </x:c>
      <x:c r="AA284" s="165" t="str">
        <x:f>IF(AND(AA$5&gt;=$C284,AA$5&lt;=$D284,$A284&lt;&gt;""),"●","")</x:f>
      </x:c>
      <x:c r="AB284" s="165" t="str">
        <x:f>IF(AND(AB$5&gt;=$C284,AB$5&lt;=$D284,$A284&lt;&gt;""),"●","")</x:f>
      </x:c>
      <x:c r="AC284" s="165" t="str">
        <x:f>IF(AND(AC$5&gt;=$C284,AC$5&lt;=$D284,$A284&lt;&gt;""),"●","")</x:f>
      </x:c>
      <x:c r="AD284" s="165" t="str">
        <x:f>IF(AND(AD$5&gt;=$C284,AD$5&lt;=$D284,$A284&lt;&gt;""),"●","")</x:f>
      </x:c>
      <x:c r="AE284" s="165" t="str">
        <x:f>IF(AND(AE$5&gt;=$C284,AE$5&lt;=$D284,$A284&lt;&gt;""),"●","")</x:f>
      </x:c>
      <x:c r="AF284" s="165" t="str">
        <x:f>IF(AND(AF$5&gt;=$C284,AF$5&lt;=$D284,$A284&lt;&gt;""),"●","")</x:f>
      </x:c>
      <x:c r="AG284" s="165" t="str">
        <x:f>IF(AND(AG$5&gt;=$C284,AG$5&lt;=$D284,$A284&lt;&gt;""),"●","")</x:f>
      </x:c>
      <x:c r="AH284" s="165" t="str">
        <x:f>IF(AND(AH$5&gt;=$C284,AH$5&lt;=$D284,$A284&lt;&gt;""),"●","")</x:f>
      </x:c>
      <x:c r="AI284" s="165" t="str">
        <x:f>IF(AND(AI$5&gt;=$C284,AI$5&lt;=$D284,$A284&lt;&gt;""),"●","")</x:f>
      </x:c>
      <x:c r="AJ284" s="165" t="str">
        <x:f>IF(AND(AJ$5&gt;=$C284,AJ$5&lt;=$D284,$A284&lt;&gt;""),"●","")</x:f>
      </x:c>
      <x:c r="AK284" s="165" t="str">
        <x:f>IF(AND(AK$5&gt;=$C284,AK$5&lt;=$D284,$A284&lt;&gt;""),"●","")</x:f>
      </x:c>
      <x:c r="AL284" s="165" t="str">
        <x:f>IF(AND(AL$5&gt;=$C284,AL$5&lt;=$D284,$A284&lt;&gt;""),"●","")</x:f>
      </x:c>
      <x:c r="AM284" s="165" t="str">
        <x:f>IF(AND(AM$5&gt;=$C284,AM$5&lt;=$D284,$A284&lt;&gt;""),"●","")</x:f>
      </x:c>
      <x:c r="AN284" s="165" t="str">
        <x:f>IF(AND(AN$5&gt;=$C284,AN$5&lt;=$D284,$A284&lt;&gt;""),"●","")</x:f>
      </x:c>
      <x:c r="AO284" s="165" t="str">
        <x:f>IF(AND(AO$5&gt;=$C284,AO$5&lt;=$D284,$A284&lt;&gt;""),"●","")</x:f>
      </x:c>
      <x:c r="AP284" s="165" t="str">
        <x:f>IF(AND(AP$5&gt;=$C284,AP$5&lt;=$D284,$A284&lt;&gt;""),"●","")</x:f>
      </x:c>
      <x:c r="AQ284" s="165" t="str">
        <x:f>IF(AND(AQ$5&gt;=$C284,AQ$5&lt;=$D284,$A284&lt;&gt;""),"●","")</x:f>
      </x:c>
      <x:c r="AR284" s="165" t="str">
        <x:f>IF(AND(AR$5&gt;=$C284,AR$5&lt;=$D284,$A284&lt;&gt;""),"●","")</x:f>
      </x:c>
      <x:c r="AS284" s="165" t="str">
        <x:f>IF(AND(AS$5&gt;=$C284,AS$5&lt;=$D284,$A284&lt;&gt;""),"●","")</x:f>
      </x:c>
      <x:c r="AT284" s="165" t="str">
        <x:f>IF(AND(AT$5&gt;=$C284,AT$5&lt;=$D284,$A284&lt;&gt;""),"●","")</x:f>
      </x:c>
      <x:c r="AU284" s="165" t="str">
        <x:f>IF(AND(AU$5&gt;=$C284,AU$5&lt;=$D284,$A284&lt;&gt;""),"●","")</x:f>
      </x:c>
      <x:c r="AV284" s="165" t="str">
        <x:f>IF(AND(AV$5&gt;=$C284,AV$5&lt;=$D284,$A284&lt;&gt;""),"●","")</x:f>
      </x:c>
      <x:c r="AW284" s="165" t="str">
        <x:f>IF(AND(AW$5&gt;=$C284,AW$5&lt;=$D284,$A284&lt;&gt;""),"●","")</x:f>
      </x:c>
      <x:c r="AX284" s="165" t="str">
        <x:f>IF(AND(AX$5&gt;=$C284,AX$5&lt;=$D284,$A284&lt;&gt;""),"●","")</x:f>
      </x:c>
      <x:c r="AY284" s="165" t="str">
        <x:f>IF(AND(AY$5&gt;=$C284,AY$5&lt;=$D284,$A284&lt;&gt;""),"●","")</x:f>
      </x:c>
      <x:c r="AZ284" s="165" t="str">
        <x:f>IF(AND(AZ$5&gt;=$C284,AZ$5&lt;=$D284,$A284&lt;&gt;""),"●","")</x:f>
      </x:c>
      <x:c r="BA284" s="165" t="str">
        <x:f>IF(AND(BA$5&gt;=$C284,BA$5&lt;=$D284,$A284&lt;&gt;""),"●","")</x:f>
      </x:c>
      <x:c r="BB284" s="165" t="str">
        <x:f>IF(AND(BB$5&gt;=$C284,BB$5&lt;=$D284,$A284&lt;&gt;""),"●","")</x:f>
      </x:c>
      <x:c r="BC284" s="165" t="str">
        <x:f>IF(AND(BC$5&gt;=$C284,BC$5&lt;=$D284,$A284&lt;&gt;""),"●","")</x:f>
      </x:c>
      <x:c r="BD284" s="165" t="str">
        <x:f>IF(AND(BD$5&gt;=$C284,BD$5&lt;=$D284,$A284&lt;&gt;""),"●","")</x:f>
      </x:c>
      <x:c r="BE284" s="165" t="str">
        <x:f>IF(AND(BE$5&gt;=$C284,BE$5&lt;=$D284,$A284&lt;&gt;""),"●","")</x:f>
      </x:c>
      <x:c r="BF284" s="165" t="str">
        <x:f>IF(AND(BF$5&gt;=$C284,BF$5&lt;=$D284,$A284&lt;&gt;""),"●","")</x:f>
      </x:c>
      <x:c r="BG284" s="165" t="str">
        <x:f>IF(AND(BG$5&gt;=$C284,BG$5&lt;=$D284,$A284&lt;&gt;""),"●","")</x:f>
      </x:c>
      <x:c r="BH284" s="165" t="str">
        <x:f>IF(AND(BH$5&gt;=$C284,BH$5&lt;=$D284,$A284&lt;&gt;""),"●","")</x:f>
      </x:c>
      <x:c r="BI284" s="165" t="str">
        <x:f>IF(AND(BI$5&gt;=$C284,BI$5&lt;=$D284,$A284&lt;&gt;""),"●","")</x:f>
      </x:c>
      <x:c r="BJ284" s="165" t="str">
        <x:f>IF(AND(BJ$5&gt;=$C284,BJ$5&lt;=$D284,$A284&lt;&gt;""),"●","")</x:f>
      </x:c>
      <x:c r="BK284" s="165" t="str">
        <x:f>IF(AND(BK$5&gt;=$C284,BK$5&lt;=$D284,$A284&lt;&gt;""),"●","")</x:f>
      </x:c>
      <x:c r="BL284" s="165" t="str">
        <x:f>IF(AND(BL$5&gt;=$C284,BL$5&lt;=$D284,$A284&lt;&gt;""),"●","")</x:f>
      </x:c>
      <x:c r="BM284" s="165" t="str">
        <x:f>IF(AND(BM$5&gt;=$C284,BM$5&lt;=$D284,$A284&lt;&gt;""),"●","")</x:f>
      </x:c>
      <x:c r="BN284" s="165" t="str">
        <x:f>IF(AND(BN$5&gt;=$C284,BN$5&lt;=$D284,$A284&lt;&gt;""),"●","")</x:f>
      </x:c>
      <x:c r="BO284" s="165" t="str">
        <x:f>IF(AND(BO$5&gt;=$C284,BO$5&lt;=$D284,$A284&lt;&gt;""),"●","")</x:f>
      </x:c>
      <x:c r="BP284" s="165" t="str">
        <x:f>IF(AND(BP$5&gt;=$C284,BP$5&lt;=$D284,$A284&lt;&gt;""),"●","")</x:f>
      </x:c>
      <x:c r="BQ284" s="165" t="str">
        <x:f>IF(AND(BQ$5&gt;=$C284,BQ$5&lt;=$D284,$A284&lt;&gt;""),"●","")</x:f>
      </x:c>
      <x:c r="BR284" s="165" t="str">
        <x:f>IF(AND(BR$5&gt;=$C284,BR$5&lt;=$D284,$A284&lt;&gt;""),"●","")</x:f>
      </x:c>
      <x:c r="BS284" s="165" t="str">
        <x:f>IF(AND(BS$5&gt;=$C284,BS$5&lt;=$D284,$A284&lt;&gt;""),"●","")</x:f>
      </x:c>
      <x:c r="BT284" s="165" t="str">
        <x:f>IF(AND(BT$5&gt;=$C284,BT$5&lt;=$D284,$A284&lt;&gt;""),"●","")</x:f>
      </x:c>
      <x:c r="BU284" s="165" t="str">
        <x:f>IF(AND(BU$5&gt;=$C284,BU$5&lt;=$D284,$A284&lt;&gt;""),"●","")</x:f>
      </x:c>
      <x:c r="BV284" s="165" t="str">
        <x:f>IF(AND(BV$5&gt;=$C284,BV$5&lt;=$D284,$A284&lt;&gt;""),"●","")</x:f>
      </x:c>
      <x:c r="BW284" s="165" t="str">
        <x:f>IF(AND(BW$5&gt;=$C284,BW$5&lt;=$D284,$A284&lt;&gt;""),"●","")</x:f>
      </x:c>
    </x:row>
    <x:row r="285">
      <x:c r="A285" s="159" t="str">
        <x:f>IF('รายการสัญญา'!A285="","",'รายการสัญญา'!A285)</x:f>
      </x:c>
      <x:c r="B285" s="159" t="str">
        <x:f>IF('รายการสัญญา'!A285="","",'รายการสัญญา'!C285)</x:f>
      </x:c>
      <x:c r="C285" s="162" t="str">
        <x:f>IF('รายการสัญญา'!A285="","",'รายการสัญญา'!E285)</x:f>
      </x:c>
      <x:c r="D285" s="162" t="str">
        <x:f>IF('รายการสัญญา'!A285="","",'รายการสัญญา'!G285)</x:f>
      </x:c>
      <x:c r="E285" s="159" t="str">
        <x:f>IF('รายการสัญญา'!A285="","",'รายการสัญญา'!K285)</x:f>
      </x:c>
      <x:c r="F285" s="165" t="str">
        <x:f>IF(AND(F$5&gt;=$C285,F$5&lt;=$D285,$A285&lt;&gt;""),"●","")</x:f>
      </x:c>
      <x:c r="G285" s="165" t="str">
        <x:f>IF(AND(G$5&gt;=$C285,G$5&lt;=$D285,$A285&lt;&gt;""),"●","")</x:f>
      </x:c>
      <x:c r="H285" s="165" t="str">
        <x:f>IF(AND(H$5&gt;=$C285,H$5&lt;=$D285,$A285&lt;&gt;""),"●","")</x:f>
      </x:c>
      <x:c r="I285" s="165" t="str">
        <x:f>IF(AND(I$5&gt;=$C285,I$5&lt;=$D285,$A285&lt;&gt;""),"●","")</x:f>
      </x:c>
      <x:c r="J285" s="165" t="str">
        <x:f>IF(AND(J$5&gt;=$C285,J$5&lt;=$D285,$A285&lt;&gt;""),"●","")</x:f>
      </x:c>
      <x:c r="K285" s="165" t="str">
        <x:f>IF(AND(K$5&gt;=$C285,K$5&lt;=$D285,$A285&lt;&gt;""),"●","")</x:f>
      </x:c>
      <x:c r="L285" s="165" t="str">
        <x:f>IF(AND(L$5&gt;=$C285,L$5&lt;=$D285,$A285&lt;&gt;""),"●","")</x:f>
      </x:c>
      <x:c r="M285" s="165" t="str">
        <x:f>IF(AND(M$5&gt;=$C285,M$5&lt;=$D285,$A285&lt;&gt;""),"●","")</x:f>
      </x:c>
      <x:c r="N285" s="165" t="str">
        <x:f>IF(AND(N$5&gt;=$C285,N$5&lt;=$D285,$A285&lt;&gt;""),"●","")</x:f>
      </x:c>
      <x:c r="O285" s="165" t="str">
        <x:f>IF(AND(O$5&gt;=$C285,O$5&lt;=$D285,$A285&lt;&gt;""),"●","")</x:f>
      </x:c>
      <x:c r="P285" s="165" t="str">
        <x:f>IF(AND(P$5&gt;=$C285,P$5&lt;=$D285,$A285&lt;&gt;""),"●","")</x:f>
      </x:c>
      <x:c r="Q285" s="165" t="str">
        <x:f>IF(AND(Q$5&gt;=$C285,Q$5&lt;=$D285,$A285&lt;&gt;""),"●","")</x:f>
      </x:c>
      <x:c r="R285" s="165" t="str">
        <x:f>IF(AND(R$5&gt;=$C285,R$5&lt;=$D285,$A285&lt;&gt;""),"●","")</x:f>
      </x:c>
      <x:c r="S285" s="165" t="str">
        <x:f>IF(AND(S$5&gt;=$C285,S$5&lt;=$D285,$A285&lt;&gt;""),"●","")</x:f>
      </x:c>
      <x:c r="T285" s="165" t="str">
        <x:f>IF(AND(T$5&gt;=$C285,T$5&lt;=$D285,$A285&lt;&gt;""),"●","")</x:f>
      </x:c>
      <x:c r="U285" s="165" t="str">
        <x:f>IF(AND(U$5&gt;=$C285,U$5&lt;=$D285,$A285&lt;&gt;""),"●","")</x:f>
      </x:c>
      <x:c r="V285" s="165" t="str">
        <x:f>IF(AND(V$5&gt;=$C285,V$5&lt;=$D285,$A285&lt;&gt;""),"●","")</x:f>
      </x:c>
      <x:c r="W285" s="165" t="str">
        <x:f>IF(AND(W$5&gt;=$C285,W$5&lt;=$D285,$A285&lt;&gt;""),"●","")</x:f>
      </x:c>
      <x:c r="X285" s="165" t="str">
        <x:f>IF(AND(X$5&gt;=$C285,X$5&lt;=$D285,$A285&lt;&gt;""),"●","")</x:f>
      </x:c>
      <x:c r="Y285" s="165" t="str">
        <x:f>IF(AND(Y$5&gt;=$C285,Y$5&lt;=$D285,$A285&lt;&gt;""),"●","")</x:f>
      </x:c>
      <x:c r="Z285" s="165" t="str">
        <x:f>IF(AND(Z$5&gt;=$C285,Z$5&lt;=$D285,$A285&lt;&gt;""),"●","")</x:f>
      </x:c>
      <x:c r="AA285" s="165" t="str">
        <x:f>IF(AND(AA$5&gt;=$C285,AA$5&lt;=$D285,$A285&lt;&gt;""),"●","")</x:f>
      </x:c>
      <x:c r="AB285" s="165" t="str">
        <x:f>IF(AND(AB$5&gt;=$C285,AB$5&lt;=$D285,$A285&lt;&gt;""),"●","")</x:f>
      </x:c>
      <x:c r="AC285" s="165" t="str">
        <x:f>IF(AND(AC$5&gt;=$C285,AC$5&lt;=$D285,$A285&lt;&gt;""),"●","")</x:f>
      </x:c>
      <x:c r="AD285" s="165" t="str">
        <x:f>IF(AND(AD$5&gt;=$C285,AD$5&lt;=$D285,$A285&lt;&gt;""),"●","")</x:f>
      </x:c>
      <x:c r="AE285" s="165" t="str">
        <x:f>IF(AND(AE$5&gt;=$C285,AE$5&lt;=$D285,$A285&lt;&gt;""),"●","")</x:f>
      </x:c>
      <x:c r="AF285" s="165" t="str">
        <x:f>IF(AND(AF$5&gt;=$C285,AF$5&lt;=$D285,$A285&lt;&gt;""),"●","")</x:f>
      </x:c>
      <x:c r="AG285" s="165" t="str">
        <x:f>IF(AND(AG$5&gt;=$C285,AG$5&lt;=$D285,$A285&lt;&gt;""),"●","")</x:f>
      </x:c>
      <x:c r="AH285" s="165" t="str">
        <x:f>IF(AND(AH$5&gt;=$C285,AH$5&lt;=$D285,$A285&lt;&gt;""),"●","")</x:f>
      </x:c>
      <x:c r="AI285" s="165" t="str">
        <x:f>IF(AND(AI$5&gt;=$C285,AI$5&lt;=$D285,$A285&lt;&gt;""),"●","")</x:f>
      </x:c>
      <x:c r="AJ285" s="165" t="str">
        <x:f>IF(AND(AJ$5&gt;=$C285,AJ$5&lt;=$D285,$A285&lt;&gt;""),"●","")</x:f>
      </x:c>
      <x:c r="AK285" s="165" t="str">
        <x:f>IF(AND(AK$5&gt;=$C285,AK$5&lt;=$D285,$A285&lt;&gt;""),"●","")</x:f>
      </x:c>
      <x:c r="AL285" s="165" t="str">
        <x:f>IF(AND(AL$5&gt;=$C285,AL$5&lt;=$D285,$A285&lt;&gt;""),"●","")</x:f>
      </x:c>
      <x:c r="AM285" s="165" t="str">
        <x:f>IF(AND(AM$5&gt;=$C285,AM$5&lt;=$D285,$A285&lt;&gt;""),"●","")</x:f>
      </x:c>
      <x:c r="AN285" s="165" t="str">
        <x:f>IF(AND(AN$5&gt;=$C285,AN$5&lt;=$D285,$A285&lt;&gt;""),"●","")</x:f>
      </x:c>
      <x:c r="AO285" s="165" t="str">
        <x:f>IF(AND(AO$5&gt;=$C285,AO$5&lt;=$D285,$A285&lt;&gt;""),"●","")</x:f>
      </x:c>
      <x:c r="AP285" s="165" t="str">
        <x:f>IF(AND(AP$5&gt;=$C285,AP$5&lt;=$D285,$A285&lt;&gt;""),"●","")</x:f>
      </x:c>
      <x:c r="AQ285" s="165" t="str">
        <x:f>IF(AND(AQ$5&gt;=$C285,AQ$5&lt;=$D285,$A285&lt;&gt;""),"●","")</x:f>
      </x:c>
      <x:c r="AR285" s="165" t="str">
        <x:f>IF(AND(AR$5&gt;=$C285,AR$5&lt;=$D285,$A285&lt;&gt;""),"●","")</x:f>
      </x:c>
      <x:c r="AS285" s="165" t="str">
        <x:f>IF(AND(AS$5&gt;=$C285,AS$5&lt;=$D285,$A285&lt;&gt;""),"●","")</x:f>
      </x:c>
      <x:c r="AT285" s="165" t="str">
        <x:f>IF(AND(AT$5&gt;=$C285,AT$5&lt;=$D285,$A285&lt;&gt;""),"●","")</x:f>
      </x:c>
      <x:c r="AU285" s="165" t="str">
        <x:f>IF(AND(AU$5&gt;=$C285,AU$5&lt;=$D285,$A285&lt;&gt;""),"●","")</x:f>
      </x:c>
      <x:c r="AV285" s="165" t="str">
        <x:f>IF(AND(AV$5&gt;=$C285,AV$5&lt;=$D285,$A285&lt;&gt;""),"●","")</x:f>
      </x:c>
      <x:c r="AW285" s="165" t="str">
        <x:f>IF(AND(AW$5&gt;=$C285,AW$5&lt;=$D285,$A285&lt;&gt;""),"●","")</x:f>
      </x:c>
      <x:c r="AX285" s="165" t="str">
        <x:f>IF(AND(AX$5&gt;=$C285,AX$5&lt;=$D285,$A285&lt;&gt;""),"●","")</x:f>
      </x:c>
      <x:c r="AY285" s="165" t="str">
        <x:f>IF(AND(AY$5&gt;=$C285,AY$5&lt;=$D285,$A285&lt;&gt;""),"●","")</x:f>
      </x:c>
      <x:c r="AZ285" s="165" t="str">
        <x:f>IF(AND(AZ$5&gt;=$C285,AZ$5&lt;=$D285,$A285&lt;&gt;""),"●","")</x:f>
      </x:c>
      <x:c r="BA285" s="165" t="str">
        <x:f>IF(AND(BA$5&gt;=$C285,BA$5&lt;=$D285,$A285&lt;&gt;""),"●","")</x:f>
      </x:c>
      <x:c r="BB285" s="165" t="str">
        <x:f>IF(AND(BB$5&gt;=$C285,BB$5&lt;=$D285,$A285&lt;&gt;""),"●","")</x:f>
      </x:c>
      <x:c r="BC285" s="165" t="str">
        <x:f>IF(AND(BC$5&gt;=$C285,BC$5&lt;=$D285,$A285&lt;&gt;""),"●","")</x:f>
      </x:c>
      <x:c r="BD285" s="165" t="str">
        <x:f>IF(AND(BD$5&gt;=$C285,BD$5&lt;=$D285,$A285&lt;&gt;""),"●","")</x:f>
      </x:c>
      <x:c r="BE285" s="165" t="str">
        <x:f>IF(AND(BE$5&gt;=$C285,BE$5&lt;=$D285,$A285&lt;&gt;""),"●","")</x:f>
      </x:c>
      <x:c r="BF285" s="165" t="str">
        <x:f>IF(AND(BF$5&gt;=$C285,BF$5&lt;=$D285,$A285&lt;&gt;""),"●","")</x:f>
      </x:c>
      <x:c r="BG285" s="165" t="str">
        <x:f>IF(AND(BG$5&gt;=$C285,BG$5&lt;=$D285,$A285&lt;&gt;""),"●","")</x:f>
      </x:c>
      <x:c r="BH285" s="165" t="str">
        <x:f>IF(AND(BH$5&gt;=$C285,BH$5&lt;=$D285,$A285&lt;&gt;""),"●","")</x:f>
      </x:c>
      <x:c r="BI285" s="165" t="str">
        <x:f>IF(AND(BI$5&gt;=$C285,BI$5&lt;=$D285,$A285&lt;&gt;""),"●","")</x:f>
      </x:c>
      <x:c r="BJ285" s="165" t="str">
        <x:f>IF(AND(BJ$5&gt;=$C285,BJ$5&lt;=$D285,$A285&lt;&gt;""),"●","")</x:f>
      </x:c>
      <x:c r="BK285" s="165" t="str">
        <x:f>IF(AND(BK$5&gt;=$C285,BK$5&lt;=$D285,$A285&lt;&gt;""),"●","")</x:f>
      </x:c>
      <x:c r="BL285" s="165" t="str">
        <x:f>IF(AND(BL$5&gt;=$C285,BL$5&lt;=$D285,$A285&lt;&gt;""),"●","")</x:f>
      </x:c>
      <x:c r="BM285" s="165" t="str">
        <x:f>IF(AND(BM$5&gt;=$C285,BM$5&lt;=$D285,$A285&lt;&gt;""),"●","")</x:f>
      </x:c>
      <x:c r="BN285" s="165" t="str">
        <x:f>IF(AND(BN$5&gt;=$C285,BN$5&lt;=$D285,$A285&lt;&gt;""),"●","")</x:f>
      </x:c>
      <x:c r="BO285" s="165" t="str">
        <x:f>IF(AND(BO$5&gt;=$C285,BO$5&lt;=$D285,$A285&lt;&gt;""),"●","")</x:f>
      </x:c>
      <x:c r="BP285" s="165" t="str">
        <x:f>IF(AND(BP$5&gt;=$C285,BP$5&lt;=$D285,$A285&lt;&gt;""),"●","")</x:f>
      </x:c>
      <x:c r="BQ285" s="165" t="str">
        <x:f>IF(AND(BQ$5&gt;=$C285,BQ$5&lt;=$D285,$A285&lt;&gt;""),"●","")</x:f>
      </x:c>
      <x:c r="BR285" s="165" t="str">
        <x:f>IF(AND(BR$5&gt;=$C285,BR$5&lt;=$D285,$A285&lt;&gt;""),"●","")</x:f>
      </x:c>
      <x:c r="BS285" s="165" t="str">
        <x:f>IF(AND(BS$5&gt;=$C285,BS$5&lt;=$D285,$A285&lt;&gt;""),"●","")</x:f>
      </x:c>
      <x:c r="BT285" s="165" t="str">
        <x:f>IF(AND(BT$5&gt;=$C285,BT$5&lt;=$D285,$A285&lt;&gt;""),"●","")</x:f>
      </x:c>
      <x:c r="BU285" s="165" t="str">
        <x:f>IF(AND(BU$5&gt;=$C285,BU$5&lt;=$D285,$A285&lt;&gt;""),"●","")</x:f>
      </x:c>
      <x:c r="BV285" s="165" t="str">
        <x:f>IF(AND(BV$5&gt;=$C285,BV$5&lt;=$D285,$A285&lt;&gt;""),"●","")</x:f>
      </x:c>
      <x:c r="BW285" s="165" t="str">
        <x:f>IF(AND(BW$5&gt;=$C285,BW$5&lt;=$D285,$A285&lt;&gt;""),"●","")</x:f>
      </x:c>
    </x:row>
    <x:row r="286">
      <x:c r="A286" s="159" t="str">
        <x:f>IF('รายการสัญญา'!A286="","",'รายการสัญญา'!A286)</x:f>
      </x:c>
      <x:c r="B286" s="159" t="str">
        <x:f>IF('รายการสัญญา'!A286="","",'รายการสัญญา'!C286)</x:f>
      </x:c>
      <x:c r="C286" s="162" t="str">
        <x:f>IF('รายการสัญญา'!A286="","",'รายการสัญญา'!E286)</x:f>
      </x:c>
      <x:c r="D286" s="162" t="str">
        <x:f>IF('รายการสัญญา'!A286="","",'รายการสัญญา'!G286)</x:f>
      </x:c>
      <x:c r="E286" s="159" t="str">
        <x:f>IF('รายการสัญญา'!A286="","",'รายการสัญญา'!K286)</x:f>
      </x:c>
      <x:c r="F286" s="165" t="str">
        <x:f>IF(AND(F$5&gt;=$C286,F$5&lt;=$D286,$A286&lt;&gt;""),"●","")</x:f>
      </x:c>
      <x:c r="G286" s="165" t="str">
        <x:f>IF(AND(G$5&gt;=$C286,G$5&lt;=$D286,$A286&lt;&gt;""),"●","")</x:f>
      </x:c>
      <x:c r="H286" s="165" t="str">
        <x:f>IF(AND(H$5&gt;=$C286,H$5&lt;=$D286,$A286&lt;&gt;""),"●","")</x:f>
      </x:c>
      <x:c r="I286" s="165" t="str">
        <x:f>IF(AND(I$5&gt;=$C286,I$5&lt;=$D286,$A286&lt;&gt;""),"●","")</x:f>
      </x:c>
      <x:c r="J286" s="165" t="str">
        <x:f>IF(AND(J$5&gt;=$C286,J$5&lt;=$D286,$A286&lt;&gt;""),"●","")</x:f>
      </x:c>
      <x:c r="K286" s="165" t="str">
        <x:f>IF(AND(K$5&gt;=$C286,K$5&lt;=$D286,$A286&lt;&gt;""),"●","")</x:f>
      </x:c>
      <x:c r="L286" s="165" t="str">
        <x:f>IF(AND(L$5&gt;=$C286,L$5&lt;=$D286,$A286&lt;&gt;""),"●","")</x:f>
      </x:c>
      <x:c r="M286" s="165" t="str">
        <x:f>IF(AND(M$5&gt;=$C286,M$5&lt;=$D286,$A286&lt;&gt;""),"●","")</x:f>
      </x:c>
      <x:c r="N286" s="165" t="str">
        <x:f>IF(AND(N$5&gt;=$C286,N$5&lt;=$D286,$A286&lt;&gt;""),"●","")</x:f>
      </x:c>
      <x:c r="O286" s="165" t="str">
        <x:f>IF(AND(O$5&gt;=$C286,O$5&lt;=$D286,$A286&lt;&gt;""),"●","")</x:f>
      </x:c>
      <x:c r="P286" s="165" t="str">
        <x:f>IF(AND(P$5&gt;=$C286,P$5&lt;=$D286,$A286&lt;&gt;""),"●","")</x:f>
      </x:c>
      <x:c r="Q286" s="165" t="str">
        <x:f>IF(AND(Q$5&gt;=$C286,Q$5&lt;=$D286,$A286&lt;&gt;""),"●","")</x:f>
      </x:c>
      <x:c r="R286" s="165" t="str">
        <x:f>IF(AND(R$5&gt;=$C286,R$5&lt;=$D286,$A286&lt;&gt;""),"●","")</x:f>
      </x:c>
      <x:c r="S286" s="165" t="str">
        <x:f>IF(AND(S$5&gt;=$C286,S$5&lt;=$D286,$A286&lt;&gt;""),"●","")</x:f>
      </x:c>
      <x:c r="T286" s="165" t="str">
        <x:f>IF(AND(T$5&gt;=$C286,T$5&lt;=$D286,$A286&lt;&gt;""),"●","")</x:f>
      </x:c>
      <x:c r="U286" s="165" t="str">
        <x:f>IF(AND(U$5&gt;=$C286,U$5&lt;=$D286,$A286&lt;&gt;""),"●","")</x:f>
      </x:c>
      <x:c r="V286" s="165" t="str">
        <x:f>IF(AND(V$5&gt;=$C286,V$5&lt;=$D286,$A286&lt;&gt;""),"●","")</x:f>
      </x:c>
      <x:c r="W286" s="165" t="str">
        <x:f>IF(AND(W$5&gt;=$C286,W$5&lt;=$D286,$A286&lt;&gt;""),"●","")</x:f>
      </x:c>
      <x:c r="X286" s="165" t="str">
        <x:f>IF(AND(X$5&gt;=$C286,X$5&lt;=$D286,$A286&lt;&gt;""),"●","")</x:f>
      </x:c>
      <x:c r="Y286" s="165" t="str">
        <x:f>IF(AND(Y$5&gt;=$C286,Y$5&lt;=$D286,$A286&lt;&gt;""),"●","")</x:f>
      </x:c>
      <x:c r="Z286" s="165" t="str">
        <x:f>IF(AND(Z$5&gt;=$C286,Z$5&lt;=$D286,$A286&lt;&gt;""),"●","")</x:f>
      </x:c>
      <x:c r="AA286" s="165" t="str">
        <x:f>IF(AND(AA$5&gt;=$C286,AA$5&lt;=$D286,$A286&lt;&gt;""),"●","")</x:f>
      </x:c>
      <x:c r="AB286" s="165" t="str">
        <x:f>IF(AND(AB$5&gt;=$C286,AB$5&lt;=$D286,$A286&lt;&gt;""),"●","")</x:f>
      </x:c>
      <x:c r="AC286" s="165" t="str">
        <x:f>IF(AND(AC$5&gt;=$C286,AC$5&lt;=$D286,$A286&lt;&gt;""),"●","")</x:f>
      </x:c>
      <x:c r="AD286" s="165" t="str">
        <x:f>IF(AND(AD$5&gt;=$C286,AD$5&lt;=$D286,$A286&lt;&gt;""),"●","")</x:f>
      </x:c>
      <x:c r="AE286" s="165" t="str">
        <x:f>IF(AND(AE$5&gt;=$C286,AE$5&lt;=$D286,$A286&lt;&gt;""),"●","")</x:f>
      </x:c>
      <x:c r="AF286" s="165" t="str">
        <x:f>IF(AND(AF$5&gt;=$C286,AF$5&lt;=$D286,$A286&lt;&gt;""),"●","")</x:f>
      </x:c>
      <x:c r="AG286" s="165" t="str">
        <x:f>IF(AND(AG$5&gt;=$C286,AG$5&lt;=$D286,$A286&lt;&gt;""),"●","")</x:f>
      </x:c>
      <x:c r="AH286" s="165" t="str">
        <x:f>IF(AND(AH$5&gt;=$C286,AH$5&lt;=$D286,$A286&lt;&gt;""),"●","")</x:f>
      </x:c>
      <x:c r="AI286" s="165" t="str">
        <x:f>IF(AND(AI$5&gt;=$C286,AI$5&lt;=$D286,$A286&lt;&gt;""),"●","")</x:f>
      </x:c>
      <x:c r="AJ286" s="165" t="str">
        <x:f>IF(AND(AJ$5&gt;=$C286,AJ$5&lt;=$D286,$A286&lt;&gt;""),"●","")</x:f>
      </x:c>
      <x:c r="AK286" s="165" t="str">
        <x:f>IF(AND(AK$5&gt;=$C286,AK$5&lt;=$D286,$A286&lt;&gt;""),"●","")</x:f>
      </x:c>
      <x:c r="AL286" s="165" t="str">
        <x:f>IF(AND(AL$5&gt;=$C286,AL$5&lt;=$D286,$A286&lt;&gt;""),"●","")</x:f>
      </x:c>
      <x:c r="AM286" s="165" t="str">
        <x:f>IF(AND(AM$5&gt;=$C286,AM$5&lt;=$D286,$A286&lt;&gt;""),"●","")</x:f>
      </x:c>
      <x:c r="AN286" s="165" t="str">
        <x:f>IF(AND(AN$5&gt;=$C286,AN$5&lt;=$D286,$A286&lt;&gt;""),"●","")</x:f>
      </x:c>
      <x:c r="AO286" s="165" t="str">
        <x:f>IF(AND(AO$5&gt;=$C286,AO$5&lt;=$D286,$A286&lt;&gt;""),"●","")</x:f>
      </x:c>
      <x:c r="AP286" s="165" t="str">
        <x:f>IF(AND(AP$5&gt;=$C286,AP$5&lt;=$D286,$A286&lt;&gt;""),"●","")</x:f>
      </x:c>
      <x:c r="AQ286" s="165" t="str">
        <x:f>IF(AND(AQ$5&gt;=$C286,AQ$5&lt;=$D286,$A286&lt;&gt;""),"●","")</x:f>
      </x:c>
      <x:c r="AR286" s="165" t="str">
        <x:f>IF(AND(AR$5&gt;=$C286,AR$5&lt;=$D286,$A286&lt;&gt;""),"●","")</x:f>
      </x:c>
      <x:c r="AS286" s="165" t="str">
        <x:f>IF(AND(AS$5&gt;=$C286,AS$5&lt;=$D286,$A286&lt;&gt;""),"●","")</x:f>
      </x:c>
      <x:c r="AT286" s="165" t="str">
        <x:f>IF(AND(AT$5&gt;=$C286,AT$5&lt;=$D286,$A286&lt;&gt;""),"●","")</x:f>
      </x:c>
      <x:c r="AU286" s="165" t="str">
        <x:f>IF(AND(AU$5&gt;=$C286,AU$5&lt;=$D286,$A286&lt;&gt;""),"●","")</x:f>
      </x:c>
      <x:c r="AV286" s="165" t="str">
        <x:f>IF(AND(AV$5&gt;=$C286,AV$5&lt;=$D286,$A286&lt;&gt;""),"●","")</x:f>
      </x:c>
      <x:c r="AW286" s="165" t="str">
        <x:f>IF(AND(AW$5&gt;=$C286,AW$5&lt;=$D286,$A286&lt;&gt;""),"●","")</x:f>
      </x:c>
      <x:c r="AX286" s="165" t="str">
        <x:f>IF(AND(AX$5&gt;=$C286,AX$5&lt;=$D286,$A286&lt;&gt;""),"●","")</x:f>
      </x:c>
      <x:c r="AY286" s="165" t="str">
        <x:f>IF(AND(AY$5&gt;=$C286,AY$5&lt;=$D286,$A286&lt;&gt;""),"●","")</x:f>
      </x:c>
      <x:c r="AZ286" s="165" t="str">
        <x:f>IF(AND(AZ$5&gt;=$C286,AZ$5&lt;=$D286,$A286&lt;&gt;""),"●","")</x:f>
      </x:c>
      <x:c r="BA286" s="165" t="str">
        <x:f>IF(AND(BA$5&gt;=$C286,BA$5&lt;=$D286,$A286&lt;&gt;""),"●","")</x:f>
      </x:c>
      <x:c r="BB286" s="165" t="str">
        <x:f>IF(AND(BB$5&gt;=$C286,BB$5&lt;=$D286,$A286&lt;&gt;""),"●","")</x:f>
      </x:c>
      <x:c r="BC286" s="165" t="str">
        <x:f>IF(AND(BC$5&gt;=$C286,BC$5&lt;=$D286,$A286&lt;&gt;""),"●","")</x:f>
      </x:c>
      <x:c r="BD286" s="165" t="str">
        <x:f>IF(AND(BD$5&gt;=$C286,BD$5&lt;=$D286,$A286&lt;&gt;""),"●","")</x:f>
      </x:c>
      <x:c r="BE286" s="165" t="str">
        <x:f>IF(AND(BE$5&gt;=$C286,BE$5&lt;=$D286,$A286&lt;&gt;""),"●","")</x:f>
      </x:c>
      <x:c r="BF286" s="165" t="str">
        <x:f>IF(AND(BF$5&gt;=$C286,BF$5&lt;=$D286,$A286&lt;&gt;""),"●","")</x:f>
      </x:c>
      <x:c r="BG286" s="165" t="str">
        <x:f>IF(AND(BG$5&gt;=$C286,BG$5&lt;=$D286,$A286&lt;&gt;""),"●","")</x:f>
      </x:c>
      <x:c r="BH286" s="165" t="str">
        <x:f>IF(AND(BH$5&gt;=$C286,BH$5&lt;=$D286,$A286&lt;&gt;""),"●","")</x:f>
      </x:c>
      <x:c r="BI286" s="165" t="str">
        <x:f>IF(AND(BI$5&gt;=$C286,BI$5&lt;=$D286,$A286&lt;&gt;""),"●","")</x:f>
      </x:c>
      <x:c r="BJ286" s="165" t="str">
        <x:f>IF(AND(BJ$5&gt;=$C286,BJ$5&lt;=$D286,$A286&lt;&gt;""),"●","")</x:f>
      </x:c>
      <x:c r="BK286" s="165" t="str">
        <x:f>IF(AND(BK$5&gt;=$C286,BK$5&lt;=$D286,$A286&lt;&gt;""),"●","")</x:f>
      </x:c>
      <x:c r="BL286" s="165" t="str">
        <x:f>IF(AND(BL$5&gt;=$C286,BL$5&lt;=$D286,$A286&lt;&gt;""),"●","")</x:f>
      </x:c>
      <x:c r="BM286" s="165" t="str">
        <x:f>IF(AND(BM$5&gt;=$C286,BM$5&lt;=$D286,$A286&lt;&gt;""),"●","")</x:f>
      </x:c>
      <x:c r="BN286" s="165" t="str">
        <x:f>IF(AND(BN$5&gt;=$C286,BN$5&lt;=$D286,$A286&lt;&gt;""),"●","")</x:f>
      </x:c>
      <x:c r="BO286" s="165" t="str">
        <x:f>IF(AND(BO$5&gt;=$C286,BO$5&lt;=$D286,$A286&lt;&gt;""),"●","")</x:f>
      </x:c>
      <x:c r="BP286" s="165" t="str">
        <x:f>IF(AND(BP$5&gt;=$C286,BP$5&lt;=$D286,$A286&lt;&gt;""),"●","")</x:f>
      </x:c>
      <x:c r="BQ286" s="165" t="str">
        <x:f>IF(AND(BQ$5&gt;=$C286,BQ$5&lt;=$D286,$A286&lt;&gt;""),"●","")</x:f>
      </x:c>
      <x:c r="BR286" s="165" t="str">
        <x:f>IF(AND(BR$5&gt;=$C286,BR$5&lt;=$D286,$A286&lt;&gt;""),"●","")</x:f>
      </x:c>
      <x:c r="BS286" s="165" t="str">
        <x:f>IF(AND(BS$5&gt;=$C286,BS$5&lt;=$D286,$A286&lt;&gt;""),"●","")</x:f>
      </x:c>
      <x:c r="BT286" s="165" t="str">
        <x:f>IF(AND(BT$5&gt;=$C286,BT$5&lt;=$D286,$A286&lt;&gt;""),"●","")</x:f>
      </x:c>
      <x:c r="BU286" s="165" t="str">
        <x:f>IF(AND(BU$5&gt;=$C286,BU$5&lt;=$D286,$A286&lt;&gt;""),"●","")</x:f>
      </x:c>
      <x:c r="BV286" s="165" t="str">
        <x:f>IF(AND(BV$5&gt;=$C286,BV$5&lt;=$D286,$A286&lt;&gt;""),"●","")</x:f>
      </x:c>
      <x:c r="BW286" s="165" t="str">
        <x:f>IF(AND(BW$5&gt;=$C286,BW$5&lt;=$D286,$A286&lt;&gt;""),"●","")</x:f>
      </x:c>
    </x:row>
    <x:row r="287">
      <x:c r="A287" s="159" t="str">
        <x:f>IF('รายการสัญญา'!A287="","",'รายการสัญญา'!A287)</x:f>
      </x:c>
      <x:c r="B287" s="159" t="str">
        <x:f>IF('รายการสัญญา'!A287="","",'รายการสัญญา'!C287)</x:f>
      </x:c>
      <x:c r="C287" s="162" t="str">
        <x:f>IF('รายการสัญญา'!A287="","",'รายการสัญญา'!E287)</x:f>
      </x:c>
      <x:c r="D287" s="162" t="str">
        <x:f>IF('รายการสัญญา'!A287="","",'รายการสัญญา'!G287)</x:f>
      </x:c>
      <x:c r="E287" s="159" t="str">
        <x:f>IF('รายการสัญญา'!A287="","",'รายการสัญญา'!K287)</x:f>
      </x:c>
      <x:c r="F287" s="165" t="str">
        <x:f>IF(AND(F$5&gt;=$C287,F$5&lt;=$D287,$A287&lt;&gt;""),"●","")</x:f>
      </x:c>
      <x:c r="G287" s="165" t="str">
        <x:f>IF(AND(G$5&gt;=$C287,G$5&lt;=$D287,$A287&lt;&gt;""),"●","")</x:f>
      </x:c>
      <x:c r="H287" s="165" t="str">
        <x:f>IF(AND(H$5&gt;=$C287,H$5&lt;=$D287,$A287&lt;&gt;""),"●","")</x:f>
      </x:c>
      <x:c r="I287" s="165" t="str">
        <x:f>IF(AND(I$5&gt;=$C287,I$5&lt;=$D287,$A287&lt;&gt;""),"●","")</x:f>
      </x:c>
      <x:c r="J287" s="165" t="str">
        <x:f>IF(AND(J$5&gt;=$C287,J$5&lt;=$D287,$A287&lt;&gt;""),"●","")</x:f>
      </x:c>
      <x:c r="K287" s="165" t="str">
        <x:f>IF(AND(K$5&gt;=$C287,K$5&lt;=$D287,$A287&lt;&gt;""),"●","")</x:f>
      </x:c>
      <x:c r="L287" s="165" t="str">
        <x:f>IF(AND(L$5&gt;=$C287,L$5&lt;=$D287,$A287&lt;&gt;""),"●","")</x:f>
      </x:c>
      <x:c r="M287" s="165" t="str">
        <x:f>IF(AND(M$5&gt;=$C287,M$5&lt;=$D287,$A287&lt;&gt;""),"●","")</x:f>
      </x:c>
      <x:c r="N287" s="165" t="str">
        <x:f>IF(AND(N$5&gt;=$C287,N$5&lt;=$D287,$A287&lt;&gt;""),"●","")</x:f>
      </x:c>
      <x:c r="O287" s="165" t="str">
        <x:f>IF(AND(O$5&gt;=$C287,O$5&lt;=$D287,$A287&lt;&gt;""),"●","")</x:f>
      </x:c>
      <x:c r="P287" s="165" t="str">
        <x:f>IF(AND(P$5&gt;=$C287,P$5&lt;=$D287,$A287&lt;&gt;""),"●","")</x:f>
      </x:c>
      <x:c r="Q287" s="165" t="str">
        <x:f>IF(AND(Q$5&gt;=$C287,Q$5&lt;=$D287,$A287&lt;&gt;""),"●","")</x:f>
      </x:c>
      <x:c r="R287" s="165" t="str">
        <x:f>IF(AND(R$5&gt;=$C287,R$5&lt;=$D287,$A287&lt;&gt;""),"●","")</x:f>
      </x:c>
      <x:c r="S287" s="165" t="str">
        <x:f>IF(AND(S$5&gt;=$C287,S$5&lt;=$D287,$A287&lt;&gt;""),"●","")</x:f>
      </x:c>
      <x:c r="T287" s="165" t="str">
        <x:f>IF(AND(T$5&gt;=$C287,T$5&lt;=$D287,$A287&lt;&gt;""),"●","")</x:f>
      </x:c>
      <x:c r="U287" s="165" t="str">
        <x:f>IF(AND(U$5&gt;=$C287,U$5&lt;=$D287,$A287&lt;&gt;""),"●","")</x:f>
      </x:c>
      <x:c r="V287" s="165" t="str">
        <x:f>IF(AND(V$5&gt;=$C287,V$5&lt;=$D287,$A287&lt;&gt;""),"●","")</x:f>
      </x:c>
      <x:c r="W287" s="165" t="str">
        <x:f>IF(AND(W$5&gt;=$C287,W$5&lt;=$D287,$A287&lt;&gt;""),"●","")</x:f>
      </x:c>
      <x:c r="X287" s="165" t="str">
        <x:f>IF(AND(X$5&gt;=$C287,X$5&lt;=$D287,$A287&lt;&gt;""),"●","")</x:f>
      </x:c>
      <x:c r="Y287" s="165" t="str">
        <x:f>IF(AND(Y$5&gt;=$C287,Y$5&lt;=$D287,$A287&lt;&gt;""),"●","")</x:f>
      </x:c>
      <x:c r="Z287" s="165" t="str">
        <x:f>IF(AND(Z$5&gt;=$C287,Z$5&lt;=$D287,$A287&lt;&gt;""),"●","")</x:f>
      </x:c>
      <x:c r="AA287" s="165" t="str">
        <x:f>IF(AND(AA$5&gt;=$C287,AA$5&lt;=$D287,$A287&lt;&gt;""),"●","")</x:f>
      </x:c>
      <x:c r="AB287" s="165" t="str">
        <x:f>IF(AND(AB$5&gt;=$C287,AB$5&lt;=$D287,$A287&lt;&gt;""),"●","")</x:f>
      </x:c>
      <x:c r="AC287" s="165" t="str">
        <x:f>IF(AND(AC$5&gt;=$C287,AC$5&lt;=$D287,$A287&lt;&gt;""),"●","")</x:f>
      </x:c>
      <x:c r="AD287" s="165" t="str">
        <x:f>IF(AND(AD$5&gt;=$C287,AD$5&lt;=$D287,$A287&lt;&gt;""),"●","")</x:f>
      </x:c>
      <x:c r="AE287" s="165" t="str">
        <x:f>IF(AND(AE$5&gt;=$C287,AE$5&lt;=$D287,$A287&lt;&gt;""),"●","")</x:f>
      </x:c>
      <x:c r="AF287" s="165" t="str">
        <x:f>IF(AND(AF$5&gt;=$C287,AF$5&lt;=$D287,$A287&lt;&gt;""),"●","")</x:f>
      </x:c>
      <x:c r="AG287" s="165" t="str">
        <x:f>IF(AND(AG$5&gt;=$C287,AG$5&lt;=$D287,$A287&lt;&gt;""),"●","")</x:f>
      </x:c>
      <x:c r="AH287" s="165" t="str">
        <x:f>IF(AND(AH$5&gt;=$C287,AH$5&lt;=$D287,$A287&lt;&gt;""),"●","")</x:f>
      </x:c>
      <x:c r="AI287" s="165" t="str">
        <x:f>IF(AND(AI$5&gt;=$C287,AI$5&lt;=$D287,$A287&lt;&gt;""),"●","")</x:f>
      </x:c>
      <x:c r="AJ287" s="165" t="str">
        <x:f>IF(AND(AJ$5&gt;=$C287,AJ$5&lt;=$D287,$A287&lt;&gt;""),"●","")</x:f>
      </x:c>
      <x:c r="AK287" s="165" t="str">
        <x:f>IF(AND(AK$5&gt;=$C287,AK$5&lt;=$D287,$A287&lt;&gt;""),"●","")</x:f>
      </x:c>
      <x:c r="AL287" s="165" t="str">
        <x:f>IF(AND(AL$5&gt;=$C287,AL$5&lt;=$D287,$A287&lt;&gt;""),"●","")</x:f>
      </x:c>
      <x:c r="AM287" s="165" t="str">
        <x:f>IF(AND(AM$5&gt;=$C287,AM$5&lt;=$D287,$A287&lt;&gt;""),"●","")</x:f>
      </x:c>
      <x:c r="AN287" s="165" t="str">
        <x:f>IF(AND(AN$5&gt;=$C287,AN$5&lt;=$D287,$A287&lt;&gt;""),"●","")</x:f>
      </x:c>
      <x:c r="AO287" s="165" t="str">
        <x:f>IF(AND(AO$5&gt;=$C287,AO$5&lt;=$D287,$A287&lt;&gt;""),"●","")</x:f>
      </x:c>
      <x:c r="AP287" s="165" t="str">
        <x:f>IF(AND(AP$5&gt;=$C287,AP$5&lt;=$D287,$A287&lt;&gt;""),"●","")</x:f>
      </x:c>
      <x:c r="AQ287" s="165" t="str">
        <x:f>IF(AND(AQ$5&gt;=$C287,AQ$5&lt;=$D287,$A287&lt;&gt;""),"●","")</x:f>
      </x:c>
      <x:c r="AR287" s="165" t="str">
        <x:f>IF(AND(AR$5&gt;=$C287,AR$5&lt;=$D287,$A287&lt;&gt;""),"●","")</x:f>
      </x:c>
      <x:c r="AS287" s="165" t="str">
        <x:f>IF(AND(AS$5&gt;=$C287,AS$5&lt;=$D287,$A287&lt;&gt;""),"●","")</x:f>
      </x:c>
      <x:c r="AT287" s="165" t="str">
        <x:f>IF(AND(AT$5&gt;=$C287,AT$5&lt;=$D287,$A287&lt;&gt;""),"●","")</x:f>
      </x:c>
      <x:c r="AU287" s="165" t="str">
        <x:f>IF(AND(AU$5&gt;=$C287,AU$5&lt;=$D287,$A287&lt;&gt;""),"●","")</x:f>
      </x:c>
      <x:c r="AV287" s="165" t="str">
        <x:f>IF(AND(AV$5&gt;=$C287,AV$5&lt;=$D287,$A287&lt;&gt;""),"●","")</x:f>
      </x:c>
      <x:c r="AW287" s="165" t="str">
        <x:f>IF(AND(AW$5&gt;=$C287,AW$5&lt;=$D287,$A287&lt;&gt;""),"●","")</x:f>
      </x:c>
      <x:c r="AX287" s="165" t="str">
        <x:f>IF(AND(AX$5&gt;=$C287,AX$5&lt;=$D287,$A287&lt;&gt;""),"●","")</x:f>
      </x:c>
      <x:c r="AY287" s="165" t="str">
        <x:f>IF(AND(AY$5&gt;=$C287,AY$5&lt;=$D287,$A287&lt;&gt;""),"●","")</x:f>
      </x:c>
      <x:c r="AZ287" s="165" t="str">
        <x:f>IF(AND(AZ$5&gt;=$C287,AZ$5&lt;=$D287,$A287&lt;&gt;""),"●","")</x:f>
      </x:c>
      <x:c r="BA287" s="165" t="str">
        <x:f>IF(AND(BA$5&gt;=$C287,BA$5&lt;=$D287,$A287&lt;&gt;""),"●","")</x:f>
      </x:c>
      <x:c r="BB287" s="165" t="str">
        <x:f>IF(AND(BB$5&gt;=$C287,BB$5&lt;=$D287,$A287&lt;&gt;""),"●","")</x:f>
      </x:c>
      <x:c r="BC287" s="165" t="str">
        <x:f>IF(AND(BC$5&gt;=$C287,BC$5&lt;=$D287,$A287&lt;&gt;""),"●","")</x:f>
      </x:c>
      <x:c r="BD287" s="165" t="str">
        <x:f>IF(AND(BD$5&gt;=$C287,BD$5&lt;=$D287,$A287&lt;&gt;""),"●","")</x:f>
      </x:c>
      <x:c r="BE287" s="165" t="str">
        <x:f>IF(AND(BE$5&gt;=$C287,BE$5&lt;=$D287,$A287&lt;&gt;""),"●","")</x:f>
      </x:c>
      <x:c r="BF287" s="165" t="str">
        <x:f>IF(AND(BF$5&gt;=$C287,BF$5&lt;=$D287,$A287&lt;&gt;""),"●","")</x:f>
      </x:c>
      <x:c r="BG287" s="165" t="str">
        <x:f>IF(AND(BG$5&gt;=$C287,BG$5&lt;=$D287,$A287&lt;&gt;""),"●","")</x:f>
      </x:c>
      <x:c r="BH287" s="165" t="str">
        <x:f>IF(AND(BH$5&gt;=$C287,BH$5&lt;=$D287,$A287&lt;&gt;""),"●","")</x:f>
      </x:c>
      <x:c r="BI287" s="165" t="str">
        <x:f>IF(AND(BI$5&gt;=$C287,BI$5&lt;=$D287,$A287&lt;&gt;""),"●","")</x:f>
      </x:c>
      <x:c r="BJ287" s="165" t="str">
        <x:f>IF(AND(BJ$5&gt;=$C287,BJ$5&lt;=$D287,$A287&lt;&gt;""),"●","")</x:f>
      </x:c>
      <x:c r="BK287" s="165" t="str">
        <x:f>IF(AND(BK$5&gt;=$C287,BK$5&lt;=$D287,$A287&lt;&gt;""),"●","")</x:f>
      </x:c>
      <x:c r="BL287" s="165" t="str">
        <x:f>IF(AND(BL$5&gt;=$C287,BL$5&lt;=$D287,$A287&lt;&gt;""),"●","")</x:f>
      </x:c>
      <x:c r="BM287" s="165" t="str">
        <x:f>IF(AND(BM$5&gt;=$C287,BM$5&lt;=$D287,$A287&lt;&gt;""),"●","")</x:f>
      </x:c>
      <x:c r="BN287" s="165" t="str">
        <x:f>IF(AND(BN$5&gt;=$C287,BN$5&lt;=$D287,$A287&lt;&gt;""),"●","")</x:f>
      </x:c>
      <x:c r="BO287" s="165" t="str">
        <x:f>IF(AND(BO$5&gt;=$C287,BO$5&lt;=$D287,$A287&lt;&gt;""),"●","")</x:f>
      </x:c>
      <x:c r="BP287" s="165" t="str">
        <x:f>IF(AND(BP$5&gt;=$C287,BP$5&lt;=$D287,$A287&lt;&gt;""),"●","")</x:f>
      </x:c>
      <x:c r="BQ287" s="165" t="str">
        <x:f>IF(AND(BQ$5&gt;=$C287,BQ$5&lt;=$D287,$A287&lt;&gt;""),"●","")</x:f>
      </x:c>
      <x:c r="BR287" s="165" t="str">
        <x:f>IF(AND(BR$5&gt;=$C287,BR$5&lt;=$D287,$A287&lt;&gt;""),"●","")</x:f>
      </x:c>
      <x:c r="BS287" s="165" t="str">
        <x:f>IF(AND(BS$5&gt;=$C287,BS$5&lt;=$D287,$A287&lt;&gt;""),"●","")</x:f>
      </x:c>
      <x:c r="BT287" s="165" t="str">
        <x:f>IF(AND(BT$5&gt;=$C287,BT$5&lt;=$D287,$A287&lt;&gt;""),"●","")</x:f>
      </x:c>
      <x:c r="BU287" s="165" t="str">
        <x:f>IF(AND(BU$5&gt;=$C287,BU$5&lt;=$D287,$A287&lt;&gt;""),"●","")</x:f>
      </x:c>
      <x:c r="BV287" s="165" t="str">
        <x:f>IF(AND(BV$5&gt;=$C287,BV$5&lt;=$D287,$A287&lt;&gt;""),"●","")</x:f>
      </x:c>
      <x:c r="BW287" s="165" t="str">
        <x:f>IF(AND(BW$5&gt;=$C287,BW$5&lt;=$D287,$A287&lt;&gt;""),"●","")</x:f>
      </x:c>
    </x:row>
    <x:row r="288">
      <x:c r="A288" s="159" t="str">
        <x:f>IF('รายการสัญญา'!A288="","",'รายการสัญญา'!A288)</x:f>
      </x:c>
      <x:c r="B288" s="159" t="str">
        <x:f>IF('รายการสัญญา'!A288="","",'รายการสัญญา'!C288)</x:f>
      </x:c>
      <x:c r="C288" s="162" t="str">
        <x:f>IF('รายการสัญญา'!A288="","",'รายการสัญญา'!E288)</x:f>
      </x:c>
      <x:c r="D288" s="162" t="str">
        <x:f>IF('รายการสัญญา'!A288="","",'รายการสัญญา'!G288)</x:f>
      </x:c>
      <x:c r="E288" s="159" t="str">
        <x:f>IF('รายการสัญญา'!A288="","",'รายการสัญญา'!K288)</x:f>
      </x:c>
      <x:c r="F288" s="165" t="str">
        <x:f>IF(AND(F$5&gt;=$C288,F$5&lt;=$D288,$A288&lt;&gt;""),"●","")</x:f>
      </x:c>
      <x:c r="G288" s="165" t="str">
        <x:f>IF(AND(G$5&gt;=$C288,G$5&lt;=$D288,$A288&lt;&gt;""),"●","")</x:f>
      </x:c>
      <x:c r="H288" s="165" t="str">
        <x:f>IF(AND(H$5&gt;=$C288,H$5&lt;=$D288,$A288&lt;&gt;""),"●","")</x:f>
      </x:c>
      <x:c r="I288" s="165" t="str">
        <x:f>IF(AND(I$5&gt;=$C288,I$5&lt;=$D288,$A288&lt;&gt;""),"●","")</x:f>
      </x:c>
      <x:c r="J288" s="165" t="str">
        <x:f>IF(AND(J$5&gt;=$C288,J$5&lt;=$D288,$A288&lt;&gt;""),"●","")</x:f>
      </x:c>
      <x:c r="K288" s="165" t="str">
        <x:f>IF(AND(K$5&gt;=$C288,K$5&lt;=$D288,$A288&lt;&gt;""),"●","")</x:f>
      </x:c>
      <x:c r="L288" s="165" t="str">
        <x:f>IF(AND(L$5&gt;=$C288,L$5&lt;=$D288,$A288&lt;&gt;""),"●","")</x:f>
      </x:c>
      <x:c r="M288" s="165" t="str">
        <x:f>IF(AND(M$5&gt;=$C288,M$5&lt;=$D288,$A288&lt;&gt;""),"●","")</x:f>
      </x:c>
      <x:c r="N288" s="165" t="str">
        <x:f>IF(AND(N$5&gt;=$C288,N$5&lt;=$D288,$A288&lt;&gt;""),"●","")</x:f>
      </x:c>
      <x:c r="O288" s="165" t="str">
        <x:f>IF(AND(O$5&gt;=$C288,O$5&lt;=$D288,$A288&lt;&gt;""),"●","")</x:f>
      </x:c>
      <x:c r="P288" s="165" t="str">
        <x:f>IF(AND(P$5&gt;=$C288,P$5&lt;=$D288,$A288&lt;&gt;""),"●","")</x:f>
      </x:c>
      <x:c r="Q288" s="165" t="str">
        <x:f>IF(AND(Q$5&gt;=$C288,Q$5&lt;=$D288,$A288&lt;&gt;""),"●","")</x:f>
      </x:c>
      <x:c r="R288" s="165" t="str">
        <x:f>IF(AND(R$5&gt;=$C288,R$5&lt;=$D288,$A288&lt;&gt;""),"●","")</x:f>
      </x:c>
      <x:c r="S288" s="165" t="str">
        <x:f>IF(AND(S$5&gt;=$C288,S$5&lt;=$D288,$A288&lt;&gt;""),"●","")</x:f>
      </x:c>
      <x:c r="T288" s="165" t="str">
        <x:f>IF(AND(T$5&gt;=$C288,T$5&lt;=$D288,$A288&lt;&gt;""),"●","")</x:f>
      </x:c>
      <x:c r="U288" s="165" t="str">
        <x:f>IF(AND(U$5&gt;=$C288,U$5&lt;=$D288,$A288&lt;&gt;""),"●","")</x:f>
      </x:c>
      <x:c r="V288" s="165" t="str">
        <x:f>IF(AND(V$5&gt;=$C288,V$5&lt;=$D288,$A288&lt;&gt;""),"●","")</x:f>
      </x:c>
      <x:c r="W288" s="165" t="str">
        <x:f>IF(AND(W$5&gt;=$C288,W$5&lt;=$D288,$A288&lt;&gt;""),"●","")</x:f>
      </x:c>
      <x:c r="X288" s="165" t="str">
        <x:f>IF(AND(X$5&gt;=$C288,X$5&lt;=$D288,$A288&lt;&gt;""),"●","")</x:f>
      </x:c>
      <x:c r="Y288" s="165" t="str">
        <x:f>IF(AND(Y$5&gt;=$C288,Y$5&lt;=$D288,$A288&lt;&gt;""),"●","")</x:f>
      </x:c>
      <x:c r="Z288" s="165" t="str">
        <x:f>IF(AND(Z$5&gt;=$C288,Z$5&lt;=$D288,$A288&lt;&gt;""),"●","")</x:f>
      </x:c>
      <x:c r="AA288" s="165" t="str">
        <x:f>IF(AND(AA$5&gt;=$C288,AA$5&lt;=$D288,$A288&lt;&gt;""),"●","")</x:f>
      </x:c>
      <x:c r="AB288" s="165" t="str">
        <x:f>IF(AND(AB$5&gt;=$C288,AB$5&lt;=$D288,$A288&lt;&gt;""),"●","")</x:f>
      </x:c>
      <x:c r="AC288" s="165" t="str">
        <x:f>IF(AND(AC$5&gt;=$C288,AC$5&lt;=$D288,$A288&lt;&gt;""),"●","")</x:f>
      </x:c>
      <x:c r="AD288" s="165" t="str">
        <x:f>IF(AND(AD$5&gt;=$C288,AD$5&lt;=$D288,$A288&lt;&gt;""),"●","")</x:f>
      </x:c>
      <x:c r="AE288" s="165" t="str">
        <x:f>IF(AND(AE$5&gt;=$C288,AE$5&lt;=$D288,$A288&lt;&gt;""),"●","")</x:f>
      </x:c>
      <x:c r="AF288" s="165" t="str">
        <x:f>IF(AND(AF$5&gt;=$C288,AF$5&lt;=$D288,$A288&lt;&gt;""),"●","")</x:f>
      </x:c>
      <x:c r="AG288" s="165" t="str">
        <x:f>IF(AND(AG$5&gt;=$C288,AG$5&lt;=$D288,$A288&lt;&gt;""),"●","")</x:f>
      </x:c>
      <x:c r="AH288" s="165" t="str">
        <x:f>IF(AND(AH$5&gt;=$C288,AH$5&lt;=$D288,$A288&lt;&gt;""),"●","")</x:f>
      </x:c>
      <x:c r="AI288" s="165" t="str">
        <x:f>IF(AND(AI$5&gt;=$C288,AI$5&lt;=$D288,$A288&lt;&gt;""),"●","")</x:f>
      </x:c>
      <x:c r="AJ288" s="165" t="str">
        <x:f>IF(AND(AJ$5&gt;=$C288,AJ$5&lt;=$D288,$A288&lt;&gt;""),"●","")</x:f>
      </x:c>
      <x:c r="AK288" s="165" t="str">
        <x:f>IF(AND(AK$5&gt;=$C288,AK$5&lt;=$D288,$A288&lt;&gt;""),"●","")</x:f>
      </x:c>
      <x:c r="AL288" s="165" t="str">
        <x:f>IF(AND(AL$5&gt;=$C288,AL$5&lt;=$D288,$A288&lt;&gt;""),"●","")</x:f>
      </x:c>
      <x:c r="AM288" s="165" t="str">
        <x:f>IF(AND(AM$5&gt;=$C288,AM$5&lt;=$D288,$A288&lt;&gt;""),"●","")</x:f>
      </x:c>
      <x:c r="AN288" s="165" t="str">
        <x:f>IF(AND(AN$5&gt;=$C288,AN$5&lt;=$D288,$A288&lt;&gt;""),"●","")</x:f>
      </x:c>
      <x:c r="AO288" s="165" t="str">
        <x:f>IF(AND(AO$5&gt;=$C288,AO$5&lt;=$D288,$A288&lt;&gt;""),"●","")</x:f>
      </x:c>
      <x:c r="AP288" s="165" t="str">
        <x:f>IF(AND(AP$5&gt;=$C288,AP$5&lt;=$D288,$A288&lt;&gt;""),"●","")</x:f>
      </x:c>
      <x:c r="AQ288" s="165" t="str">
        <x:f>IF(AND(AQ$5&gt;=$C288,AQ$5&lt;=$D288,$A288&lt;&gt;""),"●","")</x:f>
      </x:c>
      <x:c r="AR288" s="165" t="str">
        <x:f>IF(AND(AR$5&gt;=$C288,AR$5&lt;=$D288,$A288&lt;&gt;""),"●","")</x:f>
      </x:c>
      <x:c r="AS288" s="165" t="str">
        <x:f>IF(AND(AS$5&gt;=$C288,AS$5&lt;=$D288,$A288&lt;&gt;""),"●","")</x:f>
      </x:c>
      <x:c r="AT288" s="165" t="str">
        <x:f>IF(AND(AT$5&gt;=$C288,AT$5&lt;=$D288,$A288&lt;&gt;""),"●","")</x:f>
      </x:c>
      <x:c r="AU288" s="165" t="str">
        <x:f>IF(AND(AU$5&gt;=$C288,AU$5&lt;=$D288,$A288&lt;&gt;""),"●","")</x:f>
      </x:c>
      <x:c r="AV288" s="165" t="str">
        <x:f>IF(AND(AV$5&gt;=$C288,AV$5&lt;=$D288,$A288&lt;&gt;""),"●","")</x:f>
      </x:c>
      <x:c r="AW288" s="165" t="str">
        <x:f>IF(AND(AW$5&gt;=$C288,AW$5&lt;=$D288,$A288&lt;&gt;""),"●","")</x:f>
      </x:c>
      <x:c r="AX288" s="165" t="str">
        <x:f>IF(AND(AX$5&gt;=$C288,AX$5&lt;=$D288,$A288&lt;&gt;""),"●","")</x:f>
      </x:c>
      <x:c r="AY288" s="165" t="str">
        <x:f>IF(AND(AY$5&gt;=$C288,AY$5&lt;=$D288,$A288&lt;&gt;""),"●","")</x:f>
      </x:c>
      <x:c r="AZ288" s="165" t="str">
        <x:f>IF(AND(AZ$5&gt;=$C288,AZ$5&lt;=$D288,$A288&lt;&gt;""),"●","")</x:f>
      </x:c>
      <x:c r="BA288" s="165" t="str">
        <x:f>IF(AND(BA$5&gt;=$C288,BA$5&lt;=$D288,$A288&lt;&gt;""),"●","")</x:f>
      </x:c>
      <x:c r="BB288" s="165" t="str">
        <x:f>IF(AND(BB$5&gt;=$C288,BB$5&lt;=$D288,$A288&lt;&gt;""),"●","")</x:f>
      </x:c>
      <x:c r="BC288" s="165" t="str">
        <x:f>IF(AND(BC$5&gt;=$C288,BC$5&lt;=$D288,$A288&lt;&gt;""),"●","")</x:f>
      </x:c>
      <x:c r="BD288" s="165" t="str">
        <x:f>IF(AND(BD$5&gt;=$C288,BD$5&lt;=$D288,$A288&lt;&gt;""),"●","")</x:f>
      </x:c>
      <x:c r="BE288" s="165" t="str">
        <x:f>IF(AND(BE$5&gt;=$C288,BE$5&lt;=$D288,$A288&lt;&gt;""),"●","")</x:f>
      </x:c>
      <x:c r="BF288" s="165" t="str">
        <x:f>IF(AND(BF$5&gt;=$C288,BF$5&lt;=$D288,$A288&lt;&gt;""),"●","")</x:f>
      </x:c>
      <x:c r="BG288" s="165" t="str">
        <x:f>IF(AND(BG$5&gt;=$C288,BG$5&lt;=$D288,$A288&lt;&gt;""),"●","")</x:f>
      </x:c>
      <x:c r="BH288" s="165" t="str">
        <x:f>IF(AND(BH$5&gt;=$C288,BH$5&lt;=$D288,$A288&lt;&gt;""),"●","")</x:f>
      </x:c>
      <x:c r="BI288" s="165" t="str">
        <x:f>IF(AND(BI$5&gt;=$C288,BI$5&lt;=$D288,$A288&lt;&gt;""),"●","")</x:f>
      </x:c>
      <x:c r="BJ288" s="165" t="str">
        <x:f>IF(AND(BJ$5&gt;=$C288,BJ$5&lt;=$D288,$A288&lt;&gt;""),"●","")</x:f>
      </x:c>
      <x:c r="BK288" s="165" t="str">
        <x:f>IF(AND(BK$5&gt;=$C288,BK$5&lt;=$D288,$A288&lt;&gt;""),"●","")</x:f>
      </x:c>
      <x:c r="BL288" s="165" t="str">
        <x:f>IF(AND(BL$5&gt;=$C288,BL$5&lt;=$D288,$A288&lt;&gt;""),"●","")</x:f>
      </x:c>
      <x:c r="BM288" s="165" t="str">
        <x:f>IF(AND(BM$5&gt;=$C288,BM$5&lt;=$D288,$A288&lt;&gt;""),"●","")</x:f>
      </x:c>
      <x:c r="BN288" s="165" t="str">
        <x:f>IF(AND(BN$5&gt;=$C288,BN$5&lt;=$D288,$A288&lt;&gt;""),"●","")</x:f>
      </x:c>
      <x:c r="BO288" s="165" t="str">
        <x:f>IF(AND(BO$5&gt;=$C288,BO$5&lt;=$D288,$A288&lt;&gt;""),"●","")</x:f>
      </x:c>
      <x:c r="BP288" s="165" t="str">
        <x:f>IF(AND(BP$5&gt;=$C288,BP$5&lt;=$D288,$A288&lt;&gt;""),"●","")</x:f>
      </x:c>
      <x:c r="BQ288" s="165" t="str">
        <x:f>IF(AND(BQ$5&gt;=$C288,BQ$5&lt;=$D288,$A288&lt;&gt;""),"●","")</x:f>
      </x:c>
      <x:c r="BR288" s="165" t="str">
        <x:f>IF(AND(BR$5&gt;=$C288,BR$5&lt;=$D288,$A288&lt;&gt;""),"●","")</x:f>
      </x:c>
      <x:c r="BS288" s="165" t="str">
        <x:f>IF(AND(BS$5&gt;=$C288,BS$5&lt;=$D288,$A288&lt;&gt;""),"●","")</x:f>
      </x:c>
      <x:c r="BT288" s="165" t="str">
        <x:f>IF(AND(BT$5&gt;=$C288,BT$5&lt;=$D288,$A288&lt;&gt;""),"●","")</x:f>
      </x:c>
      <x:c r="BU288" s="165" t="str">
        <x:f>IF(AND(BU$5&gt;=$C288,BU$5&lt;=$D288,$A288&lt;&gt;""),"●","")</x:f>
      </x:c>
      <x:c r="BV288" s="165" t="str">
        <x:f>IF(AND(BV$5&gt;=$C288,BV$5&lt;=$D288,$A288&lt;&gt;""),"●","")</x:f>
      </x:c>
      <x:c r="BW288" s="165" t="str">
        <x:f>IF(AND(BW$5&gt;=$C288,BW$5&lt;=$D288,$A288&lt;&gt;""),"●","")</x:f>
      </x:c>
    </x:row>
    <x:row r="289">
      <x:c r="A289" s="159" t="str">
        <x:f>IF('รายการสัญญา'!A289="","",'รายการสัญญา'!A289)</x:f>
      </x:c>
      <x:c r="B289" s="159" t="str">
        <x:f>IF('รายการสัญญา'!A289="","",'รายการสัญญา'!C289)</x:f>
      </x:c>
      <x:c r="C289" s="162" t="str">
        <x:f>IF('รายการสัญญา'!A289="","",'รายการสัญญา'!E289)</x:f>
      </x:c>
      <x:c r="D289" s="162" t="str">
        <x:f>IF('รายการสัญญา'!A289="","",'รายการสัญญา'!G289)</x:f>
      </x:c>
      <x:c r="E289" s="159" t="str">
        <x:f>IF('รายการสัญญา'!A289="","",'รายการสัญญา'!K289)</x:f>
      </x:c>
      <x:c r="F289" s="165" t="str">
        <x:f>IF(AND(F$5&gt;=$C289,F$5&lt;=$D289,$A289&lt;&gt;""),"●","")</x:f>
      </x:c>
      <x:c r="G289" s="165" t="str">
        <x:f>IF(AND(G$5&gt;=$C289,G$5&lt;=$D289,$A289&lt;&gt;""),"●","")</x:f>
      </x:c>
      <x:c r="H289" s="165" t="str">
        <x:f>IF(AND(H$5&gt;=$C289,H$5&lt;=$D289,$A289&lt;&gt;""),"●","")</x:f>
      </x:c>
      <x:c r="I289" s="165" t="str">
        <x:f>IF(AND(I$5&gt;=$C289,I$5&lt;=$D289,$A289&lt;&gt;""),"●","")</x:f>
      </x:c>
      <x:c r="J289" s="165" t="str">
        <x:f>IF(AND(J$5&gt;=$C289,J$5&lt;=$D289,$A289&lt;&gt;""),"●","")</x:f>
      </x:c>
      <x:c r="K289" s="165" t="str">
        <x:f>IF(AND(K$5&gt;=$C289,K$5&lt;=$D289,$A289&lt;&gt;""),"●","")</x:f>
      </x:c>
      <x:c r="L289" s="165" t="str">
        <x:f>IF(AND(L$5&gt;=$C289,L$5&lt;=$D289,$A289&lt;&gt;""),"●","")</x:f>
      </x:c>
      <x:c r="M289" s="165" t="str">
        <x:f>IF(AND(M$5&gt;=$C289,M$5&lt;=$D289,$A289&lt;&gt;""),"●","")</x:f>
      </x:c>
      <x:c r="N289" s="165" t="str">
        <x:f>IF(AND(N$5&gt;=$C289,N$5&lt;=$D289,$A289&lt;&gt;""),"●","")</x:f>
      </x:c>
      <x:c r="O289" s="165" t="str">
        <x:f>IF(AND(O$5&gt;=$C289,O$5&lt;=$D289,$A289&lt;&gt;""),"●","")</x:f>
      </x:c>
      <x:c r="P289" s="165" t="str">
        <x:f>IF(AND(P$5&gt;=$C289,P$5&lt;=$D289,$A289&lt;&gt;""),"●","")</x:f>
      </x:c>
      <x:c r="Q289" s="165" t="str">
        <x:f>IF(AND(Q$5&gt;=$C289,Q$5&lt;=$D289,$A289&lt;&gt;""),"●","")</x:f>
      </x:c>
      <x:c r="R289" s="165" t="str">
        <x:f>IF(AND(R$5&gt;=$C289,R$5&lt;=$D289,$A289&lt;&gt;""),"●","")</x:f>
      </x:c>
      <x:c r="S289" s="165" t="str">
        <x:f>IF(AND(S$5&gt;=$C289,S$5&lt;=$D289,$A289&lt;&gt;""),"●","")</x:f>
      </x:c>
      <x:c r="T289" s="165" t="str">
        <x:f>IF(AND(T$5&gt;=$C289,T$5&lt;=$D289,$A289&lt;&gt;""),"●","")</x:f>
      </x:c>
      <x:c r="U289" s="165" t="str">
        <x:f>IF(AND(U$5&gt;=$C289,U$5&lt;=$D289,$A289&lt;&gt;""),"●","")</x:f>
      </x:c>
      <x:c r="V289" s="165" t="str">
        <x:f>IF(AND(V$5&gt;=$C289,V$5&lt;=$D289,$A289&lt;&gt;""),"●","")</x:f>
      </x:c>
      <x:c r="W289" s="165" t="str">
        <x:f>IF(AND(W$5&gt;=$C289,W$5&lt;=$D289,$A289&lt;&gt;""),"●","")</x:f>
      </x:c>
      <x:c r="X289" s="165" t="str">
        <x:f>IF(AND(X$5&gt;=$C289,X$5&lt;=$D289,$A289&lt;&gt;""),"●","")</x:f>
      </x:c>
      <x:c r="Y289" s="165" t="str">
        <x:f>IF(AND(Y$5&gt;=$C289,Y$5&lt;=$D289,$A289&lt;&gt;""),"●","")</x:f>
      </x:c>
      <x:c r="Z289" s="165" t="str">
        <x:f>IF(AND(Z$5&gt;=$C289,Z$5&lt;=$D289,$A289&lt;&gt;""),"●","")</x:f>
      </x:c>
      <x:c r="AA289" s="165" t="str">
        <x:f>IF(AND(AA$5&gt;=$C289,AA$5&lt;=$D289,$A289&lt;&gt;""),"●","")</x:f>
      </x:c>
      <x:c r="AB289" s="165" t="str">
        <x:f>IF(AND(AB$5&gt;=$C289,AB$5&lt;=$D289,$A289&lt;&gt;""),"●","")</x:f>
      </x:c>
      <x:c r="AC289" s="165" t="str">
        <x:f>IF(AND(AC$5&gt;=$C289,AC$5&lt;=$D289,$A289&lt;&gt;""),"●","")</x:f>
      </x:c>
      <x:c r="AD289" s="165" t="str">
        <x:f>IF(AND(AD$5&gt;=$C289,AD$5&lt;=$D289,$A289&lt;&gt;""),"●","")</x:f>
      </x:c>
      <x:c r="AE289" s="165" t="str">
        <x:f>IF(AND(AE$5&gt;=$C289,AE$5&lt;=$D289,$A289&lt;&gt;""),"●","")</x:f>
      </x:c>
      <x:c r="AF289" s="165" t="str">
        <x:f>IF(AND(AF$5&gt;=$C289,AF$5&lt;=$D289,$A289&lt;&gt;""),"●","")</x:f>
      </x:c>
      <x:c r="AG289" s="165" t="str">
        <x:f>IF(AND(AG$5&gt;=$C289,AG$5&lt;=$D289,$A289&lt;&gt;""),"●","")</x:f>
      </x:c>
      <x:c r="AH289" s="165" t="str">
        <x:f>IF(AND(AH$5&gt;=$C289,AH$5&lt;=$D289,$A289&lt;&gt;""),"●","")</x:f>
      </x:c>
      <x:c r="AI289" s="165" t="str">
        <x:f>IF(AND(AI$5&gt;=$C289,AI$5&lt;=$D289,$A289&lt;&gt;""),"●","")</x:f>
      </x:c>
      <x:c r="AJ289" s="165" t="str">
        <x:f>IF(AND(AJ$5&gt;=$C289,AJ$5&lt;=$D289,$A289&lt;&gt;""),"●","")</x:f>
      </x:c>
      <x:c r="AK289" s="165" t="str">
        <x:f>IF(AND(AK$5&gt;=$C289,AK$5&lt;=$D289,$A289&lt;&gt;""),"●","")</x:f>
      </x:c>
      <x:c r="AL289" s="165" t="str">
        <x:f>IF(AND(AL$5&gt;=$C289,AL$5&lt;=$D289,$A289&lt;&gt;""),"●","")</x:f>
      </x:c>
      <x:c r="AM289" s="165" t="str">
        <x:f>IF(AND(AM$5&gt;=$C289,AM$5&lt;=$D289,$A289&lt;&gt;""),"●","")</x:f>
      </x:c>
      <x:c r="AN289" s="165" t="str">
        <x:f>IF(AND(AN$5&gt;=$C289,AN$5&lt;=$D289,$A289&lt;&gt;""),"●","")</x:f>
      </x:c>
      <x:c r="AO289" s="165" t="str">
        <x:f>IF(AND(AO$5&gt;=$C289,AO$5&lt;=$D289,$A289&lt;&gt;""),"●","")</x:f>
      </x:c>
      <x:c r="AP289" s="165" t="str">
        <x:f>IF(AND(AP$5&gt;=$C289,AP$5&lt;=$D289,$A289&lt;&gt;""),"●","")</x:f>
      </x:c>
      <x:c r="AQ289" s="165" t="str">
        <x:f>IF(AND(AQ$5&gt;=$C289,AQ$5&lt;=$D289,$A289&lt;&gt;""),"●","")</x:f>
      </x:c>
      <x:c r="AR289" s="165" t="str">
        <x:f>IF(AND(AR$5&gt;=$C289,AR$5&lt;=$D289,$A289&lt;&gt;""),"●","")</x:f>
      </x:c>
      <x:c r="AS289" s="165" t="str">
        <x:f>IF(AND(AS$5&gt;=$C289,AS$5&lt;=$D289,$A289&lt;&gt;""),"●","")</x:f>
      </x:c>
      <x:c r="AT289" s="165" t="str">
        <x:f>IF(AND(AT$5&gt;=$C289,AT$5&lt;=$D289,$A289&lt;&gt;""),"●","")</x:f>
      </x:c>
      <x:c r="AU289" s="165" t="str">
        <x:f>IF(AND(AU$5&gt;=$C289,AU$5&lt;=$D289,$A289&lt;&gt;""),"●","")</x:f>
      </x:c>
      <x:c r="AV289" s="165" t="str">
        <x:f>IF(AND(AV$5&gt;=$C289,AV$5&lt;=$D289,$A289&lt;&gt;""),"●","")</x:f>
      </x:c>
      <x:c r="AW289" s="165" t="str">
        <x:f>IF(AND(AW$5&gt;=$C289,AW$5&lt;=$D289,$A289&lt;&gt;""),"●","")</x:f>
      </x:c>
      <x:c r="AX289" s="165" t="str">
        <x:f>IF(AND(AX$5&gt;=$C289,AX$5&lt;=$D289,$A289&lt;&gt;""),"●","")</x:f>
      </x:c>
      <x:c r="AY289" s="165" t="str">
        <x:f>IF(AND(AY$5&gt;=$C289,AY$5&lt;=$D289,$A289&lt;&gt;""),"●","")</x:f>
      </x:c>
      <x:c r="AZ289" s="165" t="str">
        <x:f>IF(AND(AZ$5&gt;=$C289,AZ$5&lt;=$D289,$A289&lt;&gt;""),"●","")</x:f>
      </x:c>
      <x:c r="BA289" s="165" t="str">
        <x:f>IF(AND(BA$5&gt;=$C289,BA$5&lt;=$D289,$A289&lt;&gt;""),"●","")</x:f>
      </x:c>
      <x:c r="BB289" s="165" t="str">
        <x:f>IF(AND(BB$5&gt;=$C289,BB$5&lt;=$D289,$A289&lt;&gt;""),"●","")</x:f>
      </x:c>
      <x:c r="BC289" s="165" t="str">
        <x:f>IF(AND(BC$5&gt;=$C289,BC$5&lt;=$D289,$A289&lt;&gt;""),"●","")</x:f>
      </x:c>
      <x:c r="BD289" s="165" t="str">
        <x:f>IF(AND(BD$5&gt;=$C289,BD$5&lt;=$D289,$A289&lt;&gt;""),"●","")</x:f>
      </x:c>
      <x:c r="BE289" s="165" t="str">
        <x:f>IF(AND(BE$5&gt;=$C289,BE$5&lt;=$D289,$A289&lt;&gt;""),"●","")</x:f>
      </x:c>
      <x:c r="BF289" s="165" t="str">
        <x:f>IF(AND(BF$5&gt;=$C289,BF$5&lt;=$D289,$A289&lt;&gt;""),"●","")</x:f>
      </x:c>
      <x:c r="BG289" s="165" t="str">
        <x:f>IF(AND(BG$5&gt;=$C289,BG$5&lt;=$D289,$A289&lt;&gt;""),"●","")</x:f>
      </x:c>
      <x:c r="BH289" s="165" t="str">
        <x:f>IF(AND(BH$5&gt;=$C289,BH$5&lt;=$D289,$A289&lt;&gt;""),"●","")</x:f>
      </x:c>
      <x:c r="BI289" s="165" t="str">
        <x:f>IF(AND(BI$5&gt;=$C289,BI$5&lt;=$D289,$A289&lt;&gt;""),"●","")</x:f>
      </x:c>
      <x:c r="BJ289" s="165" t="str">
        <x:f>IF(AND(BJ$5&gt;=$C289,BJ$5&lt;=$D289,$A289&lt;&gt;""),"●","")</x:f>
      </x:c>
      <x:c r="BK289" s="165" t="str">
        <x:f>IF(AND(BK$5&gt;=$C289,BK$5&lt;=$D289,$A289&lt;&gt;""),"●","")</x:f>
      </x:c>
      <x:c r="BL289" s="165" t="str">
        <x:f>IF(AND(BL$5&gt;=$C289,BL$5&lt;=$D289,$A289&lt;&gt;""),"●","")</x:f>
      </x:c>
      <x:c r="BM289" s="165" t="str">
        <x:f>IF(AND(BM$5&gt;=$C289,BM$5&lt;=$D289,$A289&lt;&gt;""),"●","")</x:f>
      </x:c>
      <x:c r="BN289" s="165" t="str">
        <x:f>IF(AND(BN$5&gt;=$C289,BN$5&lt;=$D289,$A289&lt;&gt;""),"●","")</x:f>
      </x:c>
      <x:c r="BO289" s="165" t="str">
        <x:f>IF(AND(BO$5&gt;=$C289,BO$5&lt;=$D289,$A289&lt;&gt;""),"●","")</x:f>
      </x:c>
      <x:c r="BP289" s="165" t="str">
        <x:f>IF(AND(BP$5&gt;=$C289,BP$5&lt;=$D289,$A289&lt;&gt;""),"●","")</x:f>
      </x:c>
      <x:c r="BQ289" s="165" t="str">
        <x:f>IF(AND(BQ$5&gt;=$C289,BQ$5&lt;=$D289,$A289&lt;&gt;""),"●","")</x:f>
      </x:c>
      <x:c r="BR289" s="165" t="str">
        <x:f>IF(AND(BR$5&gt;=$C289,BR$5&lt;=$D289,$A289&lt;&gt;""),"●","")</x:f>
      </x:c>
      <x:c r="BS289" s="165" t="str">
        <x:f>IF(AND(BS$5&gt;=$C289,BS$5&lt;=$D289,$A289&lt;&gt;""),"●","")</x:f>
      </x:c>
      <x:c r="BT289" s="165" t="str">
        <x:f>IF(AND(BT$5&gt;=$C289,BT$5&lt;=$D289,$A289&lt;&gt;""),"●","")</x:f>
      </x:c>
      <x:c r="BU289" s="165" t="str">
        <x:f>IF(AND(BU$5&gt;=$C289,BU$5&lt;=$D289,$A289&lt;&gt;""),"●","")</x:f>
      </x:c>
      <x:c r="BV289" s="165" t="str">
        <x:f>IF(AND(BV$5&gt;=$C289,BV$5&lt;=$D289,$A289&lt;&gt;""),"●","")</x:f>
      </x:c>
      <x:c r="BW289" s="165" t="str">
        <x:f>IF(AND(BW$5&gt;=$C289,BW$5&lt;=$D289,$A289&lt;&gt;""),"●","")</x:f>
      </x:c>
    </x:row>
    <x:row r="290">
      <x:c r="A290" s="159" t="str">
        <x:f>IF('รายการสัญญา'!A290="","",'รายการสัญญา'!A290)</x:f>
      </x:c>
      <x:c r="B290" s="159" t="str">
        <x:f>IF('รายการสัญญา'!A290="","",'รายการสัญญา'!C290)</x:f>
      </x:c>
      <x:c r="C290" s="162" t="str">
        <x:f>IF('รายการสัญญา'!A290="","",'รายการสัญญา'!E290)</x:f>
      </x:c>
      <x:c r="D290" s="162" t="str">
        <x:f>IF('รายการสัญญา'!A290="","",'รายการสัญญา'!G290)</x:f>
      </x:c>
      <x:c r="E290" s="159" t="str">
        <x:f>IF('รายการสัญญา'!A290="","",'รายการสัญญา'!K290)</x:f>
      </x:c>
      <x:c r="F290" s="165" t="str">
        <x:f>IF(AND(F$5&gt;=$C290,F$5&lt;=$D290,$A290&lt;&gt;""),"●","")</x:f>
      </x:c>
      <x:c r="G290" s="165" t="str">
        <x:f>IF(AND(G$5&gt;=$C290,G$5&lt;=$D290,$A290&lt;&gt;""),"●","")</x:f>
      </x:c>
      <x:c r="H290" s="165" t="str">
        <x:f>IF(AND(H$5&gt;=$C290,H$5&lt;=$D290,$A290&lt;&gt;""),"●","")</x:f>
      </x:c>
      <x:c r="I290" s="165" t="str">
        <x:f>IF(AND(I$5&gt;=$C290,I$5&lt;=$D290,$A290&lt;&gt;""),"●","")</x:f>
      </x:c>
      <x:c r="J290" s="165" t="str">
        <x:f>IF(AND(J$5&gt;=$C290,J$5&lt;=$D290,$A290&lt;&gt;""),"●","")</x:f>
      </x:c>
      <x:c r="K290" s="165" t="str">
        <x:f>IF(AND(K$5&gt;=$C290,K$5&lt;=$D290,$A290&lt;&gt;""),"●","")</x:f>
      </x:c>
      <x:c r="L290" s="165" t="str">
        <x:f>IF(AND(L$5&gt;=$C290,L$5&lt;=$D290,$A290&lt;&gt;""),"●","")</x:f>
      </x:c>
      <x:c r="M290" s="165" t="str">
        <x:f>IF(AND(M$5&gt;=$C290,M$5&lt;=$D290,$A290&lt;&gt;""),"●","")</x:f>
      </x:c>
      <x:c r="N290" s="165" t="str">
        <x:f>IF(AND(N$5&gt;=$C290,N$5&lt;=$D290,$A290&lt;&gt;""),"●","")</x:f>
      </x:c>
      <x:c r="O290" s="165" t="str">
        <x:f>IF(AND(O$5&gt;=$C290,O$5&lt;=$D290,$A290&lt;&gt;""),"●","")</x:f>
      </x:c>
      <x:c r="P290" s="165" t="str">
        <x:f>IF(AND(P$5&gt;=$C290,P$5&lt;=$D290,$A290&lt;&gt;""),"●","")</x:f>
      </x:c>
      <x:c r="Q290" s="165" t="str">
        <x:f>IF(AND(Q$5&gt;=$C290,Q$5&lt;=$D290,$A290&lt;&gt;""),"●","")</x:f>
      </x:c>
      <x:c r="R290" s="165" t="str">
        <x:f>IF(AND(R$5&gt;=$C290,R$5&lt;=$D290,$A290&lt;&gt;""),"●","")</x:f>
      </x:c>
      <x:c r="S290" s="165" t="str">
        <x:f>IF(AND(S$5&gt;=$C290,S$5&lt;=$D290,$A290&lt;&gt;""),"●","")</x:f>
      </x:c>
      <x:c r="T290" s="165" t="str">
        <x:f>IF(AND(T$5&gt;=$C290,T$5&lt;=$D290,$A290&lt;&gt;""),"●","")</x:f>
      </x:c>
      <x:c r="U290" s="165" t="str">
        <x:f>IF(AND(U$5&gt;=$C290,U$5&lt;=$D290,$A290&lt;&gt;""),"●","")</x:f>
      </x:c>
      <x:c r="V290" s="165" t="str">
        <x:f>IF(AND(V$5&gt;=$C290,V$5&lt;=$D290,$A290&lt;&gt;""),"●","")</x:f>
      </x:c>
      <x:c r="W290" s="165" t="str">
        <x:f>IF(AND(W$5&gt;=$C290,W$5&lt;=$D290,$A290&lt;&gt;""),"●","")</x:f>
      </x:c>
      <x:c r="X290" s="165" t="str">
        <x:f>IF(AND(X$5&gt;=$C290,X$5&lt;=$D290,$A290&lt;&gt;""),"●","")</x:f>
      </x:c>
      <x:c r="Y290" s="165" t="str">
        <x:f>IF(AND(Y$5&gt;=$C290,Y$5&lt;=$D290,$A290&lt;&gt;""),"●","")</x:f>
      </x:c>
      <x:c r="Z290" s="165" t="str">
        <x:f>IF(AND(Z$5&gt;=$C290,Z$5&lt;=$D290,$A290&lt;&gt;""),"●","")</x:f>
      </x:c>
      <x:c r="AA290" s="165" t="str">
        <x:f>IF(AND(AA$5&gt;=$C290,AA$5&lt;=$D290,$A290&lt;&gt;""),"●","")</x:f>
      </x:c>
      <x:c r="AB290" s="165" t="str">
        <x:f>IF(AND(AB$5&gt;=$C290,AB$5&lt;=$D290,$A290&lt;&gt;""),"●","")</x:f>
      </x:c>
      <x:c r="AC290" s="165" t="str">
        <x:f>IF(AND(AC$5&gt;=$C290,AC$5&lt;=$D290,$A290&lt;&gt;""),"●","")</x:f>
      </x:c>
      <x:c r="AD290" s="165" t="str">
        <x:f>IF(AND(AD$5&gt;=$C290,AD$5&lt;=$D290,$A290&lt;&gt;""),"●","")</x:f>
      </x:c>
      <x:c r="AE290" s="165" t="str">
        <x:f>IF(AND(AE$5&gt;=$C290,AE$5&lt;=$D290,$A290&lt;&gt;""),"●","")</x:f>
      </x:c>
      <x:c r="AF290" s="165" t="str">
        <x:f>IF(AND(AF$5&gt;=$C290,AF$5&lt;=$D290,$A290&lt;&gt;""),"●","")</x:f>
      </x:c>
      <x:c r="AG290" s="165" t="str">
        <x:f>IF(AND(AG$5&gt;=$C290,AG$5&lt;=$D290,$A290&lt;&gt;""),"●","")</x:f>
      </x:c>
      <x:c r="AH290" s="165" t="str">
        <x:f>IF(AND(AH$5&gt;=$C290,AH$5&lt;=$D290,$A290&lt;&gt;""),"●","")</x:f>
      </x:c>
      <x:c r="AI290" s="165" t="str">
        <x:f>IF(AND(AI$5&gt;=$C290,AI$5&lt;=$D290,$A290&lt;&gt;""),"●","")</x:f>
      </x:c>
      <x:c r="AJ290" s="165" t="str">
        <x:f>IF(AND(AJ$5&gt;=$C290,AJ$5&lt;=$D290,$A290&lt;&gt;""),"●","")</x:f>
      </x:c>
      <x:c r="AK290" s="165" t="str">
        <x:f>IF(AND(AK$5&gt;=$C290,AK$5&lt;=$D290,$A290&lt;&gt;""),"●","")</x:f>
      </x:c>
      <x:c r="AL290" s="165" t="str">
        <x:f>IF(AND(AL$5&gt;=$C290,AL$5&lt;=$D290,$A290&lt;&gt;""),"●","")</x:f>
      </x:c>
      <x:c r="AM290" s="165" t="str">
        <x:f>IF(AND(AM$5&gt;=$C290,AM$5&lt;=$D290,$A290&lt;&gt;""),"●","")</x:f>
      </x:c>
      <x:c r="AN290" s="165" t="str">
        <x:f>IF(AND(AN$5&gt;=$C290,AN$5&lt;=$D290,$A290&lt;&gt;""),"●","")</x:f>
      </x:c>
      <x:c r="AO290" s="165" t="str">
        <x:f>IF(AND(AO$5&gt;=$C290,AO$5&lt;=$D290,$A290&lt;&gt;""),"●","")</x:f>
      </x:c>
      <x:c r="AP290" s="165" t="str">
        <x:f>IF(AND(AP$5&gt;=$C290,AP$5&lt;=$D290,$A290&lt;&gt;""),"●","")</x:f>
      </x:c>
      <x:c r="AQ290" s="165" t="str">
        <x:f>IF(AND(AQ$5&gt;=$C290,AQ$5&lt;=$D290,$A290&lt;&gt;""),"●","")</x:f>
      </x:c>
      <x:c r="AR290" s="165" t="str">
        <x:f>IF(AND(AR$5&gt;=$C290,AR$5&lt;=$D290,$A290&lt;&gt;""),"●","")</x:f>
      </x:c>
      <x:c r="AS290" s="165" t="str">
        <x:f>IF(AND(AS$5&gt;=$C290,AS$5&lt;=$D290,$A290&lt;&gt;""),"●","")</x:f>
      </x:c>
      <x:c r="AT290" s="165" t="str">
        <x:f>IF(AND(AT$5&gt;=$C290,AT$5&lt;=$D290,$A290&lt;&gt;""),"●","")</x:f>
      </x:c>
      <x:c r="AU290" s="165" t="str">
        <x:f>IF(AND(AU$5&gt;=$C290,AU$5&lt;=$D290,$A290&lt;&gt;""),"●","")</x:f>
      </x:c>
      <x:c r="AV290" s="165" t="str">
        <x:f>IF(AND(AV$5&gt;=$C290,AV$5&lt;=$D290,$A290&lt;&gt;""),"●","")</x:f>
      </x:c>
      <x:c r="AW290" s="165" t="str">
        <x:f>IF(AND(AW$5&gt;=$C290,AW$5&lt;=$D290,$A290&lt;&gt;""),"●","")</x:f>
      </x:c>
      <x:c r="AX290" s="165" t="str">
        <x:f>IF(AND(AX$5&gt;=$C290,AX$5&lt;=$D290,$A290&lt;&gt;""),"●","")</x:f>
      </x:c>
      <x:c r="AY290" s="165" t="str">
        <x:f>IF(AND(AY$5&gt;=$C290,AY$5&lt;=$D290,$A290&lt;&gt;""),"●","")</x:f>
      </x:c>
      <x:c r="AZ290" s="165" t="str">
        <x:f>IF(AND(AZ$5&gt;=$C290,AZ$5&lt;=$D290,$A290&lt;&gt;""),"●","")</x:f>
      </x:c>
      <x:c r="BA290" s="165" t="str">
        <x:f>IF(AND(BA$5&gt;=$C290,BA$5&lt;=$D290,$A290&lt;&gt;""),"●","")</x:f>
      </x:c>
      <x:c r="BB290" s="165" t="str">
        <x:f>IF(AND(BB$5&gt;=$C290,BB$5&lt;=$D290,$A290&lt;&gt;""),"●","")</x:f>
      </x:c>
      <x:c r="BC290" s="165" t="str">
        <x:f>IF(AND(BC$5&gt;=$C290,BC$5&lt;=$D290,$A290&lt;&gt;""),"●","")</x:f>
      </x:c>
      <x:c r="BD290" s="165" t="str">
        <x:f>IF(AND(BD$5&gt;=$C290,BD$5&lt;=$D290,$A290&lt;&gt;""),"●","")</x:f>
      </x:c>
      <x:c r="BE290" s="165" t="str">
        <x:f>IF(AND(BE$5&gt;=$C290,BE$5&lt;=$D290,$A290&lt;&gt;""),"●","")</x:f>
      </x:c>
      <x:c r="BF290" s="165" t="str">
        <x:f>IF(AND(BF$5&gt;=$C290,BF$5&lt;=$D290,$A290&lt;&gt;""),"●","")</x:f>
      </x:c>
      <x:c r="BG290" s="165" t="str">
        <x:f>IF(AND(BG$5&gt;=$C290,BG$5&lt;=$D290,$A290&lt;&gt;""),"●","")</x:f>
      </x:c>
      <x:c r="BH290" s="165" t="str">
        <x:f>IF(AND(BH$5&gt;=$C290,BH$5&lt;=$D290,$A290&lt;&gt;""),"●","")</x:f>
      </x:c>
      <x:c r="BI290" s="165" t="str">
        <x:f>IF(AND(BI$5&gt;=$C290,BI$5&lt;=$D290,$A290&lt;&gt;""),"●","")</x:f>
      </x:c>
      <x:c r="BJ290" s="165" t="str">
        <x:f>IF(AND(BJ$5&gt;=$C290,BJ$5&lt;=$D290,$A290&lt;&gt;""),"●","")</x:f>
      </x:c>
      <x:c r="BK290" s="165" t="str">
        <x:f>IF(AND(BK$5&gt;=$C290,BK$5&lt;=$D290,$A290&lt;&gt;""),"●","")</x:f>
      </x:c>
      <x:c r="BL290" s="165" t="str">
        <x:f>IF(AND(BL$5&gt;=$C290,BL$5&lt;=$D290,$A290&lt;&gt;""),"●","")</x:f>
      </x:c>
      <x:c r="BM290" s="165" t="str">
        <x:f>IF(AND(BM$5&gt;=$C290,BM$5&lt;=$D290,$A290&lt;&gt;""),"●","")</x:f>
      </x:c>
      <x:c r="BN290" s="165" t="str">
        <x:f>IF(AND(BN$5&gt;=$C290,BN$5&lt;=$D290,$A290&lt;&gt;""),"●","")</x:f>
      </x:c>
      <x:c r="BO290" s="165" t="str">
        <x:f>IF(AND(BO$5&gt;=$C290,BO$5&lt;=$D290,$A290&lt;&gt;""),"●","")</x:f>
      </x:c>
      <x:c r="BP290" s="165" t="str">
        <x:f>IF(AND(BP$5&gt;=$C290,BP$5&lt;=$D290,$A290&lt;&gt;""),"●","")</x:f>
      </x:c>
      <x:c r="BQ290" s="165" t="str">
        <x:f>IF(AND(BQ$5&gt;=$C290,BQ$5&lt;=$D290,$A290&lt;&gt;""),"●","")</x:f>
      </x:c>
      <x:c r="BR290" s="165" t="str">
        <x:f>IF(AND(BR$5&gt;=$C290,BR$5&lt;=$D290,$A290&lt;&gt;""),"●","")</x:f>
      </x:c>
      <x:c r="BS290" s="165" t="str">
        <x:f>IF(AND(BS$5&gt;=$C290,BS$5&lt;=$D290,$A290&lt;&gt;""),"●","")</x:f>
      </x:c>
      <x:c r="BT290" s="165" t="str">
        <x:f>IF(AND(BT$5&gt;=$C290,BT$5&lt;=$D290,$A290&lt;&gt;""),"●","")</x:f>
      </x:c>
      <x:c r="BU290" s="165" t="str">
        <x:f>IF(AND(BU$5&gt;=$C290,BU$5&lt;=$D290,$A290&lt;&gt;""),"●","")</x:f>
      </x:c>
      <x:c r="BV290" s="165" t="str">
        <x:f>IF(AND(BV$5&gt;=$C290,BV$5&lt;=$D290,$A290&lt;&gt;""),"●","")</x:f>
      </x:c>
      <x:c r="BW290" s="165" t="str">
        <x:f>IF(AND(BW$5&gt;=$C290,BW$5&lt;=$D290,$A290&lt;&gt;""),"●","")</x:f>
      </x:c>
    </x:row>
    <x:row r="291">
      <x:c r="A291" s="159" t="str">
        <x:f>IF('รายการสัญญา'!A291="","",'รายการสัญญา'!A291)</x:f>
      </x:c>
      <x:c r="B291" s="159" t="str">
        <x:f>IF('รายการสัญญา'!A291="","",'รายการสัญญา'!C291)</x:f>
      </x:c>
      <x:c r="C291" s="162" t="str">
        <x:f>IF('รายการสัญญา'!A291="","",'รายการสัญญา'!E291)</x:f>
      </x:c>
      <x:c r="D291" s="162" t="str">
        <x:f>IF('รายการสัญญา'!A291="","",'รายการสัญญา'!G291)</x:f>
      </x:c>
      <x:c r="E291" s="159" t="str">
        <x:f>IF('รายการสัญญา'!A291="","",'รายการสัญญา'!K291)</x:f>
      </x:c>
      <x:c r="F291" s="165" t="str">
        <x:f>IF(AND(F$5&gt;=$C291,F$5&lt;=$D291,$A291&lt;&gt;""),"●","")</x:f>
      </x:c>
      <x:c r="G291" s="165" t="str">
        <x:f>IF(AND(G$5&gt;=$C291,G$5&lt;=$D291,$A291&lt;&gt;""),"●","")</x:f>
      </x:c>
      <x:c r="H291" s="165" t="str">
        <x:f>IF(AND(H$5&gt;=$C291,H$5&lt;=$D291,$A291&lt;&gt;""),"●","")</x:f>
      </x:c>
      <x:c r="I291" s="165" t="str">
        <x:f>IF(AND(I$5&gt;=$C291,I$5&lt;=$D291,$A291&lt;&gt;""),"●","")</x:f>
      </x:c>
      <x:c r="J291" s="165" t="str">
        <x:f>IF(AND(J$5&gt;=$C291,J$5&lt;=$D291,$A291&lt;&gt;""),"●","")</x:f>
      </x:c>
      <x:c r="K291" s="165" t="str">
        <x:f>IF(AND(K$5&gt;=$C291,K$5&lt;=$D291,$A291&lt;&gt;""),"●","")</x:f>
      </x:c>
      <x:c r="L291" s="165" t="str">
        <x:f>IF(AND(L$5&gt;=$C291,L$5&lt;=$D291,$A291&lt;&gt;""),"●","")</x:f>
      </x:c>
      <x:c r="M291" s="165" t="str">
        <x:f>IF(AND(M$5&gt;=$C291,M$5&lt;=$D291,$A291&lt;&gt;""),"●","")</x:f>
      </x:c>
      <x:c r="N291" s="165" t="str">
        <x:f>IF(AND(N$5&gt;=$C291,N$5&lt;=$D291,$A291&lt;&gt;""),"●","")</x:f>
      </x:c>
      <x:c r="O291" s="165" t="str">
        <x:f>IF(AND(O$5&gt;=$C291,O$5&lt;=$D291,$A291&lt;&gt;""),"●","")</x:f>
      </x:c>
      <x:c r="P291" s="165" t="str">
        <x:f>IF(AND(P$5&gt;=$C291,P$5&lt;=$D291,$A291&lt;&gt;""),"●","")</x:f>
      </x:c>
      <x:c r="Q291" s="165" t="str">
        <x:f>IF(AND(Q$5&gt;=$C291,Q$5&lt;=$D291,$A291&lt;&gt;""),"●","")</x:f>
      </x:c>
      <x:c r="R291" s="165" t="str">
        <x:f>IF(AND(R$5&gt;=$C291,R$5&lt;=$D291,$A291&lt;&gt;""),"●","")</x:f>
      </x:c>
      <x:c r="S291" s="165" t="str">
        <x:f>IF(AND(S$5&gt;=$C291,S$5&lt;=$D291,$A291&lt;&gt;""),"●","")</x:f>
      </x:c>
      <x:c r="T291" s="165" t="str">
        <x:f>IF(AND(T$5&gt;=$C291,T$5&lt;=$D291,$A291&lt;&gt;""),"●","")</x:f>
      </x:c>
      <x:c r="U291" s="165" t="str">
        <x:f>IF(AND(U$5&gt;=$C291,U$5&lt;=$D291,$A291&lt;&gt;""),"●","")</x:f>
      </x:c>
      <x:c r="V291" s="165" t="str">
        <x:f>IF(AND(V$5&gt;=$C291,V$5&lt;=$D291,$A291&lt;&gt;""),"●","")</x:f>
      </x:c>
      <x:c r="W291" s="165" t="str">
        <x:f>IF(AND(W$5&gt;=$C291,W$5&lt;=$D291,$A291&lt;&gt;""),"●","")</x:f>
      </x:c>
      <x:c r="X291" s="165" t="str">
        <x:f>IF(AND(X$5&gt;=$C291,X$5&lt;=$D291,$A291&lt;&gt;""),"●","")</x:f>
      </x:c>
      <x:c r="Y291" s="165" t="str">
        <x:f>IF(AND(Y$5&gt;=$C291,Y$5&lt;=$D291,$A291&lt;&gt;""),"●","")</x:f>
      </x:c>
      <x:c r="Z291" s="165" t="str">
        <x:f>IF(AND(Z$5&gt;=$C291,Z$5&lt;=$D291,$A291&lt;&gt;""),"●","")</x:f>
      </x:c>
      <x:c r="AA291" s="165" t="str">
        <x:f>IF(AND(AA$5&gt;=$C291,AA$5&lt;=$D291,$A291&lt;&gt;""),"●","")</x:f>
      </x:c>
      <x:c r="AB291" s="165" t="str">
        <x:f>IF(AND(AB$5&gt;=$C291,AB$5&lt;=$D291,$A291&lt;&gt;""),"●","")</x:f>
      </x:c>
      <x:c r="AC291" s="165" t="str">
        <x:f>IF(AND(AC$5&gt;=$C291,AC$5&lt;=$D291,$A291&lt;&gt;""),"●","")</x:f>
      </x:c>
      <x:c r="AD291" s="165" t="str">
        <x:f>IF(AND(AD$5&gt;=$C291,AD$5&lt;=$D291,$A291&lt;&gt;""),"●","")</x:f>
      </x:c>
      <x:c r="AE291" s="165" t="str">
        <x:f>IF(AND(AE$5&gt;=$C291,AE$5&lt;=$D291,$A291&lt;&gt;""),"●","")</x:f>
      </x:c>
      <x:c r="AF291" s="165" t="str">
        <x:f>IF(AND(AF$5&gt;=$C291,AF$5&lt;=$D291,$A291&lt;&gt;""),"●","")</x:f>
      </x:c>
      <x:c r="AG291" s="165" t="str">
        <x:f>IF(AND(AG$5&gt;=$C291,AG$5&lt;=$D291,$A291&lt;&gt;""),"●","")</x:f>
      </x:c>
      <x:c r="AH291" s="165" t="str">
        <x:f>IF(AND(AH$5&gt;=$C291,AH$5&lt;=$D291,$A291&lt;&gt;""),"●","")</x:f>
      </x:c>
      <x:c r="AI291" s="165" t="str">
        <x:f>IF(AND(AI$5&gt;=$C291,AI$5&lt;=$D291,$A291&lt;&gt;""),"●","")</x:f>
      </x:c>
      <x:c r="AJ291" s="165" t="str">
        <x:f>IF(AND(AJ$5&gt;=$C291,AJ$5&lt;=$D291,$A291&lt;&gt;""),"●","")</x:f>
      </x:c>
      <x:c r="AK291" s="165" t="str">
        <x:f>IF(AND(AK$5&gt;=$C291,AK$5&lt;=$D291,$A291&lt;&gt;""),"●","")</x:f>
      </x:c>
      <x:c r="AL291" s="165" t="str">
        <x:f>IF(AND(AL$5&gt;=$C291,AL$5&lt;=$D291,$A291&lt;&gt;""),"●","")</x:f>
      </x:c>
      <x:c r="AM291" s="165" t="str">
        <x:f>IF(AND(AM$5&gt;=$C291,AM$5&lt;=$D291,$A291&lt;&gt;""),"●","")</x:f>
      </x:c>
      <x:c r="AN291" s="165" t="str">
        <x:f>IF(AND(AN$5&gt;=$C291,AN$5&lt;=$D291,$A291&lt;&gt;""),"●","")</x:f>
      </x:c>
      <x:c r="AO291" s="165" t="str">
        <x:f>IF(AND(AO$5&gt;=$C291,AO$5&lt;=$D291,$A291&lt;&gt;""),"●","")</x:f>
      </x:c>
      <x:c r="AP291" s="165" t="str">
        <x:f>IF(AND(AP$5&gt;=$C291,AP$5&lt;=$D291,$A291&lt;&gt;""),"●","")</x:f>
      </x:c>
      <x:c r="AQ291" s="165" t="str">
        <x:f>IF(AND(AQ$5&gt;=$C291,AQ$5&lt;=$D291,$A291&lt;&gt;""),"●","")</x:f>
      </x:c>
      <x:c r="AR291" s="165" t="str">
        <x:f>IF(AND(AR$5&gt;=$C291,AR$5&lt;=$D291,$A291&lt;&gt;""),"●","")</x:f>
      </x:c>
      <x:c r="AS291" s="165" t="str">
        <x:f>IF(AND(AS$5&gt;=$C291,AS$5&lt;=$D291,$A291&lt;&gt;""),"●","")</x:f>
      </x:c>
      <x:c r="AT291" s="165" t="str">
        <x:f>IF(AND(AT$5&gt;=$C291,AT$5&lt;=$D291,$A291&lt;&gt;""),"●","")</x:f>
      </x:c>
      <x:c r="AU291" s="165" t="str">
        <x:f>IF(AND(AU$5&gt;=$C291,AU$5&lt;=$D291,$A291&lt;&gt;""),"●","")</x:f>
      </x:c>
      <x:c r="AV291" s="165" t="str">
        <x:f>IF(AND(AV$5&gt;=$C291,AV$5&lt;=$D291,$A291&lt;&gt;""),"●","")</x:f>
      </x:c>
      <x:c r="AW291" s="165" t="str">
        <x:f>IF(AND(AW$5&gt;=$C291,AW$5&lt;=$D291,$A291&lt;&gt;""),"●","")</x:f>
      </x:c>
      <x:c r="AX291" s="165" t="str">
        <x:f>IF(AND(AX$5&gt;=$C291,AX$5&lt;=$D291,$A291&lt;&gt;""),"●","")</x:f>
      </x:c>
      <x:c r="AY291" s="165" t="str">
        <x:f>IF(AND(AY$5&gt;=$C291,AY$5&lt;=$D291,$A291&lt;&gt;""),"●","")</x:f>
      </x:c>
      <x:c r="AZ291" s="165" t="str">
        <x:f>IF(AND(AZ$5&gt;=$C291,AZ$5&lt;=$D291,$A291&lt;&gt;""),"●","")</x:f>
      </x:c>
      <x:c r="BA291" s="165" t="str">
        <x:f>IF(AND(BA$5&gt;=$C291,BA$5&lt;=$D291,$A291&lt;&gt;""),"●","")</x:f>
      </x:c>
      <x:c r="BB291" s="165" t="str">
        <x:f>IF(AND(BB$5&gt;=$C291,BB$5&lt;=$D291,$A291&lt;&gt;""),"●","")</x:f>
      </x:c>
      <x:c r="BC291" s="165" t="str">
        <x:f>IF(AND(BC$5&gt;=$C291,BC$5&lt;=$D291,$A291&lt;&gt;""),"●","")</x:f>
      </x:c>
      <x:c r="BD291" s="165" t="str">
        <x:f>IF(AND(BD$5&gt;=$C291,BD$5&lt;=$D291,$A291&lt;&gt;""),"●","")</x:f>
      </x:c>
      <x:c r="BE291" s="165" t="str">
        <x:f>IF(AND(BE$5&gt;=$C291,BE$5&lt;=$D291,$A291&lt;&gt;""),"●","")</x:f>
      </x:c>
      <x:c r="BF291" s="165" t="str">
        <x:f>IF(AND(BF$5&gt;=$C291,BF$5&lt;=$D291,$A291&lt;&gt;""),"●","")</x:f>
      </x:c>
      <x:c r="BG291" s="165" t="str">
        <x:f>IF(AND(BG$5&gt;=$C291,BG$5&lt;=$D291,$A291&lt;&gt;""),"●","")</x:f>
      </x:c>
      <x:c r="BH291" s="165" t="str">
        <x:f>IF(AND(BH$5&gt;=$C291,BH$5&lt;=$D291,$A291&lt;&gt;""),"●","")</x:f>
      </x:c>
      <x:c r="BI291" s="165" t="str">
        <x:f>IF(AND(BI$5&gt;=$C291,BI$5&lt;=$D291,$A291&lt;&gt;""),"●","")</x:f>
      </x:c>
      <x:c r="BJ291" s="165" t="str">
        <x:f>IF(AND(BJ$5&gt;=$C291,BJ$5&lt;=$D291,$A291&lt;&gt;""),"●","")</x:f>
      </x:c>
      <x:c r="BK291" s="165" t="str">
        <x:f>IF(AND(BK$5&gt;=$C291,BK$5&lt;=$D291,$A291&lt;&gt;""),"●","")</x:f>
      </x:c>
      <x:c r="BL291" s="165" t="str">
        <x:f>IF(AND(BL$5&gt;=$C291,BL$5&lt;=$D291,$A291&lt;&gt;""),"●","")</x:f>
      </x:c>
      <x:c r="BM291" s="165" t="str">
        <x:f>IF(AND(BM$5&gt;=$C291,BM$5&lt;=$D291,$A291&lt;&gt;""),"●","")</x:f>
      </x:c>
      <x:c r="BN291" s="165" t="str">
        <x:f>IF(AND(BN$5&gt;=$C291,BN$5&lt;=$D291,$A291&lt;&gt;""),"●","")</x:f>
      </x:c>
      <x:c r="BO291" s="165" t="str">
        <x:f>IF(AND(BO$5&gt;=$C291,BO$5&lt;=$D291,$A291&lt;&gt;""),"●","")</x:f>
      </x:c>
      <x:c r="BP291" s="165" t="str">
        <x:f>IF(AND(BP$5&gt;=$C291,BP$5&lt;=$D291,$A291&lt;&gt;""),"●","")</x:f>
      </x:c>
      <x:c r="BQ291" s="165" t="str">
        <x:f>IF(AND(BQ$5&gt;=$C291,BQ$5&lt;=$D291,$A291&lt;&gt;""),"●","")</x:f>
      </x:c>
      <x:c r="BR291" s="165" t="str">
        <x:f>IF(AND(BR$5&gt;=$C291,BR$5&lt;=$D291,$A291&lt;&gt;""),"●","")</x:f>
      </x:c>
      <x:c r="BS291" s="165" t="str">
        <x:f>IF(AND(BS$5&gt;=$C291,BS$5&lt;=$D291,$A291&lt;&gt;""),"●","")</x:f>
      </x:c>
      <x:c r="BT291" s="165" t="str">
        <x:f>IF(AND(BT$5&gt;=$C291,BT$5&lt;=$D291,$A291&lt;&gt;""),"●","")</x:f>
      </x:c>
      <x:c r="BU291" s="165" t="str">
        <x:f>IF(AND(BU$5&gt;=$C291,BU$5&lt;=$D291,$A291&lt;&gt;""),"●","")</x:f>
      </x:c>
      <x:c r="BV291" s="165" t="str">
        <x:f>IF(AND(BV$5&gt;=$C291,BV$5&lt;=$D291,$A291&lt;&gt;""),"●","")</x:f>
      </x:c>
      <x:c r="BW291" s="165" t="str">
        <x:f>IF(AND(BW$5&gt;=$C291,BW$5&lt;=$D291,$A291&lt;&gt;""),"●","")</x:f>
      </x:c>
    </x:row>
    <x:row r="292">
      <x:c r="A292" s="159" t="str">
        <x:f>IF('รายการสัญญา'!A292="","",'รายการสัญญา'!A292)</x:f>
      </x:c>
      <x:c r="B292" s="159" t="str">
        <x:f>IF('รายการสัญญา'!A292="","",'รายการสัญญา'!C292)</x:f>
      </x:c>
      <x:c r="C292" s="162" t="str">
        <x:f>IF('รายการสัญญา'!A292="","",'รายการสัญญา'!E292)</x:f>
      </x:c>
      <x:c r="D292" s="162" t="str">
        <x:f>IF('รายการสัญญา'!A292="","",'รายการสัญญา'!G292)</x:f>
      </x:c>
      <x:c r="E292" s="159" t="str">
        <x:f>IF('รายการสัญญา'!A292="","",'รายการสัญญา'!K292)</x:f>
      </x:c>
      <x:c r="F292" s="165" t="str">
        <x:f>IF(AND(F$5&gt;=$C292,F$5&lt;=$D292,$A292&lt;&gt;""),"●","")</x:f>
      </x:c>
      <x:c r="G292" s="165" t="str">
        <x:f>IF(AND(G$5&gt;=$C292,G$5&lt;=$D292,$A292&lt;&gt;""),"●","")</x:f>
      </x:c>
      <x:c r="H292" s="165" t="str">
        <x:f>IF(AND(H$5&gt;=$C292,H$5&lt;=$D292,$A292&lt;&gt;""),"●","")</x:f>
      </x:c>
      <x:c r="I292" s="165" t="str">
        <x:f>IF(AND(I$5&gt;=$C292,I$5&lt;=$D292,$A292&lt;&gt;""),"●","")</x:f>
      </x:c>
      <x:c r="J292" s="165" t="str">
        <x:f>IF(AND(J$5&gt;=$C292,J$5&lt;=$D292,$A292&lt;&gt;""),"●","")</x:f>
      </x:c>
      <x:c r="K292" s="165" t="str">
        <x:f>IF(AND(K$5&gt;=$C292,K$5&lt;=$D292,$A292&lt;&gt;""),"●","")</x:f>
      </x:c>
      <x:c r="L292" s="165" t="str">
        <x:f>IF(AND(L$5&gt;=$C292,L$5&lt;=$D292,$A292&lt;&gt;""),"●","")</x:f>
      </x:c>
      <x:c r="M292" s="165" t="str">
        <x:f>IF(AND(M$5&gt;=$C292,M$5&lt;=$D292,$A292&lt;&gt;""),"●","")</x:f>
      </x:c>
      <x:c r="N292" s="165" t="str">
        <x:f>IF(AND(N$5&gt;=$C292,N$5&lt;=$D292,$A292&lt;&gt;""),"●","")</x:f>
      </x:c>
      <x:c r="O292" s="165" t="str">
        <x:f>IF(AND(O$5&gt;=$C292,O$5&lt;=$D292,$A292&lt;&gt;""),"●","")</x:f>
      </x:c>
      <x:c r="P292" s="165" t="str">
        <x:f>IF(AND(P$5&gt;=$C292,P$5&lt;=$D292,$A292&lt;&gt;""),"●","")</x:f>
      </x:c>
      <x:c r="Q292" s="165" t="str">
        <x:f>IF(AND(Q$5&gt;=$C292,Q$5&lt;=$D292,$A292&lt;&gt;""),"●","")</x:f>
      </x:c>
      <x:c r="R292" s="165" t="str">
        <x:f>IF(AND(R$5&gt;=$C292,R$5&lt;=$D292,$A292&lt;&gt;""),"●","")</x:f>
      </x:c>
      <x:c r="S292" s="165" t="str">
        <x:f>IF(AND(S$5&gt;=$C292,S$5&lt;=$D292,$A292&lt;&gt;""),"●","")</x:f>
      </x:c>
      <x:c r="T292" s="165" t="str">
        <x:f>IF(AND(T$5&gt;=$C292,T$5&lt;=$D292,$A292&lt;&gt;""),"●","")</x:f>
      </x:c>
      <x:c r="U292" s="165" t="str">
        <x:f>IF(AND(U$5&gt;=$C292,U$5&lt;=$D292,$A292&lt;&gt;""),"●","")</x:f>
      </x:c>
      <x:c r="V292" s="165" t="str">
        <x:f>IF(AND(V$5&gt;=$C292,V$5&lt;=$D292,$A292&lt;&gt;""),"●","")</x:f>
      </x:c>
      <x:c r="W292" s="165" t="str">
        <x:f>IF(AND(W$5&gt;=$C292,W$5&lt;=$D292,$A292&lt;&gt;""),"●","")</x:f>
      </x:c>
      <x:c r="X292" s="165" t="str">
        <x:f>IF(AND(X$5&gt;=$C292,X$5&lt;=$D292,$A292&lt;&gt;""),"●","")</x:f>
      </x:c>
      <x:c r="Y292" s="165" t="str">
        <x:f>IF(AND(Y$5&gt;=$C292,Y$5&lt;=$D292,$A292&lt;&gt;""),"●","")</x:f>
      </x:c>
      <x:c r="Z292" s="165" t="str">
        <x:f>IF(AND(Z$5&gt;=$C292,Z$5&lt;=$D292,$A292&lt;&gt;""),"●","")</x:f>
      </x:c>
      <x:c r="AA292" s="165" t="str">
        <x:f>IF(AND(AA$5&gt;=$C292,AA$5&lt;=$D292,$A292&lt;&gt;""),"●","")</x:f>
      </x:c>
      <x:c r="AB292" s="165" t="str">
        <x:f>IF(AND(AB$5&gt;=$C292,AB$5&lt;=$D292,$A292&lt;&gt;""),"●","")</x:f>
      </x:c>
      <x:c r="AC292" s="165" t="str">
        <x:f>IF(AND(AC$5&gt;=$C292,AC$5&lt;=$D292,$A292&lt;&gt;""),"●","")</x:f>
      </x:c>
      <x:c r="AD292" s="165" t="str">
        <x:f>IF(AND(AD$5&gt;=$C292,AD$5&lt;=$D292,$A292&lt;&gt;""),"●","")</x:f>
      </x:c>
      <x:c r="AE292" s="165" t="str">
        <x:f>IF(AND(AE$5&gt;=$C292,AE$5&lt;=$D292,$A292&lt;&gt;""),"●","")</x:f>
      </x:c>
      <x:c r="AF292" s="165" t="str">
        <x:f>IF(AND(AF$5&gt;=$C292,AF$5&lt;=$D292,$A292&lt;&gt;""),"●","")</x:f>
      </x:c>
      <x:c r="AG292" s="165" t="str">
        <x:f>IF(AND(AG$5&gt;=$C292,AG$5&lt;=$D292,$A292&lt;&gt;""),"●","")</x:f>
      </x:c>
      <x:c r="AH292" s="165" t="str">
        <x:f>IF(AND(AH$5&gt;=$C292,AH$5&lt;=$D292,$A292&lt;&gt;""),"●","")</x:f>
      </x:c>
      <x:c r="AI292" s="165" t="str">
        <x:f>IF(AND(AI$5&gt;=$C292,AI$5&lt;=$D292,$A292&lt;&gt;""),"●","")</x:f>
      </x:c>
      <x:c r="AJ292" s="165" t="str">
        <x:f>IF(AND(AJ$5&gt;=$C292,AJ$5&lt;=$D292,$A292&lt;&gt;""),"●","")</x:f>
      </x:c>
      <x:c r="AK292" s="165" t="str">
        <x:f>IF(AND(AK$5&gt;=$C292,AK$5&lt;=$D292,$A292&lt;&gt;""),"●","")</x:f>
      </x:c>
      <x:c r="AL292" s="165" t="str">
        <x:f>IF(AND(AL$5&gt;=$C292,AL$5&lt;=$D292,$A292&lt;&gt;""),"●","")</x:f>
      </x:c>
      <x:c r="AM292" s="165" t="str">
        <x:f>IF(AND(AM$5&gt;=$C292,AM$5&lt;=$D292,$A292&lt;&gt;""),"●","")</x:f>
      </x:c>
      <x:c r="AN292" s="165" t="str">
        <x:f>IF(AND(AN$5&gt;=$C292,AN$5&lt;=$D292,$A292&lt;&gt;""),"●","")</x:f>
      </x:c>
      <x:c r="AO292" s="165" t="str">
        <x:f>IF(AND(AO$5&gt;=$C292,AO$5&lt;=$D292,$A292&lt;&gt;""),"●","")</x:f>
      </x:c>
      <x:c r="AP292" s="165" t="str">
        <x:f>IF(AND(AP$5&gt;=$C292,AP$5&lt;=$D292,$A292&lt;&gt;""),"●","")</x:f>
      </x:c>
      <x:c r="AQ292" s="165" t="str">
        <x:f>IF(AND(AQ$5&gt;=$C292,AQ$5&lt;=$D292,$A292&lt;&gt;""),"●","")</x:f>
      </x:c>
      <x:c r="AR292" s="165" t="str">
        <x:f>IF(AND(AR$5&gt;=$C292,AR$5&lt;=$D292,$A292&lt;&gt;""),"●","")</x:f>
      </x:c>
      <x:c r="AS292" s="165" t="str">
        <x:f>IF(AND(AS$5&gt;=$C292,AS$5&lt;=$D292,$A292&lt;&gt;""),"●","")</x:f>
      </x:c>
      <x:c r="AT292" s="165" t="str">
        <x:f>IF(AND(AT$5&gt;=$C292,AT$5&lt;=$D292,$A292&lt;&gt;""),"●","")</x:f>
      </x:c>
      <x:c r="AU292" s="165" t="str">
        <x:f>IF(AND(AU$5&gt;=$C292,AU$5&lt;=$D292,$A292&lt;&gt;""),"●","")</x:f>
      </x:c>
      <x:c r="AV292" s="165" t="str">
        <x:f>IF(AND(AV$5&gt;=$C292,AV$5&lt;=$D292,$A292&lt;&gt;""),"●","")</x:f>
      </x:c>
      <x:c r="AW292" s="165" t="str">
        <x:f>IF(AND(AW$5&gt;=$C292,AW$5&lt;=$D292,$A292&lt;&gt;""),"●","")</x:f>
      </x:c>
      <x:c r="AX292" s="165" t="str">
        <x:f>IF(AND(AX$5&gt;=$C292,AX$5&lt;=$D292,$A292&lt;&gt;""),"●","")</x:f>
      </x:c>
      <x:c r="AY292" s="165" t="str">
        <x:f>IF(AND(AY$5&gt;=$C292,AY$5&lt;=$D292,$A292&lt;&gt;""),"●","")</x:f>
      </x:c>
      <x:c r="AZ292" s="165" t="str">
        <x:f>IF(AND(AZ$5&gt;=$C292,AZ$5&lt;=$D292,$A292&lt;&gt;""),"●","")</x:f>
      </x:c>
      <x:c r="BA292" s="165" t="str">
        <x:f>IF(AND(BA$5&gt;=$C292,BA$5&lt;=$D292,$A292&lt;&gt;""),"●","")</x:f>
      </x:c>
      <x:c r="BB292" s="165" t="str">
        <x:f>IF(AND(BB$5&gt;=$C292,BB$5&lt;=$D292,$A292&lt;&gt;""),"●","")</x:f>
      </x:c>
      <x:c r="BC292" s="165" t="str">
        <x:f>IF(AND(BC$5&gt;=$C292,BC$5&lt;=$D292,$A292&lt;&gt;""),"●","")</x:f>
      </x:c>
      <x:c r="BD292" s="165" t="str">
        <x:f>IF(AND(BD$5&gt;=$C292,BD$5&lt;=$D292,$A292&lt;&gt;""),"●","")</x:f>
      </x:c>
      <x:c r="BE292" s="165" t="str">
        <x:f>IF(AND(BE$5&gt;=$C292,BE$5&lt;=$D292,$A292&lt;&gt;""),"●","")</x:f>
      </x:c>
      <x:c r="BF292" s="165" t="str">
        <x:f>IF(AND(BF$5&gt;=$C292,BF$5&lt;=$D292,$A292&lt;&gt;""),"●","")</x:f>
      </x:c>
      <x:c r="BG292" s="165" t="str">
        <x:f>IF(AND(BG$5&gt;=$C292,BG$5&lt;=$D292,$A292&lt;&gt;""),"●","")</x:f>
      </x:c>
      <x:c r="BH292" s="165" t="str">
        <x:f>IF(AND(BH$5&gt;=$C292,BH$5&lt;=$D292,$A292&lt;&gt;""),"●","")</x:f>
      </x:c>
      <x:c r="BI292" s="165" t="str">
        <x:f>IF(AND(BI$5&gt;=$C292,BI$5&lt;=$D292,$A292&lt;&gt;""),"●","")</x:f>
      </x:c>
      <x:c r="BJ292" s="165" t="str">
        <x:f>IF(AND(BJ$5&gt;=$C292,BJ$5&lt;=$D292,$A292&lt;&gt;""),"●","")</x:f>
      </x:c>
      <x:c r="BK292" s="165" t="str">
        <x:f>IF(AND(BK$5&gt;=$C292,BK$5&lt;=$D292,$A292&lt;&gt;""),"●","")</x:f>
      </x:c>
      <x:c r="BL292" s="165" t="str">
        <x:f>IF(AND(BL$5&gt;=$C292,BL$5&lt;=$D292,$A292&lt;&gt;""),"●","")</x:f>
      </x:c>
      <x:c r="BM292" s="165" t="str">
        <x:f>IF(AND(BM$5&gt;=$C292,BM$5&lt;=$D292,$A292&lt;&gt;""),"●","")</x:f>
      </x:c>
      <x:c r="BN292" s="165" t="str">
        <x:f>IF(AND(BN$5&gt;=$C292,BN$5&lt;=$D292,$A292&lt;&gt;""),"●","")</x:f>
      </x:c>
      <x:c r="BO292" s="165" t="str">
        <x:f>IF(AND(BO$5&gt;=$C292,BO$5&lt;=$D292,$A292&lt;&gt;""),"●","")</x:f>
      </x:c>
      <x:c r="BP292" s="165" t="str">
        <x:f>IF(AND(BP$5&gt;=$C292,BP$5&lt;=$D292,$A292&lt;&gt;""),"●","")</x:f>
      </x:c>
      <x:c r="BQ292" s="165" t="str">
        <x:f>IF(AND(BQ$5&gt;=$C292,BQ$5&lt;=$D292,$A292&lt;&gt;""),"●","")</x:f>
      </x:c>
      <x:c r="BR292" s="165" t="str">
        <x:f>IF(AND(BR$5&gt;=$C292,BR$5&lt;=$D292,$A292&lt;&gt;""),"●","")</x:f>
      </x:c>
      <x:c r="BS292" s="165" t="str">
        <x:f>IF(AND(BS$5&gt;=$C292,BS$5&lt;=$D292,$A292&lt;&gt;""),"●","")</x:f>
      </x:c>
      <x:c r="BT292" s="165" t="str">
        <x:f>IF(AND(BT$5&gt;=$C292,BT$5&lt;=$D292,$A292&lt;&gt;""),"●","")</x:f>
      </x:c>
      <x:c r="BU292" s="165" t="str">
        <x:f>IF(AND(BU$5&gt;=$C292,BU$5&lt;=$D292,$A292&lt;&gt;""),"●","")</x:f>
      </x:c>
      <x:c r="BV292" s="165" t="str">
        <x:f>IF(AND(BV$5&gt;=$C292,BV$5&lt;=$D292,$A292&lt;&gt;""),"●","")</x:f>
      </x:c>
      <x:c r="BW292" s="165" t="str">
        <x:f>IF(AND(BW$5&gt;=$C292,BW$5&lt;=$D292,$A292&lt;&gt;""),"●","")</x:f>
      </x:c>
    </x:row>
    <x:row r="293">
      <x:c r="A293" s="159" t="str">
        <x:f>IF('รายการสัญญา'!A293="","",'รายการสัญญา'!A293)</x:f>
      </x:c>
      <x:c r="B293" s="159" t="str">
        <x:f>IF('รายการสัญญา'!A293="","",'รายการสัญญา'!C293)</x:f>
      </x:c>
      <x:c r="C293" s="162" t="str">
        <x:f>IF('รายการสัญญา'!A293="","",'รายการสัญญา'!E293)</x:f>
      </x:c>
      <x:c r="D293" s="162" t="str">
        <x:f>IF('รายการสัญญา'!A293="","",'รายการสัญญา'!G293)</x:f>
      </x:c>
      <x:c r="E293" s="159" t="str">
        <x:f>IF('รายการสัญญา'!A293="","",'รายการสัญญา'!K293)</x:f>
      </x:c>
      <x:c r="F293" s="165" t="str">
        <x:f>IF(AND(F$5&gt;=$C293,F$5&lt;=$D293,$A293&lt;&gt;""),"●","")</x:f>
      </x:c>
      <x:c r="G293" s="165" t="str">
        <x:f>IF(AND(G$5&gt;=$C293,G$5&lt;=$D293,$A293&lt;&gt;""),"●","")</x:f>
      </x:c>
      <x:c r="H293" s="165" t="str">
        <x:f>IF(AND(H$5&gt;=$C293,H$5&lt;=$D293,$A293&lt;&gt;""),"●","")</x:f>
      </x:c>
      <x:c r="I293" s="165" t="str">
        <x:f>IF(AND(I$5&gt;=$C293,I$5&lt;=$D293,$A293&lt;&gt;""),"●","")</x:f>
      </x:c>
      <x:c r="J293" s="165" t="str">
        <x:f>IF(AND(J$5&gt;=$C293,J$5&lt;=$D293,$A293&lt;&gt;""),"●","")</x:f>
      </x:c>
      <x:c r="K293" s="165" t="str">
        <x:f>IF(AND(K$5&gt;=$C293,K$5&lt;=$D293,$A293&lt;&gt;""),"●","")</x:f>
      </x:c>
      <x:c r="L293" s="165" t="str">
        <x:f>IF(AND(L$5&gt;=$C293,L$5&lt;=$D293,$A293&lt;&gt;""),"●","")</x:f>
      </x:c>
      <x:c r="M293" s="165" t="str">
        <x:f>IF(AND(M$5&gt;=$C293,M$5&lt;=$D293,$A293&lt;&gt;""),"●","")</x:f>
      </x:c>
      <x:c r="N293" s="165" t="str">
        <x:f>IF(AND(N$5&gt;=$C293,N$5&lt;=$D293,$A293&lt;&gt;""),"●","")</x:f>
      </x:c>
      <x:c r="O293" s="165" t="str">
        <x:f>IF(AND(O$5&gt;=$C293,O$5&lt;=$D293,$A293&lt;&gt;""),"●","")</x:f>
      </x:c>
      <x:c r="P293" s="165" t="str">
        <x:f>IF(AND(P$5&gt;=$C293,P$5&lt;=$D293,$A293&lt;&gt;""),"●","")</x:f>
      </x:c>
      <x:c r="Q293" s="165" t="str">
        <x:f>IF(AND(Q$5&gt;=$C293,Q$5&lt;=$D293,$A293&lt;&gt;""),"●","")</x:f>
      </x:c>
      <x:c r="R293" s="165" t="str">
        <x:f>IF(AND(R$5&gt;=$C293,R$5&lt;=$D293,$A293&lt;&gt;""),"●","")</x:f>
      </x:c>
      <x:c r="S293" s="165" t="str">
        <x:f>IF(AND(S$5&gt;=$C293,S$5&lt;=$D293,$A293&lt;&gt;""),"●","")</x:f>
      </x:c>
      <x:c r="T293" s="165" t="str">
        <x:f>IF(AND(T$5&gt;=$C293,T$5&lt;=$D293,$A293&lt;&gt;""),"●","")</x:f>
      </x:c>
      <x:c r="U293" s="165" t="str">
        <x:f>IF(AND(U$5&gt;=$C293,U$5&lt;=$D293,$A293&lt;&gt;""),"●","")</x:f>
      </x:c>
      <x:c r="V293" s="165" t="str">
        <x:f>IF(AND(V$5&gt;=$C293,V$5&lt;=$D293,$A293&lt;&gt;""),"●","")</x:f>
      </x:c>
      <x:c r="W293" s="165" t="str">
        <x:f>IF(AND(W$5&gt;=$C293,W$5&lt;=$D293,$A293&lt;&gt;""),"●","")</x:f>
      </x:c>
      <x:c r="X293" s="165" t="str">
        <x:f>IF(AND(X$5&gt;=$C293,X$5&lt;=$D293,$A293&lt;&gt;""),"●","")</x:f>
      </x:c>
      <x:c r="Y293" s="165" t="str">
        <x:f>IF(AND(Y$5&gt;=$C293,Y$5&lt;=$D293,$A293&lt;&gt;""),"●","")</x:f>
      </x:c>
      <x:c r="Z293" s="165" t="str">
        <x:f>IF(AND(Z$5&gt;=$C293,Z$5&lt;=$D293,$A293&lt;&gt;""),"●","")</x:f>
      </x:c>
      <x:c r="AA293" s="165" t="str">
        <x:f>IF(AND(AA$5&gt;=$C293,AA$5&lt;=$D293,$A293&lt;&gt;""),"●","")</x:f>
      </x:c>
      <x:c r="AB293" s="165" t="str">
        <x:f>IF(AND(AB$5&gt;=$C293,AB$5&lt;=$D293,$A293&lt;&gt;""),"●","")</x:f>
      </x:c>
      <x:c r="AC293" s="165" t="str">
        <x:f>IF(AND(AC$5&gt;=$C293,AC$5&lt;=$D293,$A293&lt;&gt;""),"●","")</x:f>
      </x:c>
      <x:c r="AD293" s="165" t="str">
        <x:f>IF(AND(AD$5&gt;=$C293,AD$5&lt;=$D293,$A293&lt;&gt;""),"●","")</x:f>
      </x:c>
      <x:c r="AE293" s="165" t="str">
        <x:f>IF(AND(AE$5&gt;=$C293,AE$5&lt;=$D293,$A293&lt;&gt;""),"●","")</x:f>
      </x:c>
      <x:c r="AF293" s="165" t="str">
        <x:f>IF(AND(AF$5&gt;=$C293,AF$5&lt;=$D293,$A293&lt;&gt;""),"●","")</x:f>
      </x:c>
      <x:c r="AG293" s="165" t="str">
        <x:f>IF(AND(AG$5&gt;=$C293,AG$5&lt;=$D293,$A293&lt;&gt;""),"●","")</x:f>
      </x:c>
      <x:c r="AH293" s="165" t="str">
        <x:f>IF(AND(AH$5&gt;=$C293,AH$5&lt;=$D293,$A293&lt;&gt;""),"●","")</x:f>
      </x:c>
      <x:c r="AI293" s="165" t="str">
        <x:f>IF(AND(AI$5&gt;=$C293,AI$5&lt;=$D293,$A293&lt;&gt;""),"●","")</x:f>
      </x:c>
      <x:c r="AJ293" s="165" t="str">
        <x:f>IF(AND(AJ$5&gt;=$C293,AJ$5&lt;=$D293,$A293&lt;&gt;""),"●","")</x:f>
      </x:c>
      <x:c r="AK293" s="165" t="str">
        <x:f>IF(AND(AK$5&gt;=$C293,AK$5&lt;=$D293,$A293&lt;&gt;""),"●","")</x:f>
      </x:c>
      <x:c r="AL293" s="165" t="str">
        <x:f>IF(AND(AL$5&gt;=$C293,AL$5&lt;=$D293,$A293&lt;&gt;""),"●","")</x:f>
      </x:c>
      <x:c r="AM293" s="165" t="str">
        <x:f>IF(AND(AM$5&gt;=$C293,AM$5&lt;=$D293,$A293&lt;&gt;""),"●","")</x:f>
      </x:c>
      <x:c r="AN293" s="165" t="str">
        <x:f>IF(AND(AN$5&gt;=$C293,AN$5&lt;=$D293,$A293&lt;&gt;""),"●","")</x:f>
      </x:c>
      <x:c r="AO293" s="165" t="str">
        <x:f>IF(AND(AO$5&gt;=$C293,AO$5&lt;=$D293,$A293&lt;&gt;""),"●","")</x:f>
      </x:c>
      <x:c r="AP293" s="165" t="str">
        <x:f>IF(AND(AP$5&gt;=$C293,AP$5&lt;=$D293,$A293&lt;&gt;""),"●","")</x:f>
      </x:c>
      <x:c r="AQ293" s="165" t="str">
        <x:f>IF(AND(AQ$5&gt;=$C293,AQ$5&lt;=$D293,$A293&lt;&gt;""),"●","")</x:f>
      </x:c>
      <x:c r="AR293" s="165" t="str">
        <x:f>IF(AND(AR$5&gt;=$C293,AR$5&lt;=$D293,$A293&lt;&gt;""),"●","")</x:f>
      </x:c>
      <x:c r="AS293" s="165" t="str">
        <x:f>IF(AND(AS$5&gt;=$C293,AS$5&lt;=$D293,$A293&lt;&gt;""),"●","")</x:f>
      </x:c>
      <x:c r="AT293" s="165" t="str">
        <x:f>IF(AND(AT$5&gt;=$C293,AT$5&lt;=$D293,$A293&lt;&gt;""),"●","")</x:f>
      </x:c>
      <x:c r="AU293" s="165" t="str">
        <x:f>IF(AND(AU$5&gt;=$C293,AU$5&lt;=$D293,$A293&lt;&gt;""),"●","")</x:f>
      </x:c>
      <x:c r="AV293" s="165" t="str">
        <x:f>IF(AND(AV$5&gt;=$C293,AV$5&lt;=$D293,$A293&lt;&gt;""),"●","")</x:f>
      </x:c>
      <x:c r="AW293" s="165" t="str">
        <x:f>IF(AND(AW$5&gt;=$C293,AW$5&lt;=$D293,$A293&lt;&gt;""),"●","")</x:f>
      </x:c>
      <x:c r="AX293" s="165" t="str">
        <x:f>IF(AND(AX$5&gt;=$C293,AX$5&lt;=$D293,$A293&lt;&gt;""),"●","")</x:f>
      </x:c>
      <x:c r="AY293" s="165" t="str">
        <x:f>IF(AND(AY$5&gt;=$C293,AY$5&lt;=$D293,$A293&lt;&gt;""),"●","")</x:f>
      </x:c>
      <x:c r="AZ293" s="165" t="str">
        <x:f>IF(AND(AZ$5&gt;=$C293,AZ$5&lt;=$D293,$A293&lt;&gt;""),"●","")</x:f>
      </x:c>
      <x:c r="BA293" s="165" t="str">
        <x:f>IF(AND(BA$5&gt;=$C293,BA$5&lt;=$D293,$A293&lt;&gt;""),"●","")</x:f>
      </x:c>
      <x:c r="BB293" s="165" t="str">
        <x:f>IF(AND(BB$5&gt;=$C293,BB$5&lt;=$D293,$A293&lt;&gt;""),"●","")</x:f>
      </x:c>
      <x:c r="BC293" s="165" t="str">
        <x:f>IF(AND(BC$5&gt;=$C293,BC$5&lt;=$D293,$A293&lt;&gt;""),"●","")</x:f>
      </x:c>
      <x:c r="BD293" s="165" t="str">
        <x:f>IF(AND(BD$5&gt;=$C293,BD$5&lt;=$D293,$A293&lt;&gt;""),"●","")</x:f>
      </x:c>
      <x:c r="BE293" s="165" t="str">
        <x:f>IF(AND(BE$5&gt;=$C293,BE$5&lt;=$D293,$A293&lt;&gt;""),"●","")</x:f>
      </x:c>
      <x:c r="BF293" s="165" t="str">
        <x:f>IF(AND(BF$5&gt;=$C293,BF$5&lt;=$D293,$A293&lt;&gt;""),"●","")</x:f>
      </x:c>
      <x:c r="BG293" s="165" t="str">
        <x:f>IF(AND(BG$5&gt;=$C293,BG$5&lt;=$D293,$A293&lt;&gt;""),"●","")</x:f>
      </x:c>
      <x:c r="BH293" s="165" t="str">
        <x:f>IF(AND(BH$5&gt;=$C293,BH$5&lt;=$D293,$A293&lt;&gt;""),"●","")</x:f>
      </x:c>
      <x:c r="BI293" s="165" t="str">
        <x:f>IF(AND(BI$5&gt;=$C293,BI$5&lt;=$D293,$A293&lt;&gt;""),"●","")</x:f>
      </x:c>
      <x:c r="BJ293" s="165" t="str">
        <x:f>IF(AND(BJ$5&gt;=$C293,BJ$5&lt;=$D293,$A293&lt;&gt;""),"●","")</x:f>
      </x:c>
      <x:c r="BK293" s="165" t="str">
        <x:f>IF(AND(BK$5&gt;=$C293,BK$5&lt;=$D293,$A293&lt;&gt;""),"●","")</x:f>
      </x:c>
      <x:c r="BL293" s="165" t="str">
        <x:f>IF(AND(BL$5&gt;=$C293,BL$5&lt;=$D293,$A293&lt;&gt;""),"●","")</x:f>
      </x:c>
      <x:c r="BM293" s="165" t="str">
        <x:f>IF(AND(BM$5&gt;=$C293,BM$5&lt;=$D293,$A293&lt;&gt;""),"●","")</x:f>
      </x:c>
      <x:c r="BN293" s="165" t="str">
        <x:f>IF(AND(BN$5&gt;=$C293,BN$5&lt;=$D293,$A293&lt;&gt;""),"●","")</x:f>
      </x:c>
      <x:c r="BO293" s="165" t="str">
        <x:f>IF(AND(BO$5&gt;=$C293,BO$5&lt;=$D293,$A293&lt;&gt;""),"●","")</x:f>
      </x:c>
      <x:c r="BP293" s="165" t="str">
        <x:f>IF(AND(BP$5&gt;=$C293,BP$5&lt;=$D293,$A293&lt;&gt;""),"●","")</x:f>
      </x:c>
      <x:c r="BQ293" s="165" t="str">
        <x:f>IF(AND(BQ$5&gt;=$C293,BQ$5&lt;=$D293,$A293&lt;&gt;""),"●","")</x:f>
      </x:c>
      <x:c r="BR293" s="165" t="str">
        <x:f>IF(AND(BR$5&gt;=$C293,BR$5&lt;=$D293,$A293&lt;&gt;""),"●","")</x:f>
      </x:c>
      <x:c r="BS293" s="165" t="str">
        <x:f>IF(AND(BS$5&gt;=$C293,BS$5&lt;=$D293,$A293&lt;&gt;""),"●","")</x:f>
      </x:c>
      <x:c r="BT293" s="165" t="str">
        <x:f>IF(AND(BT$5&gt;=$C293,BT$5&lt;=$D293,$A293&lt;&gt;""),"●","")</x:f>
      </x:c>
      <x:c r="BU293" s="165" t="str">
        <x:f>IF(AND(BU$5&gt;=$C293,BU$5&lt;=$D293,$A293&lt;&gt;""),"●","")</x:f>
      </x:c>
      <x:c r="BV293" s="165" t="str">
        <x:f>IF(AND(BV$5&gt;=$C293,BV$5&lt;=$D293,$A293&lt;&gt;""),"●","")</x:f>
      </x:c>
      <x:c r="BW293" s="165" t="str">
        <x:f>IF(AND(BW$5&gt;=$C293,BW$5&lt;=$D293,$A293&lt;&gt;""),"●","")</x:f>
      </x:c>
    </x:row>
    <x:row r="294">
      <x:c r="A294" s="159" t="str">
        <x:f>IF('รายการสัญญา'!A294="","",'รายการสัญญา'!A294)</x:f>
      </x:c>
      <x:c r="B294" s="159" t="str">
        <x:f>IF('รายการสัญญา'!A294="","",'รายการสัญญา'!C294)</x:f>
      </x:c>
      <x:c r="C294" s="162" t="str">
        <x:f>IF('รายการสัญญา'!A294="","",'รายการสัญญา'!E294)</x:f>
      </x:c>
      <x:c r="D294" s="162" t="str">
        <x:f>IF('รายการสัญญา'!A294="","",'รายการสัญญา'!G294)</x:f>
      </x:c>
      <x:c r="E294" s="159" t="str">
        <x:f>IF('รายการสัญญา'!A294="","",'รายการสัญญา'!K294)</x:f>
      </x:c>
      <x:c r="F294" s="165" t="str">
        <x:f>IF(AND(F$5&gt;=$C294,F$5&lt;=$D294,$A294&lt;&gt;""),"●","")</x:f>
      </x:c>
      <x:c r="G294" s="165" t="str">
        <x:f>IF(AND(G$5&gt;=$C294,G$5&lt;=$D294,$A294&lt;&gt;""),"●","")</x:f>
      </x:c>
      <x:c r="H294" s="165" t="str">
        <x:f>IF(AND(H$5&gt;=$C294,H$5&lt;=$D294,$A294&lt;&gt;""),"●","")</x:f>
      </x:c>
      <x:c r="I294" s="165" t="str">
        <x:f>IF(AND(I$5&gt;=$C294,I$5&lt;=$D294,$A294&lt;&gt;""),"●","")</x:f>
      </x:c>
      <x:c r="J294" s="165" t="str">
        <x:f>IF(AND(J$5&gt;=$C294,J$5&lt;=$D294,$A294&lt;&gt;""),"●","")</x:f>
      </x:c>
      <x:c r="K294" s="165" t="str">
        <x:f>IF(AND(K$5&gt;=$C294,K$5&lt;=$D294,$A294&lt;&gt;""),"●","")</x:f>
      </x:c>
      <x:c r="L294" s="165" t="str">
        <x:f>IF(AND(L$5&gt;=$C294,L$5&lt;=$D294,$A294&lt;&gt;""),"●","")</x:f>
      </x:c>
      <x:c r="M294" s="165" t="str">
        <x:f>IF(AND(M$5&gt;=$C294,M$5&lt;=$D294,$A294&lt;&gt;""),"●","")</x:f>
      </x:c>
      <x:c r="N294" s="165" t="str">
        <x:f>IF(AND(N$5&gt;=$C294,N$5&lt;=$D294,$A294&lt;&gt;""),"●","")</x:f>
      </x:c>
      <x:c r="O294" s="165" t="str">
        <x:f>IF(AND(O$5&gt;=$C294,O$5&lt;=$D294,$A294&lt;&gt;""),"●","")</x:f>
      </x:c>
      <x:c r="P294" s="165" t="str">
        <x:f>IF(AND(P$5&gt;=$C294,P$5&lt;=$D294,$A294&lt;&gt;""),"●","")</x:f>
      </x:c>
      <x:c r="Q294" s="165" t="str">
        <x:f>IF(AND(Q$5&gt;=$C294,Q$5&lt;=$D294,$A294&lt;&gt;""),"●","")</x:f>
      </x:c>
      <x:c r="R294" s="165" t="str">
        <x:f>IF(AND(R$5&gt;=$C294,R$5&lt;=$D294,$A294&lt;&gt;""),"●","")</x:f>
      </x:c>
      <x:c r="S294" s="165" t="str">
        <x:f>IF(AND(S$5&gt;=$C294,S$5&lt;=$D294,$A294&lt;&gt;""),"●","")</x:f>
      </x:c>
      <x:c r="T294" s="165" t="str">
        <x:f>IF(AND(T$5&gt;=$C294,T$5&lt;=$D294,$A294&lt;&gt;""),"●","")</x:f>
      </x:c>
      <x:c r="U294" s="165" t="str">
        <x:f>IF(AND(U$5&gt;=$C294,U$5&lt;=$D294,$A294&lt;&gt;""),"●","")</x:f>
      </x:c>
      <x:c r="V294" s="165" t="str">
        <x:f>IF(AND(V$5&gt;=$C294,V$5&lt;=$D294,$A294&lt;&gt;""),"●","")</x:f>
      </x:c>
      <x:c r="W294" s="165" t="str">
        <x:f>IF(AND(W$5&gt;=$C294,W$5&lt;=$D294,$A294&lt;&gt;""),"●","")</x:f>
      </x:c>
      <x:c r="X294" s="165" t="str">
        <x:f>IF(AND(X$5&gt;=$C294,X$5&lt;=$D294,$A294&lt;&gt;""),"●","")</x:f>
      </x:c>
      <x:c r="Y294" s="165" t="str">
        <x:f>IF(AND(Y$5&gt;=$C294,Y$5&lt;=$D294,$A294&lt;&gt;""),"●","")</x:f>
      </x:c>
      <x:c r="Z294" s="165" t="str">
        <x:f>IF(AND(Z$5&gt;=$C294,Z$5&lt;=$D294,$A294&lt;&gt;""),"●","")</x:f>
      </x:c>
      <x:c r="AA294" s="165" t="str">
        <x:f>IF(AND(AA$5&gt;=$C294,AA$5&lt;=$D294,$A294&lt;&gt;""),"●","")</x:f>
      </x:c>
      <x:c r="AB294" s="165" t="str">
        <x:f>IF(AND(AB$5&gt;=$C294,AB$5&lt;=$D294,$A294&lt;&gt;""),"●","")</x:f>
      </x:c>
      <x:c r="AC294" s="165" t="str">
        <x:f>IF(AND(AC$5&gt;=$C294,AC$5&lt;=$D294,$A294&lt;&gt;""),"●","")</x:f>
      </x:c>
      <x:c r="AD294" s="165" t="str">
        <x:f>IF(AND(AD$5&gt;=$C294,AD$5&lt;=$D294,$A294&lt;&gt;""),"●","")</x:f>
      </x:c>
      <x:c r="AE294" s="165" t="str">
        <x:f>IF(AND(AE$5&gt;=$C294,AE$5&lt;=$D294,$A294&lt;&gt;""),"●","")</x:f>
      </x:c>
      <x:c r="AF294" s="165" t="str">
        <x:f>IF(AND(AF$5&gt;=$C294,AF$5&lt;=$D294,$A294&lt;&gt;""),"●","")</x:f>
      </x:c>
      <x:c r="AG294" s="165" t="str">
        <x:f>IF(AND(AG$5&gt;=$C294,AG$5&lt;=$D294,$A294&lt;&gt;""),"●","")</x:f>
      </x:c>
      <x:c r="AH294" s="165" t="str">
        <x:f>IF(AND(AH$5&gt;=$C294,AH$5&lt;=$D294,$A294&lt;&gt;""),"●","")</x:f>
      </x:c>
      <x:c r="AI294" s="165" t="str">
        <x:f>IF(AND(AI$5&gt;=$C294,AI$5&lt;=$D294,$A294&lt;&gt;""),"●","")</x:f>
      </x:c>
      <x:c r="AJ294" s="165" t="str">
        <x:f>IF(AND(AJ$5&gt;=$C294,AJ$5&lt;=$D294,$A294&lt;&gt;""),"●","")</x:f>
      </x:c>
      <x:c r="AK294" s="165" t="str">
        <x:f>IF(AND(AK$5&gt;=$C294,AK$5&lt;=$D294,$A294&lt;&gt;""),"●","")</x:f>
      </x:c>
      <x:c r="AL294" s="165" t="str">
        <x:f>IF(AND(AL$5&gt;=$C294,AL$5&lt;=$D294,$A294&lt;&gt;""),"●","")</x:f>
      </x:c>
      <x:c r="AM294" s="165" t="str">
        <x:f>IF(AND(AM$5&gt;=$C294,AM$5&lt;=$D294,$A294&lt;&gt;""),"●","")</x:f>
      </x:c>
      <x:c r="AN294" s="165" t="str">
        <x:f>IF(AND(AN$5&gt;=$C294,AN$5&lt;=$D294,$A294&lt;&gt;""),"●","")</x:f>
      </x:c>
      <x:c r="AO294" s="165" t="str">
        <x:f>IF(AND(AO$5&gt;=$C294,AO$5&lt;=$D294,$A294&lt;&gt;""),"●","")</x:f>
      </x:c>
      <x:c r="AP294" s="165" t="str">
        <x:f>IF(AND(AP$5&gt;=$C294,AP$5&lt;=$D294,$A294&lt;&gt;""),"●","")</x:f>
      </x:c>
      <x:c r="AQ294" s="165" t="str">
        <x:f>IF(AND(AQ$5&gt;=$C294,AQ$5&lt;=$D294,$A294&lt;&gt;""),"●","")</x:f>
      </x:c>
      <x:c r="AR294" s="165" t="str">
        <x:f>IF(AND(AR$5&gt;=$C294,AR$5&lt;=$D294,$A294&lt;&gt;""),"●","")</x:f>
      </x:c>
      <x:c r="AS294" s="165" t="str">
        <x:f>IF(AND(AS$5&gt;=$C294,AS$5&lt;=$D294,$A294&lt;&gt;""),"●","")</x:f>
      </x:c>
      <x:c r="AT294" s="165" t="str">
        <x:f>IF(AND(AT$5&gt;=$C294,AT$5&lt;=$D294,$A294&lt;&gt;""),"●","")</x:f>
      </x:c>
      <x:c r="AU294" s="165" t="str">
        <x:f>IF(AND(AU$5&gt;=$C294,AU$5&lt;=$D294,$A294&lt;&gt;""),"●","")</x:f>
      </x:c>
      <x:c r="AV294" s="165" t="str">
        <x:f>IF(AND(AV$5&gt;=$C294,AV$5&lt;=$D294,$A294&lt;&gt;""),"●","")</x:f>
      </x:c>
      <x:c r="AW294" s="165" t="str">
        <x:f>IF(AND(AW$5&gt;=$C294,AW$5&lt;=$D294,$A294&lt;&gt;""),"●","")</x:f>
      </x:c>
      <x:c r="AX294" s="165" t="str">
        <x:f>IF(AND(AX$5&gt;=$C294,AX$5&lt;=$D294,$A294&lt;&gt;""),"●","")</x:f>
      </x:c>
      <x:c r="AY294" s="165" t="str">
        <x:f>IF(AND(AY$5&gt;=$C294,AY$5&lt;=$D294,$A294&lt;&gt;""),"●","")</x:f>
      </x:c>
      <x:c r="AZ294" s="165" t="str">
        <x:f>IF(AND(AZ$5&gt;=$C294,AZ$5&lt;=$D294,$A294&lt;&gt;""),"●","")</x:f>
      </x:c>
      <x:c r="BA294" s="165" t="str">
        <x:f>IF(AND(BA$5&gt;=$C294,BA$5&lt;=$D294,$A294&lt;&gt;""),"●","")</x:f>
      </x:c>
      <x:c r="BB294" s="165" t="str">
        <x:f>IF(AND(BB$5&gt;=$C294,BB$5&lt;=$D294,$A294&lt;&gt;""),"●","")</x:f>
      </x:c>
      <x:c r="BC294" s="165" t="str">
        <x:f>IF(AND(BC$5&gt;=$C294,BC$5&lt;=$D294,$A294&lt;&gt;""),"●","")</x:f>
      </x:c>
      <x:c r="BD294" s="165" t="str">
        <x:f>IF(AND(BD$5&gt;=$C294,BD$5&lt;=$D294,$A294&lt;&gt;""),"●","")</x:f>
      </x:c>
      <x:c r="BE294" s="165" t="str">
        <x:f>IF(AND(BE$5&gt;=$C294,BE$5&lt;=$D294,$A294&lt;&gt;""),"●","")</x:f>
      </x:c>
      <x:c r="BF294" s="165" t="str">
        <x:f>IF(AND(BF$5&gt;=$C294,BF$5&lt;=$D294,$A294&lt;&gt;""),"●","")</x:f>
      </x:c>
      <x:c r="BG294" s="165" t="str">
        <x:f>IF(AND(BG$5&gt;=$C294,BG$5&lt;=$D294,$A294&lt;&gt;""),"●","")</x:f>
      </x:c>
      <x:c r="BH294" s="165" t="str">
        <x:f>IF(AND(BH$5&gt;=$C294,BH$5&lt;=$D294,$A294&lt;&gt;""),"●","")</x:f>
      </x:c>
      <x:c r="BI294" s="165" t="str">
        <x:f>IF(AND(BI$5&gt;=$C294,BI$5&lt;=$D294,$A294&lt;&gt;""),"●","")</x:f>
      </x:c>
      <x:c r="BJ294" s="165" t="str">
        <x:f>IF(AND(BJ$5&gt;=$C294,BJ$5&lt;=$D294,$A294&lt;&gt;""),"●","")</x:f>
      </x:c>
      <x:c r="BK294" s="165" t="str">
        <x:f>IF(AND(BK$5&gt;=$C294,BK$5&lt;=$D294,$A294&lt;&gt;""),"●","")</x:f>
      </x:c>
      <x:c r="BL294" s="165" t="str">
        <x:f>IF(AND(BL$5&gt;=$C294,BL$5&lt;=$D294,$A294&lt;&gt;""),"●","")</x:f>
      </x:c>
      <x:c r="BM294" s="165" t="str">
        <x:f>IF(AND(BM$5&gt;=$C294,BM$5&lt;=$D294,$A294&lt;&gt;""),"●","")</x:f>
      </x:c>
      <x:c r="BN294" s="165" t="str">
        <x:f>IF(AND(BN$5&gt;=$C294,BN$5&lt;=$D294,$A294&lt;&gt;""),"●","")</x:f>
      </x:c>
      <x:c r="BO294" s="165" t="str">
        <x:f>IF(AND(BO$5&gt;=$C294,BO$5&lt;=$D294,$A294&lt;&gt;""),"●","")</x:f>
      </x:c>
      <x:c r="BP294" s="165" t="str">
        <x:f>IF(AND(BP$5&gt;=$C294,BP$5&lt;=$D294,$A294&lt;&gt;""),"●","")</x:f>
      </x:c>
      <x:c r="BQ294" s="165" t="str">
        <x:f>IF(AND(BQ$5&gt;=$C294,BQ$5&lt;=$D294,$A294&lt;&gt;""),"●","")</x:f>
      </x:c>
      <x:c r="BR294" s="165" t="str">
        <x:f>IF(AND(BR$5&gt;=$C294,BR$5&lt;=$D294,$A294&lt;&gt;""),"●","")</x:f>
      </x:c>
      <x:c r="BS294" s="165" t="str">
        <x:f>IF(AND(BS$5&gt;=$C294,BS$5&lt;=$D294,$A294&lt;&gt;""),"●","")</x:f>
      </x:c>
      <x:c r="BT294" s="165" t="str">
        <x:f>IF(AND(BT$5&gt;=$C294,BT$5&lt;=$D294,$A294&lt;&gt;""),"●","")</x:f>
      </x:c>
      <x:c r="BU294" s="165" t="str">
        <x:f>IF(AND(BU$5&gt;=$C294,BU$5&lt;=$D294,$A294&lt;&gt;""),"●","")</x:f>
      </x:c>
      <x:c r="BV294" s="165" t="str">
        <x:f>IF(AND(BV$5&gt;=$C294,BV$5&lt;=$D294,$A294&lt;&gt;""),"●","")</x:f>
      </x:c>
      <x:c r="BW294" s="165" t="str">
        <x:f>IF(AND(BW$5&gt;=$C294,BW$5&lt;=$D294,$A294&lt;&gt;""),"●","")</x:f>
      </x:c>
    </x:row>
    <x:row r="295">
      <x:c r="A295" s="159" t="str">
        <x:f>IF('รายการสัญญา'!A295="","",'รายการสัญญา'!A295)</x:f>
      </x:c>
      <x:c r="B295" s="159" t="str">
        <x:f>IF('รายการสัญญา'!A295="","",'รายการสัญญา'!C295)</x:f>
      </x:c>
      <x:c r="C295" s="162" t="str">
        <x:f>IF('รายการสัญญา'!A295="","",'รายการสัญญา'!E295)</x:f>
      </x:c>
      <x:c r="D295" s="162" t="str">
        <x:f>IF('รายการสัญญา'!A295="","",'รายการสัญญา'!G295)</x:f>
      </x:c>
      <x:c r="E295" s="159" t="str">
        <x:f>IF('รายการสัญญา'!A295="","",'รายการสัญญา'!K295)</x:f>
      </x:c>
      <x:c r="F295" s="165" t="str">
        <x:f>IF(AND(F$5&gt;=$C295,F$5&lt;=$D295,$A295&lt;&gt;""),"●","")</x:f>
      </x:c>
      <x:c r="G295" s="165" t="str">
        <x:f>IF(AND(G$5&gt;=$C295,G$5&lt;=$D295,$A295&lt;&gt;""),"●","")</x:f>
      </x:c>
      <x:c r="H295" s="165" t="str">
        <x:f>IF(AND(H$5&gt;=$C295,H$5&lt;=$D295,$A295&lt;&gt;""),"●","")</x:f>
      </x:c>
      <x:c r="I295" s="165" t="str">
        <x:f>IF(AND(I$5&gt;=$C295,I$5&lt;=$D295,$A295&lt;&gt;""),"●","")</x:f>
      </x:c>
      <x:c r="J295" s="165" t="str">
        <x:f>IF(AND(J$5&gt;=$C295,J$5&lt;=$D295,$A295&lt;&gt;""),"●","")</x:f>
      </x:c>
      <x:c r="K295" s="165" t="str">
        <x:f>IF(AND(K$5&gt;=$C295,K$5&lt;=$D295,$A295&lt;&gt;""),"●","")</x:f>
      </x:c>
      <x:c r="L295" s="165" t="str">
        <x:f>IF(AND(L$5&gt;=$C295,L$5&lt;=$D295,$A295&lt;&gt;""),"●","")</x:f>
      </x:c>
      <x:c r="M295" s="165" t="str">
        <x:f>IF(AND(M$5&gt;=$C295,M$5&lt;=$D295,$A295&lt;&gt;""),"●","")</x:f>
      </x:c>
      <x:c r="N295" s="165" t="str">
        <x:f>IF(AND(N$5&gt;=$C295,N$5&lt;=$D295,$A295&lt;&gt;""),"●","")</x:f>
      </x:c>
      <x:c r="O295" s="165" t="str">
        <x:f>IF(AND(O$5&gt;=$C295,O$5&lt;=$D295,$A295&lt;&gt;""),"●","")</x:f>
      </x:c>
      <x:c r="P295" s="165" t="str">
        <x:f>IF(AND(P$5&gt;=$C295,P$5&lt;=$D295,$A295&lt;&gt;""),"●","")</x:f>
      </x:c>
      <x:c r="Q295" s="165" t="str">
        <x:f>IF(AND(Q$5&gt;=$C295,Q$5&lt;=$D295,$A295&lt;&gt;""),"●","")</x:f>
      </x:c>
      <x:c r="R295" s="165" t="str">
        <x:f>IF(AND(R$5&gt;=$C295,R$5&lt;=$D295,$A295&lt;&gt;""),"●","")</x:f>
      </x:c>
      <x:c r="S295" s="165" t="str">
        <x:f>IF(AND(S$5&gt;=$C295,S$5&lt;=$D295,$A295&lt;&gt;""),"●","")</x:f>
      </x:c>
      <x:c r="T295" s="165" t="str">
        <x:f>IF(AND(T$5&gt;=$C295,T$5&lt;=$D295,$A295&lt;&gt;""),"●","")</x:f>
      </x:c>
      <x:c r="U295" s="165" t="str">
        <x:f>IF(AND(U$5&gt;=$C295,U$5&lt;=$D295,$A295&lt;&gt;""),"●","")</x:f>
      </x:c>
      <x:c r="V295" s="165" t="str">
        <x:f>IF(AND(V$5&gt;=$C295,V$5&lt;=$D295,$A295&lt;&gt;""),"●","")</x:f>
      </x:c>
      <x:c r="W295" s="165" t="str">
        <x:f>IF(AND(W$5&gt;=$C295,W$5&lt;=$D295,$A295&lt;&gt;""),"●","")</x:f>
      </x:c>
      <x:c r="X295" s="165" t="str">
        <x:f>IF(AND(X$5&gt;=$C295,X$5&lt;=$D295,$A295&lt;&gt;""),"●","")</x:f>
      </x:c>
      <x:c r="Y295" s="165" t="str">
        <x:f>IF(AND(Y$5&gt;=$C295,Y$5&lt;=$D295,$A295&lt;&gt;""),"●","")</x:f>
      </x:c>
      <x:c r="Z295" s="165" t="str">
        <x:f>IF(AND(Z$5&gt;=$C295,Z$5&lt;=$D295,$A295&lt;&gt;""),"●","")</x:f>
      </x:c>
      <x:c r="AA295" s="165" t="str">
        <x:f>IF(AND(AA$5&gt;=$C295,AA$5&lt;=$D295,$A295&lt;&gt;""),"●","")</x:f>
      </x:c>
      <x:c r="AB295" s="165" t="str">
        <x:f>IF(AND(AB$5&gt;=$C295,AB$5&lt;=$D295,$A295&lt;&gt;""),"●","")</x:f>
      </x:c>
      <x:c r="AC295" s="165" t="str">
        <x:f>IF(AND(AC$5&gt;=$C295,AC$5&lt;=$D295,$A295&lt;&gt;""),"●","")</x:f>
      </x:c>
      <x:c r="AD295" s="165" t="str">
        <x:f>IF(AND(AD$5&gt;=$C295,AD$5&lt;=$D295,$A295&lt;&gt;""),"●","")</x:f>
      </x:c>
      <x:c r="AE295" s="165" t="str">
        <x:f>IF(AND(AE$5&gt;=$C295,AE$5&lt;=$D295,$A295&lt;&gt;""),"●","")</x:f>
      </x:c>
      <x:c r="AF295" s="165" t="str">
        <x:f>IF(AND(AF$5&gt;=$C295,AF$5&lt;=$D295,$A295&lt;&gt;""),"●","")</x:f>
      </x:c>
      <x:c r="AG295" s="165" t="str">
        <x:f>IF(AND(AG$5&gt;=$C295,AG$5&lt;=$D295,$A295&lt;&gt;""),"●","")</x:f>
      </x:c>
      <x:c r="AH295" s="165" t="str">
        <x:f>IF(AND(AH$5&gt;=$C295,AH$5&lt;=$D295,$A295&lt;&gt;""),"●","")</x:f>
      </x:c>
      <x:c r="AI295" s="165" t="str">
        <x:f>IF(AND(AI$5&gt;=$C295,AI$5&lt;=$D295,$A295&lt;&gt;""),"●","")</x:f>
      </x:c>
      <x:c r="AJ295" s="165" t="str">
        <x:f>IF(AND(AJ$5&gt;=$C295,AJ$5&lt;=$D295,$A295&lt;&gt;""),"●","")</x:f>
      </x:c>
      <x:c r="AK295" s="165" t="str">
        <x:f>IF(AND(AK$5&gt;=$C295,AK$5&lt;=$D295,$A295&lt;&gt;""),"●","")</x:f>
      </x:c>
      <x:c r="AL295" s="165" t="str">
        <x:f>IF(AND(AL$5&gt;=$C295,AL$5&lt;=$D295,$A295&lt;&gt;""),"●","")</x:f>
      </x:c>
      <x:c r="AM295" s="165" t="str">
        <x:f>IF(AND(AM$5&gt;=$C295,AM$5&lt;=$D295,$A295&lt;&gt;""),"●","")</x:f>
      </x:c>
      <x:c r="AN295" s="165" t="str">
        <x:f>IF(AND(AN$5&gt;=$C295,AN$5&lt;=$D295,$A295&lt;&gt;""),"●","")</x:f>
      </x:c>
      <x:c r="AO295" s="165" t="str">
        <x:f>IF(AND(AO$5&gt;=$C295,AO$5&lt;=$D295,$A295&lt;&gt;""),"●","")</x:f>
      </x:c>
      <x:c r="AP295" s="165" t="str">
        <x:f>IF(AND(AP$5&gt;=$C295,AP$5&lt;=$D295,$A295&lt;&gt;""),"●","")</x:f>
      </x:c>
      <x:c r="AQ295" s="165" t="str">
        <x:f>IF(AND(AQ$5&gt;=$C295,AQ$5&lt;=$D295,$A295&lt;&gt;""),"●","")</x:f>
      </x:c>
      <x:c r="AR295" s="165" t="str">
        <x:f>IF(AND(AR$5&gt;=$C295,AR$5&lt;=$D295,$A295&lt;&gt;""),"●","")</x:f>
      </x:c>
      <x:c r="AS295" s="165" t="str">
        <x:f>IF(AND(AS$5&gt;=$C295,AS$5&lt;=$D295,$A295&lt;&gt;""),"●","")</x:f>
      </x:c>
      <x:c r="AT295" s="165" t="str">
        <x:f>IF(AND(AT$5&gt;=$C295,AT$5&lt;=$D295,$A295&lt;&gt;""),"●","")</x:f>
      </x:c>
      <x:c r="AU295" s="165" t="str">
        <x:f>IF(AND(AU$5&gt;=$C295,AU$5&lt;=$D295,$A295&lt;&gt;""),"●","")</x:f>
      </x:c>
      <x:c r="AV295" s="165" t="str">
        <x:f>IF(AND(AV$5&gt;=$C295,AV$5&lt;=$D295,$A295&lt;&gt;""),"●","")</x:f>
      </x:c>
      <x:c r="AW295" s="165" t="str">
        <x:f>IF(AND(AW$5&gt;=$C295,AW$5&lt;=$D295,$A295&lt;&gt;""),"●","")</x:f>
      </x:c>
      <x:c r="AX295" s="165" t="str">
        <x:f>IF(AND(AX$5&gt;=$C295,AX$5&lt;=$D295,$A295&lt;&gt;""),"●","")</x:f>
      </x:c>
      <x:c r="AY295" s="165" t="str">
        <x:f>IF(AND(AY$5&gt;=$C295,AY$5&lt;=$D295,$A295&lt;&gt;""),"●","")</x:f>
      </x:c>
      <x:c r="AZ295" s="165" t="str">
        <x:f>IF(AND(AZ$5&gt;=$C295,AZ$5&lt;=$D295,$A295&lt;&gt;""),"●","")</x:f>
      </x:c>
      <x:c r="BA295" s="165" t="str">
        <x:f>IF(AND(BA$5&gt;=$C295,BA$5&lt;=$D295,$A295&lt;&gt;""),"●","")</x:f>
      </x:c>
      <x:c r="BB295" s="165" t="str">
        <x:f>IF(AND(BB$5&gt;=$C295,BB$5&lt;=$D295,$A295&lt;&gt;""),"●","")</x:f>
      </x:c>
      <x:c r="BC295" s="165" t="str">
        <x:f>IF(AND(BC$5&gt;=$C295,BC$5&lt;=$D295,$A295&lt;&gt;""),"●","")</x:f>
      </x:c>
      <x:c r="BD295" s="165" t="str">
        <x:f>IF(AND(BD$5&gt;=$C295,BD$5&lt;=$D295,$A295&lt;&gt;""),"●","")</x:f>
      </x:c>
      <x:c r="BE295" s="165" t="str">
        <x:f>IF(AND(BE$5&gt;=$C295,BE$5&lt;=$D295,$A295&lt;&gt;""),"●","")</x:f>
      </x:c>
      <x:c r="BF295" s="165" t="str">
        <x:f>IF(AND(BF$5&gt;=$C295,BF$5&lt;=$D295,$A295&lt;&gt;""),"●","")</x:f>
      </x:c>
      <x:c r="BG295" s="165" t="str">
        <x:f>IF(AND(BG$5&gt;=$C295,BG$5&lt;=$D295,$A295&lt;&gt;""),"●","")</x:f>
      </x:c>
      <x:c r="BH295" s="165" t="str">
        <x:f>IF(AND(BH$5&gt;=$C295,BH$5&lt;=$D295,$A295&lt;&gt;""),"●","")</x:f>
      </x:c>
      <x:c r="BI295" s="165" t="str">
        <x:f>IF(AND(BI$5&gt;=$C295,BI$5&lt;=$D295,$A295&lt;&gt;""),"●","")</x:f>
      </x:c>
      <x:c r="BJ295" s="165" t="str">
        <x:f>IF(AND(BJ$5&gt;=$C295,BJ$5&lt;=$D295,$A295&lt;&gt;""),"●","")</x:f>
      </x:c>
      <x:c r="BK295" s="165" t="str">
        <x:f>IF(AND(BK$5&gt;=$C295,BK$5&lt;=$D295,$A295&lt;&gt;""),"●","")</x:f>
      </x:c>
      <x:c r="BL295" s="165" t="str">
        <x:f>IF(AND(BL$5&gt;=$C295,BL$5&lt;=$D295,$A295&lt;&gt;""),"●","")</x:f>
      </x:c>
      <x:c r="BM295" s="165" t="str">
        <x:f>IF(AND(BM$5&gt;=$C295,BM$5&lt;=$D295,$A295&lt;&gt;""),"●","")</x:f>
      </x:c>
      <x:c r="BN295" s="165" t="str">
        <x:f>IF(AND(BN$5&gt;=$C295,BN$5&lt;=$D295,$A295&lt;&gt;""),"●","")</x:f>
      </x:c>
      <x:c r="BO295" s="165" t="str">
        <x:f>IF(AND(BO$5&gt;=$C295,BO$5&lt;=$D295,$A295&lt;&gt;""),"●","")</x:f>
      </x:c>
      <x:c r="BP295" s="165" t="str">
        <x:f>IF(AND(BP$5&gt;=$C295,BP$5&lt;=$D295,$A295&lt;&gt;""),"●","")</x:f>
      </x:c>
      <x:c r="BQ295" s="165" t="str">
        <x:f>IF(AND(BQ$5&gt;=$C295,BQ$5&lt;=$D295,$A295&lt;&gt;""),"●","")</x:f>
      </x:c>
      <x:c r="BR295" s="165" t="str">
        <x:f>IF(AND(BR$5&gt;=$C295,BR$5&lt;=$D295,$A295&lt;&gt;""),"●","")</x:f>
      </x:c>
      <x:c r="BS295" s="165" t="str">
        <x:f>IF(AND(BS$5&gt;=$C295,BS$5&lt;=$D295,$A295&lt;&gt;""),"●","")</x:f>
      </x:c>
      <x:c r="BT295" s="165" t="str">
        <x:f>IF(AND(BT$5&gt;=$C295,BT$5&lt;=$D295,$A295&lt;&gt;""),"●","")</x:f>
      </x:c>
      <x:c r="BU295" s="165" t="str">
        <x:f>IF(AND(BU$5&gt;=$C295,BU$5&lt;=$D295,$A295&lt;&gt;""),"●","")</x:f>
      </x:c>
      <x:c r="BV295" s="165" t="str">
        <x:f>IF(AND(BV$5&gt;=$C295,BV$5&lt;=$D295,$A295&lt;&gt;""),"●","")</x:f>
      </x:c>
      <x:c r="BW295" s="165" t="str">
        <x:f>IF(AND(BW$5&gt;=$C295,BW$5&lt;=$D295,$A295&lt;&gt;""),"●","")</x:f>
      </x:c>
    </x:row>
    <x:row r="296">
      <x:c r="A296" s="159" t="str">
        <x:f>IF('รายการสัญญา'!A296="","",'รายการสัญญา'!A296)</x:f>
      </x:c>
      <x:c r="B296" s="159" t="str">
        <x:f>IF('รายการสัญญา'!A296="","",'รายการสัญญา'!C296)</x:f>
      </x:c>
      <x:c r="C296" s="162" t="str">
        <x:f>IF('รายการสัญญา'!A296="","",'รายการสัญญา'!E296)</x:f>
      </x:c>
      <x:c r="D296" s="162" t="str">
        <x:f>IF('รายการสัญญา'!A296="","",'รายการสัญญา'!G296)</x:f>
      </x:c>
      <x:c r="E296" s="159" t="str">
        <x:f>IF('รายการสัญญา'!A296="","",'รายการสัญญา'!K296)</x:f>
      </x:c>
      <x:c r="F296" s="165" t="str">
        <x:f>IF(AND(F$5&gt;=$C296,F$5&lt;=$D296,$A296&lt;&gt;""),"●","")</x:f>
      </x:c>
      <x:c r="G296" s="165" t="str">
        <x:f>IF(AND(G$5&gt;=$C296,G$5&lt;=$D296,$A296&lt;&gt;""),"●","")</x:f>
      </x:c>
      <x:c r="H296" s="165" t="str">
        <x:f>IF(AND(H$5&gt;=$C296,H$5&lt;=$D296,$A296&lt;&gt;""),"●","")</x:f>
      </x:c>
      <x:c r="I296" s="165" t="str">
        <x:f>IF(AND(I$5&gt;=$C296,I$5&lt;=$D296,$A296&lt;&gt;""),"●","")</x:f>
      </x:c>
      <x:c r="J296" s="165" t="str">
        <x:f>IF(AND(J$5&gt;=$C296,J$5&lt;=$D296,$A296&lt;&gt;""),"●","")</x:f>
      </x:c>
      <x:c r="K296" s="165" t="str">
        <x:f>IF(AND(K$5&gt;=$C296,K$5&lt;=$D296,$A296&lt;&gt;""),"●","")</x:f>
      </x:c>
      <x:c r="L296" s="165" t="str">
        <x:f>IF(AND(L$5&gt;=$C296,L$5&lt;=$D296,$A296&lt;&gt;""),"●","")</x:f>
      </x:c>
      <x:c r="M296" s="165" t="str">
        <x:f>IF(AND(M$5&gt;=$C296,M$5&lt;=$D296,$A296&lt;&gt;""),"●","")</x:f>
      </x:c>
      <x:c r="N296" s="165" t="str">
        <x:f>IF(AND(N$5&gt;=$C296,N$5&lt;=$D296,$A296&lt;&gt;""),"●","")</x:f>
      </x:c>
      <x:c r="O296" s="165" t="str">
        <x:f>IF(AND(O$5&gt;=$C296,O$5&lt;=$D296,$A296&lt;&gt;""),"●","")</x:f>
      </x:c>
      <x:c r="P296" s="165" t="str">
        <x:f>IF(AND(P$5&gt;=$C296,P$5&lt;=$D296,$A296&lt;&gt;""),"●","")</x:f>
      </x:c>
      <x:c r="Q296" s="165" t="str">
        <x:f>IF(AND(Q$5&gt;=$C296,Q$5&lt;=$D296,$A296&lt;&gt;""),"●","")</x:f>
      </x:c>
      <x:c r="R296" s="165" t="str">
        <x:f>IF(AND(R$5&gt;=$C296,R$5&lt;=$D296,$A296&lt;&gt;""),"●","")</x:f>
      </x:c>
      <x:c r="S296" s="165" t="str">
        <x:f>IF(AND(S$5&gt;=$C296,S$5&lt;=$D296,$A296&lt;&gt;""),"●","")</x:f>
      </x:c>
      <x:c r="T296" s="165" t="str">
        <x:f>IF(AND(T$5&gt;=$C296,T$5&lt;=$D296,$A296&lt;&gt;""),"●","")</x:f>
      </x:c>
      <x:c r="U296" s="165" t="str">
        <x:f>IF(AND(U$5&gt;=$C296,U$5&lt;=$D296,$A296&lt;&gt;""),"●","")</x:f>
      </x:c>
      <x:c r="V296" s="165" t="str">
        <x:f>IF(AND(V$5&gt;=$C296,V$5&lt;=$D296,$A296&lt;&gt;""),"●","")</x:f>
      </x:c>
      <x:c r="W296" s="165" t="str">
        <x:f>IF(AND(W$5&gt;=$C296,W$5&lt;=$D296,$A296&lt;&gt;""),"●","")</x:f>
      </x:c>
      <x:c r="X296" s="165" t="str">
        <x:f>IF(AND(X$5&gt;=$C296,X$5&lt;=$D296,$A296&lt;&gt;""),"●","")</x:f>
      </x:c>
      <x:c r="Y296" s="165" t="str">
        <x:f>IF(AND(Y$5&gt;=$C296,Y$5&lt;=$D296,$A296&lt;&gt;""),"●","")</x:f>
      </x:c>
      <x:c r="Z296" s="165" t="str">
        <x:f>IF(AND(Z$5&gt;=$C296,Z$5&lt;=$D296,$A296&lt;&gt;""),"●","")</x:f>
      </x:c>
      <x:c r="AA296" s="165" t="str">
        <x:f>IF(AND(AA$5&gt;=$C296,AA$5&lt;=$D296,$A296&lt;&gt;""),"●","")</x:f>
      </x:c>
      <x:c r="AB296" s="165" t="str">
        <x:f>IF(AND(AB$5&gt;=$C296,AB$5&lt;=$D296,$A296&lt;&gt;""),"●","")</x:f>
      </x:c>
      <x:c r="AC296" s="165" t="str">
        <x:f>IF(AND(AC$5&gt;=$C296,AC$5&lt;=$D296,$A296&lt;&gt;""),"●","")</x:f>
      </x:c>
      <x:c r="AD296" s="165" t="str">
        <x:f>IF(AND(AD$5&gt;=$C296,AD$5&lt;=$D296,$A296&lt;&gt;""),"●","")</x:f>
      </x:c>
      <x:c r="AE296" s="165" t="str">
        <x:f>IF(AND(AE$5&gt;=$C296,AE$5&lt;=$D296,$A296&lt;&gt;""),"●","")</x:f>
      </x:c>
      <x:c r="AF296" s="165" t="str">
        <x:f>IF(AND(AF$5&gt;=$C296,AF$5&lt;=$D296,$A296&lt;&gt;""),"●","")</x:f>
      </x:c>
      <x:c r="AG296" s="165" t="str">
        <x:f>IF(AND(AG$5&gt;=$C296,AG$5&lt;=$D296,$A296&lt;&gt;""),"●","")</x:f>
      </x:c>
      <x:c r="AH296" s="165" t="str">
        <x:f>IF(AND(AH$5&gt;=$C296,AH$5&lt;=$D296,$A296&lt;&gt;""),"●","")</x:f>
      </x:c>
      <x:c r="AI296" s="165" t="str">
        <x:f>IF(AND(AI$5&gt;=$C296,AI$5&lt;=$D296,$A296&lt;&gt;""),"●","")</x:f>
      </x:c>
      <x:c r="AJ296" s="165" t="str">
        <x:f>IF(AND(AJ$5&gt;=$C296,AJ$5&lt;=$D296,$A296&lt;&gt;""),"●","")</x:f>
      </x:c>
      <x:c r="AK296" s="165" t="str">
        <x:f>IF(AND(AK$5&gt;=$C296,AK$5&lt;=$D296,$A296&lt;&gt;""),"●","")</x:f>
      </x:c>
      <x:c r="AL296" s="165" t="str">
        <x:f>IF(AND(AL$5&gt;=$C296,AL$5&lt;=$D296,$A296&lt;&gt;""),"●","")</x:f>
      </x:c>
      <x:c r="AM296" s="165" t="str">
        <x:f>IF(AND(AM$5&gt;=$C296,AM$5&lt;=$D296,$A296&lt;&gt;""),"●","")</x:f>
      </x:c>
      <x:c r="AN296" s="165" t="str">
        <x:f>IF(AND(AN$5&gt;=$C296,AN$5&lt;=$D296,$A296&lt;&gt;""),"●","")</x:f>
      </x:c>
      <x:c r="AO296" s="165" t="str">
        <x:f>IF(AND(AO$5&gt;=$C296,AO$5&lt;=$D296,$A296&lt;&gt;""),"●","")</x:f>
      </x:c>
      <x:c r="AP296" s="165" t="str">
        <x:f>IF(AND(AP$5&gt;=$C296,AP$5&lt;=$D296,$A296&lt;&gt;""),"●","")</x:f>
      </x:c>
      <x:c r="AQ296" s="165" t="str">
        <x:f>IF(AND(AQ$5&gt;=$C296,AQ$5&lt;=$D296,$A296&lt;&gt;""),"●","")</x:f>
      </x:c>
      <x:c r="AR296" s="165" t="str">
        <x:f>IF(AND(AR$5&gt;=$C296,AR$5&lt;=$D296,$A296&lt;&gt;""),"●","")</x:f>
      </x:c>
      <x:c r="AS296" s="165" t="str">
        <x:f>IF(AND(AS$5&gt;=$C296,AS$5&lt;=$D296,$A296&lt;&gt;""),"●","")</x:f>
      </x:c>
      <x:c r="AT296" s="165" t="str">
        <x:f>IF(AND(AT$5&gt;=$C296,AT$5&lt;=$D296,$A296&lt;&gt;""),"●","")</x:f>
      </x:c>
      <x:c r="AU296" s="165" t="str">
        <x:f>IF(AND(AU$5&gt;=$C296,AU$5&lt;=$D296,$A296&lt;&gt;""),"●","")</x:f>
      </x:c>
      <x:c r="AV296" s="165" t="str">
        <x:f>IF(AND(AV$5&gt;=$C296,AV$5&lt;=$D296,$A296&lt;&gt;""),"●","")</x:f>
      </x:c>
      <x:c r="AW296" s="165" t="str">
        <x:f>IF(AND(AW$5&gt;=$C296,AW$5&lt;=$D296,$A296&lt;&gt;""),"●","")</x:f>
      </x:c>
      <x:c r="AX296" s="165" t="str">
        <x:f>IF(AND(AX$5&gt;=$C296,AX$5&lt;=$D296,$A296&lt;&gt;""),"●","")</x:f>
      </x:c>
      <x:c r="AY296" s="165" t="str">
        <x:f>IF(AND(AY$5&gt;=$C296,AY$5&lt;=$D296,$A296&lt;&gt;""),"●","")</x:f>
      </x:c>
      <x:c r="AZ296" s="165" t="str">
        <x:f>IF(AND(AZ$5&gt;=$C296,AZ$5&lt;=$D296,$A296&lt;&gt;""),"●","")</x:f>
      </x:c>
      <x:c r="BA296" s="165" t="str">
        <x:f>IF(AND(BA$5&gt;=$C296,BA$5&lt;=$D296,$A296&lt;&gt;""),"●","")</x:f>
      </x:c>
      <x:c r="BB296" s="165" t="str">
        <x:f>IF(AND(BB$5&gt;=$C296,BB$5&lt;=$D296,$A296&lt;&gt;""),"●","")</x:f>
      </x:c>
      <x:c r="BC296" s="165" t="str">
        <x:f>IF(AND(BC$5&gt;=$C296,BC$5&lt;=$D296,$A296&lt;&gt;""),"●","")</x:f>
      </x:c>
      <x:c r="BD296" s="165" t="str">
        <x:f>IF(AND(BD$5&gt;=$C296,BD$5&lt;=$D296,$A296&lt;&gt;""),"●","")</x:f>
      </x:c>
      <x:c r="BE296" s="165" t="str">
        <x:f>IF(AND(BE$5&gt;=$C296,BE$5&lt;=$D296,$A296&lt;&gt;""),"●","")</x:f>
      </x:c>
      <x:c r="BF296" s="165" t="str">
        <x:f>IF(AND(BF$5&gt;=$C296,BF$5&lt;=$D296,$A296&lt;&gt;""),"●","")</x:f>
      </x:c>
      <x:c r="BG296" s="165" t="str">
        <x:f>IF(AND(BG$5&gt;=$C296,BG$5&lt;=$D296,$A296&lt;&gt;""),"●","")</x:f>
      </x:c>
      <x:c r="BH296" s="165" t="str">
        <x:f>IF(AND(BH$5&gt;=$C296,BH$5&lt;=$D296,$A296&lt;&gt;""),"●","")</x:f>
      </x:c>
      <x:c r="BI296" s="165" t="str">
        <x:f>IF(AND(BI$5&gt;=$C296,BI$5&lt;=$D296,$A296&lt;&gt;""),"●","")</x:f>
      </x:c>
      <x:c r="BJ296" s="165" t="str">
        <x:f>IF(AND(BJ$5&gt;=$C296,BJ$5&lt;=$D296,$A296&lt;&gt;""),"●","")</x:f>
      </x:c>
      <x:c r="BK296" s="165" t="str">
        <x:f>IF(AND(BK$5&gt;=$C296,BK$5&lt;=$D296,$A296&lt;&gt;""),"●","")</x:f>
      </x:c>
      <x:c r="BL296" s="165" t="str">
        <x:f>IF(AND(BL$5&gt;=$C296,BL$5&lt;=$D296,$A296&lt;&gt;""),"●","")</x:f>
      </x:c>
      <x:c r="BM296" s="165" t="str">
        <x:f>IF(AND(BM$5&gt;=$C296,BM$5&lt;=$D296,$A296&lt;&gt;""),"●","")</x:f>
      </x:c>
      <x:c r="BN296" s="165" t="str">
        <x:f>IF(AND(BN$5&gt;=$C296,BN$5&lt;=$D296,$A296&lt;&gt;""),"●","")</x:f>
      </x:c>
      <x:c r="BO296" s="165" t="str">
        <x:f>IF(AND(BO$5&gt;=$C296,BO$5&lt;=$D296,$A296&lt;&gt;""),"●","")</x:f>
      </x:c>
      <x:c r="BP296" s="165" t="str">
        <x:f>IF(AND(BP$5&gt;=$C296,BP$5&lt;=$D296,$A296&lt;&gt;""),"●","")</x:f>
      </x:c>
      <x:c r="BQ296" s="165" t="str">
        <x:f>IF(AND(BQ$5&gt;=$C296,BQ$5&lt;=$D296,$A296&lt;&gt;""),"●","")</x:f>
      </x:c>
      <x:c r="BR296" s="165" t="str">
        <x:f>IF(AND(BR$5&gt;=$C296,BR$5&lt;=$D296,$A296&lt;&gt;""),"●","")</x:f>
      </x:c>
      <x:c r="BS296" s="165" t="str">
        <x:f>IF(AND(BS$5&gt;=$C296,BS$5&lt;=$D296,$A296&lt;&gt;""),"●","")</x:f>
      </x:c>
      <x:c r="BT296" s="165" t="str">
        <x:f>IF(AND(BT$5&gt;=$C296,BT$5&lt;=$D296,$A296&lt;&gt;""),"●","")</x:f>
      </x:c>
      <x:c r="BU296" s="165" t="str">
        <x:f>IF(AND(BU$5&gt;=$C296,BU$5&lt;=$D296,$A296&lt;&gt;""),"●","")</x:f>
      </x:c>
      <x:c r="BV296" s="165" t="str">
        <x:f>IF(AND(BV$5&gt;=$C296,BV$5&lt;=$D296,$A296&lt;&gt;""),"●","")</x:f>
      </x:c>
      <x:c r="BW296" s="165" t="str">
        <x:f>IF(AND(BW$5&gt;=$C296,BW$5&lt;=$D296,$A296&lt;&gt;""),"●","")</x:f>
      </x:c>
    </x:row>
    <x:row r="297">
      <x:c r="A297" s="159" t="str">
        <x:f>IF('รายการสัญญา'!A297="","",'รายการสัญญา'!A297)</x:f>
      </x:c>
      <x:c r="B297" s="159" t="str">
        <x:f>IF('รายการสัญญา'!A297="","",'รายการสัญญา'!C297)</x:f>
      </x:c>
      <x:c r="C297" s="162" t="str">
        <x:f>IF('รายการสัญญา'!A297="","",'รายการสัญญา'!E297)</x:f>
      </x:c>
      <x:c r="D297" s="162" t="str">
        <x:f>IF('รายการสัญญา'!A297="","",'รายการสัญญา'!G297)</x:f>
      </x:c>
      <x:c r="E297" s="159" t="str">
        <x:f>IF('รายการสัญญา'!A297="","",'รายการสัญญา'!K297)</x:f>
      </x:c>
      <x:c r="F297" s="165" t="str">
        <x:f>IF(AND(F$5&gt;=$C297,F$5&lt;=$D297,$A297&lt;&gt;""),"●","")</x:f>
      </x:c>
      <x:c r="G297" s="165" t="str">
        <x:f>IF(AND(G$5&gt;=$C297,G$5&lt;=$D297,$A297&lt;&gt;""),"●","")</x:f>
      </x:c>
      <x:c r="H297" s="165" t="str">
        <x:f>IF(AND(H$5&gt;=$C297,H$5&lt;=$D297,$A297&lt;&gt;""),"●","")</x:f>
      </x:c>
      <x:c r="I297" s="165" t="str">
        <x:f>IF(AND(I$5&gt;=$C297,I$5&lt;=$D297,$A297&lt;&gt;""),"●","")</x:f>
      </x:c>
      <x:c r="J297" s="165" t="str">
        <x:f>IF(AND(J$5&gt;=$C297,J$5&lt;=$D297,$A297&lt;&gt;""),"●","")</x:f>
      </x:c>
      <x:c r="K297" s="165" t="str">
        <x:f>IF(AND(K$5&gt;=$C297,K$5&lt;=$D297,$A297&lt;&gt;""),"●","")</x:f>
      </x:c>
      <x:c r="L297" s="165" t="str">
        <x:f>IF(AND(L$5&gt;=$C297,L$5&lt;=$D297,$A297&lt;&gt;""),"●","")</x:f>
      </x:c>
      <x:c r="M297" s="165" t="str">
        <x:f>IF(AND(M$5&gt;=$C297,M$5&lt;=$D297,$A297&lt;&gt;""),"●","")</x:f>
      </x:c>
      <x:c r="N297" s="165" t="str">
        <x:f>IF(AND(N$5&gt;=$C297,N$5&lt;=$D297,$A297&lt;&gt;""),"●","")</x:f>
      </x:c>
      <x:c r="O297" s="165" t="str">
        <x:f>IF(AND(O$5&gt;=$C297,O$5&lt;=$D297,$A297&lt;&gt;""),"●","")</x:f>
      </x:c>
      <x:c r="P297" s="165" t="str">
        <x:f>IF(AND(P$5&gt;=$C297,P$5&lt;=$D297,$A297&lt;&gt;""),"●","")</x:f>
      </x:c>
      <x:c r="Q297" s="165" t="str">
        <x:f>IF(AND(Q$5&gt;=$C297,Q$5&lt;=$D297,$A297&lt;&gt;""),"●","")</x:f>
      </x:c>
      <x:c r="R297" s="165" t="str">
        <x:f>IF(AND(R$5&gt;=$C297,R$5&lt;=$D297,$A297&lt;&gt;""),"●","")</x:f>
      </x:c>
      <x:c r="S297" s="165" t="str">
        <x:f>IF(AND(S$5&gt;=$C297,S$5&lt;=$D297,$A297&lt;&gt;""),"●","")</x:f>
      </x:c>
      <x:c r="T297" s="165" t="str">
        <x:f>IF(AND(T$5&gt;=$C297,T$5&lt;=$D297,$A297&lt;&gt;""),"●","")</x:f>
      </x:c>
      <x:c r="U297" s="165" t="str">
        <x:f>IF(AND(U$5&gt;=$C297,U$5&lt;=$D297,$A297&lt;&gt;""),"●","")</x:f>
      </x:c>
      <x:c r="V297" s="165" t="str">
        <x:f>IF(AND(V$5&gt;=$C297,V$5&lt;=$D297,$A297&lt;&gt;""),"●","")</x:f>
      </x:c>
      <x:c r="W297" s="165" t="str">
        <x:f>IF(AND(W$5&gt;=$C297,W$5&lt;=$D297,$A297&lt;&gt;""),"●","")</x:f>
      </x:c>
      <x:c r="X297" s="165" t="str">
        <x:f>IF(AND(X$5&gt;=$C297,X$5&lt;=$D297,$A297&lt;&gt;""),"●","")</x:f>
      </x:c>
      <x:c r="Y297" s="165" t="str">
        <x:f>IF(AND(Y$5&gt;=$C297,Y$5&lt;=$D297,$A297&lt;&gt;""),"●","")</x:f>
      </x:c>
      <x:c r="Z297" s="165" t="str">
        <x:f>IF(AND(Z$5&gt;=$C297,Z$5&lt;=$D297,$A297&lt;&gt;""),"●","")</x:f>
      </x:c>
      <x:c r="AA297" s="165" t="str">
        <x:f>IF(AND(AA$5&gt;=$C297,AA$5&lt;=$D297,$A297&lt;&gt;""),"●","")</x:f>
      </x:c>
      <x:c r="AB297" s="165" t="str">
        <x:f>IF(AND(AB$5&gt;=$C297,AB$5&lt;=$D297,$A297&lt;&gt;""),"●","")</x:f>
      </x:c>
      <x:c r="AC297" s="165" t="str">
        <x:f>IF(AND(AC$5&gt;=$C297,AC$5&lt;=$D297,$A297&lt;&gt;""),"●","")</x:f>
      </x:c>
      <x:c r="AD297" s="165" t="str">
        <x:f>IF(AND(AD$5&gt;=$C297,AD$5&lt;=$D297,$A297&lt;&gt;""),"●","")</x:f>
      </x:c>
      <x:c r="AE297" s="165" t="str">
        <x:f>IF(AND(AE$5&gt;=$C297,AE$5&lt;=$D297,$A297&lt;&gt;""),"●","")</x:f>
      </x:c>
      <x:c r="AF297" s="165" t="str">
        <x:f>IF(AND(AF$5&gt;=$C297,AF$5&lt;=$D297,$A297&lt;&gt;""),"●","")</x:f>
      </x:c>
      <x:c r="AG297" s="165" t="str">
        <x:f>IF(AND(AG$5&gt;=$C297,AG$5&lt;=$D297,$A297&lt;&gt;""),"●","")</x:f>
      </x:c>
      <x:c r="AH297" s="165" t="str">
        <x:f>IF(AND(AH$5&gt;=$C297,AH$5&lt;=$D297,$A297&lt;&gt;""),"●","")</x:f>
      </x:c>
      <x:c r="AI297" s="165" t="str">
        <x:f>IF(AND(AI$5&gt;=$C297,AI$5&lt;=$D297,$A297&lt;&gt;""),"●","")</x:f>
      </x:c>
      <x:c r="AJ297" s="165" t="str">
        <x:f>IF(AND(AJ$5&gt;=$C297,AJ$5&lt;=$D297,$A297&lt;&gt;""),"●","")</x:f>
      </x:c>
      <x:c r="AK297" s="165" t="str">
        <x:f>IF(AND(AK$5&gt;=$C297,AK$5&lt;=$D297,$A297&lt;&gt;""),"●","")</x:f>
      </x:c>
      <x:c r="AL297" s="165" t="str">
        <x:f>IF(AND(AL$5&gt;=$C297,AL$5&lt;=$D297,$A297&lt;&gt;""),"●","")</x:f>
      </x:c>
      <x:c r="AM297" s="165" t="str">
        <x:f>IF(AND(AM$5&gt;=$C297,AM$5&lt;=$D297,$A297&lt;&gt;""),"●","")</x:f>
      </x:c>
      <x:c r="AN297" s="165" t="str">
        <x:f>IF(AND(AN$5&gt;=$C297,AN$5&lt;=$D297,$A297&lt;&gt;""),"●","")</x:f>
      </x:c>
      <x:c r="AO297" s="165" t="str">
        <x:f>IF(AND(AO$5&gt;=$C297,AO$5&lt;=$D297,$A297&lt;&gt;""),"●","")</x:f>
      </x:c>
      <x:c r="AP297" s="165" t="str">
        <x:f>IF(AND(AP$5&gt;=$C297,AP$5&lt;=$D297,$A297&lt;&gt;""),"●","")</x:f>
      </x:c>
      <x:c r="AQ297" s="165" t="str">
        <x:f>IF(AND(AQ$5&gt;=$C297,AQ$5&lt;=$D297,$A297&lt;&gt;""),"●","")</x:f>
      </x:c>
      <x:c r="AR297" s="165" t="str">
        <x:f>IF(AND(AR$5&gt;=$C297,AR$5&lt;=$D297,$A297&lt;&gt;""),"●","")</x:f>
      </x:c>
      <x:c r="AS297" s="165" t="str">
        <x:f>IF(AND(AS$5&gt;=$C297,AS$5&lt;=$D297,$A297&lt;&gt;""),"●","")</x:f>
      </x:c>
      <x:c r="AT297" s="165" t="str">
        <x:f>IF(AND(AT$5&gt;=$C297,AT$5&lt;=$D297,$A297&lt;&gt;""),"●","")</x:f>
      </x:c>
      <x:c r="AU297" s="165" t="str">
        <x:f>IF(AND(AU$5&gt;=$C297,AU$5&lt;=$D297,$A297&lt;&gt;""),"●","")</x:f>
      </x:c>
      <x:c r="AV297" s="165" t="str">
        <x:f>IF(AND(AV$5&gt;=$C297,AV$5&lt;=$D297,$A297&lt;&gt;""),"●","")</x:f>
      </x:c>
      <x:c r="AW297" s="165" t="str">
        <x:f>IF(AND(AW$5&gt;=$C297,AW$5&lt;=$D297,$A297&lt;&gt;""),"●","")</x:f>
      </x:c>
      <x:c r="AX297" s="165" t="str">
        <x:f>IF(AND(AX$5&gt;=$C297,AX$5&lt;=$D297,$A297&lt;&gt;""),"●","")</x:f>
      </x:c>
      <x:c r="AY297" s="165" t="str">
        <x:f>IF(AND(AY$5&gt;=$C297,AY$5&lt;=$D297,$A297&lt;&gt;""),"●","")</x:f>
      </x:c>
      <x:c r="AZ297" s="165" t="str">
        <x:f>IF(AND(AZ$5&gt;=$C297,AZ$5&lt;=$D297,$A297&lt;&gt;""),"●","")</x:f>
      </x:c>
      <x:c r="BA297" s="165" t="str">
        <x:f>IF(AND(BA$5&gt;=$C297,BA$5&lt;=$D297,$A297&lt;&gt;""),"●","")</x:f>
      </x:c>
      <x:c r="BB297" s="165" t="str">
        <x:f>IF(AND(BB$5&gt;=$C297,BB$5&lt;=$D297,$A297&lt;&gt;""),"●","")</x:f>
      </x:c>
      <x:c r="BC297" s="165" t="str">
        <x:f>IF(AND(BC$5&gt;=$C297,BC$5&lt;=$D297,$A297&lt;&gt;""),"●","")</x:f>
      </x:c>
      <x:c r="BD297" s="165" t="str">
        <x:f>IF(AND(BD$5&gt;=$C297,BD$5&lt;=$D297,$A297&lt;&gt;""),"●","")</x:f>
      </x:c>
      <x:c r="BE297" s="165" t="str">
        <x:f>IF(AND(BE$5&gt;=$C297,BE$5&lt;=$D297,$A297&lt;&gt;""),"●","")</x:f>
      </x:c>
      <x:c r="BF297" s="165" t="str">
        <x:f>IF(AND(BF$5&gt;=$C297,BF$5&lt;=$D297,$A297&lt;&gt;""),"●","")</x:f>
      </x:c>
      <x:c r="BG297" s="165" t="str">
        <x:f>IF(AND(BG$5&gt;=$C297,BG$5&lt;=$D297,$A297&lt;&gt;""),"●","")</x:f>
      </x:c>
      <x:c r="BH297" s="165" t="str">
        <x:f>IF(AND(BH$5&gt;=$C297,BH$5&lt;=$D297,$A297&lt;&gt;""),"●","")</x:f>
      </x:c>
      <x:c r="BI297" s="165" t="str">
        <x:f>IF(AND(BI$5&gt;=$C297,BI$5&lt;=$D297,$A297&lt;&gt;""),"●","")</x:f>
      </x:c>
      <x:c r="BJ297" s="165" t="str">
        <x:f>IF(AND(BJ$5&gt;=$C297,BJ$5&lt;=$D297,$A297&lt;&gt;""),"●","")</x:f>
      </x:c>
      <x:c r="BK297" s="165" t="str">
        <x:f>IF(AND(BK$5&gt;=$C297,BK$5&lt;=$D297,$A297&lt;&gt;""),"●","")</x:f>
      </x:c>
      <x:c r="BL297" s="165" t="str">
        <x:f>IF(AND(BL$5&gt;=$C297,BL$5&lt;=$D297,$A297&lt;&gt;""),"●","")</x:f>
      </x:c>
      <x:c r="BM297" s="165" t="str">
        <x:f>IF(AND(BM$5&gt;=$C297,BM$5&lt;=$D297,$A297&lt;&gt;""),"●","")</x:f>
      </x:c>
      <x:c r="BN297" s="165" t="str">
        <x:f>IF(AND(BN$5&gt;=$C297,BN$5&lt;=$D297,$A297&lt;&gt;""),"●","")</x:f>
      </x:c>
      <x:c r="BO297" s="165" t="str">
        <x:f>IF(AND(BO$5&gt;=$C297,BO$5&lt;=$D297,$A297&lt;&gt;""),"●","")</x:f>
      </x:c>
      <x:c r="BP297" s="165" t="str">
        <x:f>IF(AND(BP$5&gt;=$C297,BP$5&lt;=$D297,$A297&lt;&gt;""),"●","")</x:f>
      </x:c>
      <x:c r="BQ297" s="165" t="str">
        <x:f>IF(AND(BQ$5&gt;=$C297,BQ$5&lt;=$D297,$A297&lt;&gt;""),"●","")</x:f>
      </x:c>
      <x:c r="BR297" s="165" t="str">
        <x:f>IF(AND(BR$5&gt;=$C297,BR$5&lt;=$D297,$A297&lt;&gt;""),"●","")</x:f>
      </x:c>
      <x:c r="BS297" s="165" t="str">
        <x:f>IF(AND(BS$5&gt;=$C297,BS$5&lt;=$D297,$A297&lt;&gt;""),"●","")</x:f>
      </x:c>
      <x:c r="BT297" s="165" t="str">
        <x:f>IF(AND(BT$5&gt;=$C297,BT$5&lt;=$D297,$A297&lt;&gt;""),"●","")</x:f>
      </x:c>
      <x:c r="BU297" s="165" t="str">
        <x:f>IF(AND(BU$5&gt;=$C297,BU$5&lt;=$D297,$A297&lt;&gt;""),"●","")</x:f>
      </x:c>
      <x:c r="BV297" s="165" t="str">
        <x:f>IF(AND(BV$5&gt;=$C297,BV$5&lt;=$D297,$A297&lt;&gt;""),"●","")</x:f>
      </x:c>
      <x:c r="BW297" s="165" t="str">
        <x:f>IF(AND(BW$5&gt;=$C297,BW$5&lt;=$D297,$A297&lt;&gt;""),"●","")</x:f>
      </x:c>
    </x:row>
    <x:row r="298">
      <x:c r="A298" s="159" t="str">
        <x:f>IF('รายการสัญญา'!A298="","",'รายการสัญญา'!A298)</x:f>
      </x:c>
      <x:c r="B298" s="159" t="str">
        <x:f>IF('รายการสัญญา'!A298="","",'รายการสัญญา'!C298)</x:f>
      </x:c>
      <x:c r="C298" s="162" t="str">
        <x:f>IF('รายการสัญญา'!A298="","",'รายการสัญญา'!E298)</x:f>
      </x:c>
      <x:c r="D298" s="162" t="str">
        <x:f>IF('รายการสัญญา'!A298="","",'รายการสัญญา'!G298)</x:f>
      </x:c>
      <x:c r="E298" s="159" t="str">
        <x:f>IF('รายการสัญญา'!A298="","",'รายการสัญญา'!K298)</x:f>
      </x:c>
      <x:c r="F298" s="165" t="str">
        <x:f>IF(AND(F$5&gt;=$C298,F$5&lt;=$D298,$A298&lt;&gt;""),"●","")</x:f>
      </x:c>
      <x:c r="G298" s="165" t="str">
        <x:f>IF(AND(G$5&gt;=$C298,G$5&lt;=$D298,$A298&lt;&gt;""),"●","")</x:f>
      </x:c>
      <x:c r="H298" s="165" t="str">
        <x:f>IF(AND(H$5&gt;=$C298,H$5&lt;=$D298,$A298&lt;&gt;""),"●","")</x:f>
      </x:c>
      <x:c r="I298" s="165" t="str">
        <x:f>IF(AND(I$5&gt;=$C298,I$5&lt;=$D298,$A298&lt;&gt;""),"●","")</x:f>
      </x:c>
      <x:c r="J298" s="165" t="str">
        <x:f>IF(AND(J$5&gt;=$C298,J$5&lt;=$D298,$A298&lt;&gt;""),"●","")</x:f>
      </x:c>
      <x:c r="K298" s="165" t="str">
        <x:f>IF(AND(K$5&gt;=$C298,K$5&lt;=$D298,$A298&lt;&gt;""),"●","")</x:f>
      </x:c>
      <x:c r="L298" s="165" t="str">
        <x:f>IF(AND(L$5&gt;=$C298,L$5&lt;=$D298,$A298&lt;&gt;""),"●","")</x:f>
      </x:c>
      <x:c r="M298" s="165" t="str">
        <x:f>IF(AND(M$5&gt;=$C298,M$5&lt;=$D298,$A298&lt;&gt;""),"●","")</x:f>
      </x:c>
      <x:c r="N298" s="165" t="str">
        <x:f>IF(AND(N$5&gt;=$C298,N$5&lt;=$D298,$A298&lt;&gt;""),"●","")</x:f>
      </x:c>
      <x:c r="O298" s="165" t="str">
        <x:f>IF(AND(O$5&gt;=$C298,O$5&lt;=$D298,$A298&lt;&gt;""),"●","")</x:f>
      </x:c>
      <x:c r="P298" s="165" t="str">
        <x:f>IF(AND(P$5&gt;=$C298,P$5&lt;=$D298,$A298&lt;&gt;""),"●","")</x:f>
      </x:c>
      <x:c r="Q298" s="165" t="str">
        <x:f>IF(AND(Q$5&gt;=$C298,Q$5&lt;=$D298,$A298&lt;&gt;""),"●","")</x:f>
      </x:c>
      <x:c r="R298" s="165" t="str">
        <x:f>IF(AND(R$5&gt;=$C298,R$5&lt;=$D298,$A298&lt;&gt;""),"●","")</x:f>
      </x:c>
      <x:c r="S298" s="165" t="str">
        <x:f>IF(AND(S$5&gt;=$C298,S$5&lt;=$D298,$A298&lt;&gt;""),"●","")</x:f>
      </x:c>
      <x:c r="T298" s="165" t="str">
        <x:f>IF(AND(T$5&gt;=$C298,T$5&lt;=$D298,$A298&lt;&gt;""),"●","")</x:f>
      </x:c>
      <x:c r="U298" s="165" t="str">
        <x:f>IF(AND(U$5&gt;=$C298,U$5&lt;=$D298,$A298&lt;&gt;""),"●","")</x:f>
      </x:c>
      <x:c r="V298" s="165" t="str">
        <x:f>IF(AND(V$5&gt;=$C298,V$5&lt;=$D298,$A298&lt;&gt;""),"●","")</x:f>
      </x:c>
      <x:c r="W298" s="165" t="str">
        <x:f>IF(AND(W$5&gt;=$C298,W$5&lt;=$D298,$A298&lt;&gt;""),"●","")</x:f>
      </x:c>
      <x:c r="X298" s="165" t="str">
        <x:f>IF(AND(X$5&gt;=$C298,X$5&lt;=$D298,$A298&lt;&gt;""),"●","")</x:f>
      </x:c>
      <x:c r="Y298" s="165" t="str">
        <x:f>IF(AND(Y$5&gt;=$C298,Y$5&lt;=$D298,$A298&lt;&gt;""),"●","")</x:f>
      </x:c>
      <x:c r="Z298" s="165" t="str">
        <x:f>IF(AND(Z$5&gt;=$C298,Z$5&lt;=$D298,$A298&lt;&gt;""),"●","")</x:f>
      </x:c>
      <x:c r="AA298" s="165" t="str">
        <x:f>IF(AND(AA$5&gt;=$C298,AA$5&lt;=$D298,$A298&lt;&gt;""),"●","")</x:f>
      </x:c>
      <x:c r="AB298" s="165" t="str">
        <x:f>IF(AND(AB$5&gt;=$C298,AB$5&lt;=$D298,$A298&lt;&gt;""),"●","")</x:f>
      </x:c>
      <x:c r="AC298" s="165" t="str">
        <x:f>IF(AND(AC$5&gt;=$C298,AC$5&lt;=$D298,$A298&lt;&gt;""),"●","")</x:f>
      </x:c>
      <x:c r="AD298" s="165" t="str">
        <x:f>IF(AND(AD$5&gt;=$C298,AD$5&lt;=$D298,$A298&lt;&gt;""),"●","")</x:f>
      </x:c>
      <x:c r="AE298" s="165" t="str">
        <x:f>IF(AND(AE$5&gt;=$C298,AE$5&lt;=$D298,$A298&lt;&gt;""),"●","")</x:f>
      </x:c>
      <x:c r="AF298" s="165" t="str">
        <x:f>IF(AND(AF$5&gt;=$C298,AF$5&lt;=$D298,$A298&lt;&gt;""),"●","")</x:f>
      </x:c>
      <x:c r="AG298" s="165" t="str">
        <x:f>IF(AND(AG$5&gt;=$C298,AG$5&lt;=$D298,$A298&lt;&gt;""),"●","")</x:f>
      </x:c>
      <x:c r="AH298" s="165" t="str">
        <x:f>IF(AND(AH$5&gt;=$C298,AH$5&lt;=$D298,$A298&lt;&gt;""),"●","")</x:f>
      </x:c>
      <x:c r="AI298" s="165" t="str">
        <x:f>IF(AND(AI$5&gt;=$C298,AI$5&lt;=$D298,$A298&lt;&gt;""),"●","")</x:f>
      </x:c>
      <x:c r="AJ298" s="165" t="str">
        <x:f>IF(AND(AJ$5&gt;=$C298,AJ$5&lt;=$D298,$A298&lt;&gt;""),"●","")</x:f>
      </x:c>
      <x:c r="AK298" s="165" t="str">
        <x:f>IF(AND(AK$5&gt;=$C298,AK$5&lt;=$D298,$A298&lt;&gt;""),"●","")</x:f>
      </x:c>
      <x:c r="AL298" s="165" t="str">
        <x:f>IF(AND(AL$5&gt;=$C298,AL$5&lt;=$D298,$A298&lt;&gt;""),"●","")</x:f>
      </x:c>
      <x:c r="AM298" s="165" t="str">
        <x:f>IF(AND(AM$5&gt;=$C298,AM$5&lt;=$D298,$A298&lt;&gt;""),"●","")</x:f>
      </x:c>
      <x:c r="AN298" s="165" t="str">
        <x:f>IF(AND(AN$5&gt;=$C298,AN$5&lt;=$D298,$A298&lt;&gt;""),"●","")</x:f>
      </x:c>
      <x:c r="AO298" s="165" t="str">
        <x:f>IF(AND(AO$5&gt;=$C298,AO$5&lt;=$D298,$A298&lt;&gt;""),"●","")</x:f>
      </x:c>
      <x:c r="AP298" s="165" t="str">
        <x:f>IF(AND(AP$5&gt;=$C298,AP$5&lt;=$D298,$A298&lt;&gt;""),"●","")</x:f>
      </x:c>
      <x:c r="AQ298" s="165" t="str">
        <x:f>IF(AND(AQ$5&gt;=$C298,AQ$5&lt;=$D298,$A298&lt;&gt;""),"●","")</x:f>
      </x:c>
      <x:c r="AR298" s="165" t="str">
        <x:f>IF(AND(AR$5&gt;=$C298,AR$5&lt;=$D298,$A298&lt;&gt;""),"●","")</x:f>
      </x:c>
      <x:c r="AS298" s="165" t="str">
        <x:f>IF(AND(AS$5&gt;=$C298,AS$5&lt;=$D298,$A298&lt;&gt;""),"●","")</x:f>
      </x:c>
      <x:c r="AT298" s="165" t="str">
        <x:f>IF(AND(AT$5&gt;=$C298,AT$5&lt;=$D298,$A298&lt;&gt;""),"●","")</x:f>
      </x:c>
      <x:c r="AU298" s="165" t="str">
        <x:f>IF(AND(AU$5&gt;=$C298,AU$5&lt;=$D298,$A298&lt;&gt;""),"●","")</x:f>
      </x:c>
      <x:c r="AV298" s="165" t="str">
        <x:f>IF(AND(AV$5&gt;=$C298,AV$5&lt;=$D298,$A298&lt;&gt;""),"●","")</x:f>
      </x:c>
      <x:c r="AW298" s="165" t="str">
        <x:f>IF(AND(AW$5&gt;=$C298,AW$5&lt;=$D298,$A298&lt;&gt;""),"●","")</x:f>
      </x:c>
      <x:c r="AX298" s="165" t="str">
        <x:f>IF(AND(AX$5&gt;=$C298,AX$5&lt;=$D298,$A298&lt;&gt;""),"●","")</x:f>
      </x:c>
      <x:c r="AY298" s="165" t="str">
        <x:f>IF(AND(AY$5&gt;=$C298,AY$5&lt;=$D298,$A298&lt;&gt;""),"●","")</x:f>
      </x:c>
      <x:c r="AZ298" s="165" t="str">
        <x:f>IF(AND(AZ$5&gt;=$C298,AZ$5&lt;=$D298,$A298&lt;&gt;""),"●","")</x:f>
      </x:c>
      <x:c r="BA298" s="165" t="str">
        <x:f>IF(AND(BA$5&gt;=$C298,BA$5&lt;=$D298,$A298&lt;&gt;""),"●","")</x:f>
      </x:c>
      <x:c r="BB298" s="165" t="str">
        <x:f>IF(AND(BB$5&gt;=$C298,BB$5&lt;=$D298,$A298&lt;&gt;""),"●","")</x:f>
      </x:c>
      <x:c r="BC298" s="165" t="str">
        <x:f>IF(AND(BC$5&gt;=$C298,BC$5&lt;=$D298,$A298&lt;&gt;""),"●","")</x:f>
      </x:c>
      <x:c r="BD298" s="165" t="str">
        <x:f>IF(AND(BD$5&gt;=$C298,BD$5&lt;=$D298,$A298&lt;&gt;""),"●","")</x:f>
      </x:c>
      <x:c r="BE298" s="165" t="str">
        <x:f>IF(AND(BE$5&gt;=$C298,BE$5&lt;=$D298,$A298&lt;&gt;""),"●","")</x:f>
      </x:c>
      <x:c r="BF298" s="165" t="str">
        <x:f>IF(AND(BF$5&gt;=$C298,BF$5&lt;=$D298,$A298&lt;&gt;""),"●","")</x:f>
      </x:c>
      <x:c r="BG298" s="165" t="str">
        <x:f>IF(AND(BG$5&gt;=$C298,BG$5&lt;=$D298,$A298&lt;&gt;""),"●","")</x:f>
      </x:c>
      <x:c r="BH298" s="165" t="str">
        <x:f>IF(AND(BH$5&gt;=$C298,BH$5&lt;=$D298,$A298&lt;&gt;""),"●","")</x:f>
      </x:c>
      <x:c r="BI298" s="165" t="str">
        <x:f>IF(AND(BI$5&gt;=$C298,BI$5&lt;=$D298,$A298&lt;&gt;""),"●","")</x:f>
      </x:c>
      <x:c r="BJ298" s="165" t="str">
        <x:f>IF(AND(BJ$5&gt;=$C298,BJ$5&lt;=$D298,$A298&lt;&gt;""),"●","")</x:f>
      </x:c>
      <x:c r="BK298" s="165" t="str">
        <x:f>IF(AND(BK$5&gt;=$C298,BK$5&lt;=$D298,$A298&lt;&gt;""),"●","")</x:f>
      </x:c>
      <x:c r="BL298" s="165" t="str">
        <x:f>IF(AND(BL$5&gt;=$C298,BL$5&lt;=$D298,$A298&lt;&gt;""),"●","")</x:f>
      </x:c>
      <x:c r="BM298" s="165" t="str">
        <x:f>IF(AND(BM$5&gt;=$C298,BM$5&lt;=$D298,$A298&lt;&gt;""),"●","")</x:f>
      </x:c>
      <x:c r="BN298" s="165" t="str">
        <x:f>IF(AND(BN$5&gt;=$C298,BN$5&lt;=$D298,$A298&lt;&gt;""),"●","")</x:f>
      </x:c>
      <x:c r="BO298" s="165" t="str">
        <x:f>IF(AND(BO$5&gt;=$C298,BO$5&lt;=$D298,$A298&lt;&gt;""),"●","")</x:f>
      </x:c>
      <x:c r="BP298" s="165" t="str">
        <x:f>IF(AND(BP$5&gt;=$C298,BP$5&lt;=$D298,$A298&lt;&gt;""),"●","")</x:f>
      </x:c>
      <x:c r="BQ298" s="165" t="str">
        <x:f>IF(AND(BQ$5&gt;=$C298,BQ$5&lt;=$D298,$A298&lt;&gt;""),"●","")</x:f>
      </x:c>
      <x:c r="BR298" s="165" t="str">
        <x:f>IF(AND(BR$5&gt;=$C298,BR$5&lt;=$D298,$A298&lt;&gt;""),"●","")</x:f>
      </x:c>
      <x:c r="BS298" s="165" t="str">
        <x:f>IF(AND(BS$5&gt;=$C298,BS$5&lt;=$D298,$A298&lt;&gt;""),"●","")</x:f>
      </x:c>
      <x:c r="BT298" s="165" t="str">
        <x:f>IF(AND(BT$5&gt;=$C298,BT$5&lt;=$D298,$A298&lt;&gt;""),"●","")</x:f>
      </x:c>
      <x:c r="BU298" s="165" t="str">
        <x:f>IF(AND(BU$5&gt;=$C298,BU$5&lt;=$D298,$A298&lt;&gt;""),"●","")</x:f>
      </x:c>
      <x:c r="BV298" s="165" t="str">
        <x:f>IF(AND(BV$5&gt;=$C298,BV$5&lt;=$D298,$A298&lt;&gt;""),"●","")</x:f>
      </x:c>
      <x:c r="BW298" s="165" t="str">
        <x:f>IF(AND(BW$5&gt;=$C298,BW$5&lt;=$D298,$A298&lt;&gt;""),"●","")</x:f>
      </x:c>
    </x:row>
    <x:row r="299">
      <x:c r="A299" s="159" t="str">
        <x:f>IF('รายการสัญญา'!A299="","",'รายการสัญญา'!A299)</x:f>
      </x:c>
      <x:c r="B299" s="159" t="str">
        <x:f>IF('รายการสัญญา'!A299="","",'รายการสัญญา'!C299)</x:f>
      </x:c>
      <x:c r="C299" s="162" t="str">
        <x:f>IF('รายการสัญญา'!A299="","",'รายการสัญญา'!E299)</x:f>
      </x:c>
      <x:c r="D299" s="162" t="str">
        <x:f>IF('รายการสัญญา'!A299="","",'รายการสัญญา'!G299)</x:f>
      </x:c>
      <x:c r="E299" s="159" t="str">
        <x:f>IF('รายการสัญญา'!A299="","",'รายการสัญญา'!K299)</x:f>
      </x:c>
      <x:c r="F299" s="165" t="str">
        <x:f>IF(AND(F$5&gt;=$C299,F$5&lt;=$D299,$A299&lt;&gt;""),"●","")</x:f>
      </x:c>
      <x:c r="G299" s="165" t="str">
        <x:f>IF(AND(G$5&gt;=$C299,G$5&lt;=$D299,$A299&lt;&gt;""),"●","")</x:f>
      </x:c>
      <x:c r="H299" s="165" t="str">
        <x:f>IF(AND(H$5&gt;=$C299,H$5&lt;=$D299,$A299&lt;&gt;""),"●","")</x:f>
      </x:c>
      <x:c r="I299" s="165" t="str">
        <x:f>IF(AND(I$5&gt;=$C299,I$5&lt;=$D299,$A299&lt;&gt;""),"●","")</x:f>
      </x:c>
      <x:c r="J299" s="165" t="str">
        <x:f>IF(AND(J$5&gt;=$C299,J$5&lt;=$D299,$A299&lt;&gt;""),"●","")</x:f>
      </x:c>
      <x:c r="K299" s="165" t="str">
        <x:f>IF(AND(K$5&gt;=$C299,K$5&lt;=$D299,$A299&lt;&gt;""),"●","")</x:f>
      </x:c>
      <x:c r="L299" s="165" t="str">
        <x:f>IF(AND(L$5&gt;=$C299,L$5&lt;=$D299,$A299&lt;&gt;""),"●","")</x:f>
      </x:c>
      <x:c r="M299" s="165" t="str">
        <x:f>IF(AND(M$5&gt;=$C299,M$5&lt;=$D299,$A299&lt;&gt;""),"●","")</x:f>
      </x:c>
      <x:c r="N299" s="165" t="str">
        <x:f>IF(AND(N$5&gt;=$C299,N$5&lt;=$D299,$A299&lt;&gt;""),"●","")</x:f>
      </x:c>
      <x:c r="O299" s="165" t="str">
        <x:f>IF(AND(O$5&gt;=$C299,O$5&lt;=$D299,$A299&lt;&gt;""),"●","")</x:f>
      </x:c>
      <x:c r="P299" s="165" t="str">
        <x:f>IF(AND(P$5&gt;=$C299,P$5&lt;=$D299,$A299&lt;&gt;""),"●","")</x:f>
      </x:c>
      <x:c r="Q299" s="165" t="str">
        <x:f>IF(AND(Q$5&gt;=$C299,Q$5&lt;=$D299,$A299&lt;&gt;""),"●","")</x:f>
      </x:c>
      <x:c r="R299" s="165" t="str">
        <x:f>IF(AND(R$5&gt;=$C299,R$5&lt;=$D299,$A299&lt;&gt;""),"●","")</x:f>
      </x:c>
      <x:c r="S299" s="165" t="str">
        <x:f>IF(AND(S$5&gt;=$C299,S$5&lt;=$D299,$A299&lt;&gt;""),"●","")</x:f>
      </x:c>
      <x:c r="T299" s="165" t="str">
        <x:f>IF(AND(T$5&gt;=$C299,T$5&lt;=$D299,$A299&lt;&gt;""),"●","")</x:f>
      </x:c>
      <x:c r="U299" s="165" t="str">
        <x:f>IF(AND(U$5&gt;=$C299,U$5&lt;=$D299,$A299&lt;&gt;""),"●","")</x:f>
      </x:c>
      <x:c r="V299" s="165" t="str">
        <x:f>IF(AND(V$5&gt;=$C299,V$5&lt;=$D299,$A299&lt;&gt;""),"●","")</x:f>
      </x:c>
      <x:c r="W299" s="165" t="str">
        <x:f>IF(AND(W$5&gt;=$C299,W$5&lt;=$D299,$A299&lt;&gt;""),"●","")</x:f>
      </x:c>
      <x:c r="X299" s="165" t="str">
        <x:f>IF(AND(X$5&gt;=$C299,X$5&lt;=$D299,$A299&lt;&gt;""),"●","")</x:f>
      </x:c>
      <x:c r="Y299" s="165" t="str">
        <x:f>IF(AND(Y$5&gt;=$C299,Y$5&lt;=$D299,$A299&lt;&gt;""),"●","")</x:f>
      </x:c>
      <x:c r="Z299" s="165" t="str">
        <x:f>IF(AND(Z$5&gt;=$C299,Z$5&lt;=$D299,$A299&lt;&gt;""),"●","")</x:f>
      </x:c>
      <x:c r="AA299" s="165" t="str">
        <x:f>IF(AND(AA$5&gt;=$C299,AA$5&lt;=$D299,$A299&lt;&gt;""),"●","")</x:f>
      </x:c>
      <x:c r="AB299" s="165" t="str">
        <x:f>IF(AND(AB$5&gt;=$C299,AB$5&lt;=$D299,$A299&lt;&gt;""),"●","")</x:f>
      </x:c>
      <x:c r="AC299" s="165" t="str">
        <x:f>IF(AND(AC$5&gt;=$C299,AC$5&lt;=$D299,$A299&lt;&gt;""),"●","")</x:f>
      </x:c>
      <x:c r="AD299" s="165" t="str">
        <x:f>IF(AND(AD$5&gt;=$C299,AD$5&lt;=$D299,$A299&lt;&gt;""),"●","")</x:f>
      </x:c>
      <x:c r="AE299" s="165" t="str">
        <x:f>IF(AND(AE$5&gt;=$C299,AE$5&lt;=$D299,$A299&lt;&gt;""),"●","")</x:f>
      </x:c>
      <x:c r="AF299" s="165" t="str">
        <x:f>IF(AND(AF$5&gt;=$C299,AF$5&lt;=$D299,$A299&lt;&gt;""),"●","")</x:f>
      </x:c>
      <x:c r="AG299" s="165" t="str">
        <x:f>IF(AND(AG$5&gt;=$C299,AG$5&lt;=$D299,$A299&lt;&gt;""),"●","")</x:f>
      </x:c>
      <x:c r="AH299" s="165" t="str">
        <x:f>IF(AND(AH$5&gt;=$C299,AH$5&lt;=$D299,$A299&lt;&gt;""),"●","")</x:f>
      </x:c>
      <x:c r="AI299" s="165" t="str">
        <x:f>IF(AND(AI$5&gt;=$C299,AI$5&lt;=$D299,$A299&lt;&gt;""),"●","")</x:f>
      </x:c>
      <x:c r="AJ299" s="165" t="str">
        <x:f>IF(AND(AJ$5&gt;=$C299,AJ$5&lt;=$D299,$A299&lt;&gt;""),"●","")</x:f>
      </x:c>
      <x:c r="AK299" s="165" t="str">
        <x:f>IF(AND(AK$5&gt;=$C299,AK$5&lt;=$D299,$A299&lt;&gt;""),"●","")</x:f>
      </x:c>
      <x:c r="AL299" s="165" t="str">
        <x:f>IF(AND(AL$5&gt;=$C299,AL$5&lt;=$D299,$A299&lt;&gt;""),"●","")</x:f>
      </x:c>
      <x:c r="AM299" s="165" t="str">
        <x:f>IF(AND(AM$5&gt;=$C299,AM$5&lt;=$D299,$A299&lt;&gt;""),"●","")</x:f>
      </x:c>
      <x:c r="AN299" s="165" t="str">
        <x:f>IF(AND(AN$5&gt;=$C299,AN$5&lt;=$D299,$A299&lt;&gt;""),"●","")</x:f>
      </x:c>
      <x:c r="AO299" s="165" t="str">
        <x:f>IF(AND(AO$5&gt;=$C299,AO$5&lt;=$D299,$A299&lt;&gt;""),"●","")</x:f>
      </x:c>
      <x:c r="AP299" s="165" t="str">
        <x:f>IF(AND(AP$5&gt;=$C299,AP$5&lt;=$D299,$A299&lt;&gt;""),"●","")</x:f>
      </x:c>
      <x:c r="AQ299" s="165" t="str">
        <x:f>IF(AND(AQ$5&gt;=$C299,AQ$5&lt;=$D299,$A299&lt;&gt;""),"●","")</x:f>
      </x:c>
      <x:c r="AR299" s="165" t="str">
        <x:f>IF(AND(AR$5&gt;=$C299,AR$5&lt;=$D299,$A299&lt;&gt;""),"●","")</x:f>
      </x:c>
      <x:c r="AS299" s="165" t="str">
        <x:f>IF(AND(AS$5&gt;=$C299,AS$5&lt;=$D299,$A299&lt;&gt;""),"●","")</x:f>
      </x:c>
      <x:c r="AT299" s="165" t="str">
        <x:f>IF(AND(AT$5&gt;=$C299,AT$5&lt;=$D299,$A299&lt;&gt;""),"●","")</x:f>
      </x:c>
      <x:c r="AU299" s="165" t="str">
        <x:f>IF(AND(AU$5&gt;=$C299,AU$5&lt;=$D299,$A299&lt;&gt;""),"●","")</x:f>
      </x:c>
      <x:c r="AV299" s="165" t="str">
        <x:f>IF(AND(AV$5&gt;=$C299,AV$5&lt;=$D299,$A299&lt;&gt;""),"●","")</x:f>
      </x:c>
      <x:c r="AW299" s="165" t="str">
        <x:f>IF(AND(AW$5&gt;=$C299,AW$5&lt;=$D299,$A299&lt;&gt;""),"●","")</x:f>
      </x:c>
      <x:c r="AX299" s="165" t="str">
        <x:f>IF(AND(AX$5&gt;=$C299,AX$5&lt;=$D299,$A299&lt;&gt;""),"●","")</x:f>
      </x:c>
      <x:c r="AY299" s="165" t="str">
        <x:f>IF(AND(AY$5&gt;=$C299,AY$5&lt;=$D299,$A299&lt;&gt;""),"●","")</x:f>
      </x:c>
      <x:c r="AZ299" s="165" t="str">
        <x:f>IF(AND(AZ$5&gt;=$C299,AZ$5&lt;=$D299,$A299&lt;&gt;""),"●","")</x:f>
      </x:c>
      <x:c r="BA299" s="165" t="str">
        <x:f>IF(AND(BA$5&gt;=$C299,BA$5&lt;=$D299,$A299&lt;&gt;""),"●","")</x:f>
      </x:c>
      <x:c r="BB299" s="165" t="str">
        <x:f>IF(AND(BB$5&gt;=$C299,BB$5&lt;=$D299,$A299&lt;&gt;""),"●","")</x:f>
      </x:c>
      <x:c r="BC299" s="165" t="str">
        <x:f>IF(AND(BC$5&gt;=$C299,BC$5&lt;=$D299,$A299&lt;&gt;""),"●","")</x:f>
      </x:c>
      <x:c r="BD299" s="165" t="str">
        <x:f>IF(AND(BD$5&gt;=$C299,BD$5&lt;=$D299,$A299&lt;&gt;""),"●","")</x:f>
      </x:c>
      <x:c r="BE299" s="165" t="str">
        <x:f>IF(AND(BE$5&gt;=$C299,BE$5&lt;=$D299,$A299&lt;&gt;""),"●","")</x:f>
      </x:c>
      <x:c r="BF299" s="165" t="str">
        <x:f>IF(AND(BF$5&gt;=$C299,BF$5&lt;=$D299,$A299&lt;&gt;""),"●","")</x:f>
      </x:c>
      <x:c r="BG299" s="165" t="str">
        <x:f>IF(AND(BG$5&gt;=$C299,BG$5&lt;=$D299,$A299&lt;&gt;""),"●","")</x:f>
      </x:c>
      <x:c r="BH299" s="165" t="str">
        <x:f>IF(AND(BH$5&gt;=$C299,BH$5&lt;=$D299,$A299&lt;&gt;""),"●","")</x:f>
      </x:c>
      <x:c r="BI299" s="165" t="str">
        <x:f>IF(AND(BI$5&gt;=$C299,BI$5&lt;=$D299,$A299&lt;&gt;""),"●","")</x:f>
      </x:c>
      <x:c r="BJ299" s="165" t="str">
        <x:f>IF(AND(BJ$5&gt;=$C299,BJ$5&lt;=$D299,$A299&lt;&gt;""),"●","")</x:f>
      </x:c>
      <x:c r="BK299" s="165" t="str">
        <x:f>IF(AND(BK$5&gt;=$C299,BK$5&lt;=$D299,$A299&lt;&gt;""),"●","")</x:f>
      </x:c>
      <x:c r="BL299" s="165" t="str">
        <x:f>IF(AND(BL$5&gt;=$C299,BL$5&lt;=$D299,$A299&lt;&gt;""),"●","")</x:f>
      </x:c>
      <x:c r="BM299" s="165" t="str">
        <x:f>IF(AND(BM$5&gt;=$C299,BM$5&lt;=$D299,$A299&lt;&gt;""),"●","")</x:f>
      </x:c>
      <x:c r="BN299" s="165" t="str">
        <x:f>IF(AND(BN$5&gt;=$C299,BN$5&lt;=$D299,$A299&lt;&gt;""),"●","")</x:f>
      </x:c>
      <x:c r="BO299" s="165" t="str">
        <x:f>IF(AND(BO$5&gt;=$C299,BO$5&lt;=$D299,$A299&lt;&gt;""),"●","")</x:f>
      </x:c>
      <x:c r="BP299" s="165" t="str">
        <x:f>IF(AND(BP$5&gt;=$C299,BP$5&lt;=$D299,$A299&lt;&gt;""),"●","")</x:f>
      </x:c>
      <x:c r="BQ299" s="165" t="str">
        <x:f>IF(AND(BQ$5&gt;=$C299,BQ$5&lt;=$D299,$A299&lt;&gt;""),"●","")</x:f>
      </x:c>
      <x:c r="BR299" s="165" t="str">
        <x:f>IF(AND(BR$5&gt;=$C299,BR$5&lt;=$D299,$A299&lt;&gt;""),"●","")</x:f>
      </x:c>
      <x:c r="BS299" s="165" t="str">
        <x:f>IF(AND(BS$5&gt;=$C299,BS$5&lt;=$D299,$A299&lt;&gt;""),"●","")</x:f>
      </x:c>
      <x:c r="BT299" s="165" t="str">
        <x:f>IF(AND(BT$5&gt;=$C299,BT$5&lt;=$D299,$A299&lt;&gt;""),"●","")</x:f>
      </x:c>
      <x:c r="BU299" s="165" t="str">
        <x:f>IF(AND(BU$5&gt;=$C299,BU$5&lt;=$D299,$A299&lt;&gt;""),"●","")</x:f>
      </x:c>
      <x:c r="BV299" s="165" t="str">
        <x:f>IF(AND(BV$5&gt;=$C299,BV$5&lt;=$D299,$A299&lt;&gt;""),"●","")</x:f>
      </x:c>
      <x:c r="BW299" s="165" t="str">
        <x:f>IF(AND(BW$5&gt;=$C299,BW$5&lt;=$D299,$A299&lt;&gt;""),"●","")</x:f>
      </x:c>
    </x:row>
    <x:row r="300">
      <x:c r="A300" s="159" t="str">
        <x:f>IF('รายการสัญญา'!A300="","",'รายการสัญญา'!A300)</x:f>
      </x:c>
      <x:c r="B300" s="159" t="str">
        <x:f>IF('รายการสัญญา'!A300="","",'รายการสัญญา'!C300)</x:f>
      </x:c>
      <x:c r="C300" s="162" t="str">
        <x:f>IF('รายการสัญญา'!A300="","",'รายการสัญญา'!E300)</x:f>
      </x:c>
      <x:c r="D300" s="162" t="str">
        <x:f>IF('รายการสัญญา'!A300="","",'รายการสัญญา'!G300)</x:f>
      </x:c>
      <x:c r="E300" s="159" t="str">
        <x:f>IF('รายการสัญญา'!A300="","",'รายการสัญญา'!K300)</x:f>
      </x:c>
      <x:c r="F300" s="165" t="str">
        <x:f>IF(AND(F$5&gt;=$C300,F$5&lt;=$D300,$A300&lt;&gt;""),"●","")</x:f>
      </x:c>
      <x:c r="G300" s="165" t="str">
        <x:f>IF(AND(G$5&gt;=$C300,G$5&lt;=$D300,$A300&lt;&gt;""),"●","")</x:f>
      </x:c>
      <x:c r="H300" s="165" t="str">
        <x:f>IF(AND(H$5&gt;=$C300,H$5&lt;=$D300,$A300&lt;&gt;""),"●","")</x:f>
      </x:c>
      <x:c r="I300" s="165" t="str">
        <x:f>IF(AND(I$5&gt;=$C300,I$5&lt;=$D300,$A300&lt;&gt;""),"●","")</x:f>
      </x:c>
      <x:c r="J300" s="165" t="str">
        <x:f>IF(AND(J$5&gt;=$C300,J$5&lt;=$D300,$A300&lt;&gt;""),"●","")</x:f>
      </x:c>
      <x:c r="K300" s="165" t="str">
        <x:f>IF(AND(K$5&gt;=$C300,K$5&lt;=$D300,$A300&lt;&gt;""),"●","")</x:f>
      </x:c>
      <x:c r="L300" s="165" t="str">
        <x:f>IF(AND(L$5&gt;=$C300,L$5&lt;=$D300,$A300&lt;&gt;""),"●","")</x:f>
      </x:c>
      <x:c r="M300" s="165" t="str">
        <x:f>IF(AND(M$5&gt;=$C300,M$5&lt;=$D300,$A300&lt;&gt;""),"●","")</x:f>
      </x:c>
      <x:c r="N300" s="165" t="str">
        <x:f>IF(AND(N$5&gt;=$C300,N$5&lt;=$D300,$A300&lt;&gt;""),"●","")</x:f>
      </x:c>
      <x:c r="O300" s="165" t="str">
        <x:f>IF(AND(O$5&gt;=$C300,O$5&lt;=$D300,$A300&lt;&gt;""),"●","")</x:f>
      </x:c>
      <x:c r="P300" s="165" t="str">
        <x:f>IF(AND(P$5&gt;=$C300,P$5&lt;=$D300,$A300&lt;&gt;""),"●","")</x:f>
      </x:c>
      <x:c r="Q300" s="165" t="str">
        <x:f>IF(AND(Q$5&gt;=$C300,Q$5&lt;=$D300,$A300&lt;&gt;""),"●","")</x:f>
      </x:c>
      <x:c r="R300" s="165" t="str">
        <x:f>IF(AND(R$5&gt;=$C300,R$5&lt;=$D300,$A300&lt;&gt;""),"●","")</x:f>
      </x:c>
      <x:c r="S300" s="165" t="str">
        <x:f>IF(AND(S$5&gt;=$C300,S$5&lt;=$D300,$A300&lt;&gt;""),"●","")</x:f>
      </x:c>
      <x:c r="T300" s="165" t="str">
        <x:f>IF(AND(T$5&gt;=$C300,T$5&lt;=$D300,$A300&lt;&gt;""),"●","")</x:f>
      </x:c>
      <x:c r="U300" s="165" t="str">
        <x:f>IF(AND(U$5&gt;=$C300,U$5&lt;=$D300,$A300&lt;&gt;""),"●","")</x:f>
      </x:c>
      <x:c r="V300" s="165" t="str">
        <x:f>IF(AND(V$5&gt;=$C300,V$5&lt;=$D300,$A300&lt;&gt;""),"●","")</x:f>
      </x:c>
      <x:c r="W300" s="165" t="str">
        <x:f>IF(AND(W$5&gt;=$C300,W$5&lt;=$D300,$A300&lt;&gt;""),"●","")</x:f>
      </x:c>
      <x:c r="X300" s="165" t="str">
        <x:f>IF(AND(X$5&gt;=$C300,X$5&lt;=$D300,$A300&lt;&gt;""),"●","")</x:f>
      </x:c>
      <x:c r="Y300" s="165" t="str">
        <x:f>IF(AND(Y$5&gt;=$C300,Y$5&lt;=$D300,$A300&lt;&gt;""),"●","")</x:f>
      </x:c>
      <x:c r="Z300" s="165" t="str">
        <x:f>IF(AND(Z$5&gt;=$C300,Z$5&lt;=$D300,$A300&lt;&gt;""),"●","")</x:f>
      </x:c>
      <x:c r="AA300" s="165" t="str">
        <x:f>IF(AND(AA$5&gt;=$C300,AA$5&lt;=$D300,$A300&lt;&gt;""),"●","")</x:f>
      </x:c>
      <x:c r="AB300" s="165" t="str">
        <x:f>IF(AND(AB$5&gt;=$C300,AB$5&lt;=$D300,$A300&lt;&gt;""),"●","")</x:f>
      </x:c>
      <x:c r="AC300" s="165" t="str">
        <x:f>IF(AND(AC$5&gt;=$C300,AC$5&lt;=$D300,$A300&lt;&gt;""),"●","")</x:f>
      </x:c>
      <x:c r="AD300" s="165" t="str">
        <x:f>IF(AND(AD$5&gt;=$C300,AD$5&lt;=$D300,$A300&lt;&gt;""),"●","")</x:f>
      </x:c>
      <x:c r="AE300" s="165" t="str">
        <x:f>IF(AND(AE$5&gt;=$C300,AE$5&lt;=$D300,$A300&lt;&gt;""),"●","")</x:f>
      </x:c>
      <x:c r="AF300" s="165" t="str">
        <x:f>IF(AND(AF$5&gt;=$C300,AF$5&lt;=$D300,$A300&lt;&gt;""),"●","")</x:f>
      </x:c>
      <x:c r="AG300" s="165" t="str">
        <x:f>IF(AND(AG$5&gt;=$C300,AG$5&lt;=$D300,$A300&lt;&gt;""),"●","")</x:f>
      </x:c>
      <x:c r="AH300" s="165" t="str">
        <x:f>IF(AND(AH$5&gt;=$C300,AH$5&lt;=$D300,$A300&lt;&gt;""),"●","")</x:f>
      </x:c>
      <x:c r="AI300" s="165" t="str">
        <x:f>IF(AND(AI$5&gt;=$C300,AI$5&lt;=$D300,$A300&lt;&gt;""),"●","")</x:f>
      </x:c>
      <x:c r="AJ300" s="165" t="str">
        <x:f>IF(AND(AJ$5&gt;=$C300,AJ$5&lt;=$D300,$A300&lt;&gt;""),"●","")</x:f>
      </x:c>
      <x:c r="AK300" s="165" t="str">
        <x:f>IF(AND(AK$5&gt;=$C300,AK$5&lt;=$D300,$A300&lt;&gt;""),"●","")</x:f>
      </x:c>
      <x:c r="AL300" s="165" t="str">
        <x:f>IF(AND(AL$5&gt;=$C300,AL$5&lt;=$D300,$A300&lt;&gt;""),"●","")</x:f>
      </x:c>
      <x:c r="AM300" s="165" t="str">
        <x:f>IF(AND(AM$5&gt;=$C300,AM$5&lt;=$D300,$A300&lt;&gt;""),"●","")</x:f>
      </x:c>
      <x:c r="AN300" s="165" t="str">
        <x:f>IF(AND(AN$5&gt;=$C300,AN$5&lt;=$D300,$A300&lt;&gt;""),"●","")</x:f>
      </x:c>
      <x:c r="AO300" s="165" t="str">
        <x:f>IF(AND(AO$5&gt;=$C300,AO$5&lt;=$D300,$A300&lt;&gt;""),"●","")</x:f>
      </x:c>
      <x:c r="AP300" s="165" t="str">
        <x:f>IF(AND(AP$5&gt;=$C300,AP$5&lt;=$D300,$A300&lt;&gt;""),"●","")</x:f>
      </x:c>
      <x:c r="AQ300" s="165" t="str">
        <x:f>IF(AND(AQ$5&gt;=$C300,AQ$5&lt;=$D300,$A300&lt;&gt;""),"●","")</x:f>
      </x:c>
      <x:c r="AR300" s="165" t="str">
        <x:f>IF(AND(AR$5&gt;=$C300,AR$5&lt;=$D300,$A300&lt;&gt;""),"●","")</x:f>
      </x:c>
      <x:c r="AS300" s="165" t="str">
        <x:f>IF(AND(AS$5&gt;=$C300,AS$5&lt;=$D300,$A300&lt;&gt;""),"●","")</x:f>
      </x:c>
      <x:c r="AT300" s="165" t="str">
        <x:f>IF(AND(AT$5&gt;=$C300,AT$5&lt;=$D300,$A300&lt;&gt;""),"●","")</x:f>
      </x:c>
      <x:c r="AU300" s="165" t="str">
        <x:f>IF(AND(AU$5&gt;=$C300,AU$5&lt;=$D300,$A300&lt;&gt;""),"●","")</x:f>
      </x:c>
      <x:c r="AV300" s="165" t="str">
        <x:f>IF(AND(AV$5&gt;=$C300,AV$5&lt;=$D300,$A300&lt;&gt;""),"●","")</x:f>
      </x:c>
      <x:c r="AW300" s="165" t="str">
        <x:f>IF(AND(AW$5&gt;=$C300,AW$5&lt;=$D300,$A300&lt;&gt;""),"●","")</x:f>
      </x:c>
      <x:c r="AX300" s="165" t="str">
        <x:f>IF(AND(AX$5&gt;=$C300,AX$5&lt;=$D300,$A300&lt;&gt;""),"●","")</x:f>
      </x:c>
      <x:c r="AY300" s="165" t="str">
        <x:f>IF(AND(AY$5&gt;=$C300,AY$5&lt;=$D300,$A300&lt;&gt;""),"●","")</x:f>
      </x:c>
      <x:c r="AZ300" s="165" t="str">
        <x:f>IF(AND(AZ$5&gt;=$C300,AZ$5&lt;=$D300,$A300&lt;&gt;""),"●","")</x:f>
      </x:c>
      <x:c r="BA300" s="165" t="str">
        <x:f>IF(AND(BA$5&gt;=$C300,BA$5&lt;=$D300,$A300&lt;&gt;""),"●","")</x:f>
      </x:c>
      <x:c r="BB300" s="165" t="str">
        <x:f>IF(AND(BB$5&gt;=$C300,BB$5&lt;=$D300,$A300&lt;&gt;""),"●","")</x:f>
      </x:c>
      <x:c r="BC300" s="165" t="str">
        <x:f>IF(AND(BC$5&gt;=$C300,BC$5&lt;=$D300,$A300&lt;&gt;""),"●","")</x:f>
      </x:c>
      <x:c r="BD300" s="165" t="str">
        <x:f>IF(AND(BD$5&gt;=$C300,BD$5&lt;=$D300,$A300&lt;&gt;""),"●","")</x:f>
      </x:c>
      <x:c r="BE300" s="165" t="str">
        <x:f>IF(AND(BE$5&gt;=$C300,BE$5&lt;=$D300,$A300&lt;&gt;""),"●","")</x:f>
      </x:c>
      <x:c r="BF300" s="165" t="str">
        <x:f>IF(AND(BF$5&gt;=$C300,BF$5&lt;=$D300,$A300&lt;&gt;""),"●","")</x:f>
      </x:c>
      <x:c r="BG300" s="165" t="str">
        <x:f>IF(AND(BG$5&gt;=$C300,BG$5&lt;=$D300,$A300&lt;&gt;""),"●","")</x:f>
      </x:c>
      <x:c r="BH300" s="165" t="str">
        <x:f>IF(AND(BH$5&gt;=$C300,BH$5&lt;=$D300,$A300&lt;&gt;""),"●","")</x:f>
      </x:c>
      <x:c r="BI300" s="165" t="str">
        <x:f>IF(AND(BI$5&gt;=$C300,BI$5&lt;=$D300,$A300&lt;&gt;""),"●","")</x:f>
      </x:c>
      <x:c r="BJ300" s="165" t="str">
        <x:f>IF(AND(BJ$5&gt;=$C300,BJ$5&lt;=$D300,$A300&lt;&gt;""),"●","")</x:f>
      </x:c>
      <x:c r="BK300" s="165" t="str">
        <x:f>IF(AND(BK$5&gt;=$C300,BK$5&lt;=$D300,$A300&lt;&gt;""),"●","")</x:f>
      </x:c>
      <x:c r="BL300" s="165" t="str">
        <x:f>IF(AND(BL$5&gt;=$C300,BL$5&lt;=$D300,$A300&lt;&gt;""),"●","")</x:f>
      </x:c>
      <x:c r="BM300" s="165" t="str">
        <x:f>IF(AND(BM$5&gt;=$C300,BM$5&lt;=$D300,$A300&lt;&gt;""),"●","")</x:f>
      </x:c>
      <x:c r="BN300" s="165" t="str">
        <x:f>IF(AND(BN$5&gt;=$C300,BN$5&lt;=$D300,$A300&lt;&gt;""),"●","")</x:f>
      </x:c>
      <x:c r="BO300" s="165" t="str">
        <x:f>IF(AND(BO$5&gt;=$C300,BO$5&lt;=$D300,$A300&lt;&gt;""),"●","")</x:f>
      </x:c>
      <x:c r="BP300" s="165" t="str">
        <x:f>IF(AND(BP$5&gt;=$C300,BP$5&lt;=$D300,$A300&lt;&gt;""),"●","")</x:f>
      </x:c>
      <x:c r="BQ300" s="165" t="str">
        <x:f>IF(AND(BQ$5&gt;=$C300,BQ$5&lt;=$D300,$A300&lt;&gt;""),"●","")</x:f>
      </x:c>
      <x:c r="BR300" s="165" t="str">
        <x:f>IF(AND(BR$5&gt;=$C300,BR$5&lt;=$D300,$A300&lt;&gt;""),"●","")</x:f>
      </x:c>
      <x:c r="BS300" s="165" t="str">
        <x:f>IF(AND(BS$5&gt;=$C300,BS$5&lt;=$D300,$A300&lt;&gt;""),"●","")</x:f>
      </x:c>
      <x:c r="BT300" s="165" t="str">
        <x:f>IF(AND(BT$5&gt;=$C300,BT$5&lt;=$D300,$A300&lt;&gt;""),"●","")</x:f>
      </x:c>
      <x:c r="BU300" s="165" t="str">
        <x:f>IF(AND(BU$5&gt;=$C300,BU$5&lt;=$D300,$A300&lt;&gt;""),"●","")</x:f>
      </x:c>
      <x:c r="BV300" s="165" t="str">
        <x:f>IF(AND(BV$5&gt;=$C300,BV$5&lt;=$D300,$A300&lt;&gt;""),"●","")</x:f>
      </x:c>
      <x:c r="BW300" s="165" t="str">
        <x:f>IF(AND(BW$5&gt;=$C300,BW$5&lt;=$D300,$A300&lt;&gt;""),"●","")</x:f>
      </x:c>
    </x:row>
    <x:row r="301">
      <x:c r="A301" s="159" t="str">
        <x:f>IF('รายการสัญญา'!A301="","",'รายการสัญญา'!A301)</x:f>
      </x:c>
      <x:c r="B301" s="159" t="str">
        <x:f>IF('รายการสัญญา'!A301="","",'รายการสัญญา'!C301)</x:f>
      </x:c>
      <x:c r="C301" s="162" t="str">
        <x:f>IF('รายการสัญญา'!A301="","",'รายการสัญญา'!E301)</x:f>
      </x:c>
      <x:c r="D301" s="162" t="str">
        <x:f>IF('รายการสัญญา'!A301="","",'รายการสัญญา'!G301)</x:f>
      </x:c>
      <x:c r="E301" s="159" t="str">
        <x:f>IF('รายการสัญญา'!A301="","",'รายการสัญญา'!K301)</x:f>
      </x:c>
      <x:c r="F301" s="165" t="str">
        <x:f>IF(AND(F$5&gt;=$C301,F$5&lt;=$D301,$A301&lt;&gt;""),"●","")</x:f>
      </x:c>
      <x:c r="G301" s="165" t="str">
        <x:f>IF(AND(G$5&gt;=$C301,G$5&lt;=$D301,$A301&lt;&gt;""),"●","")</x:f>
      </x:c>
      <x:c r="H301" s="165" t="str">
        <x:f>IF(AND(H$5&gt;=$C301,H$5&lt;=$D301,$A301&lt;&gt;""),"●","")</x:f>
      </x:c>
      <x:c r="I301" s="165" t="str">
        <x:f>IF(AND(I$5&gt;=$C301,I$5&lt;=$D301,$A301&lt;&gt;""),"●","")</x:f>
      </x:c>
      <x:c r="J301" s="165" t="str">
        <x:f>IF(AND(J$5&gt;=$C301,J$5&lt;=$D301,$A301&lt;&gt;""),"●","")</x:f>
      </x:c>
      <x:c r="K301" s="165" t="str">
        <x:f>IF(AND(K$5&gt;=$C301,K$5&lt;=$D301,$A301&lt;&gt;""),"●","")</x:f>
      </x:c>
      <x:c r="L301" s="165" t="str">
        <x:f>IF(AND(L$5&gt;=$C301,L$5&lt;=$D301,$A301&lt;&gt;""),"●","")</x:f>
      </x:c>
      <x:c r="M301" s="165" t="str">
        <x:f>IF(AND(M$5&gt;=$C301,M$5&lt;=$D301,$A301&lt;&gt;""),"●","")</x:f>
      </x:c>
      <x:c r="N301" s="165" t="str">
        <x:f>IF(AND(N$5&gt;=$C301,N$5&lt;=$D301,$A301&lt;&gt;""),"●","")</x:f>
      </x:c>
      <x:c r="O301" s="165" t="str">
        <x:f>IF(AND(O$5&gt;=$C301,O$5&lt;=$D301,$A301&lt;&gt;""),"●","")</x:f>
      </x:c>
      <x:c r="P301" s="165" t="str">
        <x:f>IF(AND(P$5&gt;=$C301,P$5&lt;=$D301,$A301&lt;&gt;""),"●","")</x:f>
      </x:c>
      <x:c r="Q301" s="165" t="str">
        <x:f>IF(AND(Q$5&gt;=$C301,Q$5&lt;=$D301,$A301&lt;&gt;""),"●","")</x:f>
      </x:c>
      <x:c r="R301" s="165" t="str">
        <x:f>IF(AND(R$5&gt;=$C301,R$5&lt;=$D301,$A301&lt;&gt;""),"●","")</x:f>
      </x:c>
      <x:c r="S301" s="165" t="str">
        <x:f>IF(AND(S$5&gt;=$C301,S$5&lt;=$D301,$A301&lt;&gt;""),"●","")</x:f>
      </x:c>
      <x:c r="T301" s="165" t="str">
        <x:f>IF(AND(T$5&gt;=$C301,T$5&lt;=$D301,$A301&lt;&gt;""),"●","")</x:f>
      </x:c>
      <x:c r="U301" s="165" t="str">
        <x:f>IF(AND(U$5&gt;=$C301,U$5&lt;=$D301,$A301&lt;&gt;""),"●","")</x:f>
      </x:c>
      <x:c r="V301" s="165" t="str">
        <x:f>IF(AND(V$5&gt;=$C301,V$5&lt;=$D301,$A301&lt;&gt;""),"●","")</x:f>
      </x:c>
      <x:c r="W301" s="165" t="str">
        <x:f>IF(AND(W$5&gt;=$C301,W$5&lt;=$D301,$A301&lt;&gt;""),"●","")</x:f>
      </x:c>
      <x:c r="X301" s="165" t="str">
        <x:f>IF(AND(X$5&gt;=$C301,X$5&lt;=$D301,$A301&lt;&gt;""),"●","")</x:f>
      </x:c>
      <x:c r="Y301" s="165" t="str">
        <x:f>IF(AND(Y$5&gt;=$C301,Y$5&lt;=$D301,$A301&lt;&gt;""),"●","")</x:f>
      </x:c>
      <x:c r="Z301" s="165" t="str">
        <x:f>IF(AND(Z$5&gt;=$C301,Z$5&lt;=$D301,$A301&lt;&gt;""),"●","")</x:f>
      </x:c>
      <x:c r="AA301" s="165" t="str">
        <x:f>IF(AND(AA$5&gt;=$C301,AA$5&lt;=$D301,$A301&lt;&gt;""),"●","")</x:f>
      </x:c>
      <x:c r="AB301" s="165" t="str">
        <x:f>IF(AND(AB$5&gt;=$C301,AB$5&lt;=$D301,$A301&lt;&gt;""),"●","")</x:f>
      </x:c>
      <x:c r="AC301" s="165" t="str">
        <x:f>IF(AND(AC$5&gt;=$C301,AC$5&lt;=$D301,$A301&lt;&gt;""),"●","")</x:f>
      </x:c>
      <x:c r="AD301" s="165" t="str">
        <x:f>IF(AND(AD$5&gt;=$C301,AD$5&lt;=$D301,$A301&lt;&gt;""),"●","")</x:f>
      </x:c>
      <x:c r="AE301" s="165" t="str">
        <x:f>IF(AND(AE$5&gt;=$C301,AE$5&lt;=$D301,$A301&lt;&gt;""),"●","")</x:f>
      </x:c>
      <x:c r="AF301" s="165" t="str">
        <x:f>IF(AND(AF$5&gt;=$C301,AF$5&lt;=$D301,$A301&lt;&gt;""),"●","")</x:f>
      </x:c>
      <x:c r="AG301" s="165" t="str">
        <x:f>IF(AND(AG$5&gt;=$C301,AG$5&lt;=$D301,$A301&lt;&gt;""),"●","")</x:f>
      </x:c>
      <x:c r="AH301" s="165" t="str">
        <x:f>IF(AND(AH$5&gt;=$C301,AH$5&lt;=$D301,$A301&lt;&gt;""),"●","")</x:f>
      </x:c>
      <x:c r="AI301" s="165" t="str">
        <x:f>IF(AND(AI$5&gt;=$C301,AI$5&lt;=$D301,$A301&lt;&gt;""),"●","")</x:f>
      </x:c>
      <x:c r="AJ301" s="165" t="str">
        <x:f>IF(AND(AJ$5&gt;=$C301,AJ$5&lt;=$D301,$A301&lt;&gt;""),"●","")</x:f>
      </x:c>
      <x:c r="AK301" s="165" t="str">
        <x:f>IF(AND(AK$5&gt;=$C301,AK$5&lt;=$D301,$A301&lt;&gt;""),"●","")</x:f>
      </x:c>
      <x:c r="AL301" s="165" t="str">
        <x:f>IF(AND(AL$5&gt;=$C301,AL$5&lt;=$D301,$A301&lt;&gt;""),"●","")</x:f>
      </x:c>
      <x:c r="AM301" s="165" t="str">
        <x:f>IF(AND(AM$5&gt;=$C301,AM$5&lt;=$D301,$A301&lt;&gt;""),"●","")</x:f>
      </x:c>
      <x:c r="AN301" s="165" t="str">
        <x:f>IF(AND(AN$5&gt;=$C301,AN$5&lt;=$D301,$A301&lt;&gt;""),"●","")</x:f>
      </x:c>
      <x:c r="AO301" s="165" t="str">
        <x:f>IF(AND(AO$5&gt;=$C301,AO$5&lt;=$D301,$A301&lt;&gt;""),"●","")</x:f>
      </x:c>
      <x:c r="AP301" s="165" t="str">
        <x:f>IF(AND(AP$5&gt;=$C301,AP$5&lt;=$D301,$A301&lt;&gt;""),"●","")</x:f>
      </x:c>
      <x:c r="AQ301" s="165" t="str">
        <x:f>IF(AND(AQ$5&gt;=$C301,AQ$5&lt;=$D301,$A301&lt;&gt;""),"●","")</x:f>
      </x:c>
      <x:c r="AR301" s="165" t="str">
        <x:f>IF(AND(AR$5&gt;=$C301,AR$5&lt;=$D301,$A301&lt;&gt;""),"●","")</x:f>
      </x:c>
      <x:c r="AS301" s="165" t="str">
        <x:f>IF(AND(AS$5&gt;=$C301,AS$5&lt;=$D301,$A301&lt;&gt;""),"●","")</x:f>
      </x:c>
      <x:c r="AT301" s="165" t="str">
        <x:f>IF(AND(AT$5&gt;=$C301,AT$5&lt;=$D301,$A301&lt;&gt;""),"●","")</x:f>
      </x:c>
      <x:c r="AU301" s="165" t="str">
        <x:f>IF(AND(AU$5&gt;=$C301,AU$5&lt;=$D301,$A301&lt;&gt;""),"●","")</x:f>
      </x:c>
      <x:c r="AV301" s="165" t="str">
        <x:f>IF(AND(AV$5&gt;=$C301,AV$5&lt;=$D301,$A301&lt;&gt;""),"●","")</x:f>
      </x:c>
      <x:c r="AW301" s="165" t="str">
        <x:f>IF(AND(AW$5&gt;=$C301,AW$5&lt;=$D301,$A301&lt;&gt;""),"●","")</x:f>
      </x:c>
      <x:c r="AX301" s="165" t="str">
        <x:f>IF(AND(AX$5&gt;=$C301,AX$5&lt;=$D301,$A301&lt;&gt;""),"●","")</x:f>
      </x:c>
      <x:c r="AY301" s="165" t="str">
        <x:f>IF(AND(AY$5&gt;=$C301,AY$5&lt;=$D301,$A301&lt;&gt;""),"●","")</x:f>
      </x:c>
      <x:c r="AZ301" s="165" t="str">
        <x:f>IF(AND(AZ$5&gt;=$C301,AZ$5&lt;=$D301,$A301&lt;&gt;""),"●","")</x:f>
      </x:c>
      <x:c r="BA301" s="165" t="str">
        <x:f>IF(AND(BA$5&gt;=$C301,BA$5&lt;=$D301,$A301&lt;&gt;""),"●","")</x:f>
      </x:c>
      <x:c r="BB301" s="165" t="str">
        <x:f>IF(AND(BB$5&gt;=$C301,BB$5&lt;=$D301,$A301&lt;&gt;""),"●","")</x:f>
      </x:c>
      <x:c r="BC301" s="165" t="str">
        <x:f>IF(AND(BC$5&gt;=$C301,BC$5&lt;=$D301,$A301&lt;&gt;""),"●","")</x:f>
      </x:c>
      <x:c r="BD301" s="165" t="str">
        <x:f>IF(AND(BD$5&gt;=$C301,BD$5&lt;=$D301,$A301&lt;&gt;""),"●","")</x:f>
      </x:c>
      <x:c r="BE301" s="165" t="str">
        <x:f>IF(AND(BE$5&gt;=$C301,BE$5&lt;=$D301,$A301&lt;&gt;""),"●","")</x:f>
      </x:c>
      <x:c r="BF301" s="165" t="str">
        <x:f>IF(AND(BF$5&gt;=$C301,BF$5&lt;=$D301,$A301&lt;&gt;""),"●","")</x:f>
      </x:c>
      <x:c r="BG301" s="165" t="str">
        <x:f>IF(AND(BG$5&gt;=$C301,BG$5&lt;=$D301,$A301&lt;&gt;""),"●","")</x:f>
      </x:c>
      <x:c r="BH301" s="165" t="str">
        <x:f>IF(AND(BH$5&gt;=$C301,BH$5&lt;=$D301,$A301&lt;&gt;""),"●","")</x:f>
      </x:c>
      <x:c r="BI301" s="165" t="str">
        <x:f>IF(AND(BI$5&gt;=$C301,BI$5&lt;=$D301,$A301&lt;&gt;""),"●","")</x:f>
      </x:c>
      <x:c r="BJ301" s="165" t="str">
        <x:f>IF(AND(BJ$5&gt;=$C301,BJ$5&lt;=$D301,$A301&lt;&gt;""),"●","")</x:f>
      </x:c>
      <x:c r="BK301" s="165" t="str">
        <x:f>IF(AND(BK$5&gt;=$C301,BK$5&lt;=$D301,$A301&lt;&gt;""),"●","")</x:f>
      </x:c>
      <x:c r="BL301" s="165" t="str">
        <x:f>IF(AND(BL$5&gt;=$C301,BL$5&lt;=$D301,$A301&lt;&gt;""),"●","")</x:f>
      </x:c>
      <x:c r="BM301" s="165" t="str">
        <x:f>IF(AND(BM$5&gt;=$C301,BM$5&lt;=$D301,$A301&lt;&gt;""),"●","")</x:f>
      </x:c>
      <x:c r="BN301" s="165" t="str">
        <x:f>IF(AND(BN$5&gt;=$C301,BN$5&lt;=$D301,$A301&lt;&gt;""),"●","")</x:f>
      </x:c>
      <x:c r="BO301" s="165" t="str">
        <x:f>IF(AND(BO$5&gt;=$C301,BO$5&lt;=$D301,$A301&lt;&gt;""),"●","")</x:f>
      </x:c>
      <x:c r="BP301" s="165" t="str">
        <x:f>IF(AND(BP$5&gt;=$C301,BP$5&lt;=$D301,$A301&lt;&gt;""),"●","")</x:f>
      </x:c>
      <x:c r="BQ301" s="165" t="str">
        <x:f>IF(AND(BQ$5&gt;=$C301,BQ$5&lt;=$D301,$A301&lt;&gt;""),"●","")</x:f>
      </x:c>
      <x:c r="BR301" s="165" t="str">
        <x:f>IF(AND(BR$5&gt;=$C301,BR$5&lt;=$D301,$A301&lt;&gt;""),"●","")</x:f>
      </x:c>
      <x:c r="BS301" s="165" t="str">
        <x:f>IF(AND(BS$5&gt;=$C301,BS$5&lt;=$D301,$A301&lt;&gt;""),"●","")</x:f>
      </x:c>
      <x:c r="BT301" s="165" t="str">
        <x:f>IF(AND(BT$5&gt;=$C301,BT$5&lt;=$D301,$A301&lt;&gt;""),"●","")</x:f>
      </x:c>
      <x:c r="BU301" s="165" t="str">
        <x:f>IF(AND(BU$5&gt;=$C301,BU$5&lt;=$D301,$A301&lt;&gt;""),"●","")</x:f>
      </x:c>
      <x:c r="BV301" s="165" t="str">
        <x:f>IF(AND(BV$5&gt;=$C301,BV$5&lt;=$D301,$A301&lt;&gt;""),"●","")</x:f>
      </x:c>
      <x:c r="BW301" s="165" t="str">
        <x:f>IF(AND(BW$5&gt;=$C301,BW$5&lt;=$D301,$A301&lt;&gt;""),"●","")</x:f>
      </x:c>
    </x:row>
    <x:row r="302">
      <x:c r="A302" s="159" t="str">
        <x:f>IF('รายการสัญญา'!A302="","",'รายการสัญญา'!A302)</x:f>
      </x:c>
      <x:c r="B302" s="159" t="str">
        <x:f>IF('รายการสัญญา'!A302="","",'รายการสัญญา'!C302)</x:f>
      </x:c>
      <x:c r="C302" s="162" t="str">
        <x:f>IF('รายการสัญญา'!A302="","",'รายการสัญญา'!E302)</x:f>
      </x:c>
      <x:c r="D302" s="162" t="str">
        <x:f>IF('รายการสัญญา'!A302="","",'รายการสัญญา'!G302)</x:f>
      </x:c>
      <x:c r="E302" s="159" t="str">
        <x:f>IF('รายการสัญญา'!A302="","",'รายการสัญญา'!K302)</x:f>
      </x:c>
      <x:c r="F302" s="165" t="str">
        <x:f>IF(AND(F$5&gt;=$C302,F$5&lt;=$D302,$A302&lt;&gt;""),"●","")</x:f>
      </x:c>
      <x:c r="G302" s="165" t="str">
        <x:f>IF(AND(G$5&gt;=$C302,G$5&lt;=$D302,$A302&lt;&gt;""),"●","")</x:f>
      </x:c>
      <x:c r="H302" s="165" t="str">
        <x:f>IF(AND(H$5&gt;=$C302,H$5&lt;=$D302,$A302&lt;&gt;""),"●","")</x:f>
      </x:c>
      <x:c r="I302" s="165" t="str">
        <x:f>IF(AND(I$5&gt;=$C302,I$5&lt;=$D302,$A302&lt;&gt;""),"●","")</x:f>
      </x:c>
      <x:c r="J302" s="165" t="str">
        <x:f>IF(AND(J$5&gt;=$C302,J$5&lt;=$D302,$A302&lt;&gt;""),"●","")</x:f>
      </x:c>
      <x:c r="K302" s="165" t="str">
        <x:f>IF(AND(K$5&gt;=$C302,K$5&lt;=$D302,$A302&lt;&gt;""),"●","")</x:f>
      </x:c>
      <x:c r="L302" s="165" t="str">
        <x:f>IF(AND(L$5&gt;=$C302,L$5&lt;=$D302,$A302&lt;&gt;""),"●","")</x:f>
      </x:c>
      <x:c r="M302" s="165" t="str">
        <x:f>IF(AND(M$5&gt;=$C302,M$5&lt;=$D302,$A302&lt;&gt;""),"●","")</x:f>
      </x:c>
      <x:c r="N302" s="165" t="str">
        <x:f>IF(AND(N$5&gt;=$C302,N$5&lt;=$D302,$A302&lt;&gt;""),"●","")</x:f>
      </x:c>
      <x:c r="O302" s="165" t="str">
        <x:f>IF(AND(O$5&gt;=$C302,O$5&lt;=$D302,$A302&lt;&gt;""),"●","")</x:f>
      </x:c>
      <x:c r="P302" s="165" t="str">
        <x:f>IF(AND(P$5&gt;=$C302,P$5&lt;=$D302,$A302&lt;&gt;""),"●","")</x:f>
      </x:c>
      <x:c r="Q302" s="165" t="str">
        <x:f>IF(AND(Q$5&gt;=$C302,Q$5&lt;=$D302,$A302&lt;&gt;""),"●","")</x:f>
      </x:c>
      <x:c r="R302" s="165" t="str">
        <x:f>IF(AND(R$5&gt;=$C302,R$5&lt;=$D302,$A302&lt;&gt;""),"●","")</x:f>
      </x:c>
      <x:c r="S302" s="165" t="str">
        <x:f>IF(AND(S$5&gt;=$C302,S$5&lt;=$D302,$A302&lt;&gt;""),"●","")</x:f>
      </x:c>
      <x:c r="T302" s="165" t="str">
        <x:f>IF(AND(T$5&gt;=$C302,T$5&lt;=$D302,$A302&lt;&gt;""),"●","")</x:f>
      </x:c>
      <x:c r="U302" s="165" t="str">
        <x:f>IF(AND(U$5&gt;=$C302,U$5&lt;=$D302,$A302&lt;&gt;""),"●","")</x:f>
      </x:c>
      <x:c r="V302" s="165" t="str">
        <x:f>IF(AND(V$5&gt;=$C302,V$5&lt;=$D302,$A302&lt;&gt;""),"●","")</x:f>
      </x:c>
      <x:c r="W302" s="165" t="str">
        <x:f>IF(AND(W$5&gt;=$C302,W$5&lt;=$D302,$A302&lt;&gt;""),"●","")</x:f>
      </x:c>
      <x:c r="X302" s="165" t="str">
        <x:f>IF(AND(X$5&gt;=$C302,X$5&lt;=$D302,$A302&lt;&gt;""),"●","")</x:f>
      </x:c>
      <x:c r="Y302" s="165" t="str">
        <x:f>IF(AND(Y$5&gt;=$C302,Y$5&lt;=$D302,$A302&lt;&gt;""),"●","")</x:f>
      </x:c>
      <x:c r="Z302" s="165" t="str">
        <x:f>IF(AND(Z$5&gt;=$C302,Z$5&lt;=$D302,$A302&lt;&gt;""),"●","")</x:f>
      </x:c>
      <x:c r="AA302" s="165" t="str">
        <x:f>IF(AND(AA$5&gt;=$C302,AA$5&lt;=$D302,$A302&lt;&gt;""),"●","")</x:f>
      </x:c>
      <x:c r="AB302" s="165" t="str">
        <x:f>IF(AND(AB$5&gt;=$C302,AB$5&lt;=$D302,$A302&lt;&gt;""),"●","")</x:f>
      </x:c>
      <x:c r="AC302" s="165" t="str">
        <x:f>IF(AND(AC$5&gt;=$C302,AC$5&lt;=$D302,$A302&lt;&gt;""),"●","")</x:f>
      </x:c>
      <x:c r="AD302" s="165" t="str">
        <x:f>IF(AND(AD$5&gt;=$C302,AD$5&lt;=$D302,$A302&lt;&gt;""),"●","")</x:f>
      </x:c>
      <x:c r="AE302" s="165" t="str">
        <x:f>IF(AND(AE$5&gt;=$C302,AE$5&lt;=$D302,$A302&lt;&gt;""),"●","")</x:f>
      </x:c>
      <x:c r="AF302" s="165" t="str">
        <x:f>IF(AND(AF$5&gt;=$C302,AF$5&lt;=$D302,$A302&lt;&gt;""),"●","")</x:f>
      </x:c>
      <x:c r="AG302" s="165" t="str">
        <x:f>IF(AND(AG$5&gt;=$C302,AG$5&lt;=$D302,$A302&lt;&gt;""),"●","")</x:f>
      </x:c>
      <x:c r="AH302" s="165" t="str">
        <x:f>IF(AND(AH$5&gt;=$C302,AH$5&lt;=$D302,$A302&lt;&gt;""),"●","")</x:f>
      </x:c>
      <x:c r="AI302" s="165" t="str">
        <x:f>IF(AND(AI$5&gt;=$C302,AI$5&lt;=$D302,$A302&lt;&gt;""),"●","")</x:f>
      </x:c>
      <x:c r="AJ302" s="165" t="str">
        <x:f>IF(AND(AJ$5&gt;=$C302,AJ$5&lt;=$D302,$A302&lt;&gt;""),"●","")</x:f>
      </x:c>
      <x:c r="AK302" s="165" t="str">
        <x:f>IF(AND(AK$5&gt;=$C302,AK$5&lt;=$D302,$A302&lt;&gt;""),"●","")</x:f>
      </x:c>
      <x:c r="AL302" s="165" t="str">
        <x:f>IF(AND(AL$5&gt;=$C302,AL$5&lt;=$D302,$A302&lt;&gt;""),"●","")</x:f>
      </x:c>
      <x:c r="AM302" s="165" t="str">
        <x:f>IF(AND(AM$5&gt;=$C302,AM$5&lt;=$D302,$A302&lt;&gt;""),"●","")</x:f>
      </x:c>
      <x:c r="AN302" s="165" t="str">
        <x:f>IF(AND(AN$5&gt;=$C302,AN$5&lt;=$D302,$A302&lt;&gt;""),"●","")</x:f>
      </x:c>
      <x:c r="AO302" s="165" t="str">
        <x:f>IF(AND(AO$5&gt;=$C302,AO$5&lt;=$D302,$A302&lt;&gt;""),"●","")</x:f>
      </x:c>
      <x:c r="AP302" s="165" t="str">
        <x:f>IF(AND(AP$5&gt;=$C302,AP$5&lt;=$D302,$A302&lt;&gt;""),"●","")</x:f>
      </x:c>
      <x:c r="AQ302" s="165" t="str">
        <x:f>IF(AND(AQ$5&gt;=$C302,AQ$5&lt;=$D302,$A302&lt;&gt;""),"●","")</x:f>
      </x:c>
      <x:c r="AR302" s="165" t="str">
        <x:f>IF(AND(AR$5&gt;=$C302,AR$5&lt;=$D302,$A302&lt;&gt;""),"●","")</x:f>
      </x:c>
      <x:c r="AS302" s="165" t="str">
        <x:f>IF(AND(AS$5&gt;=$C302,AS$5&lt;=$D302,$A302&lt;&gt;""),"●","")</x:f>
      </x:c>
      <x:c r="AT302" s="165" t="str">
        <x:f>IF(AND(AT$5&gt;=$C302,AT$5&lt;=$D302,$A302&lt;&gt;""),"●","")</x:f>
      </x:c>
      <x:c r="AU302" s="165" t="str">
        <x:f>IF(AND(AU$5&gt;=$C302,AU$5&lt;=$D302,$A302&lt;&gt;""),"●","")</x:f>
      </x:c>
      <x:c r="AV302" s="165" t="str">
        <x:f>IF(AND(AV$5&gt;=$C302,AV$5&lt;=$D302,$A302&lt;&gt;""),"●","")</x:f>
      </x:c>
      <x:c r="AW302" s="165" t="str">
        <x:f>IF(AND(AW$5&gt;=$C302,AW$5&lt;=$D302,$A302&lt;&gt;""),"●","")</x:f>
      </x:c>
      <x:c r="AX302" s="165" t="str">
        <x:f>IF(AND(AX$5&gt;=$C302,AX$5&lt;=$D302,$A302&lt;&gt;""),"●","")</x:f>
      </x:c>
      <x:c r="AY302" s="165" t="str">
        <x:f>IF(AND(AY$5&gt;=$C302,AY$5&lt;=$D302,$A302&lt;&gt;""),"●","")</x:f>
      </x:c>
      <x:c r="AZ302" s="165" t="str">
        <x:f>IF(AND(AZ$5&gt;=$C302,AZ$5&lt;=$D302,$A302&lt;&gt;""),"●","")</x:f>
      </x:c>
      <x:c r="BA302" s="165" t="str">
        <x:f>IF(AND(BA$5&gt;=$C302,BA$5&lt;=$D302,$A302&lt;&gt;""),"●","")</x:f>
      </x:c>
      <x:c r="BB302" s="165" t="str">
        <x:f>IF(AND(BB$5&gt;=$C302,BB$5&lt;=$D302,$A302&lt;&gt;""),"●","")</x:f>
      </x:c>
      <x:c r="BC302" s="165" t="str">
        <x:f>IF(AND(BC$5&gt;=$C302,BC$5&lt;=$D302,$A302&lt;&gt;""),"●","")</x:f>
      </x:c>
      <x:c r="BD302" s="165" t="str">
        <x:f>IF(AND(BD$5&gt;=$C302,BD$5&lt;=$D302,$A302&lt;&gt;""),"●","")</x:f>
      </x:c>
      <x:c r="BE302" s="165" t="str">
        <x:f>IF(AND(BE$5&gt;=$C302,BE$5&lt;=$D302,$A302&lt;&gt;""),"●","")</x:f>
      </x:c>
      <x:c r="BF302" s="165" t="str">
        <x:f>IF(AND(BF$5&gt;=$C302,BF$5&lt;=$D302,$A302&lt;&gt;""),"●","")</x:f>
      </x:c>
      <x:c r="BG302" s="165" t="str">
        <x:f>IF(AND(BG$5&gt;=$C302,BG$5&lt;=$D302,$A302&lt;&gt;""),"●","")</x:f>
      </x:c>
      <x:c r="BH302" s="165" t="str">
        <x:f>IF(AND(BH$5&gt;=$C302,BH$5&lt;=$D302,$A302&lt;&gt;""),"●","")</x:f>
      </x:c>
      <x:c r="BI302" s="165" t="str">
        <x:f>IF(AND(BI$5&gt;=$C302,BI$5&lt;=$D302,$A302&lt;&gt;""),"●","")</x:f>
      </x:c>
      <x:c r="BJ302" s="165" t="str">
        <x:f>IF(AND(BJ$5&gt;=$C302,BJ$5&lt;=$D302,$A302&lt;&gt;""),"●","")</x:f>
      </x:c>
      <x:c r="BK302" s="165" t="str">
        <x:f>IF(AND(BK$5&gt;=$C302,BK$5&lt;=$D302,$A302&lt;&gt;""),"●","")</x:f>
      </x:c>
      <x:c r="BL302" s="165" t="str">
        <x:f>IF(AND(BL$5&gt;=$C302,BL$5&lt;=$D302,$A302&lt;&gt;""),"●","")</x:f>
      </x:c>
      <x:c r="BM302" s="165" t="str">
        <x:f>IF(AND(BM$5&gt;=$C302,BM$5&lt;=$D302,$A302&lt;&gt;""),"●","")</x:f>
      </x:c>
      <x:c r="BN302" s="165" t="str">
        <x:f>IF(AND(BN$5&gt;=$C302,BN$5&lt;=$D302,$A302&lt;&gt;""),"●","")</x:f>
      </x:c>
      <x:c r="BO302" s="165" t="str">
        <x:f>IF(AND(BO$5&gt;=$C302,BO$5&lt;=$D302,$A302&lt;&gt;""),"●","")</x:f>
      </x:c>
      <x:c r="BP302" s="165" t="str">
        <x:f>IF(AND(BP$5&gt;=$C302,BP$5&lt;=$D302,$A302&lt;&gt;""),"●","")</x:f>
      </x:c>
      <x:c r="BQ302" s="165" t="str">
        <x:f>IF(AND(BQ$5&gt;=$C302,BQ$5&lt;=$D302,$A302&lt;&gt;""),"●","")</x:f>
      </x:c>
      <x:c r="BR302" s="165" t="str">
        <x:f>IF(AND(BR$5&gt;=$C302,BR$5&lt;=$D302,$A302&lt;&gt;""),"●","")</x:f>
      </x:c>
      <x:c r="BS302" s="165" t="str">
        <x:f>IF(AND(BS$5&gt;=$C302,BS$5&lt;=$D302,$A302&lt;&gt;""),"●","")</x:f>
      </x:c>
      <x:c r="BT302" s="165" t="str">
        <x:f>IF(AND(BT$5&gt;=$C302,BT$5&lt;=$D302,$A302&lt;&gt;""),"●","")</x:f>
      </x:c>
      <x:c r="BU302" s="165" t="str">
        <x:f>IF(AND(BU$5&gt;=$C302,BU$5&lt;=$D302,$A302&lt;&gt;""),"●","")</x:f>
      </x:c>
      <x:c r="BV302" s="165" t="str">
        <x:f>IF(AND(BV$5&gt;=$C302,BV$5&lt;=$D302,$A302&lt;&gt;""),"●","")</x:f>
      </x:c>
      <x:c r="BW302" s="165" t="str">
        <x:f>IF(AND(BW$5&gt;=$C302,BW$5&lt;=$D302,$A302&lt;&gt;""),"●","")</x:f>
      </x:c>
    </x:row>
    <x:row r="303">
      <x:c r="A303" s="159" t="str">
        <x:f>IF('รายการสัญญา'!A303="","",'รายการสัญญา'!A303)</x:f>
      </x:c>
      <x:c r="B303" s="159" t="str">
        <x:f>IF('รายการสัญญา'!A303="","",'รายการสัญญา'!C303)</x:f>
      </x:c>
      <x:c r="C303" s="162" t="str">
        <x:f>IF('รายการสัญญา'!A303="","",'รายการสัญญา'!E303)</x:f>
      </x:c>
      <x:c r="D303" s="162" t="str">
        <x:f>IF('รายการสัญญา'!A303="","",'รายการสัญญา'!G303)</x:f>
      </x:c>
      <x:c r="E303" s="159" t="str">
        <x:f>IF('รายการสัญญา'!A303="","",'รายการสัญญา'!K303)</x:f>
      </x:c>
      <x:c r="F303" s="165" t="str">
        <x:f>IF(AND(F$5&gt;=$C303,F$5&lt;=$D303,$A303&lt;&gt;""),"●","")</x:f>
      </x:c>
      <x:c r="G303" s="165" t="str">
        <x:f>IF(AND(G$5&gt;=$C303,G$5&lt;=$D303,$A303&lt;&gt;""),"●","")</x:f>
      </x:c>
      <x:c r="H303" s="165" t="str">
        <x:f>IF(AND(H$5&gt;=$C303,H$5&lt;=$D303,$A303&lt;&gt;""),"●","")</x:f>
      </x:c>
      <x:c r="I303" s="165" t="str">
        <x:f>IF(AND(I$5&gt;=$C303,I$5&lt;=$D303,$A303&lt;&gt;""),"●","")</x:f>
      </x:c>
      <x:c r="J303" s="165" t="str">
        <x:f>IF(AND(J$5&gt;=$C303,J$5&lt;=$D303,$A303&lt;&gt;""),"●","")</x:f>
      </x:c>
      <x:c r="K303" s="165" t="str">
        <x:f>IF(AND(K$5&gt;=$C303,K$5&lt;=$D303,$A303&lt;&gt;""),"●","")</x:f>
      </x:c>
      <x:c r="L303" s="165" t="str">
        <x:f>IF(AND(L$5&gt;=$C303,L$5&lt;=$D303,$A303&lt;&gt;""),"●","")</x:f>
      </x:c>
      <x:c r="M303" s="165" t="str">
        <x:f>IF(AND(M$5&gt;=$C303,M$5&lt;=$D303,$A303&lt;&gt;""),"●","")</x:f>
      </x:c>
      <x:c r="N303" s="165" t="str">
        <x:f>IF(AND(N$5&gt;=$C303,N$5&lt;=$D303,$A303&lt;&gt;""),"●","")</x:f>
      </x:c>
      <x:c r="O303" s="165" t="str">
        <x:f>IF(AND(O$5&gt;=$C303,O$5&lt;=$D303,$A303&lt;&gt;""),"●","")</x:f>
      </x:c>
      <x:c r="P303" s="165" t="str">
        <x:f>IF(AND(P$5&gt;=$C303,P$5&lt;=$D303,$A303&lt;&gt;""),"●","")</x:f>
      </x:c>
      <x:c r="Q303" s="165" t="str">
        <x:f>IF(AND(Q$5&gt;=$C303,Q$5&lt;=$D303,$A303&lt;&gt;""),"●","")</x:f>
      </x:c>
      <x:c r="R303" s="165" t="str">
        <x:f>IF(AND(R$5&gt;=$C303,R$5&lt;=$D303,$A303&lt;&gt;""),"●","")</x:f>
      </x:c>
      <x:c r="S303" s="165" t="str">
        <x:f>IF(AND(S$5&gt;=$C303,S$5&lt;=$D303,$A303&lt;&gt;""),"●","")</x:f>
      </x:c>
      <x:c r="T303" s="165" t="str">
        <x:f>IF(AND(T$5&gt;=$C303,T$5&lt;=$D303,$A303&lt;&gt;""),"●","")</x:f>
      </x:c>
      <x:c r="U303" s="165" t="str">
        <x:f>IF(AND(U$5&gt;=$C303,U$5&lt;=$D303,$A303&lt;&gt;""),"●","")</x:f>
      </x:c>
      <x:c r="V303" s="165" t="str">
        <x:f>IF(AND(V$5&gt;=$C303,V$5&lt;=$D303,$A303&lt;&gt;""),"●","")</x:f>
      </x:c>
      <x:c r="W303" s="165" t="str">
        <x:f>IF(AND(W$5&gt;=$C303,W$5&lt;=$D303,$A303&lt;&gt;""),"●","")</x:f>
      </x:c>
      <x:c r="X303" s="165" t="str">
        <x:f>IF(AND(X$5&gt;=$C303,X$5&lt;=$D303,$A303&lt;&gt;""),"●","")</x:f>
      </x:c>
      <x:c r="Y303" s="165" t="str">
        <x:f>IF(AND(Y$5&gt;=$C303,Y$5&lt;=$D303,$A303&lt;&gt;""),"●","")</x:f>
      </x:c>
      <x:c r="Z303" s="165" t="str">
        <x:f>IF(AND(Z$5&gt;=$C303,Z$5&lt;=$D303,$A303&lt;&gt;""),"●","")</x:f>
      </x:c>
      <x:c r="AA303" s="165" t="str">
        <x:f>IF(AND(AA$5&gt;=$C303,AA$5&lt;=$D303,$A303&lt;&gt;""),"●","")</x:f>
      </x:c>
      <x:c r="AB303" s="165" t="str">
        <x:f>IF(AND(AB$5&gt;=$C303,AB$5&lt;=$D303,$A303&lt;&gt;""),"●","")</x:f>
      </x:c>
      <x:c r="AC303" s="165" t="str">
        <x:f>IF(AND(AC$5&gt;=$C303,AC$5&lt;=$D303,$A303&lt;&gt;""),"●","")</x:f>
      </x:c>
      <x:c r="AD303" s="165" t="str">
        <x:f>IF(AND(AD$5&gt;=$C303,AD$5&lt;=$D303,$A303&lt;&gt;""),"●","")</x:f>
      </x:c>
      <x:c r="AE303" s="165" t="str">
        <x:f>IF(AND(AE$5&gt;=$C303,AE$5&lt;=$D303,$A303&lt;&gt;""),"●","")</x:f>
      </x:c>
      <x:c r="AF303" s="165" t="str">
        <x:f>IF(AND(AF$5&gt;=$C303,AF$5&lt;=$D303,$A303&lt;&gt;""),"●","")</x:f>
      </x:c>
      <x:c r="AG303" s="165" t="str">
        <x:f>IF(AND(AG$5&gt;=$C303,AG$5&lt;=$D303,$A303&lt;&gt;""),"●","")</x:f>
      </x:c>
      <x:c r="AH303" s="165" t="str">
        <x:f>IF(AND(AH$5&gt;=$C303,AH$5&lt;=$D303,$A303&lt;&gt;""),"●","")</x:f>
      </x:c>
      <x:c r="AI303" s="165" t="str">
        <x:f>IF(AND(AI$5&gt;=$C303,AI$5&lt;=$D303,$A303&lt;&gt;""),"●","")</x:f>
      </x:c>
      <x:c r="AJ303" s="165" t="str">
        <x:f>IF(AND(AJ$5&gt;=$C303,AJ$5&lt;=$D303,$A303&lt;&gt;""),"●","")</x:f>
      </x:c>
      <x:c r="AK303" s="165" t="str">
        <x:f>IF(AND(AK$5&gt;=$C303,AK$5&lt;=$D303,$A303&lt;&gt;""),"●","")</x:f>
      </x:c>
      <x:c r="AL303" s="165" t="str">
        <x:f>IF(AND(AL$5&gt;=$C303,AL$5&lt;=$D303,$A303&lt;&gt;""),"●","")</x:f>
      </x:c>
      <x:c r="AM303" s="165" t="str">
        <x:f>IF(AND(AM$5&gt;=$C303,AM$5&lt;=$D303,$A303&lt;&gt;""),"●","")</x:f>
      </x:c>
      <x:c r="AN303" s="165" t="str">
        <x:f>IF(AND(AN$5&gt;=$C303,AN$5&lt;=$D303,$A303&lt;&gt;""),"●","")</x:f>
      </x:c>
      <x:c r="AO303" s="165" t="str">
        <x:f>IF(AND(AO$5&gt;=$C303,AO$5&lt;=$D303,$A303&lt;&gt;""),"●","")</x:f>
      </x:c>
      <x:c r="AP303" s="165" t="str">
        <x:f>IF(AND(AP$5&gt;=$C303,AP$5&lt;=$D303,$A303&lt;&gt;""),"●","")</x:f>
      </x:c>
      <x:c r="AQ303" s="165" t="str">
        <x:f>IF(AND(AQ$5&gt;=$C303,AQ$5&lt;=$D303,$A303&lt;&gt;""),"●","")</x:f>
      </x:c>
      <x:c r="AR303" s="165" t="str">
        <x:f>IF(AND(AR$5&gt;=$C303,AR$5&lt;=$D303,$A303&lt;&gt;""),"●","")</x:f>
      </x:c>
      <x:c r="AS303" s="165" t="str">
        <x:f>IF(AND(AS$5&gt;=$C303,AS$5&lt;=$D303,$A303&lt;&gt;""),"●","")</x:f>
      </x:c>
      <x:c r="AT303" s="165" t="str">
        <x:f>IF(AND(AT$5&gt;=$C303,AT$5&lt;=$D303,$A303&lt;&gt;""),"●","")</x:f>
      </x:c>
      <x:c r="AU303" s="165" t="str">
        <x:f>IF(AND(AU$5&gt;=$C303,AU$5&lt;=$D303,$A303&lt;&gt;""),"●","")</x:f>
      </x:c>
      <x:c r="AV303" s="165" t="str">
        <x:f>IF(AND(AV$5&gt;=$C303,AV$5&lt;=$D303,$A303&lt;&gt;""),"●","")</x:f>
      </x:c>
      <x:c r="AW303" s="165" t="str">
        <x:f>IF(AND(AW$5&gt;=$C303,AW$5&lt;=$D303,$A303&lt;&gt;""),"●","")</x:f>
      </x:c>
      <x:c r="AX303" s="165" t="str">
        <x:f>IF(AND(AX$5&gt;=$C303,AX$5&lt;=$D303,$A303&lt;&gt;""),"●","")</x:f>
      </x:c>
      <x:c r="AY303" s="165" t="str">
        <x:f>IF(AND(AY$5&gt;=$C303,AY$5&lt;=$D303,$A303&lt;&gt;""),"●","")</x:f>
      </x:c>
      <x:c r="AZ303" s="165" t="str">
        <x:f>IF(AND(AZ$5&gt;=$C303,AZ$5&lt;=$D303,$A303&lt;&gt;""),"●","")</x:f>
      </x:c>
      <x:c r="BA303" s="165" t="str">
        <x:f>IF(AND(BA$5&gt;=$C303,BA$5&lt;=$D303,$A303&lt;&gt;""),"●","")</x:f>
      </x:c>
      <x:c r="BB303" s="165" t="str">
        <x:f>IF(AND(BB$5&gt;=$C303,BB$5&lt;=$D303,$A303&lt;&gt;""),"●","")</x:f>
      </x:c>
      <x:c r="BC303" s="165" t="str">
        <x:f>IF(AND(BC$5&gt;=$C303,BC$5&lt;=$D303,$A303&lt;&gt;""),"●","")</x:f>
      </x:c>
      <x:c r="BD303" s="165" t="str">
        <x:f>IF(AND(BD$5&gt;=$C303,BD$5&lt;=$D303,$A303&lt;&gt;""),"●","")</x:f>
      </x:c>
      <x:c r="BE303" s="165" t="str">
        <x:f>IF(AND(BE$5&gt;=$C303,BE$5&lt;=$D303,$A303&lt;&gt;""),"●","")</x:f>
      </x:c>
      <x:c r="BF303" s="165" t="str">
        <x:f>IF(AND(BF$5&gt;=$C303,BF$5&lt;=$D303,$A303&lt;&gt;""),"●","")</x:f>
      </x:c>
      <x:c r="BG303" s="165" t="str">
        <x:f>IF(AND(BG$5&gt;=$C303,BG$5&lt;=$D303,$A303&lt;&gt;""),"●","")</x:f>
      </x:c>
      <x:c r="BH303" s="165" t="str">
        <x:f>IF(AND(BH$5&gt;=$C303,BH$5&lt;=$D303,$A303&lt;&gt;""),"●","")</x:f>
      </x:c>
      <x:c r="BI303" s="165" t="str">
        <x:f>IF(AND(BI$5&gt;=$C303,BI$5&lt;=$D303,$A303&lt;&gt;""),"●","")</x:f>
      </x:c>
      <x:c r="BJ303" s="165" t="str">
        <x:f>IF(AND(BJ$5&gt;=$C303,BJ$5&lt;=$D303,$A303&lt;&gt;""),"●","")</x:f>
      </x:c>
      <x:c r="BK303" s="165" t="str">
        <x:f>IF(AND(BK$5&gt;=$C303,BK$5&lt;=$D303,$A303&lt;&gt;""),"●","")</x:f>
      </x:c>
      <x:c r="BL303" s="165" t="str">
        <x:f>IF(AND(BL$5&gt;=$C303,BL$5&lt;=$D303,$A303&lt;&gt;""),"●","")</x:f>
      </x:c>
      <x:c r="BM303" s="165" t="str">
        <x:f>IF(AND(BM$5&gt;=$C303,BM$5&lt;=$D303,$A303&lt;&gt;""),"●","")</x:f>
      </x:c>
      <x:c r="BN303" s="165" t="str">
        <x:f>IF(AND(BN$5&gt;=$C303,BN$5&lt;=$D303,$A303&lt;&gt;""),"●","")</x:f>
      </x:c>
      <x:c r="BO303" s="165" t="str">
        <x:f>IF(AND(BO$5&gt;=$C303,BO$5&lt;=$D303,$A303&lt;&gt;""),"●","")</x:f>
      </x:c>
      <x:c r="BP303" s="165" t="str">
        <x:f>IF(AND(BP$5&gt;=$C303,BP$5&lt;=$D303,$A303&lt;&gt;""),"●","")</x:f>
      </x:c>
      <x:c r="BQ303" s="165" t="str">
        <x:f>IF(AND(BQ$5&gt;=$C303,BQ$5&lt;=$D303,$A303&lt;&gt;""),"●","")</x:f>
      </x:c>
      <x:c r="BR303" s="165" t="str">
        <x:f>IF(AND(BR$5&gt;=$C303,BR$5&lt;=$D303,$A303&lt;&gt;""),"●","")</x:f>
      </x:c>
      <x:c r="BS303" s="165" t="str">
        <x:f>IF(AND(BS$5&gt;=$C303,BS$5&lt;=$D303,$A303&lt;&gt;""),"●","")</x:f>
      </x:c>
      <x:c r="BT303" s="165" t="str">
        <x:f>IF(AND(BT$5&gt;=$C303,BT$5&lt;=$D303,$A303&lt;&gt;""),"●","")</x:f>
      </x:c>
      <x:c r="BU303" s="165" t="str">
        <x:f>IF(AND(BU$5&gt;=$C303,BU$5&lt;=$D303,$A303&lt;&gt;""),"●","")</x:f>
      </x:c>
      <x:c r="BV303" s="165" t="str">
        <x:f>IF(AND(BV$5&gt;=$C303,BV$5&lt;=$D303,$A303&lt;&gt;""),"●","")</x:f>
      </x:c>
      <x:c r="BW303" s="165" t="str">
        <x:f>IF(AND(BW$5&gt;=$C303,BW$5&lt;=$D303,$A303&lt;&gt;""),"●","")</x:f>
      </x:c>
    </x:row>
    <x:row r="304">
      <x:c r="A304" s="159" t="str">
        <x:f>IF('รายการสัญญา'!A304="","",'รายการสัญญา'!A304)</x:f>
      </x:c>
      <x:c r="B304" s="159" t="str">
        <x:f>IF('รายการสัญญา'!A304="","",'รายการสัญญา'!C304)</x:f>
      </x:c>
      <x:c r="C304" s="162" t="str">
        <x:f>IF('รายการสัญญา'!A304="","",'รายการสัญญา'!E304)</x:f>
      </x:c>
      <x:c r="D304" s="162" t="str">
        <x:f>IF('รายการสัญญา'!A304="","",'รายการสัญญา'!G304)</x:f>
      </x:c>
      <x:c r="E304" s="159" t="str">
        <x:f>IF('รายการสัญญา'!A304="","",'รายการสัญญา'!K304)</x:f>
      </x:c>
      <x:c r="F304" s="165" t="str">
        <x:f>IF(AND(F$5&gt;=$C304,F$5&lt;=$D304,$A304&lt;&gt;""),"●","")</x:f>
      </x:c>
      <x:c r="G304" s="165" t="str">
        <x:f>IF(AND(G$5&gt;=$C304,G$5&lt;=$D304,$A304&lt;&gt;""),"●","")</x:f>
      </x:c>
      <x:c r="H304" s="165" t="str">
        <x:f>IF(AND(H$5&gt;=$C304,H$5&lt;=$D304,$A304&lt;&gt;""),"●","")</x:f>
      </x:c>
      <x:c r="I304" s="165" t="str">
        <x:f>IF(AND(I$5&gt;=$C304,I$5&lt;=$D304,$A304&lt;&gt;""),"●","")</x:f>
      </x:c>
      <x:c r="J304" s="165" t="str">
        <x:f>IF(AND(J$5&gt;=$C304,J$5&lt;=$D304,$A304&lt;&gt;""),"●","")</x:f>
      </x:c>
      <x:c r="K304" s="165" t="str">
        <x:f>IF(AND(K$5&gt;=$C304,K$5&lt;=$D304,$A304&lt;&gt;""),"●","")</x:f>
      </x:c>
      <x:c r="L304" s="165" t="str">
        <x:f>IF(AND(L$5&gt;=$C304,L$5&lt;=$D304,$A304&lt;&gt;""),"●","")</x:f>
      </x:c>
      <x:c r="M304" s="165" t="str">
        <x:f>IF(AND(M$5&gt;=$C304,M$5&lt;=$D304,$A304&lt;&gt;""),"●","")</x:f>
      </x:c>
      <x:c r="N304" s="165" t="str">
        <x:f>IF(AND(N$5&gt;=$C304,N$5&lt;=$D304,$A304&lt;&gt;""),"●","")</x:f>
      </x:c>
      <x:c r="O304" s="165" t="str">
        <x:f>IF(AND(O$5&gt;=$C304,O$5&lt;=$D304,$A304&lt;&gt;""),"●","")</x:f>
      </x:c>
      <x:c r="P304" s="165" t="str">
        <x:f>IF(AND(P$5&gt;=$C304,P$5&lt;=$D304,$A304&lt;&gt;""),"●","")</x:f>
      </x:c>
      <x:c r="Q304" s="165" t="str">
        <x:f>IF(AND(Q$5&gt;=$C304,Q$5&lt;=$D304,$A304&lt;&gt;""),"●","")</x:f>
      </x:c>
      <x:c r="R304" s="165" t="str">
        <x:f>IF(AND(R$5&gt;=$C304,R$5&lt;=$D304,$A304&lt;&gt;""),"●","")</x:f>
      </x:c>
      <x:c r="S304" s="165" t="str">
        <x:f>IF(AND(S$5&gt;=$C304,S$5&lt;=$D304,$A304&lt;&gt;""),"●","")</x:f>
      </x:c>
      <x:c r="T304" s="165" t="str">
        <x:f>IF(AND(T$5&gt;=$C304,T$5&lt;=$D304,$A304&lt;&gt;""),"●","")</x:f>
      </x:c>
      <x:c r="U304" s="165" t="str">
        <x:f>IF(AND(U$5&gt;=$C304,U$5&lt;=$D304,$A304&lt;&gt;""),"●","")</x:f>
      </x:c>
      <x:c r="V304" s="165" t="str">
        <x:f>IF(AND(V$5&gt;=$C304,V$5&lt;=$D304,$A304&lt;&gt;""),"●","")</x:f>
      </x:c>
      <x:c r="W304" s="165" t="str">
        <x:f>IF(AND(W$5&gt;=$C304,W$5&lt;=$D304,$A304&lt;&gt;""),"●","")</x:f>
      </x:c>
      <x:c r="X304" s="165" t="str">
        <x:f>IF(AND(X$5&gt;=$C304,X$5&lt;=$D304,$A304&lt;&gt;""),"●","")</x:f>
      </x:c>
      <x:c r="Y304" s="165" t="str">
        <x:f>IF(AND(Y$5&gt;=$C304,Y$5&lt;=$D304,$A304&lt;&gt;""),"●","")</x:f>
      </x:c>
      <x:c r="Z304" s="165" t="str">
        <x:f>IF(AND(Z$5&gt;=$C304,Z$5&lt;=$D304,$A304&lt;&gt;""),"●","")</x:f>
      </x:c>
      <x:c r="AA304" s="165" t="str">
        <x:f>IF(AND(AA$5&gt;=$C304,AA$5&lt;=$D304,$A304&lt;&gt;""),"●","")</x:f>
      </x:c>
      <x:c r="AB304" s="165" t="str">
        <x:f>IF(AND(AB$5&gt;=$C304,AB$5&lt;=$D304,$A304&lt;&gt;""),"●","")</x:f>
      </x:c>
      <x:c r="AC304" s="165" t="str">
        <x:f>IF(AND(AC$5&gt;=$C304,AC$5&lt;=$D304,$A304&lt;&gt;""),"●","")</x:f>
      </x:c>
      <x:c r="AD304" s="165" t="str">
        <x:f>IF(AND(AD$5&gt;=$C304,AD$5&lt;=$D304,$A304&lt;&gt;""),"●","")</x:f>
      </x:c>
      <x:c r="AE304" s="165" t="str">
        <x:f>IF(AND(AE$5&gt;=$C304,AE$5&lt;=$D304,$A304&lt;&gt;""),"●","")</x:f>
      </x:c>
      <x:c r="AF304" s="165" t="str">
        <x:f>IF(AND(AF$5&gt;=$C304,AF$5&lt;=$D304,$A304&lt;&gt;""),"●","")</x:f>
      </x:c>
      <x:c r="AG304" s="165" t="str">
        <x:f>IF(AND(AG$5&gt;=$C304,AG$5&lt;=$D304,$A304&lt;&gt;""),"●","")</x:f>
      </x:c>
      <x:c r="AH304" s="165" t="str">
        <x:f>IF(AND(AH$5&gt;=$C304,AH$5&lt;=$D304,$A304&lt;&gt;""),"●","")</x:f>
      </x:c>
      <x:c r="AI304" s="165" t="str">
        <x:f>IF(AND(AI$5&gt;=$C304,AI$5&lt;=$D304,$A304&lt;&gt;""),"●","")</x:f>
      </x:c>
      <x:c r="AJ304" s="165" t="str">
        <x:f>IF(AND(AJ$5&gt;=$C304,AJ$5&lt;=$D304,$A304&lt;&gt;""),"●","")</x:f>
      </x:c>
      <x:c r="AK304" s="165" t="str">
        <x:f>IF(AND(AK$5&gt;=$C304,AK$5&lt;=$D304,$A304&lt;&gt;""),"●","")</x:f>
      </x:c>
      <x:c r="AL304" s="165" t="str">
        <x:f>IF(AND(AL$5&gt;=$C304,AL$5&lt;=$D304,$A304&lt;&gt;""),"●","")</x:f>
      </x:c>
      <x:c r="AM304" s="165" t="str">
        <x:f>IF(AND(AM$5&gt;=$C304,AM$5&lt;=$D304,$A304&lt;&gt;""),"●","")</x:f>
      </x:c>
      <x:c r="AN304" s="165" t="str">
        <x:f>IF(AND(AN$5&gt;=$C304,AN$5&lt;=$D304,$A304&lt;&gt;""),"●","")</x:f>
      </x:c>
      <x:c r="AO304" s="165" t="str">
        <x:f>IF(AND(AO$5&gt;=$C304,AO$5&lt;=$D304,$A304&lt;&gt;""),"●","")</x:f>
      </x:c>
      <x:c r="AP304" s="165" t="str">
        <x:f>IF(AND(AP$5&gt;=$C304,AP$5&lt;=$D304,$A304&lt;&gt;""),"●","")</x:f>
      </x:c>
      <x:c r="AQ304" s="165" t="str">
        <x:f>IF(AND(AQ$5&gt;=$C304,AQ$5&lt;=$D304,$A304&lt;&gt;""),"●","")</x:f>
      </x:c>
      <x:c r="AR304" s="165" t="str">
        <x:f>IF(AND(AR$5&gt;=$C304,AR$5&lt;=$D304,$A304&lt;&gt;""),"●","")</x:f>
      </x:c>
      <x:c r="AS304" s="165" t="str">
        <x:f>IF(AND(AS$5&gt;=$C304,AS$5&lt;=$D304,$A304&lt;&gt;""),"●","")</x:f>
      </x:c>
      <x:c r="AT304" s="165" t="str">
        <x:f>IF(AND(AT$5&gt;=$C304,AT$5&lt;=$D304,$A304&lt;&gt;""),"●","")</x:f>
      </x:c>
      <x:c r="AU304" s="165" t="str">
        <x:f>IF(AND(AU$5&gt;=$C304,AU$5&lt;=$D304,$A304&lt;&gt;""),"●","")</x:f>
      </x:c>
      <x:c r="AV304" s="165" t="str">
        <x:f>IF(AND(AV$5&gt;=$C304,AV$5&lt;=$D304,$A304&lt;&gt;""),"●","")</x:f>
      </x:c>
      <x:c r="AW304" s="165" t="str">
        <x:f>IF(AND(AW$5&gt;=$C304,AW$5&lt;=$D304,$A304&lt;&gt;""),"●","")</x:f>
      </x:c>
      <x:c r="AX304" s="165" t="str">
        <x:f>IF(AND(AX$5&gt;=$C304,AX$5&lt;=$D304,$A304&lt;&gt;""),"●","")</x:f>
      </x:c>
      <x:c r="AY304" s="165" t="str">
        <x:f>IF(AND(AY$5&gt;=$C304,AY$5&lt;=$D304,$A304&lt;&gt;""),"●","")</x:f>
      </x:c>
      <x:c r="AZ304" s="165" t="str">
        <x:f>IF(AND(AZ$5&gt;=$C304,AZ$5&lt;=$D304,$A304&lt;&gt;""),"●","")</x:f>
      </x:c>
      <x:c r="BA304" s="165" t="str">
        <x:f>IF(AND(BA$5&gt;=$C304,BA$5&lt;=$D304,$A304&lt;&gt;""),"●","")</x:f>
      </x:c>
      <x:c r="BB304" s="165" t="str">
        <x:f>IF(AND(BB$5&gt;=$C304,BB$5&lt;=$D304,$A304&lt;&gt;""),"●","")</x:f>
      </x:c>
      <x:c r="BC304" s="165" t="str">
        <x:f>IF(AND(BC$5&gt;=$C304,BC$5&lt;=$D304,$A304&lt;&gt;""),"●","")</x:f>
      </x:c>
      <x:c r="BD304" s="165" t="str">
        <x:f>IF(AND(BD$5&gt;=$C304,BD$5&lt;=$D304,$A304&lt;&gt;""),"●","")</x:f>
      </x:c>
      <x:c r="BE304" s="165" t="str">
        <x:f>IF(AND(BE$5&gt;=$C304,BE$5&lt;=$D304,$A304&lt;&gt;""),"●","")</x:f>
      </x:c>
      <x:c r="BF304" s="165" t="str">
        <x:f>IF(AND(BF$5&gt;=$C304,BF$5&lt;=$D304,$A304&lt;&gt;""),"●","")</x:f>
      </x:c>
      <x:c r="BG304" s="165" t="str">
        <x:f>IF(AND(BG$5&gt;=$C304,BG$5&lt;=$D304,$A304&lt;&gt;""),"●","")</x:f>
      </x:c>
      <x:c r="BH304" s="165" t="str">
        <x:f>IF(AND(BH$5&gt;=$C304,BH$5&lt;=$D304,$A304&lt;&gt;""),"●","")</x:f>
      </x:c>
      <x:c r="BI304" s="165" t="str">
        <x:f>IF(AND(BI$5&gt;=$C304,BI$5&lt;=$D304,$A304&lt;&gt;""),"●","")</x:f>
      </x:c>
      <x:c r="BJ304" s="165" t="str">
        <x:f>IF(AND(BJ$5&gt;=$C304,BJ$5&lt;=$D304,$A304&lt;&gt;""),"●","")</x:f>
      </x:c>
      <x:c r="BK304" s="165" t="str">
        <x:f>IF(AND(BK$5&gt;=$C304,BK$5&lt;=$D304,$A304&lt;&gt;""),"●","")</x:f>
      </x:c>
      <x:c r="BL304" s="165" t="str">
        <x:f>IF(AND(BL$5&gt;=$C304,BL$5&lt;=$D304,$A304&lt;&gt;""),"●","")</x:f>
      </x:c>
      <x:c r="BM304" s="165" t="str">
        <x:f>IF(AND(BM$5&gt;=$C304,BM$5&lt;=$D304,$A304&lt;&gt;""),"●","")</x:f>
      </x:c>
      <x:c r="BN304" s="165" t="str">
        <x:f>IF(AND(BN$5&gt;=$C304,BN$5&lt;=$D304,$A304&lt;&gt;""),"●","")</x:f>
      </x:c>
      <x:c r="BO304" s="165" t="str">
        <x:f>IF(AND(BO$5&gt;=$C304,BO$5&lt;=$D304,$A304&lt;&gt;""),"●","")</x:f>
      </x:c>
      <x:c r="BP304" s="165" t="str">
        <x:f>IF(AND(BP$5&gt;=$C304,BP$5&lt;=$D304,$A304&lt;&gt;""),"●","")</x:f>
      </x:c>
      <x:c r="BQ304" s="165" t="str">
        <x:f>IF(AND(BQ$5&gt;=$C304,BQ$5&lt;=$D304,$A304&lt;&gt;""),"●","")</x:f>
      </x:c>
      <x:c r="BR304" s="165" t="str">
        <x:f>IF(AND(BR$5&gt;=$C304,BR$5&lt;=$D304,$A304&lt;&gt;""),"●","")</x:f>
      </x:c>
      <x:c r="BS304" s="165" t="str">
        <x:f>IF(AND(BS$5&gt;=$C304,BS$5&lt;=$D304,$A304&lt;&gt;""),"●","")</x:f>
      </x:c>
      <x:c r="BT304" s="165" t="str">
        <x:f>IF(AND(BT$5&gt;=$C304,BT$5&lt;=$D304,$A304&lt;&gt;""),"●","")</x:f>
      </x:c>
      <x:c r="BU304" s="165" t="str">
        <x:f>IF(AND(BU$5&gt;=$C304,BU$5&lt;=$D304,$A304&lt;&gt;""),"●","")</x:f>
      </x:c>
      <x:c r="BV304" s="165" t="str">
        <x:f>IF(AND(BV$5&gt;=$C304,BV$5&lt;=$D304,$A304&lt;&gt;""),"●","")</x:f>
      </x:c>
      <x:c r="BW304" s="165" t="str">
        <x:f>IF(AND(BW$5&gt;=$C304,BW$5&lt;=$D304,$A304&lt;&gt;""),"●","")</x:f>
      </x:c>
    </x:row>
    <x:row r="305">
      <x:c r="A305" s="159" t="str">
        <x:f>IF('รายการสัญญา'!A305="","",'รายการสัญญา'!A305)</x:f>
      </x:c>
      <x:c r="B305" s="159" t="str">
        <x:f>IF('รายการสัญญา'!A305="","",'รายการสัญญา'!C305)</x:f>
      </x:c>
      <x:c r="C305" s="162" t="str">
        <x:f>IF('รายการสัญญา'!A305="","",'รายการสัญญา'!E305)</x:f>
      </x:c>
      <x:c r="D305" s="162" t="str">
        <x:f>IF('รายการสัญญา'!A305="","",'รายการสัญญา'!G305)</x:f>
      </x:c>
      <x:c r="E305" s="159" t="str">
        <x:f>IF('รายการสัญญา'!A305="","",'รายการสัญญา'!K305)</x:f>
      </x:c>
      <x:c r="F305" s="165" t="str">
        <x:f>IF(AND(F$5&gt;=$C305,F$5&lt;=$D305,$A305&lt;&gt;""),"●","")</x:f>
      </x:c>
      <x:c r="G305" s="165" t="str">
        <x:f>IF(AND(G$5&gt;=$C305,G$5&lt;=$D305,$A305&lt;&gt;""),"●","")</x:f>
      </x:c>
      <x:c r="H305" s="165" t="str">
        <x:f>IF(AND(H$5&gt;=$C305,H$5&lt;=$D305,$A305&lt;&gt;""),"●","")</x:f>
      </x:c>
      <x:c r="I305" s="165" t="str">
        <x:f>IF(AND(I$5&gt;=$C305,I$5&lt;=$D305,$A305&lt;&gt;""),"●","")</x:f>
      </x:c>
      <x:c r="J305" s="165" t="str">
        <x:f>IF(AND(J$5&gt;=$C305,J$5&lt;=$D305,$A305&lt;&gt;""),"●","")</x:f>
      </x:c>
      <x:c r="K305" s="165" t="str">
        <x:f>IF(AND(K$5&gt;=$C305,K$5&lt;=$D305,$A305&lt;&gt;""),"●","")</x:f>
      </x:c>
      <x:c r="L305" s="165" t="str">
        <x:f>IF(AND(L$5&gt;=$C305,L$5&lt;=$D305,$A305&lt;&gt;""),"●","")</x:f>
      </x:c>
      <x:c r="M305" s="165" t="str">
        <x:f>IF(AND(M$5&gt;=$C305,M$5&lt;=$D305,$A305&lt;&gt;""),"●","")</x:f>
      </x:c>
      <x:c r="N305" s="165" t="str">
        <x:f>IF(AND(N$5&gt;=$C305,N$5&lt;=$D305,$A305&lt;&gt;""),"●","")</x:f>
      </x:c>
      <x:c r="O305" s="165" t="str">
        <x:f>IF(AND(O$5&gt;=$C305,O$5&lt;=$D305,$A305&lt;&gt;""),"●","")</x:f>
      </x:c>
      <x:c r="P305" s="165" t="str">
        <x:f>IF(AND(P$5&gt;=$C305,P$5&lt;=$D305,$A305&lt;&gt;""),"●","")</x:f>
      </x:c>
      <x:c r="Q305" s="165" t="str">
        <x:f>IF(AND(Q$5&gt;=$C305,Q$5&lt;=$D305,$A305&lt;&gt;""),"●","")</x:f>
      </x:c>
      <x:c r="R305" s="165" t="str">
        <x:f>IF(AND(R$5&gt;=$C305,R$5&lt;=$D305,$A305&lt;&gt;""),"●","")</x:f>
      </x:c>
      <x:c r="S305" s="165" t="str">
        <x:f>IF(AND(S$5&gt;=$C305,S$5&lt;=$D305,$A305&lt;&gt;""),"●","")</x:f>
      </x:c>
      <x:c r="T305" s="165" t="str">
        <x:f>IF(AND(T$5&gt;=$C305,T$5&lt;=$D305,$A305&lt;&gt;""),"●","")</x:f>
      </x:c>
      <x:c r="U305" s="165" t="str">
        <x:f>IF(AND(U$5&gt;=$C305,U$5&lt;=$D305,$A305&lt;&gt;""),"●","")</x:f>
      </x:c>
      <x:c r="V305" s="165" t="str">
        <x:f>IF(AND(V$5&gt;=$C305,V$5&lt;=$D305,$A305&lt;&gt;""),"●","")</x:f>
      </x:c>
      <x:c r="W305" s="165" t="str">
        <x:f>IF(AND(W$5&gt;=$C305,W$5&lt;=$D305,$A305&lt;&gt;""),"●","")</x:f>
      </x:c>
      <x:c r="X305" s="165" t="str">
        <x:f>IF(AND(X$5&gt;=$C305,X$5&lt;=$D305,$A305&lt;&gt;""),"●","")</x:f>
      </x:c>
      <x:c r="Y305" s="165" t="str">
        <x:f>IF(AND(Y$5&gt;=$C305,Y$5&lt;=$D305,$A305&lt;&gt;""),"●","")</x:f>
      </x:c>
      <x:c r="Z305" s="165" t="str">
        <x:f>IF(AND(Z$5&gt;=$C305,Z$5&lt;=$D305,$A305&lt;&gt;""),"●","")</x:f>
      </x:c>
      <x:c r="AA305" s="165" t="str">
        <x:f>IF(AND(AA$5&gt;=$C305,AA$5&lt;=$D305,$A305&lt;&gt;""),"●","")</x:f>
      </x:c>
      <x:c r="AB305" s="165" t="str">
        <x:f>IF(AND(AB$5&gt;=$C305,AB$5&lt;=$D305,$A305&lt;&gt;""),"●","")</x:f>
      </x:c>
      <x:c r="AC305" s="165" t="str">
        <x:f>IF(AND(AC$5&gt;=$C305,AC$5&lt;=$D305,$A305&lt;&gt;""),"●","")</x:f>
      </x:c>
      <x:c r="AD305" s="165" t="str">
        <x:f>IF(AND(AD$5&gt;=$C305,AD$5&lt;=$D305,$A305&lt;&gt;""),"●","")</x:f>
      </x:c>
      <x:c r="AE305" s="165" t="str">
        <x:f>IF(AND(AE$5&gt;=$C305,AE$5&lt;=$D305,$A305&lt;&gt;""),"●","")</x:f>
      </x:c>
      <x:c r="AF305" s="165" t="str">
        <x:f>IF(AND(AF$5&gt;=$C305,AF$5&lt;=$D305,$A305&lt;&gt;""),"●","")</x:f>
      </x:c>
      <x:c r="AG305" s="165" t="str">
        <x:f>IF(AND(AG$5&gt;=$C305,AG$5&lt;=$D305,$A305&lt;&gt;""),"●","")</x:f>
      </x:c>
      <x:c r="AH305" s="165" t="str">
        <x:f>IF(AND(AH$5&gt;=$C305,AH$5&lt;=$D305,$A305&lt;&gt;""),"●","")</x:f>
      </x:c>
      <x:c r="AI305" s="165" t="str">
        <x:f>IF(AND(AI$5&gt;=$C305,AI$5&lt;=$D305,$A305&lt;&gt;""),"●","")</x:f>
      </x:c>
      <x:c r="AJ305" s="165" t="str">
        <x:f>IF(AND(AJ$5&gt;=$C305,AJ$5&lt;=$D305,$A305&lt;&gt;""),"●","")</x:f>
      </x:c>
      <x:c r="AK305" s="165" t="str">
        <x:f>IF(AND(AK$5&gt;=$C305,AK$5&lt;=$D305,$A305&lt;&gt;""),"●","")</x:f>
      </x:c>
      <x:c r="AL305" s="165" t="str">
        <x:f>IF(AND(AL$5&gt;=$C305,AL$5&lt;=$D305,$A305&lt;&gt;""),"●","")</x:f>
      </x:c>
      <x:c r="AM305" s="165" t="str">
        <x:f>IF(AND(AM$5&gt;=$C305,AM$5&lt;=$D305,$A305&lt;&gt;""),"●","")</x:f>
      </x:c>
      <x:c r="AN305" s="165" t="str">
        <x:f>IF(AND(AN$5&gt;=$C305,AN$5&lt;=$D305,$A305&lt;&gt;""),"●","")</x:f>
      </x:c>
      <x:c r="AO305" s="165" t="str">
        <x:f>IF(AND(AO$5&gt;=$C305,AO$5&lt;=$D305,$A305&lt;&gt;""),"●","")</x:f>
      </x:c>
      <x:c r="AP305" s="165" t="str">
        <x:f>IF(AND(AP$5&gt;=$C305,AP$5&lt;=$D305,$A305&lt;&gt;""),"●","")</x:f>
      </x:c>
      <x:c r="AQ305" s="165" t="str">
        <x:f>IF(AND(AQ$5&gt;=$C305,AQ$5&lt;=$D305,$A305&lt;&gt;""),"●","")</x:f>
      </x:c>
      <x:c r="AR305" s="165" t="str">
        <x:f>IF(AND(AR$5&gt;=$C305,AR$5&lt;=$D305,$A305&lt;&gt;""),"●","")</x:f>
      </x:c>
      <x:c r="AS305" s="165" t="str">
        <x:f>IF(AND(AS$5&gt;=$C305,AS$5&lt;=$D305,$A305&lt;&gt;""),"●","")</x:f>
      </x:c>
      <x:c r="AT305" s="165" t="str">
        <x:f>IF(AND(AT$5&gt;=$C305,AT$5&lt;=$D305,$A305&lt;&gt;""),"●","")</x:f>
      </x:c>
      <x:c r="AU305" s="165" t="str">
        <x:f>IF(AND(AU$5&gt;=$C305,AU$5&lt;=$D305,$A305&lt;&gt;""),"●","")</x:f>
      </x:c>
      <x:c r="AV305" s="165" t="str">
        <x:f>IF(AND(AV$5&gt;=$C305,AV$5&lt;=$D305,$A305&lt;&gt;""),"●","")</x:f>
      </x:c>
      <x:c r="AW305" s="165" t="str">
        <x:f>IF(AND(AW$5&gt;=$C305,AW$5&lt;=$D305,$A305&lt;&gt;""),"●","")</x:f>
      </x:c>
      <x:c r="AX305" s="165" t="str">
        <x:f>IF(AND(AX$5&gt;=$C305,AX$5&lt;=$D305,$A305&lt;&gt;""),"●","")</x:f>
      </x:c>
      <x:c r="AY305" s="165" t="str">
        <x:f>IF(AND(AY$5&gt;=$C305,AY$5&lt;=$D305,$A305&lt;&gt;""),"●","")</x:f>
      </x:c>
      <x:c r="AZ305" s="165" t="str">
        <x:f>IF(AND(AZ$5&gt;=$C305,AZ$5&lt;=$D305,$A305&lt;&gt;""),"●","")</x:f>
      </x:c>
      <x:c r="BA305" s="165" t="str">
        <x:f>IF(AND(BA$5&gt;=$C305,BA$5&lt;=$D305,$A305&lt;&gt;""),"●","")</x:f>
      </x:c>
      <x:c r="BB305" s="165" t="str">
        <x:f>IF(AND(BB$5&gt;=$C305,BB$5&lt;=$D305,$A305&lt;&gt;""),"●","")</x:f>
      </x:c>
      <x:c r="BC305" s="165" t="str">
        <x:f>IF(AND(BC$5&gt;=$C305,BC$5&lt;=$D305,$A305&lt;&gt;""),"●","")</x:f>
      </x:c>
      <x:c r="BD305" s="165" t="str">
        <x:f>IF(AND(BD$5&gt;=$C305,BD$5&lt;=$D305,$A305&lt;&gt;""),"●","")</x:f>
      </x:c>
      <x:c r="BE305" s="165" t="str">
        <x:f>IF(AND(BE$5&gt;=$C305,BE$5&lt;=$D305,$A305&lt;&gt;""),"●","")</x:f>
      </x:c>
      <x:c r="BF305" s="165" t="str">
        <x:f>IF(AND(BF$5&gt;=$C305,BF$5&lt;=$D305,$A305&lt;&gt;""),"●","")</x:f>
      </x:c>
      <x:c r="BG305" s="165" t="str">
        <x:f>IF(AND(BG$5&gt;=$C305,BG$5&lt;=$D305,$A305&lt;&gt;""),"●","")</x:f>
      </x:c>
      <x:c r="BH305" s="165" t="str">
        <x:f>IF(AND(BH$5&gt;=$C305,BH$5&lt;=$D305,$A305&lt;&gt;""),"●","")</x:f>
      </x:c>
      <x:c r="BI305" s="165" t="str">
        <x:f>IF(AND(BI$5&gt;=$C305,BI$5&lt;=$D305,$A305&lt;&gt;""),"●","")</x:f>
      </x:c>
      <x:c r="BJ305" s="165" t="str">
        <x:f>IF(AND(BJ$5&gt;=$C305,BJ$5&lt;=$D305,$A305&lt;&gt;""),"●","")</x:f>
      </x:c>
      <x:c r="BK305" s="165" t="str">
        <x:f>IF(AND(BK$5&gt;=$C305,BK$5&lt;=$D305,$A305&lt;&gt;""),"●","")</x:f>
      </x:c>
      <x:c r="BL305" s="165" t="str">
        <x:f>IF(AND(BL$5&gt;=$C305,BL$5&lt;=$D305,$A305&lt;&gt;""),"●","")</x:f>
      </x:c>
      <x:c r="BM305" s="165" t="str">
        <x:f>IF(AND(BM$5&gt;=$C305,BM$5&lt;=$D305,$A305&lt;&gt;""),"●","")</x:f>
      </x:c>
      <x:c r="BN305" s="165" t="str">
        <x:f>IF(AND(BN$5&gt;=$C305,BN$5&lt;=$D305,$A305&lt;&gt;""),"●","")</x:f>
      </x:c>
      <x:c r="BO305" s="165" t="str">
        <x:f>IF(AND(BO$5&gt;=$C305,BO$5&lt;=$D305,$A305&lt;&gt;""),"●","")</x:f>
      </x:c>
      <x:c r="BP305" s="165" t="str">
        <x:f>IF(AND(BP$5&gt;=$C305,BP$5&lt;=$D305,$A305&lt;&gt;""),"●","")</x:f>
      </x:c>
      <x:c r="BQ305" s="165" t="str">
        <x:f>IF(AND(BQ$5&gt;=$C305,BQ$5&lt;=$D305,$A305&lt;&gt;""),"●","")</x:f>
      </x:c>
      <x:c r="BR305" s="165" t="str">
        <x:f>IF(AND(BR$5&gt;=$C305,BR$5&lt;=$D305,$A305&lt;&gt;""),"●","")</x:f>
      </x:c>
      <x:c r="BS305" s="165" t="str">
        <x:f>IF(AND(BS$5&gt;=$C305,BS$5&lt;=$D305,$A305&lt;&gt;""),"●","")</x:f>
      </x:c>
      <x:c r="BT305" s="165" t="str">
        <x:f>IF(AND(BT$5&gt;=$C305,BT$5&lt;=$D305,$A305&lt;&gt;""),"●","")</x:f>
      </x:c>
      <x:c r="BU305" s="165" t="str">
        <x:f>IF(AND(BU$5&gt;=$C305,BU$5&lt;=$D305,$A305&lt;&gt;""),"●","")</x:f>
      </x:c>
      <x:c r="BV305" s="165" t="str">
        <x:f>IF(AND(BV$5&gt;=$C305,BV$5&lt;=$D305,$A305&lt;&gt;""),"●","")</x:f>
      </x:c>
      <x:c r="BW305" s="165" t="str">
        <x:f>IF(AND(BW$5&gt;=$C305,BW$5&lt;=$D305,$A305&lt;&gt;""),"●","")</x:f>
      </x:c>
    </x:row>
    <x:row r="306">
      <x:c r="A306" s="159" t="str">
        <x:f>IF('รายการสัญญา'!A306="","",'รายการสัญญา'!A306)</x:f>
      </x:c>
      <x:c r="B306" s="159" t="str">
        <x:f>IF('รายการสัญญา'!A306="","",'รายการสัญญา'!C306)</x:f>
      </x:c>
      <x:c r="C306" s="162" t="str">
        <x:f>IF('รายการสัญญา'!A306="","",'รายการสัญญา'!E306)</x:f>
      </x:c>
      <x:c r="D306" s="162" t="str">
        <x:f>IF('รายการสัญญา'!A306="","",'รายการสัญญา'!G306)</x:f>
      </x:c>
      <x:c r="E306" s="159" t="str">
        <x:f>IF('รายการสัญญา'!A306="","",'รายการสัญญา'!K306)</x:f>
      </x:c>
      <x:c r="F306" s="165" t="str">
        <x:f>IF(AND(F$5&gt;=$C306,F$5&lt;=$D306,$A306&lt;&gt;""),"●","")</x:f>
      </x:c>
      <x:c r="G306" s="165" t="str">
        <x:f>IF(AND(G$5&gt;=$C306,G$5&lt;=$D306,$A306&lt;&gt;""),"●","")</x:f>
      </x:c>
      <x:c r="H306" s="165" t="str">
        <x:f>IF(AND(H$5&gt;=$C306,H$5&lt;=$D306,$A306&lt;&gt;""),"●","")</x:f>
      </x:c>
      <x:c r="I306" s="165" t="str">
        <x:f>IF(AND(I$5&gt;=$C306,I$5&lt;=$D306,$A306&lt;&gt;""),"●","")</x:f>
      </x:c>
      <x:c r="J306" s="165" t="str">
        <x:f>IF(AND(J$5&gt;=$C306,J$5&lt;=$D306,$A306&lt;&gt;""),"●","")</x:f>
      </x:c>
      <x:c r="K306" s="165" t="str">
        <x:f>IF(AND(K$5&gt;=$C306,K$5&lt;=$D306,$A306&lt;&gt;""),"●","")</x:f>
      </x:c>
      <x:c r="L306" s="165" t="str">
        <x:f>IF(AND(L$5&gt;=$C306,L$5&lt;=$D306,$A306&lt;&gt;""),"●","")</x:f>
      </x:c>
      <x:c r="M306" s="165" t="str">
        <x:f>IF(AND(M$5&gt;=$C306,M$5&lt;=$D306,$A306&lt;&gt;""),"●","")</x:f>
      </x:c>
      <x:c r="N306" s="165" t="str">
        <x:f>IF(AND(N$5&gt;=$C306,N$5&lt;=$D306,$A306&lt;&gt;""),"●","")</x:f>
      </x:c>
      <x:c r="O306" s="165" t="str">
        <x:f>IF(AND(O$5&gt;=$C306,O$5&lt;=$D306,$A306&lt;&gt;""),"●","")</x:f>
      </x:c>
      <x:c r="P306" s="165" t="str">
        <x:f>IF(AND(P$5&gt;=$C306,P$5&lt;=$D306,$A306&lt;&gt;""),"●","")</x:f>
      </x:c>
      <x:c r="Q306" s="165" t="str">
        <x:f>IF(AND(Q$5&gt;=$C306,Q$5&lt;=$D306,$A306&lt;&gt;""),"●","")</x:f>
      </x:c>
      <x:c r="R306" s="165" t="str">
        <x:f>IF(AND(R$5&gt;=$C306,R$5&lt;=$D306,$A306&lt;&gt;""),"●","")</x:f>
      </x:c>
      <x:c r="S306" s="165" t="str">
        <x:f>IF(AND(S$5&gt;=$C306,S$5&lt;=$D306,$A306&lt;&gt;""),"●","")</x:f>
      </x:c>
      <x:c r="T306" s="165" t="str">
        <x:f>IF(AND(T$5&gt;=$C306,T$5&lt;=$D306,$A306&lt;&gt;""),"●","")</x:f>
      </x:c>
      <x:c r="U306" s="165" t="str">
        <x:f>IF(AND(U$5&gt;=$C306,U$5&lt;=$D306,$A306&lt;&gt;""),"●","")</x:f>
      </x:c>
      <x:c r="V306" s="165" t="str">
        <x:f>IF(AND(V$5&gt;=$C306,V$5&lt;=$D306,$A306&lt;&gt;""),"●","")</x:f>
      </x:c>
      <x:c r="W306" s="165" t="str">
        <x:f>IF(AND(W$5&gt;=$C306,W$5&lt;=$D306,$A306&lt;&gt;""),"●","")</x:f>
      </x:c>
      <x:c r="X306" s="165" t="str">
        <x:f>IF(AND(X$5&gt;=$C306,X$5&lt;=$D306,$A306&lt;&gt;""),"●","")</x:f>
      </x:c>
      <x:c r="Y306" s="165" t="str">
        <x:f>IF(AND(Y$5&gt;=$C306,Y$5&lt;=$D306,$A306&lt;&gt;""),"●","")</x:f>
      </x:c>
      <x:c r="Z306" s="165" t="str">
        <x:f>IF(AND(Z$5&gt;=$C306,Z$5&lt;=$D306,$A306&lt;&gt;""),"●","")</x:f>
      </x:c>
      <x:c r="AA306" s="165" t="str">
        <x:f>IF(AND(AA$5&gt;=$C306,AA$5&lt;=$D306,$A306&lt;&gt;""),"●","")</x:f>
      </x:c>
      <x:c r="AB306" s="165" t="str">
        <x:f>IF(AND(AB$5&gt;=$C306,AB$5&lt;=$D306,$A306&lt;&gt;""),"●","")</x:f>
      </x:c>
      <x:c r="AC306" s="165" t="str">
        <x:f>IF(AND(AC$5&gt;=$C306,AC$5&lt;=$D306,$A306&lt;&gt;""),"●","")</x:f>
      </x:c>
      <x:c r="AD306" s="165" t="str">
        <x:f>IF(AND(AD$5&gt;=$C306,AD$5&lt;=$D306,$A306&lt;&gt;""),"●","")</x:f>
      </x:c>
      <x:c r="AE306" s="165" t="str">
        <x:f>IF(AND(AE$5&gt;=$C306,AE$5&lt;=$D306,$A306&lt;&gt;""),"●","")</x:f>
      </x:c>
      <x:c r="AF306" s="165" t="str">
        <x:f>IF(AND(AF$5&gt;=$C306,AF$5&lt;=$D306,$A306&lt;&gt;""),"●","")</x:f>
      </x:c>
      <x:c r="AG306" s="165" t="str">
        <x:f>IF(AND(AG$5&gt;=$C306,AG$5&lt;=$D306,$A306&lt;&gt;""),"●","")</x:f>
      </x:c>
      <x:c r="AH306" s="165" t="str">
        <x:f>IF(AND(AH$5&gt;=$C306,AH$5&lt;=$D306,$A306&lt;&gt;""),"●","")</x:f>
      </x:c>
      <x:c r="AI306" s="165" t="str">
        <x:f>IF(AND(AI$5&gt;=$C306,AI$5&lt;=$D306,$A306&lt;&gt;""),"●","")</x:f>
      </x:c>
      <x:c r="AJ306" s="165" t="str">
        <x:f>IF(AND(AJ$5&gt;=$C306,AJ$5&lt;=$D306,$A306&lt;&gt;""),"●","")</x:f>
      </x:c>
      <x:c r="AK306" s="165" t="str">
        <x:f>IF(AND(AK$5&gt;=$C306,AK$5&lt;=$D306,$A306&lt;&gt;""),"●","")</x:f>
      </x:c>
      <x:c r="AL306" s="165" t="str">
        <x:f>IF(AND(AL$5&gt;=$C306,AL$5&lt;=$D306,$A306&lt;&gt;""),"●","")</x:f>
      </x:c>
      <x:c r="AM306" s="165" t="str">
        <x:f>IF(AND(AM$5&gt;=$C306,AM$5&lt;=$D306,$A306&lt;&gt;""),"●","")</x:f>
      </x:c>
      <x:c r="AN306" s="165" t="str">
        <x:f>IF(AND(AN$5&gt;=$C306,AN$5&lt;=$D306,$A306&lt;&gt;""),"●","")</x:f>
      </x:c>
      <x:c r="AO306" s="165" t="str">
        <x:f>IF(AND(AO$5&gt;=$C306,AO$5&lt;=$D306,$A306&lt;&gt;""),"●","")</x:f>
      </x:c>
      <x:c r="AP306" s="165" t="str">
        <x:f>IF(AND(AP$5&gt;=$C306,AP$5&lt;=$D306,$A306&lt;&gt;""),"●","")</x:f>
      </x:c>
      <x:c r="AQ306" s="165" t="str">
        <x:f>IF(AND(AQ$5&gt;=$C306,AQ$5&lt;=$D306,$A306&lt;&gt;""),"●","")</x:f>
      </x:c>
      <x:c r="AR306" s="165" t="str">
        <x:f>IF(AND(AR$5&gt;=$C306,AR$5&lt;=$D306,$A306&lt;&gt;""),"●","")</x:f>
      </x:c>
      <x:c r="AS306" s="165" t="str">
        <x:f>IF(AND(AS$5&gt;=$C306,AS$5&lt;=$D306,$A306&lt;&gt;""),"●","")</x:f>
      </x:c>
      <x:c r="AT306" s="165" t="str">
        <x:f>IF(AND(AT$5&gt;=$C306,AT$5&lt;=$D306,$A306&lt;&gt;""),"●","")</x:f>
      </x:c>
      <x:c r="AU306" s="165" t="str">
        <x:f>IF(AND(AU$5&gt;=$C306,AU$5&lt;=$D306,$A306&lt;&gt;""),"●","")</x:f>
      </x:c>
      <x:c r="AV306" s="165" t="str">
        <x:f>IF(AND(AV$5&gt;=$C306,AV$5&lt;=$D306,$A306&lt;&gt;""),"●","")</x:f>
      </x:c>
      <x:c r="AW306" s="165" t="str">
        <x:f>IF(AND(AW$5&gt;=$C306,AW$5&lt;=$D306,$A306&lt;&gt;""),"●","")</x:f>
      </x:c>
      <x:c r="AX306" s="165" t="str">
        <x:f>IF(AND(AX$5&gt;=$C306,AX$5&lt;=$D306,$A306&lt;&gt;""),"●","")</x:f>
      </x:c>
      <x:c r="AY306" s="165" t="str">
        <x:f>IF(AND(AY$5&gt;=$C306,AY$5&lt;=$D306,$A306&lt;&gt;""),"●","")</x:f>
      </x:c>
      <x:c r="AZ306" s="165" t="str">
        <x:f>IF(AND(AZ$5&gt;=$C306,AZ$5&lt;=$D306,$A306&lt;&gt;""),"●","")</x:f>
      </x:c>
      <x:c r="BA306" s="165" t="str">
        <x:f>IF(AND(BA$5&gt;=$C306,BA$5&lt;=$D306,$A306&lt;&gt;""),"●","")</x:f>
      </x:c>
      <x:c r="BB306" s="165" t="str">
        <x:f>IF(AND(BB$5&gt;=$C306,BB$5&lt;=$D306,$A306&lt;&gt;""),"●","")</x:f>
      </x:c>
      <x:c r="BC306" s="165" t="str">
        <x:f>IF(AND(BC$5&gt;=$C306,BC$5&lt;=$D306,$A306&lt;&gt;""),"●","")</x:f>
      </x:c>
      <x:c r="BD306" s="165" t="str">
        <x:f>IF(AND(BD$5&gt;=$C306,BD$5&lt;=$D306,$A306&lt;&gt;""),"●","")</x:f>
      </x:c>
      <x:c r="BE306" s="165" t="str">
        <x:f>IF(AND(BE$5&gt;=$C306,BE$5&lt;=$D306,$A306&lt;&gt;""),"●","")</x:f>
      </x:c>
      <x:c r="BF306" s="165" t="str">
        <x:f>IF(AND(BF$5&gt;=$C306,BF$5&lt;=$D306,$A306&lt;&gt;""),"●","")</x:f>
      </x:c>
      <x:c r="BG306" s="165" t="str">
        <x:f>IF(AND(BG$5&gt;=$C306,BG$5&lt;=$D306,$A306&lt;&gt;""),"●","")</x:f>
      </x:c>
      <x:c r="BH306" s="165" t="str">
        <x:f>IF(AND(BH$5&gt;=$C306,BH$5&lt;=$D306,$A306&lt;&gt;""),"●","")</x:f>
      </x:c>
      <x:c r="BI306" s="165" t="str">
        <x:f>IF(AND(BI$5&gt;=$C306,BI$5&lt;=$D306,$A306&lt;&gt;""),"●","")</x:f>
      </x:c>
      <x:c r="BJ306" s="165" t="str">
        <x:f>IF(AND(BJ$5&gt;=$C306,BJ$5&lt;=$D306,$A306&lt;&gt;""),"●","")</x:f>
      </x:c>
      <x:c r="BK306" s="165" t="str">
        <x:f>IF(AND(BK$5&gt;=$C306,BK$5&lt;=$D306,$A306&lt;&gt;""),"●","")</x:f>
      </x:c>
      <x:c r="BL306" s="165" t="str">
        <x:f>IF(AND(BL$5&gt;=$C306,BL$5&lt;=$D306,$A306&lt;&gt;""),"●","")</x:f>
      </x:c>
      <x:c r="BM306" s="165" t="str">
        <x:f>IF(AND(BM$5&gt;=$C306,BM$5&lt;=$D306,$A306&lt;&gt;""),"●","")</x:f>
      </x:c>
      <x:c r="BN306" s="165" t="str">
        <x:f>IF(AND(BN$5&gt;=$C306,BN$5&lt;=$D306,$A306&lt;&gt;""),"●","")</x:f>
      </x:c>
      <x:c r="BO306" s="165" t="str">
        <x:f>IF(AND(BO$5&gt;=$C306,BO$5&lt;=$D306,$A306&lt;&gt;""),"●","")</x:f>
      </x:c>
      <x:c r="BP306" s="165" t="str">
        <x:f>IF(AND(BP$5&gt;=$C306,BP$5&lt;=$D306,$A306&lt;&gt;""),"●","")</x:f>
      </x:c>
      <x:c r="BQ306" s="165" t="str">
        <x:f>IF(AND(BQ$5&gt;=$C306,BQ$5&lt;=$D306,$A306&lt;&gt;""),"●","")</x:f>
      </x:c>
      <x:c r="BR306" s="165" t="str">
        <x:f>IF(AND(BR$5&gt;=$C306,BR$5&lt;=$D306,$A306&lt;&gt;""),"●","")</x:f>
      </x:c>
      <x:c r="BS306" s="165" t="str">
        <x:f>IF(AND(BS$5&gt;=$C306,BS$5&lt;=$D306,$A306&lt;&gt;""),"●","")</x:f>
      </x:c>
      <x:c r="BT306" s="165" t="str">
        <x:f>IF(AND(BT$5&gt;=$C306,BT$5&lt;=$D306,$A306&lt;&gt;""),"●","")</x:f>
      </x:c>
      <x:c r="BU306" s="165" t="str">
        <x:f>IF(AND(BU$5&gt;=$C306,BU$5&lt;=$D306,$A306&lt;&gt;""),"●","")</x:f>
      </x:c>
      <x:c r="BV306" s="165" t="str">
        <x:f>IF(AND(BV$5&gt;=$C306,BV$5&lt;=$D306,$A306&lt;&gt;""),"●","")</x:f>
      </x:c>
      <x:c r="BW306" s="165" t="str">
        <x:f>IF(AND(BW$5&gt;=$C306,BW$5&lt;=$D306,$A306&lt;&gt;""),"●","")</x:f>
      </x:c>
    </x:row>
    <x:row r="307">
      <x:c r="A307" s="159" t="str">
        <x:f>IF('รายการสัญญา'!A307="","",'รายการสัญญา'!A307)</x:f>
      </x:c>
      <x:c r="B307" s="159" t="str">
        <x:f>IF('รายการสัญญา'!A307="","",'รายการสัญญา'!C307)</x:f>
      </x:c>
      <x:c r="C307" s="162" t="str">
        <x:f>IF('รายการสัญญา'!A307="","",'รายการสัญญา'!E307)</x:f>
      </x:c>
      <x:c r="D307" s="162" t="str">
        <x:f>IF('รายการสัญญา'!A307="","",'รายการสัญญา'!G307)</x:f>
      </x:c>
      <x:c r="E307" s="159" t="str">
        <x:f>IF('รายการสัญญา'!A307="","",'รายการสัญญา'!K307)</x:f>
      </x:c>
      <x:c r="F307" s="165" t="str">
        <x:f>IF(AND(F$5&gt;=$C307,F$5&lt;=$D307,$A307&lt;&gt;""),"●","")</x:f>
      </x:c>
      <x:c r="G307" s="165" t="str">
        <x:f>IF(AND(G$5&gt;=$C307,G$5&lt;=$D307,$A307&lt;&gt;""),"●","")</x:f>
      </x:c>
      <x:c r="H307" s="165" t="str">
        <x:f>IF(AND(H$5&gt;=$C307,H$5&lt;=$D307,$A307&lt;&gt;""),"●","")</x:f>
      </x:c>
      <x:c r="I307" s="165" t="str">
        <x:f>IF(AND(I$5&gt;=$C307,I$5&lt;=$D307,$A307&lt;&gt;""),"●","")</x:f>
      </x:c>
      <x:c r="J307" s="165" t="str">
        <x:f>IF(AND(J$5&gt;=$C307,J$5&lt;=$D307,$A307&lt;&gt;""),"●","")</x:f>
      </x:c>
      <x:c r="K307" s="165" t="str">
        <x:f>IF(AND(K$5&gt;=$C307,K$5&lt;=$D307,$A307&lt;&gt;""),"●","")</x:f>
      </x:c>
      <x:c r="L307" s="165" t="str">
        <x:f>IF(AND(L$5&gt;=$C307,L$5&lt;=$D307,$A307&lt;&gt;""),"●","")</x:f>
      </x:c>
      <x:c r="M307" s="165" t="str">
        <x:f>IF(AND(M$5&gt;=$C307,M$5&lt;=$D307,$A307&lt;&gt;""),"●","")</x:f>
      </x:c>
      <x:c r="N307" s="165" t="str">
        <x:f>IF(AND(N$5&gt;=$C307,N$5&lt;=$D307,$A307&lt;&gt;""),"●","")</x:f>
      </x:c>
      <x:c r="O307" s="165" t="str">
        <x:f>IF(AND(O$5&gt;=$C307,O$5&lt;=$D307,$A307&lt;&gt;""),"●","")</x:f>
      </x:c>
      <x:c r="P307" s="165" t="str">
        <x:f>IF(AND(P$5&gt;=$C307,P$5&lt;=$D307,$A307&lt;&gt;""),"●","")</x:f>
      </x:c>
      <x:c r="Q307" s="165" t="str">
        <x:f>IF(AND(Q$5&gt;=$C307,Q$5&lt;=$D307,$A307&lt;&gt;""),"●","")</x:f>
      </x:c>
      <x:c r="R307" s="165" t="str">
        <x:f>IF(AND(R$5&gt;=$C307,R$5&lt;=$D307,$A307&lt;&gt;""),"●","")</x:f>
      </x:c>
      <x:c r="S307" s="165" t="str">
        <x:f>IF(AND(S$5&gt;=$C307,S$5&lt;=$D307,$A307&lt;&gt;""),"●","")</x:f>
      </x:c>
      <x:c r="T307" s="165" t="str">
        <x:f>IF(AND(T$5&gt;=$C307,T$5&lt;=$D307,$A307&lt;&gt;""),"●","")</x:f>
      </x:c>
      <x:c r="U307" s="165" t="str">
        <x:f>IF(AND(U$5&gt;=$C307,U$5&lt;=$D307,$A307&lt;&gt;""),"●","")</x:f>
      </x:c>
      <x:c r="V307" s="165" t="str">
        <x:f>IF(AND(V$5&gt;=$C307,V$5&lt;=$D307,$A307&lt;&gt;""),"●","")</x:f>
      </x:c>
      <x:c r="W307" s="165" t="str">
        <x:f>IF(AND(W$5&gt;=$C307,W$5&lt;=$D307,$A307&lt;&gt;""),"●","")</x:f>
      </x:c>
      <x:c r="X307" s="165" t="str">
        <x:f>IF(AND(X$5&gt;=$C307,X$5&lt;=$D307,$A307&lt;&gt;""),"●","")</x:f>
      </x:c>
      <x:c r="Y307" s="165" t="str">
        <x:f>IF(AND(Y$5&gt;=$C307,Y$5&lt;=$D307,$A307&lt;&gt;""),"●","")</x:f>
      </x:c>
      <x:c r="Z307" s="165" t="str">
        <x:f>IF(AND(Z$5&gt;=$C307,Z$5&lt;=$D307,$A307&lt;&gt;""),"●","")</x:f>
      </x:c>
      <x:c r="AA307" s="165" t="str">
        <x:f>IF(AND(AA$5&gt;=$C307,AA$5&lt;=$D307,$A307&lt;&gt;""),"●","")</x:f>
      </x:c>
      <x:c r="AB307" s="165" t="str">
        <x:f>IF(AND(AB$5&gt;=$C307,AB$5&lt;=$D307,$A307&lt;&gt;""),"●","")</x:f>
      </x:c>
      <x:c r="AC307" s="165" t="str">
        <x:f>IF(AND(AC$5&gt;=$C307,AC$5&lt;=$D307,$A307&lt;&gt;""),"●","")</x:f>
      </x:c>
      <x:c r="AD307" s="165" t="str">
        <x:f>IF(AND(AD$5&gt;=$C307,AD$5&lt;=$D307,$A307&lt;&gt;""),"●","")</x:f>
      </x:c>
      <x:c r="AE307" s="165" t="str">
        <x:f>IF(AND(AE$5&gt;=$C307,AE$5&lt;=$D307,$A307&lt;&gt;""),"●","")</x:f>
      </x:c>
      <x:c r="AF307" s="165" t="str">
        <x:f>IF(AND(AF$5&gt;=$C307,AF$5&lt;=$D307,$A307&lt;&gt;""),"●","")</x:f>
      </x:c>
      <x:c r="AG307" s="165" t="str">
        <x:f>IF(AND(AG$5&gt;=$C307,AG$5&lt;=$D307,$A307&lt;&gt;""),"●","")</x:f>
      </x:c>
      <x:c r="AH307" s="165" t="str">
        <x:f>IF(AND(AH$5&gt;=$C307,AH$5&lt;=$D307,$A307&lt;&gt;""),"●","")</x:f>
      </x:c>
      <x:c r="AI307" s="165" t="str">
        <x:f>IF(AND(AI$5&gt;=$C307,AI$5&lt;=$D307,$A307&lt;&gt;""),"●","")</x:f>
      </x:c>
      <x:c r="AJ307" s="165" t="str">
        <x:f>IF(AND(AJ$5&gt;=$C307,AJ$5&lt;=$D307,$A307&lt;&gt;""),"●","")</x:f>
      </x:c>
      <x:c r="AK307" s="165" t="str">
        <x:f>IF(AND(AK$5&gt;=$C307,AK$5&lt;=$D307,$A307&lt;&gt;""),"●","")</x:f>
      </x:c>
      <x:c r="AL307" s="165" t="str">
        <x:f>IF(AND(AL$5&gt;=$C307,AL$5&lt;=$D307,$A307&lt;&gt;""),"●","")</x:f>
      </x:c>
      <x:c r="AM307" s="165" t="str">
        <x:f>IF(AND(AM$5&gt;=$C307,AM$5&lt;=$D307,$A307&lt;&gt;""),"●","")</x:f>
      </x:c>
      <x:c r="AN307" s="165" t="str">
        <x:f>IF(AND(AN$5&gt;=$C307,AN$5&lt;=$D307,$A307&lt;&gt;""),"●","")</x:f>
      </x:c>
      <x:c r="AO307" s="165" t="str">
        <x:f>IF(AND(AO$5&gt;=$C307,AO$5&lt;=$D307,$A307&lt;&gt;""),"●","")</x:f>
      </x:c>
      <x:c r="AP307" s="165" t="str">
        <x:f>IF(AND(AP$5&gt;=$C307,AP$5&lt;=$D307,$A307&lt;&gt;""),"●","")</x:f>
      </x:c>
      <x:c r="AQ307" s="165" t="str">
        <x:f>IF(AND(AQ$5&gt;=$C307,AQ$5&lt;=$D307,$A307&lt;&gt;""),"●","")</x:f>
      </x:c>
      <x:c r="AR307" s="165" t="str">
        <x:f>IF(AND(AR$5&gt;=$C307,AR$5&lt;=$D307,$A307&lt;&gt;""),"●","")</x:f>
      </x:c>
      <x:c r="AS307" s="165" t="str">
        <x:f>IF(AND(AS$5&gt;=$C307,AS$5&lt;=$D307,$A307&lt;&gt;""),"●","")</x:f>
      </x:c>
      <x:c r="AT307" s="165" t="str">
        <x:f>IF(AND(AT$5&gt;=$C307,AT$5&lt;=$D307,$A307&lt;&gt;""),"●","")</x:f>
      </x:c>
      <x:c r="AU307" s="165" t="str">
        <x:f>IF(AND(AU$5&gt;=$C307,AU$5&lt;=$D307,$A307&lt;&gt;""),"●","")</x:f>
      </x:c>
      <x:c r="AV307" s="165" t="str">
        <x:f>IF(AND(AV$5&gt;=$C307,AV$5&lt;=$D307,$A307&lt;&gt;""),"●","")</x:f>
      </x:c>
      <x:c r="AW307" s="165" t="str">
        <x:f>IF(AND(AW$5&gt;=$C307,AW$5&lt;=$D307,$A307&lt;&gt;""),"●","")</x:f>
      </x:c>
      <x:c r="AX307" s="165" t="str">
        <x:f>IF(AND(AX$5&gt;=$C307,AX$5&lt;=$D307,$A307&lt;&gt;""),"●","")</x:f>
      </x:c>
      <x:c r="AY307" s="165" t="str">
        <x:f>IF(AND(AY$5&gt;=$C307,AY$5&lt;=$D307,$A307&lt;&gt;""),"●","")</x:f>
      </x:c>
      <x:c r="AZ307" s="165" t="str">
        <x:f>IF(AND(AZ$5&gt;=$C307,AZ$5&lt;=$D307,$A307&lt;&gt;""),"●","")</x:f>
      </x:c>
      <x:c r="BA307" s="165" t="str">
        <x:f>IF(AND(BA$5&gt;=$C307,BA$5&lt;=$D307,$A307&lt;&gt;""),"●","")</x:f>
      </x:c>
      <x:c r="BB307" s="165" t="str">
        <x:f>IF(AND(BB$5&gt;=$C307,BB$5&lt;=$D307,$A307&lt;&gt;""),"●","")</x:f>
      </x:c>
      <x:c r="BC307" s="165" t="str">
        <x:f>IF(AND(BC$5&gt;=$C307,BC$5&lt;=$D307,$A307&lt;&gt;""),"●","")</x:f>
      </x:c>
      <x:c r="BD307" s="165" t="str">
        <x:f>IF(AND(BD$5&gt;=$C307,BD$5&lt;=$D307,$A307&lt;&gt;""),"●","")</x:f>
      </x:c>
      <x:c r="BE307" s="165" t="str">
        <x:f>IF(AND(BE$5&gt;=$C307,BE$5&lt;=$D307,$A307&lt;&gt;""),"●","")</x:f>
      </x:c>
      <x:c r="BF307" s="165" t="str">
        <x:f>IF(AND(BF$5&gt;=$C307,BF$5&lt;=$D307,$A307&lt;&gt;""),"●","")</x:f>
      </x:c>
      <x:c r="BG307" s="165" t="str">
        <x:f>IF(AND(BG$5&gt;=$C307,BG$5&lt;=$D307,$A307&lt;&gt;""),"●","")</x:f>
      </x:c>
      <x:c r="BH307" s="165" t="str">
        <x:f>IF(AND(BH$5&gt;=$C307,BH$5&lt;=$D307,$A307&lt;&gt;""),"●","")</x:f>
      </x:c>
      <x:c r="BI307" s="165" t="str">
        <x:f>IF(AND(BI$5&gt;=$C307,BI$5&lt;=$D307,$A307&lt;&gt;""),"●","")</x:f>
      </x:c>
      <x:c r="BJ307" s="165" t="str">
        <x:f>IF(AND(BJ$5&gt;=$C307,BJ$5&lt;=$D307,$A307&lt;&gt;""),"●","")</x:f>
      </x:c>
      <x:c r="BK307" s="165" t="str">
        <x:f>IF(AND(BK$5&gt;=$C307,BK$5&lt;=$D307,$A307&lt;&gt;""),"●","")</x:f>
      </x:c>
      <x:c r="BL307" s="165" t="str">
        <x:f>IF(AND(BL$5&gt;=$C307,BL$5&lt;=$D307,$A307&lt;&gt;""),"●","")</x:f>
      </x:c>
      <x:c r="BM307" s="165" t="str">
        <x:f>IF(AND(BM$5&gt;=$C307,BM$5&lt;=$D307,$A307&lt;&gt;""),"●","")</x:f>
      </x:c>
      <x:c r="BN307" s="165" t="str">
        <x:f>IF(AND(BN$5&gt;=$C307,BN$5&lt;=$D307,$A307&lt;&gt;""),"●","")</x:f>
      </x:c>
      <x:c r="BO307" s="165" t="str">
        <x:f>IF(AND(BO$5&gt;=$C307,BO$5&lt;=$D307,$A307&lt;&gt;""),"●","")</x:f>
      </x:c>
      <x:c r="BP307" s="165" t="str">
        <x:f>IF(AND(BP$5&gt;=$C307,BP$5&lt;=$D307,$A307&lt;&gt;""),"●","")</x:f>
      </x:c>
      <x:c r="BQ307" s="165" t="str">
        <x:f>IF(AND(BQ$5&gt;=$C307,BQ$5&lt;=$D307,$A307&lt;&gt;""),"●","")</x:f>
      </x:c>
      <x:c r="BR307" s="165" t="str">
        <x:f>IF(AND(BR$5&gt;=$C307,BR$5&lt;=$D307,$A307&lt;&gt;""),"●","")</x:f>
      </x:c>
      <x:c r="BS307" s="165" t="str">
        <x:f>IF(AND(BS$5&gt;=$C307,BS$5&lt;=$D307,$A307&lt;&gt;""),"●","")</x:f>
      </x:c>
      <x:c r="BT307" s="165" t="str">
        <x:f>IF(AND(BT$5&gt;=$C307,BT$5&lt;=$D307,$A307&lt;&gt;""),"●","")</x:f>
      </x:c>
      <x:c r="BU307" s="165" t="str">
        <x:f>IF(AND(BU$5&gt;=$C307,BU$5&lt;=$D307,$A307&lt;&gt;""),"●","")</x:f>
      </x:c>
      <x:c r="BV307" s="165" t="str">
        <x:f>IF(AND(BV$5&gt;=$C307,BV$5&lt;=$D307,$A307&lt;&gt;""),"●","")</x:f>
      </x:c>
      <x:c r="BW307" s="165" t="str">
        <x:f>IF(AND(BW$5&gt;=$C307,BW$5&lt;=$D307,$A307&lt;&gt;""),"●","")</x:f>
      </x:c>
    </x:row>
    <x:row r="308">
      <x:c r="A308" s="159" t="str">
        <x:f>IF('รายการสัญญา'!A308="","",'รายการสัญญา'!A308)</x:f>
      </x:c>
      <x:c r="B308" s="159" t="str">
        <x:f>IF('รายการสัญญา'!A308="","",'รายการสัญญา'!C308)</x:f>
      </x:c>
      <x:c r="C308" s="162" t="str">
        <x:f>IF('รายการสัญญา'!A308="","",'รายการสัญญา'!E308)</x:f>
      </x:c>
      <x:c r="D308" s="162" t="str">
        <x:f>IF('รายการสัญญา'!A308="","",'รายการสัญญา'!G308)</x:f>
      </x:c>
      <x:c r="E308" s="159" t="str">
        <x:f>IF('รายการสัญญา'!A308="","",'รายการสัญญา'!K308)</x:f>
      </x:c>
      <x:c r="F308" s="165" t="str">
        <x:f>IF(AND(F$5&gt;=$C308,F$5&lt;=$D308,$A308&lt;&gt;""),"●","")</x:f>
      </x:c>
      <x:c r="G308" s="165" t="str">
        <x:f>IF(AND(G$5&gt;=$C308,G$5&lt;=$D308,$A308&lt;&gt;""),"●","")</x:f>
      </x:c>
      <x:c r="H308" s="165" t="str">
        <x:f>IF(AND(H$5&gt;=$C308,H$5&lt;=$D308,$A308&lt;&gt;""),"●","")</x:f>
      </x:c>
      <x:c r="I308" s="165" t="str">
        <x:f>IF(AND(I$5&gt;=$C308,I$5&lt;=$D308,$A308&lt;&gt;""),"●","")</x:f>
      </x:c>
      <x:c r="J308" s="165" t="str">
        <x:f>IF(AND(J$5&gt;=$C308,J$5&lt;=$D308,$A308&lt;&gt;""),"●","")</x:f>
      </x:c>
      <x:c r="K308" s="165" t="str">
        <x:f>IF(AND(K$5&gt;=$C308,K$5&lt;=$D308,$A308&lt;&gt;""),"●","")</x:f>
      </x:c>
      <x:c r="L308" s="165" t="str">
        <x:f>IF(AND(L$5&gt;=$C308,L$5&lt;=$D308,$A308&lt;&gt;""),"●","")</x:f>
      </x:c>
      <x:c r="M308" s="165" t="str">
        <x:f>IF(AND(M$5&gt;=$C308,M$5&lt;=$D308,$A308&lt;&gt;""),"●","")</x:f>
      </x:c>
      <x:c r="N308" s="165" t="str">
        <x:f>IF(AND(N$5&gt;=$C308,N$5&lt;=$D308,$A308&lt;&gt;""),"●","")</x:f>
      </x:c>
      <x:c r="O308" s="165" t="str">
        <x:f>IF(AND(O$5&gt;=$C308,O$5&lt;=$D308,$A308&lt;&gt;""),"●","")</x:f>
      </x:c>
      <x:c r="P308" s="165" t="str">
        <x:f>IF(AND(P$5&gt;=$C308,P$5&lt;=$D308,$A308&lt;&gt;""),"●","")</x:f>
      </x:c>
      <x:c r="Q308" s="165" t="str">
        <x:f>IF(AND(Q$5&gt;=$C308,Q$5&lt;=$D308,$A308&lt;&gt;""),"●","")</x:f>
      </x:c>
      <x:c r="R308" s="165" t="str">
        <x:f>IF(AND(R$5&gt;=$C308,R$5&lt;=$D308,$A308&lt;&gt;""),"●","")</x:f>
      </x:c>
      <x:c r="S308" s="165" t="str">
        <x:f>IF(AND(S$5&gt;=$C308,S$5&lt;=$D308,$A308&lt;&gt;""),"●","")</x:f>
      </x:c>
      <x:c r="T308" s="165" t="str">
        <x:f>IF(AND(T$5&gt;=$C308,T$5&lt;=$D308,$A308&lt;&gt;""),"●","")</x:f>
      </x:c>
      <x:c r="U308" s="165" t="str">
        <x:f>IF(AND(U$5&gt;=$C308,U$5&lt;=$D308,$A308&lt;&gt;""),"●","")</x:f>
      </x:c>
      <x:c r="V308" s="165" t="str">
        <x:f>IF(AND(V$5&gt;=$C308,V$5&lt;=$D308,$A308&lt;&gt;""),"●","")</x:f>
      </x:c>
      <x:c r="W308" s="165" t="str">
        <x:f>IF(AND(W$5&gt;=$C308,W$5&lt;=$D308,$A308&lt;&gt;""),"●","")</x:f>
      </x:c>
      <x:c r="X308" s="165" t="str">
        <x:f>IF(AND(X$5&gt;=$C308,X$5&lt;=$D308,$A308&lt;&gt;""),"●","")</x:f>
      </x:c>
      <x:c r="Y308" s="165" t="str">
        <x:f>IF(AND(Y$5&gt;=$C308,Y$5&lt;=$D308,$A308&lt;&gt;""),"●","")</x:f>
      </x:c>
      <x:c r="Z308" s="165" t="str">
        <x:f>IF(AND(Z$5&gt;=$C308,Z$5&lt;=$D308,$A308&lt;&gt;""),"●","")</x:f>
      </x:c>
      <x:c r="AA308" s="165" t="str">
        <x:f>IF(AND(AA$5&gt;=$C308,AA$5&lt;=$D308,$A308&lt;&gt;""),"●","")</x:f>
      </x:c>
      <x:c r="AB308" s="165" t="str">
        <x:f>IF(AND(AB$5&gt;=$C308,AB$5&lt;=$D308,$A308&lt;&gt;""),"●","")</x:f>
      </x:c>
      <x:c r="AC308" s="165" t="str">
        <x:f>IF(AND(AC$5&gt;=$C308,AC$5&lt;=$D308,$A308&lt;&gt;""),"●","")</x:f>
      </x:c>
      <x:c r="AD308" s="165" t="str">
        <x:f>IF(AND(AD$5&gt;=$C308,AD$5&lt;=$D308,$A308&lt;&gt;""),"●","")</x:f>
      </x:c>
      <x:c r="AE308" s="165" t="str">
        <x:f>IF(AND(AE$5&gt;=$C308,AE$5&lt;=$D308,$A308&lt;&gt;""),"●","")</x:f>
      </x:c>
      <x:c r="AF308" s="165" t="str">
        <x:f>IF(AND(AF$5&gt;=$C308,AF$5&lt;=$D308,$A308&lt;&gt;""),"●","")</x:f>
      </x:c>
      <x:c r="AG308" s="165" t="str">
        <x:f>IF(AND(AG$5&gt;=$C308,AG$5&lt;=$D308,$A308&lt;&gt;""),"●","")</x:f>
      </x:c>
      <x:c r="AH308" s="165" t="str">
        <x:f>IF(AND(AH$5&gt;=$C308,AH$5&lt;=$D308,$A308&lt;&gt;""),"●","")</x:f>
      </x:c>
      <x:c r="AI308" s="165" t="str">
        <x:f>IF(AND(AI$5&gt;=$C308,AI$5&lt;=$D308,$A308&lt;&gt;""),"●","")</x:f>
      </x:c>
      <x:c r="AJ308" s="165" t="str">
        <x:f>IF(AND(AJ$5&gt;=$C308,AJ$5&lt;=$D308,$A308&lt;&gt;""),"●","")</x:f>
      </x:c>
      <x:c r="AK308" s="165" t="str">
        <x:f>IF(AND(AK$5&gt;=$C308,AK$5&lt;=$D308,$A308&lt;&gt;""),"●","")</x:f>
      </x:c>
      <x:c r="AL308" s="165" t="str">
        <x:f>IF(AND(AL$5&gt;=$C308,AL$5&lt;=$D308,$A308&lt;&gt;""),"●","")</x:f>
      </x:c>
      <x:c r="AM308" s="165" t="str">
        <x:f>IF(AND(AM$5&gt;=$C308,AM$5&lt;=$D308,$A308&lt;&gt;""),"●","")</x:f>
      </x:c>
      <x:c r="AN308" s="165" t="str">
        <x:f>IF(AND(AN$5&gt;=$C308,AN$5&lt;=$D308,$A308&lt;&gt;""),"●","")</x:f>
      </x:c>
      <x:c r="AO308" s="165" t="str">
        <x:f>IF(AND(AO$5&gt;=$C308,AO$5&lt;=$D308,$A308&lt;&gt;""),"●","")</x:f>
      </x:c>
      <x:c r="AP308" s="165" t="str">
        <x:f>IF(AND(AP$5&gt;=$C308,AP$5&lt;=$D308,$A308&lt;&gt;""),"●","")</x:f>
      </x:c>
      <x:c r="AQ308" s="165" t="str">
        <x:f>IF(AND(AQ$5&gt;=$C308,AQ$5&lt;=$D308,$A308&lt;&gt;""),"●","")</x:f>
      </x:c>
      <x:c r="AR308" s="165" t="str">
        <x:f>IF(AND(AR$5&gt;=$C308,AR$5&lt;=$D308,$A308&lt;&gt;""),"●","")</x:f>
      </x:c>
      <x:c r="AS308" s="165" t="str">
        <x:f>IF(AND(AS$5&gt;=$C308,AS$5&lt;=$D308,$A308&lt;&gt;""),"●","")</x:f>
      </x:c>
      <x:c r="AT308" s="165" t="str">
        <x:f>IF(AND(AT$5&gt;=$C308,AT$5&lt;=$D308,$A308&lt;&gt;""),"●","")</x:f>
      </x:c>
      <x:c r="AU308" s="165" t="str">
        <x:f>IF(AND(AU$5&gt;=$C308,AU$5&lt;=$D308,$A308&lt;&gt;""),"●","")</x:f>
      </x:c>
      <x:c r="AV308" s="165" t="str">
        <x:f>IF(AND(AV$5&gt;=$C308,AV$5&lt;=$D308,$A308&lt;&gt;""),"●","")</x:f>
      </x:c>
      <x:c r="AW308" s="165" t="str">
        <x:f>IF(AND(AW$5&gt;=$C308,AW$5&lt;=$D308,$A308&lt;&gt;""),"●","")</x:f>
      </x:c>
      <x:c r="AX308" s="165" t="str">
        <x:f>IF(AND(AX$5&gt;=$C308,AX$5&lt;=$D308,$A308&lt;&gt;""),"●","")</x:f>
      </x:c>
      <x:c r="AY308" s="165" t="str">
        <x:f>IF(AND(AY$5&gt;=$C308,AY$5&lt;=$D308,$A308&lt;&gt;""),"●","")</x:f>
      </x:c>
      <x:c r="AZ308" s="165" t="str">
        <x:f>IF(AND(AZ$5&gt;=$C308,AZ$5&lt;=$D308,$A308&lt;&gt;""),"●","")</x:f>
      </x:c>
      <x:c r="BA308" s="165" t="str">
        <x:f>IF(AND(BA$5&gt;=$C308,BA$5&lt;=$D308,$A308&lt;&gt;""),"●","")</x:f>
      </x:c>
      <x:c r="BB308" s="165" t="str">
        <x:f>IF(AND(BB$5&gt;=$C308,BB$5&lt;=$D308,$A308&lt;&gt;""),"●","")</x:f>
      </x:c>
      <x:c r="BC308" s="165" t="str">
        <x:f>IF(AND(BC$5&gt;=$C308,BC$5&lt;=$D308,$A308&lt;&gt;""),"●","")</x:f>
      </x:c>
      <x:c r="BD308" s="165" t="str">
        <x:f>IF(AND(BD$5&gt;=$C308,BD$5&lt;=$D308,$A308&lt;&gt;""),"●","")</x:f>
      </x:c>
      <x:c r="BE308" s="165" t="str">
        <x:f>IF(AND(BE$5&gt;=$C308,BE$5&lt;=$D308,$A308&lt;&gt;""),"●","")</x:f>
      </x:c>
      <x:c r="BF308" s="165" t="str">
        <x:f>IF(AND(BF$5&gt;=$C308,BF$5&lt;=$D308,$A308&lt;&gt;""),"●","")</x:f>
      </x:c>
      <x:c r="BG308" s="165" t="str">
        <x:f>IF(AND(BG$5&gt;=$C308,BG$5&lt;=$D308,$A308&lt;&gt;""),"●","")</x:f>
      </x:c>
      <x:c r="BH308" s="165" t="str">
        <x:f>IF(AND(BH$5&gt;=$C308,BH$5&lt;=$D308,$A308&lt;&gt;""),"●","")</x:f>
      </x:c>
      <x:c r="BI308" s="165" t="str">
        <x:f>IF(AND(BI$5&gt;=$C308,BI$5&lt;=$D308,$A308&lt;&gt;""),"●","")</x:f>
      </x:c>
      <x:c r="BJ308" s="165" t="str">
        <x:f>IF(AND(BJ$5&gt;=$C308,BJ$5&lt;=$D308,$A308&lt;&gt;""),"●","")</x:f>
      </x:c>
      <x:c r="BK308" s="165" t="str">
        <x:f>IF(AND(BK$5&gt;=$C308,BK$5&lt;=$D308,$A308&lt;&gt;""),"●","")</x:f>
      </x:c>
      <x:c r="BL308" s="165" t="str">
        <x:f>IF(AND(BL$5&gt;=$C308,BL$5&lt;=$D308,$A308&lt;&gt;""),"●","")</x:f>
      </x:c>
      <x:c r="BM308" s="165" t="str">
        <x:f>IF(AND(BM$5&gt;=$C308,BM$5&lt;=$D308,$A308&lt;&gt;""),"●","")</x:f>
      </x:c>
      <x:c r="BN308" s="165" t="str">
        <x:f>IF(AND(BN$5&gt;=$C308,BN$5&lt;=$D308,$A308&lt;&gt;""),"●","")</x:f>
      </x:c>
      <x:c r="BO308" s="165" t="str">
        <x:f>IF(AND(BO$5&gt;=$C308,BO$5&lt;=$D308,$A308&lt;&gt;""),"●","")</x:f>
      </x:c>
      <x:c r="BP308" s="165" t="str">
        <x:f>IF(AND(BP$5&gt;=$C308,BP$5&lt;=$D308,$A308&lt;&gt;""),"●","")</x:f>
      </x:c>
      <x:c r="BQ308" s="165" t="str">
        <x:f>IF(AND(BQ$5&gt;=$C308,BQ$5&lt;=$D308,$A308&lt;&gt;""),"●","")</x:f>
      </x:c>
      <x:c r="BR308" s="165" t="str">
        <x:f>IF(AND(BR$5&gt;=$C308,BR$5&lt;=$D308,$A308&lt;&gt;""),"●","")</x:f>
      </x:c>
      <x:c r="BS308" s="165" t="str">
        <x:f>IF(AND(BS$5&gt;=$C308,BS$5&lt;=$D308,$A308&lt;&gt;""),"●","")</x:f>
      </x:c>
      <x:c r="BT308" s="165" t="str">
        <x:f>IF(AND(BT$5&gt;=$C308,BT$5&lt;=$D308,$A308&lt;&gt;""),"●","")</x:f>
      </x:c>
      <x:c r="BU308" s="165" t="str">
        <x:f>IF(AND(BU$5&gt;=$C308,BU$5&lt;=$D308,$A308&lt;&gt;""),"●","")</x:f>
      </x:c>
      <x:c r="BV308" s="165" t="str">
        <x:f>IF(AND(BV$5&gt;=$C308,BV$5&lt;=$D308,$A308&lt;&gt;""),"●","")</x:f>
      </x:c>
      <x:c r="BW308" s="165" t="str">
        <x:f>IF(AND(BW$5&gt;=$C308,BW$5&lt;=$D308,$A308&lt;&gt;""),"●","")</x:f>
      </x:c>
    </x:row>
    <x:row r="309">
      <x:c r="A309" s="159" t="str">
        <x:f>IF('รายการสัญญา'!A309="","",'รายการสัญญา'!A309)</x:f>
      </x:c>
      <x:c r="B309" s="159" t="str">
        <x:f>IF('รายการสัญญา'!A309="","",'รายการสัญญา'!C309)</x:f>
      </x:c>
      <x:c r="C309" s="162" t="str">
        <x:f>IF('รายการสัญญา'!A309="","",'รายการสัญญา'!E309)</x:f>
      </x:c>
      <x:c r="D309" s="162" t="str">
        <x:f>IF('รายการสัญญา'!A309="","",'รายการสัญญา'!G309)</x:f>
      </x:c>
      <x:c r="E309" s="159" t="str">
        <x:f>IF('รายการสัญญา'!A309="","",'รายการสัญญา'!K309)</x:f>
      </x:c>
      <x:c r="F309" s="165" t="str">
        <x:f>IF(AND(F$5&gt;=$C309,F$5&lt;=$D309,$A309&lt;&gt;""),"●","")</x:f>
      </x:c>
      <x:c r="G309" s="165" t="str">
        <x:f>IF(AND(G$5&gt;=$C309,G$5&lt;=$D309,$A309&lt;&gt;""),"●","")</x:f>
      </x:c>
      <x:c r="H309" s="165" t="str">
        <x:f>IF(AND(H$5&gt;=$C309,H$5&lt;=$D309,$A309&lt;&gt;""),"●","")</x:f>
      </x:c>
      <x:c r="I309" s="165" t="str">
        <x:f>IF(AND(I$5&gt;=$C309,I$5&lt;=$D309,$A309&lt;&gt;""),"●","")</x:f>
      </x:c>
      <x:c r="J309" s="165" t="str">
        <x:f>IF(AND(J$5&gt;=$C309,J$5&lt;=$D309,$A309&lt;&gt;""),"●","")</x:f>
      </x:c>
      <x:c r="K309" s="165" t="str">
        <x:f>IF(AND(K$5&gt;=$C309,K$5&lt;=$D309,$A309&lt;&gt;""),"●","")</x:f>
      </x:c>
      <x:c r="L309" s="165" t="str">
        <x:f>IF(AND(L$5&gt;=$C309,L$5&lt;=$D309,$A309&lt;&gt;""),"●","")</x:f>
      </x:c>
      <x:c r="M309" s="165" t="str">
        <x:f>IF(AND(M$5&gt;=$C309,M$5&lt;=$D309,$A309&lt;&gt;""),"●","")</x:f>
      </x:c>
      <x:c r="N309" s="165" t="str">
        <x:f>IF(AND(N$5&gt;=$C309,N$5&lt;=$D309,$A309&lt;&gt;""),"●","")</x:f>
      </x:c>
      <x:c r="O309" s="165" t="str">
        <x:f>IF(AND(O$5&gt;=$C309,O$5&lt;=$D309,$A309&lt;&gt;""),"●","")</x:f>
      </x:c>
      <x:c r="P309" s="165" t="str">
        <x:f>IF(AND(P$5&gt;=$C309,P$5&lt;=$D309,$A309&lt;&gt;""),"●","")</x:f>
      </x:c>
      <x:c r="Q309" s="165" t="str">
        <x:f>IF(AND(Q$5&gt;=$C309,Q$5&lt;=$D309,$A309&lt;&gt;""),"●","")</x:f>
      </x:c>
      <x:c r="R309" s="165" t="str">
        <x:f>IF(AND(R$5&gt;=$C309,R$5&lt;=$D309,$A309&lt;&gt;""),"●","")</x:f>
      </x:c>
      <x:c r="S309" s="165" t="str">
        <x:f>IF(AND(S$5&gt;=$C309,S$5&lt;=$D309,$A309&lt;&gt;""),"●","")</x:f>
      </x:c>
      <x:c r="T309" s="165" t="str">
        <x:f>IF(AND(T$5&gt;=$C309,T$5&lt;=$D309,$A309&lt;&gt;""),"●","")</x:f>
      </x:c>
      <x:c r="U309" s="165" t="str">
        <x:f>IF(AND(U$5&gt;=$C309,U$5&lt;=$D309,$A309&lt;&gt;""),"●","")</x:f>
      </x:c>
      <x:c r="V309" s="165" t="str">
        <x:f>IF(AND(V$5&gt;=$C309,V$5&lt;=$D309,$A309&lt;&gt;""),"●","")</x:f>
      </x:c>
      <x:c r="W309" s="165" t="str">
        <x:f>IF(AND(W$5&gt;=$C309,W$5&lt;=$D309,$A309&lt;&gt;""),"●","")</x:f>
      </x:c>
      <x:c r="X309" s="165" t="str">
        <x:f>IF(AND(X$5&gt;=$C309,X$5&lt;=$D309,$A309&lt;&gt;""),"●","")</x:f>
      </x:c>
      <x:c r="Y309" s="165" t="str">
        <x:f>IF(AND(Y$5&gt;=$C309,Y$5&lt;=$D309,$A309&lt;&gt;""),"●","")</x:f>
      </x:c>
      <x:c r="Z309" s="165" t="str">
        <x:f>IF(AND(Z$5&gt;=$C309,Z$5&lt;=$D309,$A309&lt;&gt;""),"●","")</x:f>
      </x:c>
      <x:c r="AA309" s="165" t="str">
        <x:f>IF(AND(AA$5&gt;=$C309,AA$5&lt;=$D309,$A309&lt;&gt;""),"●","")</x:f>
      </x:c>
      <x:c r="AB309" s="165" t="str">
        <x:f>IF(AND(AB$5&gt;=$C309,AB$5&lt;=$D309,$A309&lt;&gt;""),"●","")</x:f>
      </x:c>
      <x:c r="AC309" s="165" t="str">
        <x:f>IF(AND(AC$5&gt;=$C309,AC$5&lt;=$D309,$A309&lt;&gt;""),"●","")</x:f>
      </x:c>
      <x:c r="AD309" s="165" t="str">
        <x:f>IF(AND(AD$5&gt;=$C309,AD$5&lt;=$D309,$A309&lt;&gt;""),"●","")</x:f>
      </x:c>
      <x:c r="AE309" s="165" t="str">
        <x:f>IF(AND(AE$5&gt;=$C309,AE$5&lt;=$D309,$A309&lt;&gt;""),"●","")</x:f>
      </x:c>
      <x:c r="AF309" s="165" t="str">
        <x:f>IF(AND(AF$5&gt;=$C309,AF$5&lt;=$D309,$A309&lt;&gt;""),"●","")</x:f>
      </x:c>
      <x:c r="AG309" s="165" t="str">
        <x:f>IF(AND(AG$5&gt;=$C309,AG$5&lt;=$D309,$A309&lt;&gt;""),"●","")</x:f>
      </x:c>
      <x:c r="AH309" s="165" t="str">
        <x:f>IF(AND(AH$5&gt;=$C309,AH$5&lt;=$D309,$A309&lt;&gt;""),"●","")</x:f>
      </x:c>
      <x:c r="AI309" s="165" t="str">
        <x:f>IF(AND(AI$5&gt;=$C309,AI$5&lt;=$D309,$A309&lt;&gt;""),"●","")</x:f>
      </x:c>
      <x:c r="AJ309" s="165" t="str">
        <x:f>IF(AND(AJ$5&gt;=$C309,AJ$5&lt;=$D309,$A309&lt;&gt;""),"●","")</x:f>
      </x:c>
      <x:c r="AK309" s="165" t="str">
        <x:f>IF(AND(AK$5&gt;=$C309,AK$5&lt;=$D309,$A309&lt;&gt;""),"●","")</x:f>
      </x:c>
      <x:c r="AL309" s="165" t="str">
        <x:f>IF(AND(AL$5&gt;=$C309,AL$5&lt;=$D309,$A309&lt;&gt;""),"●","")</x:f>
      </x:c>
      <x:c r="AM309" s="165" t="str">
        <x:f>IF(AND(AM$5&gt;=$C309,AM$5&lt;=$D309,$A309&lt;&gt;""),"●","")</x:f>
      </x:c>
      <x:c r="AN309" s="165" t="str">
        <x:f>IF(AND(AN$5&gt;=$C309,AN$5&lt;=$D309,$A309&lt;&gt;""),"●","")</x:f>
      </x:c>
      <x:c r="AO309" s="165" t="str">
        <x:f>IF(AND(AO$5&gt;=$C309,AO$5&lt;=$D309,$A309&lt;&gt;""),"●","")</x:f>
      </x:c>
      <x:c r="AP309" s="165" t="str">
        <x:f>IF(AND(AP$5&gt;=$C309,AP$5&lt;=$D309,$A309&lt;&gt;""),"●","")</x:f>
      </x:c>
      <x:c r="AQ309" s="165" t="str">
        <x:f>IF(AND(AQ$5&gt;=$C309,AQ$5&lt;=$D309,$A309&lt;&gt;""),"●","")</x:f>
      </x:c>
      <x:c r="AR309" s="165" t="str">
        <x:f>IF(AND(AR$5&gt;=$C309,AR$5&lt;=$D309,$A309&lt;&gt;""),"●","")</x:f>
      </x:c>
      <x:c r="AS309" s="165" t="str">
        <x:f>IF(AND(AS$5&gt;=$C309,AS$5&lt;=$D309,$A309&lt;&gt;""),"●","")</x:f>
      </x:c>
      <x:c r="AT309" s="165" t="str">
        <x:f>IF(AND(AT$5&gt;=$C309,AT$5&lt;=$D309,$A309&lt;&gt;""),"●","")</x:f>
      </x:c>
      <x:c r="AU309" s="165" t="str">
        <x:f>IF(AND(AU$5&gt;=$C309,AU$5&lt;=$D309,$A309&lt;&gt;""),"●","")</x:f>
      </x:c>
      <x:c r="AV309" s="165" t="str">
        <x:f>IF(AND(AV$5&gt;=$C309,AV$5&lt;=$D309,$A309&lt;&gt;""),"●","")</x:f>
      </x:c>
      <x:c r="AW309" s="165" t="str">
        <x:f>IF(AND(AW$5&gt;=$C309,AW$5&lt;=$D309,$A309&lt;&gt;""),"●","")</x:f>
      </x:c>
      <x:c r="AX309" s="165" t="str">
        <x:f>IF(AND(AX$5&gt;=$C309,AX$5&lt;=$D309,$A309&lt;&gt;""),"●","")</x:f>
      </x:c>
      <x:c r="AY309" s="165" t="str">
        <x:f>IF(AND(AY$5&gt;=$C309,AY$5&lt;=$D309,$A309&lt;&gt;""),"●","")</x:f>
      </x:c>
      <x:c r="AZ309" s="165" t="str">
        <x:f>IF(AND(AZ$5&gt;=$C309,AZ$5&lt;=$D309,$A309&lt;&gt;""),"●","")</x:f>
      </x:c>
      <x:c r="BA309" s="165" t="str">
        <x:f>IF(AND(BA$5&gt;=$C309,BA$5&lt;=$D309,$A309&lt;&gt;""),"●","")</x:f>
      </x:c>
      <x:c r="BB309" s="165" t="str">
        <x:f>IF(AND(BB$5&gt;=$C309,BB$5&lt;=$D309,$A309&lt;&gt;""),"●","")</x:f>
      </x:c>
      <x:c r="BC309" s="165" t="str">
        <x:f>IF(AND(BC$5&gt;=$C309,BC$5&lt;=$D309,$A309&lt;&gt;""),"●","")</x:f>
      </x:c>
      <x:c r="BD309" s="165" t="str">
        <x:f>IF(AND(BD$5&gt;=$C309,BD$5&lt;=$D309,$A309&lt;&gt;""),"●","")</x:f>
      </x:c>
      <x:c r="BE309" s="165" t="str">
        <x:f>IF(AND(BE$5&gt;=$C309,BE$5&lt;=$D309,$A309&lt;&gt;""),"●","")</x:f>
      </x:c>
      <x:c r="BF309" s="165" t="str">
        <x:f>IF(AND(BF$5&gt;=$C309,BF$5&lt;=$D309,$A309&lt;&gt;""),"●","")</x:f>
      </x:c>
      <x:c r="BG309" s="165" t="str">
        <x:f>IF(AND(BG$5&gt;=$C309,BG$5&lt;=$D309,$A309&lt;&gt;""),"●","")</x:f>
      </x:c>
      <x:c r="BH309" s="165" t="str">
        <x:f>IF(AND(BH$5&gt;=$C309,BH$5&lt;=$D309,$A309&lt;&gt;""),"●","")</x:f>
      </x:c>
      <x:c r="BI309" s="165" t="str">
        <x:f>IF(AND(BI$5&gt;=$C309,BI$5&lt;=$D309,$A309&lt;&gt;""),"●","")</x:f>
      </x:c>
      <x:c r="BJ309" s="165" t="str">
        <x:f>IF(AND(BJ$5&gt;=$C309,BJ$5&lt;=$D309,$A309&lt;&gt;""),"●","")</x:f>
      </x:c>
      <x:c r="BK309" s="165" t="str">
        <x:f>IF(AND(BK$5&gt;=$C309,BK$5&lt;=$D309,$A309&lt;&gt;""),"●","")</x:f>
      </x:c>
      <x:c r="BL309" s="165" t="str">
        <x:f>IF(AND(BL$5&gt;=$C309,BL$5&lt;=$D309,$A309&lt;&gt;""),"●","")</x:f>
      </x:c>
      <x:c r="BM309" s="165" t="str">
        <x:f>IF(AND(BM$5&gt;=$C309,BM$5&lt;=$D309,$A309&lt;&gt;""),"●","")</x:f>
      </x:c>
      <x:c r="BN309" s="165" t="str">
        <x:f>IF(AND(BN$5&gt;=$C309,BN$5&lt;=$D309,$A309&lt;&gt;""),"●","")</x:f>
      </x:c>
      <x:c r="BO309" s="165" t="str">
        <x:f>IF(AND(BO$5&gt;=$C309,BO$5&lt;=$D309,$A309&lt;&gt;""),"●","")</x:f>
      </x:c>
      <x:c r="BP309" s="165" t="str">
        <x:f>IF(AND(BP$5&gt;=$C309,BP$5&lt;=$D309,$A309&lt;&gt;""),"●","")</x:f>
      </x:c>
      <x:c r="BQ309" s="165" t="str">
        <x:f>IF(AND(BQ$5&gt;=$C309,BQ$5&lt;=$D309,$A309&lt;&gt;""),"●","")</x:f>
      </x:c>
      <x:c r="BR309" s="165" t="str">
        <x:f>IF(AND(BR$5&gt;=$C309,BR$5&lt;=$D309,$A309&lt;&gt;""),"●","")</x:f>
      </x:c>
      <x:c r="BS309" s="165" t="str">
        <x:f>IF(AND(BS$5&gt;=$C309,BS$5&lt;=$D309,$A309&lt;&gt;""),"●","")</x:f>
      </x:c>
      <x:c r="BT309" s="165" t="str">
        <x:f>IF(AND(BT$5&gt;=$C309,BT$5&lt;=$D309,$A309&lt;&gt;""),"●","")</x:f>
      </x:c>
      <x:c r="BU309" s="165" t="str">
        <x:f>IF(AND(BU$5&gt;=$C309,BU$5&lt;=$D309,$A309&lt;&gt;""),"●","")</x:f>
      </x:c>
      <x:c r="BV309" s="165" t="str">
        <x:f>IF(AND(BV$5&gt;=$C309,BV$5&lt;=$D309,$A309&lt;&gt;""),"●","")</x:f>
      </x:c>
      <x:c r="BW309" s="165" t="str">
        <x:f>IF(AND(BW$5&gt;=$C309,BW$5&lt;=$D309,$A309&lt;&gt;""),"●","")</x:f>
      </x:c>
    </x:row>
    <x:row r="310">
      <x:c r="A310" s="159" t="str">
        <x:f>IF('รายการสัญญา'!A310="","",'รายการสัญญา'!A310)</x:f>
      </x:c>
      <x:c r="B310" s="159" t="str">
        <x:f>IF('รายการสัญญา'!A310="","",'รายการสัญญา'!C310)</x:f>
      </x:c>
      <x:c r="C310" s="162" t="str">
        <x:f>IF('รายการสัญญา'!A310="","",'รายการสัญญา'!E310)</x:f>
      </x:c>
      <x:c r="D310" s="162" t="str">
        <x:f>IF('รายการสัญญา'!A310="","",'รายการสัญญา'!G310)</x:f>
      </x:c>
      <x:c r="E310" s="159" t="str">
        <x:f>IF('รายการสัญญา'!A310="","",'รายการสัญญา'!K310)</x:f>
      </x:c>
      <x:c r="F310" s="165" t="str">
        <x:f>IF(AND(F$5&gt;=$C310,F$5&lt;=$D310,$A310&lt;&gt;""),"●","")</x:f>
      </x:c>
      <x:c r="G310" s="165" t="str">
        <x:f>IF(AND(G$5&gt;=$C310,G$5&lt;=$D310,$A310&lt;&gt;""),"●","")</x:f>
      </x:c>
      <x:c r="H310" s="165" t="str">
        <x:f>IF(AND(H$5&gt;=$C310,H$5&lt;=$D310,$A310&lt;&gt;""),"●","")</x:f>
      </x:c>
      <x:c r="I310" s="165" t="str">
        <x:f>IF(AND(I$5&gt;=$C310,I$5&lt;=$D310,$A310&lt;&gt;""),"●","")</x:f>
      </x:c>
      <x:c r="J310" s="165" t="str">
        <x:f>IF(AND(J$5&gt;=$C310,J$5&lt;=$D310,$A310&lt;&gt;""),"●","")</x:f>
      </x:c>
      <x:c r="K310" s="165" t="str">
        <x:f>IF(AND(K$5&gt;=$C310,K$5&lt;=$D310,$A310&lt;&gt;""),"●","")</x:f>
      </x:c>
      <x:c r="L310" s="165" t="str">
        <x:f>IF(AND(L$5&gt;=$C310,L$5&lt;=$D310,$A310&lt;&gt;""),"●","")</x:f>
      </x:c>
      <x:c r="M310" s="165" t="str">
        <x:f>IF(AND(M$5&gt;=$C310,M$5&lt;=$D310,$A310&lt;&gt;""),"●","")</x:f>
      </x:c>
      <x:c r="N310" s="165" t="str">
        <x:f>IF(AND(N$5&gt;=$C310,N$5&lt;=$D310,$A310&lt;&gt;""),"●","")</x:f>
      </x:c>
      <x:c r="O310" s="165" t="str">
        <x:f>IF(AND(O$5&gt;=$C310,O$5&lt;=$D310,$A310&lt;&gt;""),"●","")</x:f>
      </x:c>
      <x:c r="P310" s="165" t="str">
        <x:f>IF(AND(P$5&gt;=$C310,P$5&lt;=$D310,$A310&lt;&gt;""),"●","")</x:f>
      </x:c>
      <x:c r="Q310" s="165" t="str">
        <x:f>IF(AND(Q$5&gt;=$C310,Q$5&lt;=$D310,$A310&lt;&gt;""),"●","")</x:f>
      </x:c>
      <x:c r="R310" s="165" t="str">
        <x:f>IF(AND(R$5&gt;=$C310,R$5&lt;=$D310,$A310&lt;&gt;""),"●","")</x:f>
      </x:c>
      <x:c r="S310" s="165" t="str">
        <x:f>IF(AND(S$5&gt;=$C310,S$5&lt;=$D310,$A310&lt;&gt;""),"●","")</x:f>
      </x:c>
      <x:c r="T310" s="165" t="str">
        <x:f>IF(AND(T$5&gt;=$C310,T$5&lt;=$D310,$A310&lt;&gt;""),"●","")</x:f>
      </x:c>
      <x:c r="U310" s="165" t="str">
        <x:f>IF(AND(U$5&gt;=$C310,U$5&lt;=$D310,$A310&lt;&gt;""),"●","")</x:f>
      </x:c>
      <x:c r="V310" s="165" t="str">
        <x:f>IF(AND(V$5&gt;=$C310,V$5&lt;=$D310,$A310&lt;&gt;""),"●","")</x:f>
      </x:c>
      <x:c r="W310" s="165" t="str">
        <x:f>IF(AND(W$5&gt;=$C310,W$5&lt;=$D310,$A310&lt;&gt;""),"●","")</x:f>
      </x:c>
      <x:c r="X310" s="165" t="str">
        <x:f>IF(AND(X$5&gt;=$C310,X$5&lt;=$D310,$A310&lt;&gt;""),"●","")</x:f>
      </x:c>
      <x:c r="Y310" s="165" t="str">
        <x:f>IF(AND(Y$5&gt;=$C310,Y$5&lt;=$D310,$A310&lt;&gt;""),"●","")</x:f>
      </x:c>
      <x:c r="Z310" s="165" t="str">
        <x:f>IF(AND(Z$5&gt;=$C310,Z$5&lt;=$D310,$A310&lt;&gt;""),"●","")</x:f>
      </x:c>
      <x:c r="AA310" s="165" t="str">
        <x:f>IF(AND(AA$5&gt;=$C310,AA$5&lt;=$D310,$A310&lt;&gt;""),"●","")</x:f>
      </x:c>
      <x:c r="AB310" s="165" t="str">
        <x:f>IF(AND(AB$5&gt;=$C310,AB$5&lt;=$D310,$A310&lt;&gt;""),"●","")</x:f>
      </x:c>
      <x:c r="AC310" s="165" t="str">
        <x:f>IF(AND(AC$5&gt;=$C310,AC$5&lt;=$D310,$A310&lt;&gt;""),"●","")</x:f>
      </x:c>
      <x:c r="AD310" s="165" t="str">
        <x:f>IF(AND(AD$5&gt;=$C310,AD$5&lt;=$D310,$A310&lt;&gt;""),"●","")</x:f>
      </x:c>
      <x:c r="AE310" s="165" t="str">
        <x:f>IF(AND(AE$5&gt;=$C310,AE$5&lt;=$D310,$A310&lt;&gt;""),"●","")</x:f>
      </x:c>
      <x:c r="AF310" s="165" t="str">
        <x:f>IF(AND(AF$5&gt;=$C310,AF$5&lt;=$D310,$A310&lt;&gt;""),"●","")</x:f>
      </x:c>
      <x:c r="AG310" s="165" t="str">
        <x:f>IF(AND(AG$5&gt;=$C310,AG$5&lt;=$D310,$A310&lt;&gt;""),"●","")</x:f>
      </x:c>
      <x:c r="AH310" s="165" t="str">
        <x:f>IF(AND(AH$5&gt;=$C310,AH$5&lt;=$D310,$A310&lt;&gt;""),"●","")</x:f>
      </x:c>
      <x:c r="AI310" s="165" t="str">
        <x:f>IF(AND(AI$5&gt;=$C310,AI$5&lt;=$D310,$A310&lt;&gt;""),"●","")</x:f>
      </x:c>
      <x:c r="AJ310" s="165" t="str">
        <x:f>IF(AND(AJ$5&gt;=$C310,AJ$5&lt;=$D310,$A310&lt;&gt;""),"●","")</x:f>
      </x:c>
      <x:c r="AK310" s="165" t="str">
        <x:f>IF(AND(AK$5&gt;=$C310,AK$5&lt;=$D310,$A310&lt;&gt;""),"●","")</x:f>
      </x:c>
      <x:c r="AL310" s="165" t="str">
        <x:f>IF(AND(AL$5&gt;=$C310,AL$5&lt;=$D310,$A310&lt;&gt;""),"●","")</x:f>
      </x:c>
      <x:c r="AM310" s="165" t="str">
        <x:f>IF(AND(AM$5&gt;=$C310,AM$5&lt;=$D310,$A310&lt;&gt;""),"●","")</x:f>
      </x:c>
      <x:c r="AN310" s="165" t="str">
        <x:f>IF(AND(AN$5&gt;=$C310,AN$5&lt;=$D310,$A310&lt;&gt;""),"●","")</x:f>
      </x:c>
      <x:c r="AO310" s="165" t="str">
        <x:f>IF(AND(AO$5&gt;=$C310,AO$5&lt;=$D310,$A310&lt;&gt;""),"●","")</x:f>
      </x:c>
      <x:c r="AP310" s="165" t="str">
        <x:f>IF(AND(AP$5&gt;=$C310,AP$5&lt;=$D310,$A310&lt;&gt;""),"●","")</x:f>
      </x:c>
      <x:c r="AQ310" s="165" t="str">
        <x:f>IF(AND(AQ$5&gt;=$C310,AQ$5&lt;=$D310,$A310&lt;&gt;""),"●","")</x:f>
      </x:c>
      <x:c r="AR310" s="165" t="str">
        <x:f>IF(AND(AR$5&gt;=$C310,AR$5&lt;=$D310,$A310&lt;&gt;""),"●","")</x:f>
      </x:c>
      <x:c r="AS310" s="165" t="str">
        <x:f>IF(AND(AS$5&gt;=$C310,AS$5&lt;=$D310,$A310&lt;&gt;""),"●","")</x:f>
      </x:c>
      <x:c r="AT310" s="165" t="str">
        <x:f>IF(AND(AT$5&gt;=$C310,AT$5&lt;=$D310,$A310&lt;&gt;""),"●","")</x:f>
      </x:c>
      <x:c r="AU310" s="165" t="str">
        <x:f>IF(AND(AU$5&gt;=$C310,AU$5&lt;=$D310,$A310&lt;&gt;""),"●","")</x:f>
      </x:c>
      <x:c r="AV310" s="165" t="str">
        <x:f>IF(AND(AV$5&gt;=$C310,AV$5&lt;=$D310,$A310&lt;&gt;""),"●","")</x:f>
      </x:c>
      <x:c r="AW310" s="165" t="str">
        <x:f>IF(AND(AW$5&gt;=$C310,AW$5&lt;=$D310,$A310&lt;&gt;""),"●","")</x:f>
      </x:c>
      <x:c r="AX310" s="165" t="str">
        <x:f>IF(AND(AX$5&gt;=$C310,AX$5&lt;=$D310,$A310&lt;&gt;""),"●","")</x:f>
      </x:c>
      <x:c r="AY310" s="165" t="str">
        <x:f>IF(AND(AY$5&gt;=$C310,AY$5&lt;=$D310,$A310&lt;&gt;""),"●","")</x:f>
      </x:c>
      <x:c r="AZ310" s="165" t="str">
        <x:f>IF(AND(AZ$5&gt;=$C310,AZ$5&lt;=$D310,$A310&lt;&gt;""),"●","")</x:f>
      </x:c>
      <x:c r="BA310" s="165" t="str">
        <x:f>IF(AND(BA$5&gt;=$C310,BA$5&lt;=$D310,$A310&lt;&gt;""),"●","")</x:f>
      </x:c>
      <x:c r="BB310" s="165" t="str">
        <x:f>IF(AND(BB$5&gt;=$C310,BB$5&lt;=$D310,$A310&lt;&gt;""),"●","")</x:f>
      </x:c>
      <x:c r="BC310" s="165" t="str">
        <x:f>IF(AND(BC$5&gt;=$C310,BC$5&lt;=$D310,$A310&lt;&gt;""),"●","")</x:f>
      </x:c>
      <x:c r="BD310" s="165" t="str">
        <x:f>IF(AND(BD$5&gt;=$C310,BD$5&lt;=$D310,$A310&lt;&gt;""),"●","")</x:f>
      </x:c>
      <x:c r="BE310" s="165" t="str">
        <x:f>IF(AND(BE$5&gt;=$C310,BE$5&lt;=$D310,$A310&lt;&gt;""),"●","")</x:f>
      </x:c>
      <x:c r="BF310" s="165" t="str">
        <x:f>IF(AND(BF$5&gt;=$C310,BF$5&lt;=$D310,$A310&lt;&gt;""),"●","")</x:f>
      </x:c>
      <x:c r="BG310" s="165" t="str">
        <x:f>IF(AND(BG$5&gt;=$C310,BG$5&lt;=$D310,$A310&lt;&gt;""),"●","")</x:f>
      </x:c>
      <x:c r="BH310" s="165" t="str">
        <x:f>IF(AND(BH$5&gt;=$C310,BH$5&lt;=$D310,$A310&lt;&gt;""),"●","")</x:f>
      </x:c>
      <x:c r="BI310" s="165" t="str">
        <x:f>IF(AND(BI$5&gt;=$C310,BI$5&lt;=$D310,$A310&lt;&gt;""),"●","")</x:f>
      </x:c>
      <x:c r="BJ310" s="165" t="str">
        <x:f>IF(AND(BJ$5&gt;=$C310,BJ$5&lt;=$D310,$A310&lt;&gt;""),"●","")</x:f>
      </x:c>
      <x:c r="BK310" s="165" t="str">
        <x:f>IF(AND(BK$5&gt;=$C310,BK$5&lt;=$D310,$A310&lt;&gt;""),"●","")</x:f>
      </x:c>
      <x:c r="BL310" s="165" t="str">
        <x:f>IF(AND(BL$5&gt;=$C310,BL$5&lt;=$D310,$A310&lt;&gt;""),"●","")</x:f>
      </x:c>
      <x:c r="BM310" s="165" t="str">
        <x:f>IF(AND(BM$5&gt;=$C310,BM$5&lt;=$D310,$A310&lt;&gt;""),"●","")</x:f>
      </x:c>
      <x:c r="BN310" s="165" t="str">
        <x:f>IF(AND(BN$5&gt;=$C310,BN$5&lt;=$D310,$A310&lt;&gt;""),"●","")</x:f>
      </x:c>
      <x:c r="BO310" s="165" t="str">
        <x:f>IF(AND(BO$5&gt;=$C310,BO$5&lt;=$D310,$A310&lt;&gt;""),"●","")</x:f>
      </x:c>
      <x:c r="BP310" s="165" t="str">
        <x:f>IF(AND(BP$5&gt;=$C310,BP$5&lt;=$D310,$A310&lt;&gt;""),"●","")</x:f>
      </x:c>
      <x:c r="BQ310" s="165" t="str">
        <x:f>IF(AND(BQ$5&gt;=$C310,BQ$5&lt;=$D310,$A310&lt;&gt;""),"●","")</x:f>
      </x:c>
      <x:c r="BR310" s="165" t="str">
        <x:f>IF(AND(BR$5&gt;=$C310,BR$5&lt;=$D310,$A310&lt;&gt;""),"●","")</x:f>
      </x:c>
      <x:c r="BS310" s="165" t="str">
        <x:f>IF(AND(BS$5&gt;=$C310,BS$5&lt;=$D310,$A310&lt;&gt;""),"●","")</x:f>
      </x:c>
      <x:c r="BT310" s="165" t="str">
        <x:f>IF(AND(BT$5&gt;=$C310,BT$5&lt;=$D310,$A310&lt;&gt;""),"●","")</x:f>
      </x:c>
      <x:c r="BU310" s="165" t="str">
        <x:f>IF(AND(BU$5&gt;=$C310,BU$5&lt;=$D310,$A310&lt;&gt;""),"●","")</x:f>
      </x:c>
      <x:c r="BV310" s="165" t="str">
        <x:f>IF(AND(BV$5&gt;=$C310,BV$5&lt;=$D310,$A310&lt;&gt;""),"●","")</x:f>
      </x:c>
      <x:c r="BW310" s="165" t="str">
        <x:f>IF(AND(BW$5&gt;=$C310,BW$5&lt;=$D310,$A310&lt;&gt;""),"●","")</x:f>
      </x:c>
    </x:row>
    <x:row r="311">
      <x:c r="A311" s="159" t="str">
        <x:f>IF('รายการสัญญา'!A311="","",'รายการสัญญา'!A311)</x:f>
      </x:c>
      <x:c r="B311" s="159" t="str">
        <x:f>IF('รายการสัญญา'!A311="","",'รายการสัญญา'!C311)</x:f>
      </x:c>
      <x:c r="C311" s="162" t="str">
        <x:f>IF('รายการสัญญา'!A311="","",'รายการสัญญา'!E311)</x:f>
      </x:c>
      <x:c r="D311" s="162" t="str">
        <x:f>IF('รายการสัญญา'!A311="","",'รายการสัญญา'!G311)</x:f>
      </x:c>
      <x:c r="E311" s="159" t="str">
        <x:f>IF('รายการสัญญา'!A311="","",'รายการสัญญา'!K311)</x:f>
      </x:c>
      <x:c r="F311" s="165" t="str">
        <x:f>IF(AND(F$5&gt;=$C311,F$5&lt;=$D311,$A311&lt;&gt;""),"●","")</x:f>
      </x:c>
      <x:c r="G311" s="165" t="str">
        <x:f>IF(AND(G$5&gt;=$C311,G$5&lt;=$D311,$A311&lt;&gt;""),"●","")</x:f>
      </x:c>
      <x:c r="H311" s="165" t="str">
        <x:f>IF(AND(H$5&gt;=$C311,H$5&lt;=$D311,$A311&lt;&gt;""),"●","")</x:f>
      </x:c>
      <x:c r="I311" s="165" t="str">
        <x:f>IF(AND(I$5&gt;=$C311,I$5&lt;=$D311,$A311&lt;&gt;""),"●","")</x:f>
      </x:c>
      <x:c r="J311" s="165" t="str">
        <x:f>IF(AND(J$5&gt;=$C311,J$5&lt;=$D311,$A311&lt;&gt;""),"●","")</x:f>
      </x:c>
      <x:c r="K311" s="165" t="str">
        <x:f>IF(AND(K$5&gt;=$C311,K$5&lt;=$D311,$A311&lt;&gt;""),"●","")</x:f>
      </x:c>
      <x:c r="L311" s="165" t="str">
        <x:f>IF(AND(L$5&gt;=$C311,L$5&lt;=$D311,$A311&lt;&gt;""),"●","")</x:f>
      </x:c>
      <x:c r="M311" s="165" t="str">
        <x:f>IF(AND(M$5&gt;=$C311,M$5&lt;=$D311,$A311&lt;&gt;""),"●","")</x:f>
      </x:c>
      <x:c r="N311" s="165" t="str">
        <x:f>IF(AND(N$5&gt;=$C311,N$5&lt;=$D311,$A311&lt;&gt;""),"●","")</x:f>
      </x:c>
      <x:c r="O311" s="165" t="str">
        <x:f>IF(AND(O$5&gt;=$C311,O$5&lt;=$D311,$A311&lt;&gt;""),"●","")</x:f>
      </x:c>
      <x:c r="P311" s="165" t="str">
        <x:f>IF(AND(P$5&gt;=$C311,P$5&lt;=$D311,$A311&lt;&gt;""),"●","")</x:f>
      </x:c>
      <x:c r="Q311" s="165" t="str">
        <x:f>IF(AND(Q$5&gt;=$C311,Q$5&lt;=$D311,$A311&lt;&gt;""),"●","")</x:f>
      </x:c>
      <x:c r="R311" s="165" t="str">
        <x:f>IF(AND(R$5&gt;=$C311,R$5&lt;=$D311,$A311&lt;&gt;""),"●","")</x:f>
      </x:c>
      <x:c r="S311" s="165" t="str">
        <x:f>IF(AND(S$5&gt;=$C311,S$5&lt;=$D311,$A311&lt;&gt;""),"●","")</x:f>
      </x:c>
      <x:c r="T311" s="165" t="str">
        <x:f>IF(AND(T$5&gt;=$C311,T$5&lt;=$D311,$A311&lt;&gt;""),"●","")</x:f>
      </x:c>
      <x:c r="U311" s="165" t="str">
        <x:f>IF(AND(U$5&gt;=$C311,U$5&lt;=$D311,$A311&lt;&gt;""),"●","")</x:f>
      </x:c>
      <x:c r="V311" s="165" t="str">
        <x:f>IF(AND(V$5&gt;=$C311,V$5&lt;=$D311,$A311&lt;&gt;""),"●","")</x:f>
      </x:c>
      <x:c r="W311" s="165" t="str">
        <x:f>IF(AND(W$5&gt;=$C311,W$5&lt;=$D311,$A311&lt;&gt;""),"●","")</x:f>
      </x:c>
      <x:c r="X311" s="165" t="str">
        <x:f>IF(AND(X$5&gt;=$C311,X$5&lt;=$D311,$A311&lt;&gt;""),"●","")</x:f>
      </x:c>
      <x:c r="Y311" s="165" t="str">
        <x:f>IF(AND(Y$5&gt;=$C311,Y$5&lt;=$D311,$A311&lt;&gt;""),"●","")</x:f>
      </x:c>
      <x:c r="Z311" s="165" t="str">
        <x:f>IF(AND(Z$5&gt;=$C311,Z$5&lt;=$D311,$A311&lt;&gt;""),"●","")</x:f>
      </x:c>
      <x:c r="AA311" s="165" t="str">
        <x:f>IF(AND(AA$5&gt;=$C311,AA$5&lt;=$D311,$A311&lt;&gt;""),"●","")</x:f>
      </x:c>
      <x:c r="AB311" s="165" t="str">
        <x:f>IF(AND(AB$5&gt;=$C311,AB$5&lt;=$D311,$A311&lt;&gt;""),"●","")</x:f>
      </x:c>
      <x:c r="AC311" s="165" t="str">
        <x:f>IF(AND(AC$5&gt;=$C311,AC$5&lt;=$D311,$A311&lt;&gt;""),"●","")</x:f>
      </x:c>
      <x:c r="AD311" s="165" t="str">
        <x:f>IF(AND(AD$5&gt;=$C311,AD$5&lt;=$D311,$A311&lt;&gt;""),"●","")</x:f>
      </x:c>
      <x:c r="AE311" s="165" t="str">
        <x:f>IF(AND(AE$5&gt;=$C311,AE$5&lt;=$D311,$A311&lt;&gt;""),"●","")</x:f>
      </x:c>
      <x:c r="AF311" s="165" t="str">
        <x:f>IF(AND(AF$5&gt;=$C311,AF$5&lt;=$D311,$A311&lt;&gt;""),"●","")</x:f>
      </x:c>
      <x:c r="AG311" s="165" t="str">
        <x:f>IF(AND(AG$5&gt;=$C311,AG$5&lt;=$D311,$A311&lt;&gt;""),"●","")</x:f>
      </x:c>
      <x:c r="AH311" s="165" t="str">
        <x:f>IF(AND(AH$5&gt;=$C311,AH$5&lt;=$D311,$A311&lt;&gt;""),"●","")</x:f>
      </x:c>
      <x:c r="AI311" s="165" t="str">
        <x:f>IF(AND(AI$5&gt;=$C311,AI$5&lt;=$D311,$A311&lt;&gt;""),"●","")</x:f>
      </x:c>
      <x:c r="AJ311" s="165" t="str">
        <x:f>IF(AND(AJ$5&gt;=$C311,AJ$5&lt;=$D311,$A311&lt;&gt;""),"●","")</x:f>
      </x:c>
      <x:c r="AK311" s="165" t="str">
        <x:f>IF(AND(AK$5&gt;=$C311,AK$5&lt;=$D311,$A311&lt;&gt;""),"●","")</x:f>
      </x:c>
      <x:c r="AL311" s="165" t="str">
        <x:f>IF(AND(AL$5&gt;=$C311,AL$5&lt;=$D311,$A311&lt;&gt;""),"●","")</x:f>
      </x:c>
      <x:c r="AM311" s="165" t="str">
        <x:f>IF(AND(AM$5&gt;=$C311,AM$5&lt;=$D311,$A311&lt;&gt;""),"●","")</x:f>
      </x:c>
      <x:c r="AN311" s="165" t="str">
        <x:f>IF(AND(AN$5&gt;=$C311,AN$5&lt;=$D311,$A311&lt;&gt;""),"●","")</x:f>
      </x:c>
      <x:c r="AO311" s="165" t="str">
        <x:f>IF(AND(AO$5&gt;=$C311,AO$5&lt;=$D311,$A311&lt;&gt;""),"●","")</x:f>
      </x:c>
      <x:c r="AP311" s="165" t="str">
        <x:f>IF(AND(AP$5&gt;=$C311,AP$5&lt;=$D311,$A311&lt;&gt;""),"●","")</x:f>
      </x:c>
      <x:c r="AQ311" s="165" t="str">
        <x:f>IF(AND(AQ$5&gt;=$C311,AQ$5&lt;=$D311,$A311&lt;&gt;""),"●","")</x:f>
      </x:c>
      <x:c r="AR311" s="165" t="str">
        <x:f>IF(AND(AR$5&gt;=$C311,AR$5&lt;=$D311,$A311&lt;&gt;""),"●","")</x:f>
      </x:c>
      <x:c r="AS311" s="165" t="str">
        <x:f>IF(AND(AS$5&gt;=$C311,AS$5&lt;=$D311,$A311&lt;&gt;""),"●","")</x:f>
      </x:c>
      <x:c r="AT311" s="165" t="str">
        <x:f>IF(AND(AT$5&gt;=$C311,AT$5&lt;=$D311,$A311&lt;&gt;""),"●","")</x:f>
      </x:c>
      <x:c r="AU311" s="165" t="str">
        <x:f>IF(AND(AU$5&gt;=$C311,AU$5&lt;=$D311,$A311&lt;&gt;""),"●","")</x:f>
      </x:c>
      <x:c r="AV311" s="165" t="str">
        <x:f>IF(AND(AV$5&gt;=$C311,AV$5&lt;=$D311,$A311&lt;&gt;""),"●","")</x:f>
      </x:c>
      <x:c r="AW311" s="165" t="str">
        <x:f>IF(AND(AW$5&gt;=$C311,AW$5&lt;=$D311,$A311&lt;&gt;""),"●","")</x:f>
      </x:c>
      <x:c r="AX311" s="165" t="str">
        <x:f>IF(AND(AX$5&gt;=$C311,AX$5&lt;=$D311,$A311&lt;&gt;""),"●","")</x:f>
      </x:c>
      <x:c r="AY311" s="165" t="str">
        <x:f>IF(AND(AY$5&gt;=$C311,AY$5&lt;=$D311,$A311&lt;&gt;""),"●","")</x:f>
      </x:c>
      <x:c r="AZ311" s="165" t="str">
        <x:f>IF(AND(AZ$5&gt;=$C311,AZ$5&lt;=$D311,$A311&lt;&gt;""),"●","")</x:f>
      </x:c>
      <x:c r="BA311" s="165" t="str">
        <x:f>IF(AND(BA$5&gt;=$C311,BA$5&lt;=$D311,$A311&lt;&gt;""),"●","")</x:f>
      </x:c>
      <x:c r="BB311" s="165" t="str">
        <x:f>IF(AND(BB$5&gt;=$C311,BB$5&lt;=$D311,$A311&lt;&gt;""),"●","")</x:f>
      </x:c>
      <x:c r="BC311" s="165" t="str">
        <x:f>IF(AND(BC$5&gt;=$C311,BC$5&lt;=$D311,$A311&lt;&gt;""),"●","")</x:f>
      </x:c>
      <x:c r="BD311" s="165" t="str">
        <x:f>IF(AND(BD$5&gt;=$C311,BD$5&lt;=$D311,$A311&lt;&gt;""),"●","")</x:f>
      </x:c>
      <x:c r="BE311" s="165" t="str">
        <x:f>IF(AND(BE$5&gt;=$C311,BE$5&lt;=$D311,$A311&lt;&gt;""),"●","")</x:f>
      </x:c>
      <x:c r="BF311" s="165" t="str">
        <x:f>IF(AND(BF$5&gt;=$C311,BF$5&lt;=$D311,$A311&lt;&gt;""),"●","")</x:f>
      </x:c>
      <x:c r="BG311" s="165" t="str">
        <x:f>IF(AND(BG$5&gt;=$C311,BG$5&lt;=$D311,$A311&lt;&gt;""),"●","")</x:f>
      </x:c>
      <x:c r="BH311" s="165" t="str">
        <x:f>IF(AND(BH$5&gt;=$C311,BH$5&lt;=$D311,$A311&lt;&gt;""),"●","")</x:f>
      </x:c>
      <x:c r="BI311" s="165" t="str">
        <x:f>IF(AND(BI$5&gt;=$C311,BI$5&lt;=$D311,$A311&lt;&gt;""),"●","")</x:f>
      </x:c>
      <x:c r="BJ311" s="165" t="str">
        <x:f>IF(AND(BJ$5&gt;=$C311,BJ$5&lt;=$D311,$A311&lt;&gt;""),"●","")</x:f>
      </x:c>
      <x:c r="BK311" s="165" t="str">
        <x:f>IF(AND(BK$5&gt;=$C311,BK$5&lt;=$D311,$A311&lt;&gt;""),"●","")</x:f>
      </x:c>
      <x:c r="BL311" s="165" t="str">
        <x:f>IF(AND(BL$5&gt;=$C311,BL$5&lt;=$D311,$A311&lt;&gt;""),"●","")</x:f>
      </x:c>
      <x:c r="BM311" s="165" t="str">
        <x:f>IF(AND(BM$5&gt;=$C311,BM$5&lt;=$D311,$A311&lt;&gt;""),"●","")</x:f>
      </x:c>
      <x:c r="BN311" s="165" t="str">
        <x:f>IF(AND(BN$5&gt;=$C311,BN$5&lt;=$D311,$A311&lt;&gt;""),"●","")</x:f>
      </x:c>
      <x:c r="BO311" s="165" t="str">
        <x:f>IF(AND(BO$5&gt;=$C311,BO$5&lt;=$D311,$A311&lt;&gt;""),"●","")</x:f>
      </x:c>
      <x:c r="BP311" s="165" t="str">
        <x:f>IF(AND(BP$5&gt;=$C311,BP$5&lt;=$D311,$A311&lt;&gt;""),"●","")</x:f>
      </x:c>
      <x:c r="BQ311" s="165" t="str">
        <x:f>IF(AND(BQ$5&gt;=$C311,BQ$5&lt;=$D311,$A311&lt;&gt;""),"●","")</x:f>
      </x:c>
      <x:c r="BR311" s="165" t="str">
        <x:f>IF(AND(BR$5&gt;=$C311,BR$5&lt;=$D311,$A311&lt;&gt;""),"●","")</x:f>
      </x:c>
      <x:c r="BS311" s="165" t="str">
        <x:f>IF(AND(BS$5&gt;=$C311,BS$5&lt;=$D311,$A311&lt;&gt;""),"●","")</x:f>
      </x:c>
      <x:c r="BT311" s="165" t="str">
        <x:f>IF(AND(BT$5&gt;=$C311,BT$5&lt;=$D311,$A311&lt;&gt;""),"●","")</x:f>
      </x:c>
      <x:c r="BU311" s="165" t="str">
        <x:f>IF(AND(BU$5&gt;=$C311,BU$5&lt;=$D311,$A311&lt;&gt;""),"●","")</x:f>
      </x:c>
      <x:c r="BV311" s="165" t="str">
        <x:f>IF(AND(BV$5&gt;=$C311,BV$5&lt;=$D311,$A311&lt;&gt;""),"●","")</x:f>
      </x:c>
      <x:c r="BW311" s="165" t="str">
        <x:f>IF(AND(BW$5&gt;=$C311,BW$5&lt;=$D311,$A311&lt;&gt;""),"●","")</x:f>
      </x:c>
    </x:row>
    <x:row r="312">
      <x:c r="A312" s="159" t="str">
        <x:f>IF('รายการสัญญา'!A312="","",'รายการสัญญา'!A312)</x:f>
      </x:c>
      <x:c r="B312" s="159" t="str">
        <x:f>IF('รายการสัญญา'!A312="","",'รายการสัญญา'!C312)</x:f>
      </x:c>
      <x:c r="C312" s="162" t="str">
        <x:f>IF('รายการสัญญา'!A312="","",'รายการสัญญา'!E312)</x:f>
      </x:c>
      <x:c r="D312" s="162" t="str">
        <x:f>IF('รายการสัญญา'!A312="","",'รายการสัญญา'!G312)</x:f>
      </x:c>
      <x:c r="E312" s="159" t="str">
        <x:f>IF('รายการสัญญา'!A312="","",'รายการสัญญา'!K312)</x:f>
      </x:c>
      <x:c r="F312" s="165" t="str">
        <x:f>IF(AND(F$5&gt;=$C312,F$5&lt;=$D312,$A312&lt;&gt;""),"●","")</x:f>
      </x:c>
      <x:c r="G312" s="165" t="str">
        <x:f>IF(AND(G$5&gt;=$C312,G$5&lt;=$D312,$A312&lt;&gt;""),"●","")</x:f>
      </x:c>
      <x:c r="H312" s="165" t="str">
        <x:f>IF(AND(H$5&gt;=$C312,H$5&lt;=$D312,$A312&lt;&gt;""),"●","")</x:f>
      </x:c>
      <x:c r="I312" s="165" t="str">
        <x:f>IF(AND(I$5&gt;=$C312,I$5&lt;=$D312,$A312&lt;&gt;""),"●","")</x:f>
      </x:c>
      <x:c r="J312" s="165" t="str">
        <x:f>IF(AND(J$5&gt;=$C312,J$5&lt;=$D312,$A312&lt;&gt;""),"●","")</x:f>
      </x:c>
      <x:c r="K312" s="165" t="str">
        <x:f>IF(AND(K$5&gt;=$C312,K$5&lt;=$D312,$A312&lt;&gt;""),"●","")</x:f>
      </x:c>
      <x:c r="L312" s="165" t="str">
        <x:f>IF(AND(L$5&gt;=$C312,L$5&lt;=$D312,$A312&lt;&gt;""),"●","")</x:f>
      </x:c>
      <x:c r="M312" s="165" t="str">
        <x:f>IF(AND(M$5&gt;=$C312,M$5&lt;=$D312,$A312&lt;&gt;""),"●","")</x:f>
      </x:c>
      <x:c r="N312" s="165" t="str">
        <x:f>IF(AND(N$5&gt;=$C312,N$5&lt;=$D312,$A312&lt;&gt;""),"●","")</x:f>
      </x:c>
      <x:c r="O312" s="165" t="str">
        <x:f>IF(AND(O$5&gt;=$C312,O$5&lt;=$D312,$A312&lt;&gt;""),"●","")</x:f>
      </x:c>
      <x:c r="P312" s="165" t="str">
        <x:f>IF(AND(P$5&gt;=$C312,P$5&lt;=$D312,$A312&lt;&gt;""),"●","")</x:f>
      </x:c>
      <x:c r="Q312" s="165" t="str">
        <x:f>IF(AND(Q$5&gt;=$C312,Q$5&lt;=$D312,$A312&lt;&gt;""),"●","")</x:f>
      </x:c>
      <x:c r="R312" s="165" t="str">
        <x:f>IF(AND(R$5&gt;=$C312,R$5&lt;=$D312,$A312&lt;&gt;""),"●","")</x:f>
      </x:c>
      <x:c r="S312" s="165" t="str">
        <x:f>IF(AND(S$5&gt;=$C312,S$5&lt;=$D312,$A312&lt;&gt;""),"●","")</x:f>
      </x:c>
      <x:c r="T312" s="165" t="str">
        <x:f>IF(AND(T$5&gt;=$C312,T$5&lt;=$D312,$A312&lt;&gt;""),"●","")</x:f>
      </x:c>
      <x:c r="U312" s="165" t="str">
        <x:f>IF(AND(U$5&gt;=$C312,U$5&lt;=$D312,$A312&lt;&gt;""),"●","")</x:f>
      </x:c>
      <x:c r="V312" s="165" t="str">
        <x:f>IF(AND(V$5&gt;=$C312,V$5&lt;=$D312,$A312&lt;&gt;""),"●","")</x:f>
      </x:c>
      <x:c r="W312" s="165" t="str">
        <x:f>IF(AND(W$5&gt;=$C312,W$5&lt;=$D312,$A312&lt;&gt;""),"●","")</x:f>
      </x:c>
      <x:c r="X312" s="165" t="str">
        <x:f>IF(AND(X$5&gt;=$C312,X$5&lt;=$D312,$A312&lt;&gt;""),"●","")</x:f>
      </x:c>
      <x:c r="Y312" s="165" t="str">
        <x:f>IF(AND(Y$5&gt;=$C312,Y$5&lt;=$D312,$A312&lt;&gt;""),"●","")</x:f>
      </x:c>
      <x:c r="Z312" s="165" t="str">
        <x:f>IF(AND(Z$5&gt;=$C312,Z$5&lt;=$D312,$A312&lt;&gt;""),"●","")</x:f>
      </x:c>
      <x:c r="AA312" s="165" t="str">
        <x:f>IF(AND(AA$5&gt;=$C312,AA$5&lt;=$D312,$A312&lt;&gt;""),"●","")</x:f>
      </x:c>
      <x:c r="AB312" s="165" t="str">
        <x:f>IF(AND(AB$5&gt;=$C312,AB$5&lt;=$D312,$A312&lt;&gt;""),"●","")</x:f>
      </x:c>
      <x:c r="AC312" s="165" t="str">
        <x:f>IF(AND(AC$5&gt;=$C312,AC$5&lt;=$D312,$A312&lt;&gt;""),"●","")</x:f>
      </x:c>
      <x:c r="AD312" s="165" t="str">
        <x:f>IF(AND(AD$5&gt;=$C312,AD$5&lt;=$D312,$A312&lt;&gt;""),"●","")</x:f>
      </x:c>
      <x:c r="AE312" s="165" t="str">
        <x:f>IF(AND(AE$5&gt;=$C312,AE$5&lt;=$D312,$A312&lt;&gt;""),"●","")</x:f>
      </x:c>
      <x:c r="AF312" s="165" t="str">
        <x:f>IF(AND(AF$5&gt;=$C312,AF$5&lt;=$D312,$A312&lt;&gt;""),"●","")</x:f>
      </x:c>
      <x:c r="AG312" s="165" t="str">
        <x:f>IF(AND(AG$5&gt;=$C312,AG$5&lt;=$D312,$A312&lt;&gt;""),"●","")</x:f>
      </x:c>
      <x:c r="AH312" s="165" t="str">
        <x:f>IF(AND(AH$5&gt;=$C312,AH$5&lt;=$D312,$A312&lt;&gt;""),"●","")</x:f>
      </x:c>
      <x:c r="AI312" s="165" t="str">
        <x:f>IF(AND(AI$5&gt;=$C312,AI$5&lt;=$D312,$A312&lt;&gt;""),"●","")</x:f>
      </x:c>
      <x:c r="AJ312" s="165" t="str">
        <x:f>IF(AND(AJ$5&gt;=$C312,AJ$5&lt;=$D312,$A312&lt;&gt;""),"●","")</x:f>
      </x:c>
      <x:c r="AK312" s="165" t="str">
        <x:f>IF(AND(AK$5&gt;=$C312,AK$5&lt;=$D312,$A312&lt;&gt;""),"●","")</x:f>
      </x:c>
      <x:c r="AL312" s="165" t="str">
        <x:f>IF(AND(AL$5&gt;=$C312,AL$5&lt;=$D312,$A312&lt;&gt;""),"●","")</x:f>
      </x:c>
      <x:c r="AM312" s="165" t="str">
        <x:f>IF(AND(AM$5&gt;=$C312,AM$5&lt;=$D312,$A312&lt;&gt;""),"●","")</x:f>
      </x:c>
      <x:c r="AN312" s="165" t="str">
        <x:f>IF(AND(AN$5&gt;=$C312,AN$5&lt;=$D312,$A312&lt;&gt;""),"●","")</x:f>
      </x:c>
      <x:c r="AO312" s="165" t="str">
        <x:f>IF(AND(AO$5&gt;=$C312,AO$5&lt;=$D312,$A312&lt;&gt;""),"●","")</x:f>
      </x:c>
      <x:c r="AP312" s="165" t="str">
        <x:f>IF(AND(AP$5&gt;=$C312,AP$5&lt;=$D312,$A312&lt;&gt;""),"●","")</x:f>
      </x:c>
      <x:c r="AQ312" s="165" t="str">
        <x:f>IF(AND(AQ$5&gt;=$C312,AQ$5&lt;=$D312,$A312&lt;&gt;""),"●","")</x:f>
      </x:c>
      <x:c r="AR312" s="165" t="str">
        <x:f>IF(AND(AR$5&gt;=$C312,AR$5&lt;=$D312,$A312&lt;&gt;""),"●","")</x:f>
      </x:c>
      <x:c r="AS312" s="165" t="str">
        <x:f>IF(AND(AS$5&gt;=$C312,AS$5&lt;=$D312,$A312&lt;&gt;""),"●","")</x:f>
      </x:c>
      <x:c r="AT312" s="165" t="str">
        <x:f>IF(AND(AT$5&gt;=$C312,AT$5&lt;=$D312,$A312&lt;&gt;""),"●","")</x:f>
      </x:c>
      <x:c r="AU312" s="165" t="str">
        <x:f>IF(AND(AU$5&gt;=$C312,AU$5&lt;=$D312,$A312&lt;&gt;""),"●","")</x:f>
      </x:c>
      <x:c r="AV312" s="165" t="str">
        <x:f>IF(AND(AV$5&gt;=$C312,AV$5&lt;=$D312,$A312&lt;&gt;""),"●","")</x:f>
      </x:c>
      <x:c r="AW312" s="165" t="str">
        <x:f>IF(AND(AW$5&gt;=$C312,AW$5&lt;=$D312,$A312&lt;&gt;""),"●","")</x:f>
      </x:c>
      <x:c r="AX312" s="165" t="str">
        <x:f>IF(AND(AX$5&gt;=$C312,AX$5&lt;=$D312,$A312&lt;&gt;""),"●","")</x:f>
      </x:c>
      <x:c r="AY312" s="165" t="str">
        <x:f>IF(AND(AY$5&gt;=$C312,AY$5&lt;=$D312,$A312&lt;&gt;""),"●","")</x:f>
      </x:c>
      <x:c r="AZ312" s="165" t="str">
        <x:f>IF(AND(AZ$5&gt;=$C312,AZ$5&lt;=$D312,$A312&lt;&gt;""),"●","")</x:f>
      </x:c>
      <x:c r="BA312" s="165" t="str">
        <x:f>IF(AND(BA$5&gt;=$C312,BA$5&lt;=$D312,$A312&lt;&gt;""),"●","")</x:f>
      </x:c>
      <x:c r="BB312" s="165" t="str">
        <x:f>IF(AND(BB$5&gt;=$C312,BB$5&lt;=$D312,$A312&lt;&gt;""),"●","")</x:f>
      </x:c>
      <x:c r="BC312" s="165" t="str">
        <x:f>IF(AND(BC$5&gt;=$C312,BC$5&lt;=$D312,$A312&lt;&gt;""),"●","")</x:f>
      </x:c>
      <x:c r="BD312" s="165" t="str">
        <x:f>IF(AND(BD$5&gt;=$C312,BD$5&lt;=$D312,$A312&lt;&gt;""),"●","")</x:f>
      </x:c>
      <x:c r="BE312" s="165" t="str">
        <x:f>IF(AND(BE$5&gt;=$C312,BE$5&lt;=$D312,$A312&lt;&gt;""),"●","")</x:f>
      </x:c>
      <x:c r="BF312" s="165" t="str">
        <x:f>IF(AND(BF$5&gt;=$C312,BF$5&lt;=$D312,$A312&lt;&gt;""),"●","")</x:f>
      </x:c>
      <x:c r="BG312" s="165" t="str">
        <x:f>IF(AND(BG$5&gt;=$C312,BG$5&lt;=$D312,$A312&lt;&gt;""),"●","")</x:f>
      </x:c>
      <x:c r="BH312" s="165" t="str">
        <x:f>IF(AND(BH$5&gt;=$C312,BH$5&lt;=$D312,$A312&lt;&gt;""),"●","")</x:f>
      </x:c>
      <x:c r="BI312" s="165" t="str">
        <x:f>IF(AND(BI$5&gt;=$C312,BI$5&lt;=$D312,$A312&lt;&gt;""),"●","")</x:f>
      </x:c>
      <x:c r="BJ312" s="165" t="str">
        <x:f>IF(AND(BJ$5&gt;=$C312,BJ$5&lt;=$D312,$A312&lt;&gt;""),"●","")</x:f>
      </x:c>
      <x:c r="BK312" s="165" t="str">
        <x:f>IF(AND(BK$5&gt;=$C312,BK$5&lt;=$D312,$A312&lt;&gt;""),"●","")</x:f>
      </x:c>
      <x:c r="BL312" s="165" t="str">
        <x:f>IF(AND(BL$5&gt;=$C312,BL$5&lt;=$D312,$A312&lt;&gt;""),"●","")</x:f>
      </x:c>
      <x:c r="BM312" s="165" t="str">
        <x:f>IF(AND(BM$5&gt;=$C312,BM$5&lt;=$D312,$A312&lt;&gt;""),"●","")</x:f>
      </x:c>
      <x:c r="BN312" s="165" t="str">
        <x:f>IF(AND(BN$5&gt;=$C312,BN$5&lt;=$D312,$A312&lt;&gt;""),"●","")</x:f>
      </x:c>
      <x:c r="BO312" s="165" t="str">
        <x:f>IF(AND(BO$5&gt;=$C312,BO$5&lt;=$D312,$A312&lt;&gt;""),"●","")</x:f>
      </x:c>
      <x:c r="BP312" s="165" t="str">
        <x:f>IF(AND(BP$5&gt;=$C312,BP$5&lt;=$D312,$A312&lt;&gt;""),"●","")</x:f>
      </x:c>
      <x:c r="BQ312" s="165" t="str">
        <x:f>IF(AND(BQ$5&gt;=$C312,BQ$5&lt;=$D312,$A312&lt;&gt;""),"●","")</x:f>
      </x:c>
      <x:c r="BR312" s="165" t="str">
        <x:f>IF(AND(BR$5&gt;=$C312,BR$5&lt;=$D312,$A312&lt;&gt;""),"●","")</x:f>
      </x:c>
      <x:c r="BS312" s="165" t="str">
        <x:f>IF(AND(BS$5&gt;=$C312,BS$5&lt;=$D312,$A312&lt;&gt;""),"●","")</x:f>
      </x:c>
      <x:c r="BT312" s="165" t="str">
        <x:f>IF(AND(BT$5&gt;=$C312,BT$5&lt;=$D312,$A312&lt;&gt;""),"●","")</x:f>
      </x:c>
      <x:c r="BU312" s="165" t="str">
        <x:f>IF(AND(BU$5&gt;=$C312,BU$5&lt;=$D312,$A312&lt;&gt;""),"●","")</x:f>
      </x:c>
      <x:c r="BV312" s="165" t="str">
        <x:f>IF(AND(BV$5&gt;=$C312,BV$5&lt;=$D312,$A312&lt;&gt;""),"●","")</x:f>
      </x:c>
      <x:c r="BW312" s="165" t="str">
        <x:f>IF(AND(BW$5&gt;=$C312,BW$5&lt;=$D312,$A312&lt;&gt;""),"●","")</x:f>
      </x:c>
    </x:row>
    <x:row r="313">
      <x:c r="A313" s="159" t="str">
        <x:f>IF('รายการสัญญา'!A313="","",'รายการสัญญา'!A313)</x:f>
      </x:c>
      <x:c r="B313" s="159" t="str">
        <x:f>IF('รายการสัญญา'!A313="","",'รายการสัญญา'!C313)</x:f>
      </x:c>
      <x:c r="C313" s="162" t="str">
        <x:f>IF('รายการสัญญา'!A313="","",'รายการสัญญา'!E313)</x:f>
      </x:c>
      <x:c r="D313" s="162" t="str">
        <x:f>IF('รายการสัญญา'!A313="","",'รายการสัญญา'!G313)</x:f>
      </x:c>
      <x:c r="E313" s="159" t="str">
        <x:f>IF('รายการสัญญา'!A313="","",'รายการสัญญา'!K313)</x:f>
      </x:c>
      <x:c r="F313" s="165" t="str">
        <x:f>IF(AND(F$5&gt;=$C313,F$5&lt;=$D313,$A313&lt;&gt;""),"●","")</x:f>
      </x:c>
      <x:c r="G313" s="165" t="str">
        <x:f>IF(AND(G$5&gt;=$C313,G$5&lt;=$D313,$A313&lt;&gt;""),"●","")</x:f>
      </x:c>
      <x:c r="H313" s="165" t="str">
        <x:f>IF(AND(H$5&gt;=$C313,H$5&lt;=$D313,$A313&lt;&gt;""),"●","")</x:f>
      </x:c>
      <x:c r="I313" s="165" t="str">
        <x:f>IF(AND(I$5&gt;=$C313,I$5&lt;=$D313,$A313&lt;&gt;""),"●","")</x:f>
      </x:c>
      <x:c r="J313" s="165" t="str">
        <x:f>IF(AND(J$5&gt;=$C313,J$5&lt;=$D313,$A313&lt;&gt;""),"●","")</x:f>
      </x:c>
      <x:c r="K313" s="165" t="str">
        <x:f>IF(AND(K$5&gt;=$C313,K$5&lt;=$D313,$A313&lt;&gt;""),"●","")</x:f>
      </x:c>
      <x:c r="L313" s="165" t="str">
        <x:f>IF(AND(L$5&gt;=$C313,L$5&lt;=$D313,$A313&lt;&gt;""),"●","")</x:f>
      </x:c>
      <x:c r="M313" s="165" t="str">
        <x:f>IF(AND(M$5&gt;=$C313,M$5&lt;=$D313,$A313&lt;&gt;""),"●","")</x:f>
      </x:c>
      <x:c r="N313" s="165" t="str">
        <x:f>IF(AND(N$5&gt;=$C313,N$5&lt;=$D313,$A313&lt;&gt;""),"●","")</x:f>
      </x:c>
      <x:c r="O313" s="165" t="str">
        <x:f>IF(AND(O$5&gt;=$C313,O$5&lt;=$D313,$A313&lt;&gt;""),"●","")</x:f>
      </x:c>
      <x:c r="P313" s="165" t="str">
        <x:f>IF(AND(P$5&gt;=$C313,P$5&lt;=$D313,$A313&lt;&gt;""),"●","")</x:f>
      </x:c>
      <x:c r="Q313" s="165" t="str">
        <x:f>IF(AND(Q$5&gt;=$C313,Q$5&lt;=$D313,$A313&lt;&gt;""),"●","")</x:f>
      </x:c>
      <x:c r="R313" s="165" t="str">
        <x:f>IF(AND(R$5&gt;=$C313,R$5&lt;=$D313,$A313&lt;&gt;""),"●","")</x:f>
      </x:c>
      <x:c r="S313" s="165" t="str">
        <x:f>IF(AND(S$5&gt;=$C313,S$5&lt;=$D313,$A313&lt;&gt;""),"●","")</x:f>
      </x:c>
      <x:c r="T313" s="165" t="str">
        <x:f>IF(AND(T$5&gt;=$C313,T$5&lt;=$D313,$A313&lt;&gt;""),"●","")</x:f>
      </x:c>
      <x:c r="U313" s="165" t="str">
        <x:f>IF(AND(U$5&gt;=$C313,U$5&lt;=$D313,$A313&lt;&gt;""),"●","")</x:f>
      </x:c>
      <x:c r="V313" s="165" t="str">
        <x:f>IF(AND(V$5&gt;=$C313,V$5&lt;=$D313,$A313&lt;&gt;""),"●","")</x:f>
      </x:c>
      <x:c r="W313" s="165" t="str">
        <x:f>IF(AND(W$5&gt;=$C313,W$5&lt;=$D313,$A313&lt;&gt;""),"●","")</x:f>
      </x:c>
      <x:c r="X313" s="165" t="str">
        <x:f>IF(AND(X$5&gt;=$C313,X$5&lt;=$D313,$A313&lt;&gt;""),"●","")</x:f>
      </x:c>
      <x:c r="Y313" s="165" t="str">
        <x:f>IF(AND(Y$5&gt;=$C313,Y$5&lt;=$D313,$A313&lt;&gt;""),"●","")</x:f>
      </x:c>
      <x:c r="Z313" s="165" t="str">
        <x:f>IF(AND(Z$5&gt;=$C313,Z$5&lt;=$D313,$A313&lt;&gt;""),"●","")</x:f>
      </x:c>
      <x:c r="AA313" s="165" t="str">
        <x:f>IF(AND(AA$5&gt;=$C313,AA$5&lt;=$D313,$A313&lt;&gt;""),"●","")</x:f>
      </x:c>
      <x:c r="AB313" s="165" t="str">
        <x:f>IF(AND(AB$5&gt;=$C313,AB$5&lt;=$D313,$A313&lt;&gt;""),"●","")</x:f>
      </x:c>
      <x:c r="AC313" s="165" t="str">
        <x:f>IF(AND(AC$5&gt;=$C313,AC$5&lt;=$D313,$A313&lt;&gt;""),"●","")</x:f>
      </x:c>
      <x:c r="AD313" s="165" t="str">
        <x:f>IF(AND(AD$5&gt;=$C313,AD$5&lt;=$D313,$A313&lt;&gt;""),"●","")</x:f>
      </x:c>
      <x:c r="AE313" s="165" t="str">
        <x:f>IF(AND(AE$5&gt;=$C313,AE$5&lt;=$D313,$A313&lt;&gt;""),"●","")</x:f>
      </x:c>
      <x:c r="AF313" s="165" t="str">
        <x:f>IF(AND(AF$5&gt;=$C313,AF$5&lt;=$D313,$A313&lt;&gt;""),"●","")</x:f>
      </x:c>
      <x:c r="AG313" s="165" t="str">
        <x:f>IF(AND(AG$5&gt;=$C313,AG$5&lt;=$D313,$A313&lt;&gt;""),"●","")</x:f>
      </x:c>
      <x:c r="AH313" s="165" t="str">
        <x:f>IF(AND(AH$5&gt;=$C313,AH$5&lt;=$D313,$A313&lt;&gt;""),"●","")</x:f>
      </x:c>
      <x:c r="AI313" s="165" t="str">
        <x:f>IF(AND(AI$5&gt;=$C313,AI$5&lt;=$D313,$A313&lt;&gt;""),"●","")</x:f>
      </x:c>
      <x:c r="AJ313" s="165" t="str">
        <x:f>IF(AND(AJ$5&gt;=$C313,AJ$5&lt;=$D313,$A313&lt;&gt;""),"●","")</x:f>
      </x:c>
      <x:c r="AK313" s="165" t="str">
        <x:f>IF(AND(AK$5&gt;=$C313,AK$5&lt;=$D313,$A313&lt;&gt;""),"●","")</x:f>
      </x:c>
      <x:c r="AL313" s="165" t="str">
        <x:f>IF(AND(AL$5&gt;=$C313,AL$5&lt;=$D313,$A313&lt;&gt;""),"●","")</x:f>
      </x:c>
      <x:c r="AM313" s="165" t="str">
        <x:f>IF(AND(AM$5&gt;=$C313,AM$5&lt;=$D313,$A313&lt;&gt;""),"●","")</x:f>
      </x:c>
      <x:c r="AN313" s="165" t="str">
        <x:f>IF(AND(AN$5&gt;=$C313,AN$5&lt;=$D313,$A313&lt;&gt;""),"●","")</x:f>
      </x:c>
      <x:c r="AO313" s="165" t="str">
        <x:f>IF(AND(AO$5&gt;=$C313,AO$5&lt;=$D313,$A313&lt;&gt;""),"●","")</x:f>
      </x:c>
      <x:c r="AP313" s="165" t="str">
        <x:f>IF(AND(AP$5&gt;=$C313,AP$5&lt;=$D313,$A313&lt;&gt;""),"●","")</x:f>
      </x:c>
      <x:c r="AQ313" s="165" t="str">
        <x:f>IF(AND(AQ$5&gt;=$C313,AQ$5&lt;=$D313,$A313&lt;&gt;""),"●","")</x:f>
      </x:c>
      <x:c r="AR313" s="165" t="str">
        <x:f>IF(AND(AR$5&gt;=$C313,AR$5&lt;=$D313,$A313&lt;&gt;""),"●","")</x:f>
      </x:c>
      <x:c r="AS313" s="165" t="str">
        <x:f>IF(AND(AS$5&gt;=$C313,AS$5&lt;=$D313,$A313&lt;&gt;""),"●","")</x:f>
      </x:c>
      <x:c r="AT313" s="165" t="str">
        <x:f>IF(AND(AT$5&gt;=$C313,AT$5&lt;=$D313,$A313&lt;&gt;""),"●","")</x:f>
      </x:c>
      <x:c r="AU313" s="165" t="str">
        <x:f>IF(AND(AU$5&gt;=$C313,AU$5&lt;=$D313,$A313&lt;&gt;""),"●","")</x:f>
      </x:c>
      <x:c r="AV313" s="165" t="str">
        <x:f>IF(AND(AV$5&gt;=$C313,AV$5&lt;=$D313,$A313&lt;&gt;""),"●","")</x:f>
      </x:c>
      <x:c r="AW313" s="165" t="str">
        <x:f>IF(AND(AW$5&gt;=$C313,AW$5&lt;=$D313,$A313&lt;&gt;""),"●","")</x:f>
      </x:c>
      <x:c r="AX313" s="165" t="str">
        <x:f>IF(AND(AX$5&gt;=$C313,AX$5&lt;=$D313,$A313&lt;&gt;""),"●","")</x:f>
      </x:c>
      <x:c r="AY313" s="165" t="str">
        <x:f>IF(AND(AY$5&gt;=$C313,AY$5&lt;=$D313,$A313&lt;&gt;""),"●","")</x:f>
      </x:c>
      <x:c r="AZ313" s="165" t="str">
        <x:f>IF(AND(AZ$5&gt;=$C313,AZ$5&lt;=$D313,$A313&lt;&gt;""),"●","")</x:f>
      </x:c>
      <x:c r="BA313" s="165" t="str">
        <x:f>IF(AND(BA$5&gt;=$C313,BA$5&lt;=$D313,$A313&lt;&gt;""),"●","")</x:f>
      </x:c>
      <x:c r="BB313" s="165" t="str">
        <x:f>IF(AND(BB$5&gt;=$C313,BB$5&lt;=$D313,$A313&lt;&gt;""),"●","")</x:f>
      </x:c>
      <x:c r="BC313" s="165" t="str">
        <x:f>IF(AND(BC$5&gt;=$C313,BC$5&lt;=$D313,$A313&lt;&gt;""),"●","")</x:f>
      </x:c>
      <x:c r="BD313" s="165" t="str">
        <x:f>IF(AND(BD$5&gt;=$C313,BD$5&lt;=$D313,$A313&lt;&gt;""),"●","")</x:f>
      </x:c>
      <x:c r="BE313" s="165" t="str">
        <x:f>IF(AND(BE$5&gt;=$C313,BE$5&lt;=$D313,$A313&lt;&gt;""),"●","")</x:f>
      </x:c>
      <x:c r="BF313" s="165" t="str">
        <x:f>IF(AND(BF$5&gt;=$C313,BF$5&lt;=$D313,$A313&lt;&gt;""),"●","")</x:f>
      </x:c>
      <x:c r="BG313" s="165" t="str">
        <x:f>IF(AND(BG$5&gt;=$C313,BG$5&lt;=$D313,$A313&lt;&gt;""),"●","")</x:f>
      </x:c>
      <x:c r="BH313" s="165" t="str">
        <x:f>IF(AND(BH$5&gt;=$C313,BH$5&lt;=$D313,$A313&lt;&gt;""),"●","")</x:f>
      </x:c>
      <x:c r="BI313" s="165" t="str">
        <x:f>IF(AND(BI$5&gt;=$C313,BI$5&lt;=$D313,$A313&lt;&gt;""),"●","")</x:f>
      </x:c>
      <x:c r="BJ313" s="165" t="str">
        <x:f>IF(AND(BJ$5&gt;=$C313,BJ$5&lt;=$D313,$A313&lt;&gt;""),"●","")</x:f>
      </x:c>
      <x:c r="BK313" s="165" t="str">
        <x:f>IF(AND(BK$5&gt;=$C313,BK$5&lt;=$D313,$A313&lt;&gt;""),"●","")</x:f>
      </x:c>
      <x:c r="BL313" s="165" t="str">
        <x:f>IF(AND(BL$5&gt;=$C313,BL$5&lt;=$D313,$A313&lt;&gt;""),"●","")</x:f>
      </x:c>
      <x:c r="BM313" s="165" t="str">
        <x:f>IF(AND(BM$5&gt;=$C313,BM$5&lt;=$D313,$A313&lt;&gt;""),"●","")</x:f>
      </x:c>
      <x:c r="BN313" s="165" t="str">
        <x:f>IF(AND(BN$5&gt;=$C313,BN$5&lt;=$D313,$A313&lt;&gt;""),"●","")</x:f>
      </x:c>
      <x:c r="BO313" s="165" t="str">
        <x:f>IF(AND(BO$5&gt;=$C313,BO$5&lt;=$D313,$A313&lt;&gt;""),"●","")</x:f>
      </x:c>
      <x:c r="BP313" s="165" t="str">
        <x:f>IF(AND(BP$5&gt;=$C313,BP$5&lt;=$D313,$A313&lt;&gt;""),"●","")</x:f>
      </x:c>
      <x:c r="BQ313" s="165" t="str">
        <x:f>IF(AND(BQ$5&gt;=$C313,BQ$5&lt;=$D313,$A313&lt;&gt;""),"●","")</x:f>
      </x:c>
      <x:c r="BR313" s="165" t="str">
        <x:f>IF(AND(BR$5&gt;=$C313,BR$5&lt;=$D313,$A313&lt;&gt;""),"●","")</x:f>
      </x:c>
      <x:c r="BS313" s="165" t="str">
        <x:f>IF(AND(BS$5&gt;=$C313,BS$5&lt;=$D313,$A313&lt;&gt;""),"●","")</x:f>
      </x:c>
      <x:c r="BT313" s="165" t="str">
        <x:f>IF(AND(BT$5&gt;=$C313,BT$5&lt;=$D313,$A313&lt;&gt;""),"●","")</x:f>
      </x:c>
      <x:c r="BU313" s="165" t="str">
        <x:f>IF(AND(BU$5&gt;=$C313,BU$5&lt;=$D313,$A313&lt;&gt;""),"●","")</x:f>
      </x:c>
      <x:c r="BV313" s="165" t="str">
        <x:f>IF(AND(BV$5&gt;=$C313,BV$5&lt;=$D313,$A313&lt;&gt;""),"●","")</x:f>
      </x:c>
      <x:c r="BW313" s="165" t="str">
        <x:f>IF(AND(BW$5&gt;=$C313,BW$5&lt;=$D313,$A313&lt;&gt;""),"●","")</x:f>
      </x:c>
    </x:row>
    <x:row r="314">
      <x:c r="A314" s="159" t="str">
        <x:f>IF('รายการสัญญา'!A314="","",'รายการสัญญา'!A314)</x:f>
      </x:c>
      <x:c r="B314" s="159" t="str">
        <x:f>IF('รายการสัญญา'!A314="","",'รายการสัญญา'!C314)</x:f>
      </x:c>
      <x:c r="C314" s="162" t="str">
        <x:f>IF('รายการสัญญา'!A314="","",'รายการสัญญา'!E314)</x:f>
      </x:c>
      <x:c r="D314" s="162" t="str">
        <x:f>IF('รายการสัญญา'!A314="","",'รายการสัญญา'!G314)</x:f>
      </x:c>
      <x:c r="E314" s="159" t="str">
        <x:f>IF('รายการสัญญา'!A314="","",'รายการสัญญา'!K314)</x:f>
      </x:c>
      <x:c r="F314" s="165" t="str">
        <x:f>IF(AND(F$5&gt;=$C314,F$5&lt;=$D314,$A314&lt;&gt;""),"●","")</x:f>
      </x:c>
      <x:c r="G314" s="165" t="str">
        <x:f>IF(AND(G$5&gt;=$C314,G$5&lt;=$D314,$A314&lt;&gt;""),"●","")</x:f>
      </x:c>
      <x:c r="H314" s="165" t="str">
        <x:f>IF(AND(H$5&gt;=$C314,H$5&lt;=$D314,$A314&lt;&gt;""),"●","")</x:f>
      </x:c>
      <x:c r="I314" s="165" t="str">
        <x:f>IF(AND(I$5&gt;=$C314,I$5&lt;=$D314,$A314&lt;&gt;""),"●","")</x:f>
      </x:c>
      <x:c r="J314" s="165" t="str">
        <x:f>IF(AND(J$5&gt;=$C314,J$5&lt;=$D314,$A314&lt;&gt;""),"●","")</x:f>
      </x:c>
      <x:c r="K314" s="165" t="str">
        <x:f>IF(AND(K$5&gt;=$C314,K$5&lt;=$D314,$A314&lt;&gt;""),"●","")</x:f>
      </x:c>
      <x:c r="L314" s="165" t="str">
        <x:f>IF(AND(L$5&gt;=$C314,L$5&lt;=$D314,$A314&lt;&gt;""),"●","")</x:f>
      </x:c>
      <x:c r="M314" s="165" t="str">
        <x:f>IF(AND(M$5&gt;=$C314,M$5&lt;=$D314,$A314&lt;&gt;""),"●","")</x:f>
      </x:c>
      <x:c r="N314" s="165" t="str">
        <x:f>IF(AND(N$5&gt;=$C314,N$5&lt;=$D314,$A314&lt;&gt;""),"●","")</x:f>
      </x:c>
      <x:c r="O314" s="165" t="str">
        <x:f>IF(AND(O$5&gt;=$C314,O$5&lt;=$D314,$A314&lt;&gt;""),"●","")</x:f>
      </x:c>
      <x:c r="P314" s="165" t="str">
        <x:f>IF(AND(P$5&gt;=$C314,P$5&lt;=$D314,$A314&lt;&gt;""),"●","")</x:f>
      </x:c>
      <x:c r="Q314" s="165" t="str">
        <x:f>IF(AND(Q$5&gt;=$C314,Q$5&lt;=$D314,$A314&lt;&gt;""),"●","")</x:f>
      </x:c>
      <x:c r="R314" s="165" t="str">
        <x:f>IF(AND(R$5&gt;=$C314,R$5&lt;=$D314,$A314&lt;&gt;""),"●","")</x:f>
      </x:c>
      <x:c r="S314" s="165" t="str">
        <x:f>IF(AND(S$5&gt;=$C314,S$5&lt;=$D314,$A314&lt;&gt;""),"●","")</x:f>
      </x:c>
      <x:c r="T314" s="165" t="str">
        <x:f>IF(AND(T$5&gt;=$C314,T$5&lt;=$D314,$A314&lt;&gt;""),"●","")</x:f>
      </x:c>
      <x:c r="U314" s="165" t="str">
        <x:f>IF(AND(U$5&gt;=$C314,U$5&lt;=$D314,$A314&lt;&gt;""),"●","")</x:f>
      </x:c>
      <x:c r="V314" s="165" t="str">
        <x:f>IF(AND(V$5&gt;=$C314,V$5&lt;=$D314,$A314&lt;&gt;""),"●","")</x:f>
      </x:c>
      <x:c r="W314" s="165" t="str">
        <x:f>IF(AND(W$5&gt;=$C314,W$5&lt;=$D314,$A314&lt;&gt;""),"●","")</x:f>
      </x:c>
      <x:c r="X314" s="165" t="str">
        <x:f>IF(AND(X$5&gt;=$C314,X$5&lt;=$D314,$A314&lt;&gt;""),"●","")</x:f>
      </x:c>
      <x:c r="Y314" s="165" t="str">
        <x:f>IF(AND(Y$5&gt;=$C314,Y$5&lt;=$D314,$A314&lt;&gt;""),"●","")</x:f>
      </x:c>
      <x:c r="Z314" s="165" t="str">
        <x:f>IF(AND(Z$5&gt;=$C314,Z$5&lt;=$D314,$A314&lt;&gt;""),"●","")</x:f>
      </x:c>
      <x:c r="AA314" s="165" t="str">
        <x:f>IF(AND(AA$5&gt;=$C314,AA$5&lt;=$D314,$A314&lt;&gt;""),"●","")</x:f>
      </x:c>
      <x:c r="AB314" s="165" t="str">
        <x:f>IF(AND(AB$5&gt;=$C314,AB$5&lt;=$D314,$A314&lt;&gt;""),"●","")</x:f>
      </x:c>
      <x:c r="AC314" s="165" t="str">
        <x:f>IF(AND(AC$5&gt;=$C314,AC$5&lt;=$D314,$A314&lt;&gt;""),"●","")</x:f>
      </x:c>
      <x:c r="AD314" s="165" t="str">
        <x:f>IF(AND(AD$5&gt;=$C314,AD$5&lt;=$D314,$A314&lt;&gt;""),"●","")</x:f>
      </x:c>
      <x:c r="AE314" s="165" t="str">
        <x:f>IF(AND(AE$5&gt;=$C314,AE$5&lt;=$D314,$A314&lt;&gt;""),"●","")</x:f>
      </x:c>
      <x:c r="AF314" s="165" t="str">
        <x:f>IF(AND(AF$5&gt;=$C314,AF$5&lt;=$D314,$A314&lt;&gt;""),"●","")</x:f>
      </x:c>
      <x:c r="AG314" s="165" t="str">
        <x:f>IF(AND(AG$5&gt;=$C314,AG$5&lt;=$D314,$A314&lt;&gt;""),"●","")</x:f>
      </x:c>
      <x:c r="AH314" s="165" t="str">
        <x:f>IF(AND(AH$5&gt;=$C314,AH$5&lt;=$D314,$A314&lt;&gt;""),"●","")</x:f>
      </x:c>
      <x:c r="AI314" s="165" t="str">
        <x:f>IF(AND(AI$5&gt;=$C314,AI$5&lt;=$D314,$A314&lt;&gt;""),"●","")</x:f>
      </x:c>
      <x:c r="AJ314" s="165" t="str">
        <x:f>IF(AND(AJ$5&gt;=$C314,AJ$5&lt;=$D314,$A314&lt;&gt;""),"●","")</x:f>
      </x:c>
      <x:c r="AK314" s="165" t="str">
        <x:f>IF(AND(AK$5&gt;=$C314,AK$5&lt;=$D314,$A314&lt;&gt;""),"●","")</x:f>
      </x:c>
      <x:c r="AL314" s="165" t="str">
        <x:f>IF(AND(AL$5&gt;=$C314,AL$5&lt;=$D314,$A314&lt;&gt;""),"●","")</x:f>
      </x:c>
      <x:c r="AM314" s="165" t="str">
        <x:f>IF(AND(AM$5&gt;=$C314,AM$5&lt;=$D314,$A314&lt;&gt;""),"●","")</x:f>
      </x:c>
      <x:c r="AN314" s="165" t="str">
        <x:f>IF(AND(AN$5&gt;=$C314,AN$5&lt;=$D314,$A314&lt;&gt;""),"●","")</x:f>
      </x:c>
      <x:c r="AO314" s="165" t="str">
        <x:f>IF(AND(AO$5&gt;=$C314,AO$5&lt;=$D314,$A314&lt;&gt;""),"●","")</x:f>
      </x:c>
      <x:c r="AP314" s="165" t="str">
        <x:f>IF(AND(AP$5&gt;=$C314,AP$5&lt;=$D314,$A314&lt;&gt;""),"●","")</x:f>
      </x:c>
      <x:c r="AQ314" s="165" t="str">
        <x:f>IF(AND(AQ$5&gt;=$C314,AQ$5&lt;=$D314,$A314&lt;&gt;""),"●","")</x:f>
      </x:c>
      <x:c r="AR314" s="165" t="str">
        <x:f>IF(AND(AR$5&gt;=$C314,AR$5&lt;=$D314,$A314&lt;&gt;""),"●","")</x:f>
      </x:c>
      <x:c r="AS314" s="165" t="str">
        <x:f>IF(AND(AS$5&gt;=$C314,AS$5&lt;=$D314,$A314&lt;&gt;""),"●","")</x:f>
      </x:c>
      <x:c r="AT314" s="165" t="str">
        <x:f>IF(AND(AT$5&gt;=$C314,AT$5&lt;=$D314,$A314&lt;&gt;""),"●","")</x:f>
      </x:c>
      <x:c r="AU314" s="165" t="str">
        <x:f>IF(AND(AU$5&gt;=$C314,AU$5&lt;=$D314,$A314&lt;&gt;""),"●","")</x:f>
      </x:c>
      <x:c r="AV314" s="165" t="str">
        <x:f>IF(AND(AV$5&gt;=$C314,AV$5&lt;=$D314,$A314&lt;&gt;""),"●","")</x:f>
      </x:c>
      <x:c r="AW314" s="165" t="str">
        <x:f>IF(AND(AW$5&gt;=$C314,AW$5&lt;=$D314,$A314&lt;&gt;""),"●","")</x:f>
      </x:c>
      <x:c r="AX314" s="165" t="str">
        <x:f>IF(AND(AX$5&gt;=$C314,AX$5&lt;=$D314,$A314&lt;&gt;""),"●","")</x:f>
      </x:c>
      <x:c r="AY314" s="165" t="str">
        <x:f>IF(AND(AY$5&gt;=$C314,AY$5&lt;=$D314,$A314&lt;&gt;""),"●","")</x:f>
      </x:c>
      <x:c r="AZ314" s="165" t="str">
        <x:f>IF(AND(AZ$5&gt;=$C314,AZ$5&lt;=$D314,$A314&lt;&gt;""),"●","")</x:f>
      </x:c>
      <x:c r="BA314" s="165" t="str">
        <x:f>IF(AND(BA$5&gt;=$C314,BA$5&lt;=$D314,$A314&lt;&gt;""),"●","")</x:f>
      </x:c>
      <x:c r="BB314" s="165" t="str">
        <x:f>IF(AND(BB$5&gt;=$C314,BB$5&lt;=$D314,$A314&lt;&gt;""),"●","")</x:f>
      </x:c>
      <x:c r="BC314" s="165" t="str">
        <x:f>IF(AND(BC$5&gt;=$C314,BC$5&lt;=$D314,$A314&lt;&gt;""),"●","")</x:f>
      </x:c>
      <x:c r="BD314" s="165" t="str">
        <x:f>IF(AND(BD$5&gt;=$C314,BD$5&lt;=$D314,$A314&lt;&gt;""),"●","")</x:f>
      </x:c>
      <x:c r="BE314" s="165" t="str">
        <x:f>IF(AND(BE$5&gt;=$C314,BE$5&lt;=$D314,$A314&lt;&gt;""),"●","")</x:f>
      </x:c>
      <x:c r="BF314" s="165" t="str">
        <x:f>IF(AND(BF$5&gt;=$C314,BF$5&lt;=$D314,$A314&lt;&gt;""),"●","")</x:f>
      </x:c>
      <x:c r="BG314" s="165" t="str">
        <x:f>IF(AND(BG$5&gt;=$C314,BG$5&lt;=$D314,$A314&lt;&gt;""),"●","")</x:f>
      </x:c>
      <x:c r="BH314" s="165" t="str">
        <x:f>IF(AND(BH$5&gt;=$C314,BH$5&lt;=$D314,$A314&lt;&gt;""),"●","")</x:f>
      </x:c>
      <x:c r="BI314" s="165" t="str">
        <x:f>IF(AND(BI$5&gt;=$C314,BI$5&lt;=$D314,$A314&lt;&gt;""),"●","")</x:f>
      </x:c>
      <x:c r="BJ314" s="165" t="str">
        <x:f>IF(AND(BJ$5&gt;=$C314,BJ$5&lt;=$D314,$A314&lt;&gt;""),"●","")</x:f>
      </x:c>
      <x:c r="BK314" s="165" t="str">
        <x:f>IF(AND(BK$5&gt;=$C314,BK$5&lt;=$D314,$A314&lt;&gt;""),"●","")</x:f>
      </x:c>
      <x:c r="BL314" s="165" t="str">
        <x:f>IF(AND(BL$5&gt;=$C314,BL$5&lt;=$D314,$A314&lt;&gt;""),"●","")</x:f>
      </x:c>
      <x:c r="BM314" s="165" t="str">
        <x:f>IF(AND(BM$5&gt;=$C314,BM$5&lt;=$D314,$A314&lt;&gt;""),"●","")</x:f>
      </x:c>
      <x:c r="BN314" s="165" t="str">
        <x:f>IF(AND(BN$5&gt;=$C314,BN$5&lt;=$D314,$A314&lt;&gt;""),"●","")</x:f>
      </x:c>
      <x:c r="BO314" s="165" t="str">
        <x:f>IF(AND(BO$5&gt;=$C314,BO$5&lt;=$D314,$A314&lt;&gt;""),"●","")</x:f>
      </x:c>
      <x:c r="BP314" s="165" t="str">
        <x:f>IF(AND(BP$5&gt;=$C314,BP$5&lt;=$D314,$A314&lt;&gt;""),"●","")</x:f>
      </x:c>
      <x:c r="BQ314" s="165" t="str">
        <x:f>IF(AND(BQ$5&gt;=$C314,BQ$5&lt;=$D314,$A314&lt;&gt;""),"●","")</x:f>
      </x:c>
      <x:c r="BR314" s="165" t="str">
        <x:f>IF(AND(BR$5&gt;=$C314,BR$5&lt;=$D314,$A314&lt;&gt;""),"●","")</x:f>
      </x:c>
      <x:c r="BS314" s="165" t="str">
        <x:f>IF(AND(BS$5&gt;=$C314,BS$5&lt;=$D314,$A314&lt;&gt;""),"●","")</x:f>
      </x:c>
      <x:c r="BT314" s="165" t="str">
        <x:f>IF(AND(BT$5&gt;=$C314,BT$5&lt;=$D314,$A314&lt;&gt;""),"●","")</x:f>
      </x:c>
      <x:c r="BU314" s="165" t="str">
        <x:f>IF(AND(BU$5&gt;=$C314,BU$5&lt;=$D314,$A314&lt;&gt;""),"●","")</x:f>
      </x:c>
      <x:c r="BV314" s="165" t="str">
        <x:f>IF(AND(BV$5&gt;=$C314,BV$5&lt;=$D314,$A314&lt;&gt;""),"●","")</x:f>
      </x:c>
      <x:c r="BW314" s="165" t="str">
        <x:f>IF(AND(BW$5&gt;=$C314,BW$5&lt;=$D314,$A314&lt;&gt;""),"●","")</x:f>
      </x:c>
    </x:row>
    <x:row r="315">
      <x:c r="A315" s="159" t="str">
        <x:f>IF('รายการสัญญา'!A315="","",'รายการสัญญา'!A315)</x:f>
      </x:c>
      <x:c r="B315" s="159" t="str">
        <x:f>IF('รายการสัญญา'!A315="","",'รายการสัญญา'!C315)</x:f>
      </x:c>
      <x:c r="C315" s="162" t="str">
        <x:f>IF('รายการสัญญา'!A315="","",'รายการสัญญา'!E315)</x:f>
      </x:c>
      <x:c r="D315" s="162" t="str">
        <x:f>IF('รายการสัญญา'!A315="","",'รายการสัญญา'!G315)</x:f>
      </x:c>
      <x:c r="E315" s="159" t="str">
        <x:f>IF('รายการสัญญา'!A315="","",'รายการสัญญา'!K315)</x:f>
      </x:c>
      <x:c r="F315" s="165" t="str">
        <x:f>IF(AND(F$5&gt;=$C315,F$5&lt;=$D315,$A315&lt;&gt;""),"●","")</x:f>
      </x:c>
      <x:c r="G315" s="165" t="str">
        <x:f>IF(AND(G$5&gt;=$C315,G$5&lt;=$D315,$A315&lt;&gt;""),"●","")</x:f>
      </x:c>
      <x:c r="H315" s="165" t="str">
        <x:f>IF(AND(H$5&gt;=$C315,H$5&lt;=$D315,$A315&lt;&gt;""),"●","")</x:f>
      </x:c>
      <x:c r="I315" s="165" t="str">
        <x:f>IF(AND(I$5&gt;=$C315,I$5&lt;=$D315,$A315&lt;&gt;""),"●","")</x:f>
      </x:c>
      <x:c r="J315" s="165" t="str">
        <x:f>IF(AND(J$5&gt;=$C315,J$5&lt;=$D315,$A315&lt;&gt;""),"●","")</x:f>
      </x:c>
      <x:c r="K315" s="165" t="str">
        <x:f>IF(AND(K$5&gt;=$C315,K$5&lt;=$D315,$A315&lt;&gt;""),"●","")</x:f>
      </x:c>
      <x:c r="L315" s="165" t="str">
        <x:f>IF(AND(L$5&gt;=$C315,L$5&lt;=$D315,$A315&lt;&gt;""),"●","")</x:f>
      </x:c>
      <x:c r="M315" s="165" t="str">
        <x:f>IF(AND(M$5&gt;=$C315,M$5&lt;=$D315,$A315&lt;&gt;""),"●","")</x:f>
      </x:c>
      <x:c r="N315" s="165" t="str">
        <x:f>IF(AND(N$5&gt;=$C315,N$5&lt;=$D315,$A315&lt;&gt;""),"●","")</x:f>
      </x:c>
      <x:c r="O315" s="165" t="str">
        <x:f>IF(AND(O$5&gt;=$C315,O$5&lt;=$D315,$A315&lt;&gt;""),"●","")</x:f>
      </x:c>
      <x:c r="P315" s="165" t="str">
        <x:f>IF(AND(P$5&gt;=$C315,P$5&lt;=$D315,$A315&lt;&gt;""),"●","")</x:f>
      </x:c>
      <x:c r="Q315" s="165" t="str">
        <x:f>IF(AND(Q$5&gt;=$C315,Q$5&lt;=$D315,$A315&lt;&gt;""),"●","")</x:f>
      </x:c>
      <x:c r="R315" s="165" t="str">
        <x:f>IF(AND(R$5&gt;=$C315,R$5&lt;=$D315,$A315&lt;&gt;""),"●","")</x:f>
      </x:c>
      <x:c r="S315" s="165" t="str">
        <x:f>IF(AND(S$5&gt;=$C315,S$5&lt;=$D315,$A315&lt;&gt;""),"●","")</x:f>
      </x:c>
      <x:c r="T315" s="165" t="str">
        <x:f>IF(AND(T$5&gt;=$C315,T$5&lt;=$D315,$A315&lt;&gt;""),"●","")</x:f>
      </x:c>
      <x:c r="U315" s="165" t="str">
        <x:f>IF(AND(U$5&gt;=$C315,U$5&lt;=$D315,$A315&lt;&gt;""),"●","")</x:f>
      </x:c>
      <x:c r="V315" s="165" t="str">
        <x:f>IF(AND(V$5&gt;=$C315,V$5&lt;=$D315,$A315&lt;&gt;""),"●","")</x:f>
      </x:c>
      <x:c r="W315" s="165" t="str">
        <x:f>IF(AND(W$5&gt;=$C315,W$5&lt;=$D315,$A315&lt;&gt;""),"●","")</x:f>
      </x:c>
      <x:c r="X315" s="165" t="str">
        <x:f>IF(AND(X$5&gt;=$C315,X$5&lt;=$D315,$A315&lt;&gt;""),"●","")</x:f>
      </x:c>
      <x:c r="Y315" s="165" t="str">
        <x:f>IF(AND(Y$5&gt;=$C315,Y$5&lt;=$D315,$A315&lt;&gt;""),"●","")</x:f>
      </x:c>
      <x:c r="Z315" s="165" t="str">
        <x:f>IF(AND(Z$5&gt;=$C315,Z$5&lt;=$D315,$A315&lt;&gt;""),"●","")</x:f>
      </x:c>
      <x:c r="AA315" s="165" t="str">
        <x:f>IF(AND(AA$5&gt;=$C315,AA$5&lt;=$D315,$A315&lt;&gt;""),"●","")</x:f>
      </x:c>
      <x:c r="AB315" s="165" t="str">
        <x:f>IF(AND(AB$5&gt;=$C315,AB$5&lt;=$D315,$A315&lt;&gt;""),"●","")</x:f>
      </x:c>
      <x:c r="AC315" s="165" t="str">
        <x:f>IF(AND(AC$5&gt;=$C315,AC$5&lt;=$D315,$A315&lt;&gt;""),"●","")</x:f>
      </x:c>
      <x:c r="AD315" s="165" t="str">
        <x:f>IF(AND(AD$5&gt;=$C315,AD$5&lt;=$D315,$A315&lt;&gt;""),"●","")</x:f>
      </x:c>
      <x:c r="AE315" s="165" t="str">
        <x:f>IF(AND(AE$5&gt;=$C315,AE$5&lt;=$D315,$A315&lt;&gt;""),"●","")</x:f>
      </x:c>
      <x:c r="AF315" s="165" t="str">
        <x:f>IF(AND(AF$5&gt;=$C315,AF$5&lt;=$D315,$A315&lt;&gt;""),"●","")</x:f>
      </x:c>
      <x:c r="AG315" s="165" t="str">
        <x:f>IF(AND(AG$5&gt;=$C315,AG$5&lt;=$D315,$A315&lt;&gt;""),"●","")</x:f>
      </x:c>
      <x:c r="AH315" s="165" t="str">
        <x:f>IF(AND(AH$5&gt;=$C315,AH$5&lt;=$D315,$A315&lt;&gt;""),"●","")</x:f>
      </x:c>
      <x:c r="AI315" s="165" t="str">
        <x:f>IF(AND(AI$5&gt;=$C315,AI$5&lt;=$D315,$A315&lt;&gt;""),"●","")</x:f>
      </x:c>
      <x:c r="AJ315" s="165" t="str">
        <x:f>IF(AND(AJ$5&gt;=$C315,AJ$5&lt;=$D315,$A315&lt;&gt;""),"●","")</x:f>
      </x:c>
      <x:c r="AK315" s="165" t="str">
        <x:f>IF(AND(AK$5&gt;=$C315,AK$5&lt;=$D315,$A315&lt;&gt;""),"●","")</x:f>
      </x:c>
      <x:c r="AL315" s="165" t="str">
        <x:f>IF(AND(AL$5&gt;=$C315,AL$5&lt;=$D315,$A315&lt;&gt;""),"●","")</x:f>
      </x:c>
      <x:c r="AM315" s="165" t="str">
        <x:f>IF(AND(AM$5&gt;=$C315,AM$5&lt;=$D315,$A315&lt;&gt;""),"●","")</x:f>
      </x:c>
      <x:c r="AN315" s="165" t="str">
        <x:f>IF(AND(AN$5&gt;=$C315,AN$5&lt;=$D315,$A315&lt;&gt;""),"●","")</x:f>
      </x:c>
      <x:c r="AO315" s="165" t="str">
        <x:f>IF(AND(AO$5&gt;=$C315,AO$5&lt;=$D315,$A315&lt;&gt;""),"●","")</x:f>
      </x:c>
      <x:c r="AP315" s="165" t="str">
        <x:f>IF(AND(AP$5&gt;=$C315,AP$5&lt;=$D315,$A315&lt;&gt;""),"●","")</x:f>
      </x:c>
      <x:c r="AQ315" s="165" t="str">
        <x:f>IF(AND(AQ$5&gt;=$C315,AQ$5&lt;=$D315,$A315&lt;&gt;""),"●","")</x:f>
      </x:c>
      <x:c r="AR315" s="165" t="str">
        <x:f>IF(AND(AR$5&gt;=$C315,AR$5&lt;=$D315,$A315&lt;&gt;""),"●","")</x:f>
      </x:c>
      <x:c r="AS315" s="165" t="str">
        <x:f>IF(AND(AS$5&gt;=$C315,AS$5&lt;=$D315,$A315&lt;&gt;""),"●","")</x:f>
      </x:c>
      <x:c r="AT315" s="165" t="str">
        <x:f>IF(AND(AT$5&gt;=$C315,AT$5&lt;=$D315,$A315&lt;&gt;""),"●","")</x:f>
      </x:c>
      <x:c r="AU315" s="165" t="str">
        <x:f>IF(AND(AU$5&gt;=$C315,AU$5&lt;=$D315,$A315&lt;&gt;""),"●","")</x:f>
      </x:c>
      <x:c r="AV315" s="165" t="str">
        <x:f>IF(AND(AV$5&gt;=$C315,AV$5&lt;=$D315,$A315&lt;&gt;""),"●","")</x:f>
      </x:c>
      <x:c r="AW315" s="165" t="str">
        <x:f>IF(AND(AW$5&gt;=$C315,AW$5&lt;=$D315,$A315&lt;&gt;""),"●","")</x:f>
      </x:c>
      <x:c r="AX315" s="165" t="str">
        <x:f>IF(AND(AX$5&gt;=$C315,AX$5&lt;=$D315,$A315&lt;&gt;""),"●","")</x:f>
      </x:c>
      <x:c r="AY315" s="165" t="str">
        <x:f>IF(AND(AY$5&gt;=$C315,AY$5&lt;=$D315,$A315&lt;&gt;""),"●","")</x:f>
      </x:c>
      <x:c r="AZ315" s="165" t="str">
        <x:f>IF(AND(AZ$5&gt;=$C315,AZ$5&lt;=$D315,$A315&lt;&gt;""),"●","")</x:f>
      </x:c>
      <x:c r="BA315" s="165" t="str">
        <x:f>IF(AND(BA$5&gt;=$C315,BA$5&lt;=$D315,$A315&lt;&gt;""),"●","")</x:f>
      </x:c>
      <x:c r="BB315" s="165" t="str">
        <x:f>IF(AND(BB$5&gt;=$C315,BB$5&lt;=$D315,$A315&lt;&gt;""),"●","")</x:f>
      </x:c>
      <x:c r="BC315" s="165" t="str">
        <x:f>IF(AND(BC$5&gt;=$C315,BC$5&lt;=$D315,$A315&lt;&gt;""),"●","")</x:f>
      </x:c>
      <x:c r="BD315" s="165" t="str">
        <x:f>IF(AND(BD$5&gt;=$C315,BD$5&lt;=$D315,$A315&lt;&gt;""),"●","")</x:f>
      </x:c>
      <x:c r="BE315" s="165" t="str">
        <x:f>IF(AND(BE$5&gt;=$C315,BE$5&lt;=$D315,$A315&lt;&gt;""),"●","")</x:f>
      </x:c>
      <x:c r="BF315" s="165" t="str">
        <x:f>IF(AND(BF$5&gt;=$C315,BF$5&lt;=$D315,$A315&lt;&gt;""),"●","")</x:f>
      </x:c>
      <x:c r="BG315" s="165" t="str">
        <x:f>IF(AND(BG$5&gt;=$C315,BG$5&lt;=$D315,$A315&lt;&gt;""),"●","")</x:f>
      </x:c>
      <x:c r="BH315" s="165" t="str">
        <x:f>IF(AND(BH$5&gt;=$C315,BH$5&lt;=$D315,$A315&lt;&gt;""),"●","")</x:f>
      </x:c>
      <x:c r="BI315" s="165" t="str">
        <x:f>IF(AND(BI$5&gt;=$C315,BI$5&lt;=$D315,$A315&lt;&gt;""),"●","")</x:f>
      </x:c>
      <x:c r="BJ315" s="165" t="str">
        <x:f>IF(AND(BJ$5&gt;=$C315,BJ$5&lt;=$D315,$A315&lt;&gt;""),"●","")</x:f>
      </x:c>
      <x:c r="BK315" s="165" t="str">
        <x:f>IF(AND(BK$5&gt;=$C315,BK$5&lt;=$D315,$A315&lt;&gt;""),"●","")</x:f>
      </x:c>
      <x:c r="BL315" s="165" t="str">
        <x:f>IF(AND(BL$5&gt;=$C315,BL$5&lt;=$D315,$A315&lt;&gt;""),"●","")</x:f>
      </x:c>
      <x:c r="BM315" s="165" t="str">
        <x:f>IF(AND(BM$5&gt;=$C315,BM$5&lt;=$D315,$A315&lt;&gt;""),"●","")</x:f>
      </x:c>
      <x:c r="BN315" s="165" t="str">
        <x:f>IF(AND(BN$5&gt;=$C315,BN$5&lt;=$D315,$A315&lt;&gt;""),"●","")</x:f>
      </x:c>
      <x:c r="BO315" s="165" t="str">
        <x:f>IF(AND(BO$5&gt;=$C315,BO$5&lt;=$D315,$A315&lt;&gt;""),"●","")</x:f>
      </x:c>
      <x:c r="BP315" s="165" t="str">
        <x:f>IF(AND(BP$5&gt;=$C315,BP$5&lt;=$D315,$A315&lt;&gt;""),"●","")</x:f>
      </x:c>
      <x:c r="BQ315" s="165" t="str">
        <x:f>IF(AND(BQ$5&gt;=$C315,BQ$5&lt;=$D315,$A315&lt;&gt;""),"●","")</x:f>
      </x:c>
      <x:c r="BR315" s="165" t="str">
        <x:f>IF(AND(BR$5&gt;=$C315,BR$5&lt;=$D315,$A315&lt;&gt;""),"●","")</x:f>
      </x:c>
      <x:c r="BS315" s="165" t="str">
        <x:f>IF(AND(BS$5&gt;=$C315,BS$5&lt;=$D315,$A315&lt;&gt;""),"●","")</x:f>
      </x:c>
      <x:c r="BT315" s="165" t="str">
        <x:f>IF(AND(BT$5&gt;=$C315,BT$5&lt;=$D315,$A315&lt;&gt;""),"●","")</x:f>
      </x:c>
      <x:c r="BU315" s="165" t="str">
        <x:f>IF(AND(BU$5&gt;=$C315,BU$5&lt;=$D315,$A315&lt;&gt;""),"●","")</x:f>
      </x:c>
      <x:c r="BV315" s="165" t="str">
        <x:f>IF(AND(BV$5&gt;=$C315,BV$5&lt;=$D315,$A315&lt;&gt;""),"●","")</x:f>
      </x:c>
      <x:c r="BW315" s="165" t="str">
        <x:f>IF(AND(BW$5&gt;=$C315,BW$5&lt;=$D315,$A315&lt;&gt;""),"●","")</x:f>
      </x:c>
    </x:row>
    <x:row r="316">
      <x:c r="A316" s="159" t="str">
        <x:f>IF('รายการสัญญา'!A316="","",'รายการสัญญา'!A316)</x:f>
      </x:c>
      <x:c r="B316" s="159" t="str">
        <x:f>IF('รายการสัญญา'!A316="","",'รายการสัญญา'!C316)</x:f>
      </x:c>
      <x:c r="C316" s="162" t="str">
        <x:f>IF('รายการสัญญา'!A316="","",'รายการสัญญา'!E316)</x:f>
      </x:c>
      <x:c r="D316" s="162" t="str">
        <x:f>IF('รายการสัญญา'!A316="","",'รายการสัญญา'!G316)</x:f>
      </x:c>
      <x:c r="E316" s="159" t="str">
        <x:f>IF('รายการสัญญา'!A316="","",'รายการสัญญา'!K316)</x:f>
      </x:c>
      <x:c r="F316" s="165" t="str">
        <x:f>IF(AND(F$5&gt;=$C316,F$5&lt;=$D316,$A316&lt;&gt;""),"●","")</x:f>
      </x:c>
      <x:c r="G316" s="165" t="str">
        <x:f>IF(AND(G$5&gt;=$C316,G$5&lt;=$D316,$A316&lt;&gt;""),"●","")</x:f>
      </x:c>
      <x:c r="H316" s="165" t="str">
        <x:f>IF(AND(H$5&gt;=$C316,H$5&lt;=$D316,$A316&lt;&gt;""),"●","")</x:f>
      </x:c>
      <x:c r="I316" s="165" t="str">
        <x:f>IF(AND(I$5&gt;=$C316,I$5&lt;=$D316,$A316&lt;&gt;""),"●","")</x:f>
      </x:c>
      <x:c r="J316" s="165" t="str">
        <x:f>IF(AND(J$5&gt;=$C316,J$5&lt;=$D316,$A316&lt;&gt;""),"●","")</x:f>
      </x:c>
      <x:c r="K316" s="165" t="str">
        <x:f>IF(AND(K$5&gt;=$C316,K$5&lt;=$D316,$A316&lt;&gt;""),"●","")</x:f>
      </x:c>
      <x:c r="L316" s="165" t="str">
        <x:f>IF(AND(L$5&gt;=$C316,L$5&lt;=$D316,$A316&lt;&gt;""),"●","")</x:f>
      </x:c>
      <x:c r="M316" s="165" t="str">
        <x:f>IF(AND(M$5&gt;=$C316,M$5&lt;=$D316,$A316&lt;&gt;""),"●","")</x:f>
      </x:c>
      <x:c r="N316" s="165" t="str">
        <x:f>IF(AND(N$5&gt;=$C316,N$5&lt;=$D316,$A316&lt;&gt;""),"●","")</x:f>
      </x:c>
      <x:c r="O316" s="165" t="str">
        <x:f>IF(AND(O$5&gt;=$C316,O$5&lt;=$D316,$A316&lt;&gt;""),"●","")</x:f>
      </x:c>
      <x:c r="P316" s="165" t="str">
        <x:f>IF(AND(P$5&gt;=$C316,P$5&lt;=$D316,$A316&lt;&gt;""),"●","")</x:f>
      </x:c>
      <x:c r="Q316" s="165" t="str">
        <x:f>IF(AND(Q$5&gt;=$C316,Q$5&lt;=$D316,$A316&lt;&gt;""),"●","")</x:f>
      </x:c>
      <x:c r="R316" s="165" t="str">
        <x:f>IF(AND(R$5&gt;=$C316,R$5&lt;=$D316,$A316&lt;&gt;""),"●","")</x:f>
      </x:c>
      <x:c r="S316" s="165" t="str">
        <x:f>IF(AND(S$5&gt;=$C316,S$5&lt;=$D316,$A316&lt;&gt;""),"●","")</x:f>
      </x:c>
      <x:c r="T316" s="165" t="str">
        <x:f>IF(AND(T$5&gt;=$C316,T$5&lt;=$D316,$A316&lt;&gt;""),"●","")</x:f>
      </x:c>
      <x:c r="U316" s="165" t="str">
        <x:f>IF(AND(U$5&gt;=$C316,U$5&lt;=$D316,$A316&lt;&gt;""),"●","")</x:f>
      </x:c>
      <x:c r="V316" s="165" t="str">
        <x:f>IF(AND(V$5&gt;=$C316,V$5&lt;=$D316,$A316&lt;&gt;""),"●","")</x:f>
      </x:c>
      <x:c r="W316" s="165" t="str">
        <x:f>IF(AND(W$5&gt;=$C316,W$5&lt;=$D316,$A316&lt;&gt;""),"●","")</x:f>
      </x:c>
      <x:c r="X316" s="165" t="str">
        <x:f>IF(AND(X$5&gt;=$C316,X$5&lt;=$D316,$A316&lt;&gt;""),"●","")</x:f>
      </x:c>
      <x:c r="Y316" s="165" t="str">
        <x:f>IF(AND(Y$5&gt;=$C316,Y$5&lt;=$D316,$A316&lt;&gt;""),"●","")</x:f>
      </x:c>
      <x:c r="Z316" s="165" t="str">
        <x:f>IF(AND(Z$5&gt;=$C316,Z$5&lt;=$D316,$A316&lt;&gt;""),"●","")</x:f>
      </x:c>
      <x:c r="AA316" s="165" t="str">
        <x:f>IF(AND(AA$5&gt;=$C316,AA$5&lt;=$D316,$A316&lt;&gt;""),"●","")</x:f>
      </x:c>
      <x:c r="AB316" s="165" t="str">
        <x:f>IF(AND(AB$5&gt;=$C316,AB$5&lt;=$D316,$A316&lt;&gt;""),"●","")</x:f>
      </x:c>
      <x:c r="AC316" s="165" t="str">
        <x:f>IF(AND(AC$5&gt;=$C316,AC$5&lt;=$D316,$A316&lt;&gt;""),"●","")</x:f>
      </x:c>
      <x:c r="AD316" s="165" t="str">
        <x:f>IF(AND(AD$5&gt;=$C316,AD$5&lt;=$D316,$A316&lt;&gt;""),"●","")</x:f>
      </x:c>
      <x:c r="AE316" s="165" t="str">
        <x:f>IF(AND(AE$5&gt;=$C316,AE$5&lt;=$D316,$A316&lt;&gt;""),"●","")</x:f>
      </x:c>
      <x:c r="AF316" s="165" t="str">
        <x:f>IF(AND(AF$5&gt;=$C316,AF$5&lt;=$D316,$A316&lt;&gt;""),"●","")</x:f>
      </x:c>
      <x:c r="AG316" s="165" t="str">
        <x:f>IF(AND(AG$5&gt;=$C316,AG$5&lt;=$D316,$A316&lt;&gt;""),"●","")</x:f>
      </x:c>
      <x:c r="AH316" s="165" t="str">
        <x:f>IF(AND(AH$5&gt;=$C316,AH$5&lt;=$D316,$A316&lt;&gt;""),"●","")</x:f>
      </x:c>
      <x:c r="AI316" s="165" t="str">
        <x:f>IF(AND(AI$5&gt;=$C316,AI$5&lt;=$D316,$A316&lt;&gt;""),"●","")</x:f>
      </x:c>
      <x:c r="AJ316" s="165" t="str">
        <x:f>IF(AND(AJ$5&gt;=$C316,AJ$5&lt;=$D316,$A316&lt;&gt;""),"●","")</x:f>
      </x:c>
      <x:c r="AK316" s="165" t="str">
        <x:f>IF(AND(AK$5&gt;=$C316,AK$5&lt;=$D316,$A316&lt;&gt;""),"●","")</x:f>
      </x:c>
      <x:c r="AL316" s="165" t="str">
        <x:f>IF(AND(AL$5&gt;=$C316,AL$5&lt;=$D316,$A316&lt;&gt;""),"●","")</x:f>
      </x:c>
      <x:c r="AM316" s="165" t="str">
        <x:f>IF(AND(AM$5&gt;=$C316,AM$5&lt;=$D316,$A316&lt;&gt;""),"●","")</x:f>
      </x:c>
      <x:c r="AN316" s="165" t="str">
        <x:f>IF(AND(AN$5&gt;=$C316,AN$5&lt;=$D316,$A316&lt;&gt;""),"●","")</x:f>
      </x:c>
      <x:c r="AO316" s="165" t="str">
        <x:f>IF(AND(AO$5&gt;=$C316,AO$5&lt;=$D316,$A316&lt;&gt;""),"●","")</x:f>
      </x:c>
      <x:c r="AP316" s="165" t="str">
        <x:f>IF(AND(AP$5&gt;=$C316,AP$5&lt;=$D316,$A316&lt;&gt;""),"●","")</x:f>
      </x:c>
      <x:c r="AQ316" s="165" t="str">
        <x:f>IF(AND(AQ$5&gt;=$C316,AQ$5&lt;=$D316,$A316&lt;&gt;""),"●","")</x:f>
      </x:c>
      <x:c r="AR316" s="165" t="str">
        <x:f>IF(AND(AR$5&gt;=$C316,AR$5&lt;=$D316,$A316&lt;&gt;""),"●","")</x:f>
      </x:c>
      <x:c r="AS316" s="165" t="str">
        <x:f>IF(AND(AS$5&gt;=$C316,AS$5&lt;=$D316,$A316&lt;&gt;""),"●","")</x:f>
      </x:c>
      <x:c r="AT316" s="165" t="str">
        <x:f>IF(AND(AT$5&gt;=$C316,AT$5&lt;=$D316,$A316&lt;&gt;""),"●","")</x:f>
      </x:c>
      <x:c r="AU316" s="165" t="str">
        <x:f>IF(AND(AU$5&gt;=$C316,AU$5&lt;=$D316,$A316&lt;&gt;""),"●","")</x:f>
      </x:c>
      <x:c r="AV316" s="165" t="str">
        <x:f>IF(AND(AV$5&gt;=$C316,AV$5&lt;=$D316,$A316&lt;&gt;""),"●","")</x:f>
      </x:c>
      <x:c r="AW316" s="165" t="str">
        <x:f>IF(AND(AW$5&gt;=$C316,AW$5&lt;=$D316,$A316&lt;&gt;""),"●","")</x:f>
      </x:c>
      <x:c r="AX316" s="165" t="str">
        <x:f>IF(AND(AX$5&gt;=$C316,AX$5&lt;=$D316,$A316&lt;&gt;""),"●","")</x:f>
      </x:c>
      <x:c r="AY316" s="165" t="str">
        <x:f>IF(AND(AY$5&gt;=$C316,AY$5&lt;=$D316,$A316&lt;&gt;""),"●","")</x:f>
      </x:c>
      <x:c r="AZ316" s="165" t="str">
        <x:f>IF(AND(AZ$5&gt;=$C316,AZ$5&lt;=$D316,$A316&lt;&gt;""),"●","")</x:f>
      </x:c>
      <x:c r="BA316" s="165" t="str">
        <x:f>IF(AND(BA$5&gt;=$C316,BA$5&lt;=$D316,$A316&lt;&gt;""),"●","")</x:f>
      </x:c>
      <x:c r="BB316" s="165" t="str">
        <x:f>IF(AND(BB$5&gt;=$C316,BB$5&lt;=$D316,$A316&lt;&gt;""),"●","")</x:f>
      </x:c>
      <x:c r="BC316" s="165" t="str">
        <x:f>IF(AND(BC$5&gt;=$C316,BC$5&lt;=$D316,$A316&lt;&gt;""),"●","")</x:f>
      </x:c>
      <x:c r="BD316" s="165" t="str">
        <x:f>IF(AND(BD$5&gt;=$C316,BD$5&lt;=$D316,$A316&lt;&gt;""),"●","")</x:f>
      </x:c>
      <x:c r="BE316" s="165" t="str">
        <x:f>IF(AND(BE$5&gt;=$C316,BE$5&lt;=$D316,$A316&lt;&gt;""),"●","")</x:f>
      </x:c>
      <x:c r="BF316" s="165" t="str">
        <x:f>IF(AND(BF$5&gt;=$C316,BF$5&lt;=$D316,$A316&lt;&gt;""),"●","")</x:f>
      </x:c>
      <x:c r="BG316" s="165" t="str">
        <x:f>IF(AND(BG$5&gt;=$C316,BG$5&lt;=$D316,$A316&lt;&gt;""),"●","")</x:f>
      </x:c>
      <x:c r="BH316" s="165" t="str">
        <x:f>IF(AND(BH$5&gt;=$C316,BH$5&lt;=$D316,$A316&lt;&gt;""),"●","")</x:f>
      </x:c>
      <x:c r="BI316" s="165" t="str">
        <x:f>IF(AND(BI$5&gt;=$C316,BI$5&lt;=$D316,$A316&lt;&gt;""),"●","")</x:f>
      </x:c>
      <x:c r="BJ316" s="165" t="str">
        <x:f>IF(AND(BJ$5&gt;=$C316,BJ$5&lt;=$D316,$A316&lt;&gt;""),"●","")</x:f>
      </x:c>
      <x:c r="BK316" s="165" t="str">
        <x:f>IF(AND(BK$5&gt;=$C316,BK$5&lt;=$D316,$A316&lt;&gt;""),"●","")</x:f>
      </x:c>
      <x:c r="BL316" s="165" t="str">
        <x:f>IF(AND(BL$5&gt;=$C316,BL$5&lt;=$D316,$A316&lt;&gt;""),"●","")</x:f>
      </x:c>
      <x:c r="BM316" s="165" t="str">
        <x:f>IF(AND(BM$5&gt;=$C316,BM$5&lt;=$D316,$A316&lt;&gt;""),"●","")</x:f>
      </x:c>
      <x:c r="BN316" s="165" t="str">
        <x:f>IF(AND(BN$5&gt;=$C316,BN$5&lt;=$D316,$A316&lt;&gt;""),"●","")</x:f>
      </x:c>
      <x:c r="BO316" s="165" t="str">
        <x:f>IF(AND(BO$5&gt;=$C316,BO$5&lt;=$D316,$A316&lt;&gt;""),"●","")</x:f>
      </x:c>
      <x:c r="BP316" s="165" t="str">
        <x:f>IF(AND(BP$5&gt;=$C316,BP$5&lt;=$D316,$A316&lt;&gt;""),"●","")</x:f>
      </x:c>
      <x:c r="BQ316" s="165" t="str">
        <x:f>IF(AND(BQ$5&gt;=$C316,BQ$5&lt;=$D316,$A316&lt;&gt;""),"●","")</x:f>
      </x:c>
      <x:c r="BR316" s="165" t="str">
        <x:f>IF(AND(BR$5&gt;=$C316,BR$5&lt;=$D316,$A316&lt;&gt;""),"●","")</x:f>
      </x:c>
      <x:c r="BS316" s="165" t="str">
        <x:f>IF(AND(BS$5&gt;=$C316,BS$5&lt;=$D316,$A316&lt;&gt;""),"●","")</x:f>
      </x:c>
      <x:c r="BT316" s="165" t="str">
        <x:f>IF(AND(BT$5&gt;=$C316,BT$5&lt;=$D316,$A316&lt;&gt;""),"●","")</x:f>
      </x:c>
      <x:c r="BU316" s="165" t="str">
        <x:f>IF(AND(BU$5&gt;=$C316,BU$5&lt;=$D316,$A316&lt;&gt;""),"●","")</x:f>
      </x:c>
      <x:c r="BV316" s="165" t="str">
        <x:f>IF(AND(BV$5&gt;=$C316,BV$5&lt;=$D316,$A316&lt;&gt;""),"●","")</x:f>
      </x:c>
      <x:c r="BW316" s="165" t="str">
        <x:f>IF(AND(BW$5&gt;=$C316,BW$5&lt;=$D316,$A316&lt;&gt;""),"●","")</x:f>
      </x:c>
    </x:row>
    <x:row r="317">
      <x:c r="A317" s="159" t="str">
        <x:f>IF('รายการสัญญา'!A317="","",'รายการสัญญา'!A317)</x:f>
      </x:c>
      <x:c r="B317" s="159" t="str">
        <x:f>IF('รายการสัญญา'!A317="","",'รายการสัญญา'!C317)</x:f>
      </x:c>
      <x:c r="C317" s="162" t="str">
        <x:f>IF('รายการสัญญา'!A317="","",'รายการสัญญา'!E317)</x:f>
      </x:c>
      <x:c r="D317" s="162" t="str">
        <x:f>IF('รายการสัญญา'!A317="","",'รายการสัญญา'!G317)</x:f>
      </x:c>
      <x:c r="E317" s="159" t="str">
        <x:f>IF('รายการสัญญา'!A317="","",'รายการสัญญา'!K317)</x:f>
      </x:c>
      <x:c r="F317" s="165" t="str">
        <x:f>IF(AND(F$5&gt;=$C317,F$5&lt;=$D317,$A317&lt;&gt;""),"●","")</x:f>
      </x:c>
      <x:c r="G317" s="165" t="str">
        <x:f>IF(AND(G$5&gt;=$C317,G$5&lt;=$D317,$A317&lt;&gt;""),"●","")</x:f>
      </x:c>
      <x:c r="H317" s="165" t="str">
        <x:f>IF(AND(H$5&gt;=$C317,H$5&lt;=$D317,$A317&lt;&gt;""),"●","")</x:f>
      </x:c>
      <x:c r="I317" s="165" t="str">
        <x:f>IF(AND(I$5&gt;=$C317,I$5&lt;=$D317,$A317&lt;&gt;""),"●","")</x:f>
      </x:c>
      <x:c r="J317" s="165" t="str">
        <x:f>IF(AND(J$5&gt;=$C317,J$5&lt;=$D317,$A317&lt;&gt;""),"●","")</x:f>
      </x:c>
      <x:c r="K317" s="165" t="str">
        <x:f>IF(AND(K$5&gt;=$C317,K$5&lt;=$D317,$A317&lt;&gt;""),"●","")</x:f>
      </x:c>
      <x:c r="L317" s="165" t="str">
        <x:f>IF(AND(L$5&gt;=$C317,L$5&lt;=$D317,$A317&lt;&gt;""),"●","")</x:f>
      </x:c>
      <x:c r="M317" s="165" t="str">
        <x:f>IF(AND(M$5&gt;=$C317,M$5&lt;=$D317,$A317&lt;&gt;""),"●","")</x:f>
      </x:c>
      <x:c r="N317" s="165" t="str">
        <x:f>IF(AND(N$5&gt;=$C317,N$5&lt;=$D317,$A317&lt;&gt;""),"●","")</x:f>
      </x:c>
      <x:c r="O317" s="165" t="str">
        <x:f>IF(AND(O$5&gt;=$C317,O$5&lt;=$D317,$A317&lt;&gt;""),"●","")</x:f>
      </x:c>
      <x:c r="P317" s="165" t="str">
        <x:f>IF(AND(P$5&gt;=$C317,P$5&lt;=$D317,$A317&lt;&gt;""),"●","")</x:f>
      </x:c>
      <x:c r="Q317" s="165" t="str">
        <x:f>IF(AND(Q$5&gt;=$C317,Q$5&lt;=$D317,$A317&lt;&gt;""),"●","")</x:f>
      </x:c>
      <x:c r="R317" s="165" t="str">
        <x:f>IF(AND(R$5&gt;=$C317,R$5&lt;=$D317,$A317&lt;&gt;""),"●","")</x:f>
      </x:c>
      <x:c r="S317" s="165" t="str">
        <x:f>IF(AND(S$5&gt;=$C317,S$5&lt;=$D317,$A317&lt;&gt;""),"●","")</x:f>
      </x:c>
      <x:c r="T317" s="165" t="str">
        <x:f>IF(AND(T$5&gt;=$C317,T$5&lt;=$D317,$A317&lt;&gt;""),"●","")</x:f>
      </x:c>
      <x:c r="U317" s="165" t="str">
        <x:f>IF(AND(U$5&gt;=$C317,U$5&lt;=$D317,$A317&lt;&gt;""),"●","")</x:f>
      </x:c>
      <x:c r="V317" s="165" t="str">
        <x:f>IF(AND(V$5&gt;=$C317,V$5&lt;=$D317,$A317&lt;&gt;""),"●","")</x:f>
      </x:c>
      <x:c r="W317" s="165" t="str">
        <x:f>IF(AND(W$5&gt;=$C317,W$5&lt;=$D317,$A317&lt;&gt;""),"●","")</x:f>
      </x:c>
      <x:c r="X317" s="165" t="str">
        <x:f>IF(AND(X$5&gt;=$C317,X$5&lt;=$D317,$A317&lt;&gt;""),"●","")</x:f>
      </x:c>
      <x:c r="Y317" s="165" t="str">
        <x:f>IF(AND(Y$5&gt;=$C317,Y$5&lt;=$D317,$A317&lt;&gt;""),"●","")</x:f>
      </x:c>
      <x:c r="Z317" s="165" t="str">
        <x:f>IF(AND(Z$5&gt;=$C317,Z$5&lt;=$D317,$A317&lt;&gt;""),"●","")</x:f>
      </x:c>
      <x:c r="AA317" s="165" t="str">
        <x:f>IF(AND(AA$5&gt;=$C317,AA$5&lt;=$D317,$A317&lt;&gt;""),"●","")</x:f>
      </x:c>
      <x:c r="AB317" s="165" t="str">
        <x:f>IF(AND(AB$5&gt;=$C317,AB$5&lt;=$D317,$A317&lt;&gt;""),"●","")</x:f>
      </x:c>
      <x:c r="AC317" s="165" t="str">
        <x:f>IF(AND(AC$5&gt;=$C317,AC$5&lt;=$D317,$A317&lt;&gt;""),"●","")</x:f>
      </x:c>
      <x:c r="AD317" s="165" t="str">
        <x:f>IF(AND(AD$5&gt;=$C317,AD$5&lt;=$D317,$A317&lt;&gt;""),"●","")</x:f>
      </x:c>
      <x:c r="AE317" s="165" t="str">
        <x:f>IF(AND(AE$5&gt;=$C317,AE$5&lt;=$D317,$A317&lt;&gt;""),"●","")</x:f>
      </x:c>
      <x:c r="AF317" s="165" t="str">
        <x:f>IF(AND(AF$5&gt;=$C317,AF$5&lt;=$D317,$A317&lt;&gt;""),"●","")</x:f>
      </x:c>
      <x:c r="AG317" s="165" t="str">
        <x:f>IF(AND(AG$5&gt;=$C317,AG$5&lt;=$D317,$A317&lt;&gt;""),"●","")</x:f>
      </x:c>
      <x:c r="AH317" s="165" t="str">
        <x:f>IF(AND(AH$5&gt;=$C317,AH$5&lt;=$D317,$A317&lt;&gt;""),"●","")</x:f>
      </x:c>
      <x:c r="AI317" s="165" t="str">
        <x:f>IF(AND(AI$5&gt;=$C317,AI$5&lt;=$D317,$A317&lt;&gt;""),"●","")</x:f>
      </x:c>
      <x:c r="AJ317" s="165" t="str">
        <x:f>IF(AND(AJ$5&gt;=$C317,AJ$5&lt;=$D317,$A317&lt;&gt;""),"●","")</x:f>
      </x:c>
      <x:c r="AK317" s="165" t="str">
        <x:f>IF(AND(AK$5&gt;=$C317,AK$5&lt;=$D317,$A317&lt;&gt;""),"●","")</x:f>
      </x:c>
      <x:c r="AL317" s="165" t="str">
        <x:f>IF(AND(AL$5&gt;=$C317,AL$5&lt;=$D317,$A317&lt;&gt;""),"●","")</x:f>
      </x:c>
      <x:c r="AM317" s="165" t="str">
        <x:f>IF(AND(AM$5&gt;=$C317,AM$5&lt;=$D317,$A317&lt;&gt;""),"●","")</x:f>
      </x:c>
      <x:c r="AN317" s="165" t="str">
        <x:f>IF(AND(AN$5&gt;=$C317,AN$5&lt;=$D317,$A317&lt;&gt;""),"●","")</x:f>
      </x:c>
      <x:c r="AO317" s="165" t="str">
        <x:f>IF(AND(AO$5&gt;=$C317,AO$5&lt;=$D317,$A317&lt;&gt;""),"●","")</x:f>
      </x:c>
      <x:c r="AP317" s="165" t="str">
        <x:f>IF(AND(AP$5&gt;=$C317,AP$5&lt;=$D317,$A317&lt;&gt;""),"●","")</x:f>
      </x:c>
      <x:c r="AQ317" s="165" t="str">
        <x:f>IF(AND(AQ$5&gt;=$C317,AQ$5&lt;=$D317,$A317&lt;&gt;""),"●","")</x:f>
      </x:c>
      <x:c r="AR317" s="165" t="str">
        <x:f>IF(AND(AR$5&gt;=$C317,AR$5&lt;=$D317,$A317&lt;&gt;""),"●","")</x:f>
      </x:c>
      <x:c r="AS317" s="165" t="str">
        <x:f>IF(AND(AS$5&gt;=$C317,AS$5&lt;=$D317,$A317&lt;&gt;""),"●","")</x:f>
      </x:c>
      <x:c r="AT317" s="165" t="str">
        <x:f>IF(AND(AT$5&gt;=$C317,AT$5&lt;=$D317,$A317&lt;&gt;""),"●","")</x:f>
      </x:c>
      <x:c r="AU317" s="165" t="str">
        <x:f>IF(AND(AU$5&gt;=$C317,AU$5&lt;=$D317,$A317&lt;&gt;""),"●","")</x:f>
      </x:c>
      <x:c r="AV317" s="165" t="str">
        <x:f>IF(AND(AV$5&gt;=$C317,AV$5&lt;=$D317,$A317&lt;&gt;""),"●","")</x:f>
      </x:c>
      <x:c r="AW317" s="165" t="str">
        <x:f>IF(AND(AW$5&gt;=$C317,AW$5&lt;=$D317,$A317&lt;&gt;""),"●","")</x:f>
      </x:c>
      <x:c r="AX317" s="165" t="str">
        <x:f>IF(AND(AX$5&gt;=$C317,AX$5&lt;=$D317,$A317&lt;&gt;""),"●","")</x:f>
      </x:c>
      <x:c r="AY317" s="165" t="str">
        <x:f>IF(AND(AY$5&gt;=$C317,AY$5&lt;=$D317,$A317&lt;&gt;""),"●","")</x:f>
      </x:c>
      <x:c r="AZ317" s="165" t="str">
        <x:f>IF(AND(AZ$5&gt;=$C317,AZ$5&lt;=$D317,$A317&lt;&gt;""),"●","")</x:f>
      </x:c>
      <x:c r="BA317" s="165" t="str">
        <x:f>IF(AND(BA$5&gt;=$C317,BA$5&lt;=$D317,$A317&lt;&gt;""),"●","")</x:f>
      </x:c>
      <x:c r="BB317" s="165" t="str">
        <x:f>IF(AND(BB$5&gt;=$C317,BB$5&lt;=$D317,$A317&lt;&gt;""),"●","")</x:f>
      </x:c>
      <x:c r="BC317" s="165" t="str">
        <x:f>IF(AND(BC$5&gt;=$C317,BC$5&lt;=$D317,$A317&lt;&gt;""),"●","")</x:f>
      </x:c>
      <x:c r="BD317" s="165" t="str">
        <x:f>IF(AND(BD$5&gt;=$C317,BD$5&lt;=$D317,$A317&lt;&gt;""),"●","")</x:f>
      </x:c>
      <x:c r="BE317" s="165" t="str">
        <x:f>IF(AND(BE$5&gt;=$C317,BE$5&lt;=$D317,$A317&lt;&gt;""),"●","")</x:f>
      </x:c>
      <x:c r="BF317" s="165" t="str">
        <x:f>IF(AND(BF$5&gt;=$C317,BF$5&lt;=$D317,$A317&lt;&gt;""),"●","")</x:f>
      </x:c>
      <x:c r="BG317" s="165" t="str">
        <x:f>IF(AND(BG$5&gt;=$C317,BG$5&lt;=$D317,$A317&lt;&gt;""),"●","")</x:f>
      </x:c>
      <x:c r="BH317" s="165" t="str">
        <x:f>IF(AND(BH$5&gt;=$C317,BH$5&lt;=$D317,$A317&lt;&gt;""),"●","")</x:f>
      </x:c>
      <x:c r="BI317" s="165" t="str">
        <x:f>IF(AND(BI$5&gt;=$C317,BI$5&lt;=$D317,$A317&lt;&gt;""),"●","")</x:f>
      </x:c>
      <x:c r="BJ317" s="165" t="str">
        <x:f>IF(AND(BJ$5&gt;=$C317,BJ$5&lt;=$D317,$A317&lt;&gt;""),"●","")</x:f>
      </x:c>
      <x:c r="BK317" s="165" t="str">
        <x:f>IF(AND(BK$5&gt;=$C317,BK$5&lt;=$D317,$A317&lt;&gt;""),"●","")</x:f>
      </x:c>
      <x:c r="BL317" s="165" t="str">
        <x:f>IF(AND(BL$5&gt;=$C317,BL$5&lt;=$D317,$A317&lt;&gt;""),"●","")</x:f>
      </x:c>
      <x:c r="BM317" s="165" t="str">
        <x:f>IF(AND(BM$5&gt;=$C317,BM$5&lt;=$D317,$A317&lt;&gt;""),"●","")</x:f>
      </x:c>
      <x:c r="BN317" s="165" t="str">
        <x:f>IF(AND(BN$5&gt;=$C317,BN$5&lt;=$D317,$A317&lt;&gt;""),"●","")</x:f>
      </x:c>
      <x:c r="BO317" s="165" t="str">
        <x:f>IF(AND(BO$5&gt;=$C317,BO$5&lt;=$D317,$A317&lt;&gt;""),"●","")</x:f>
      </x:c>
      <x:c r="BP317" s="165" t="str">
        <x:f>IF(AND(BP$5&gt;=$C317,BP$5&lt;=$D317,$A317&lt;&gt;""),"●","")</x:f>
      </x:c>
      <x:c r="BQ317" s="165" t="str">
        <x:f>IF(AND(BQ$5&gt;=$C317,BQ$5&lt;=$D317,$A317&lt;&gt;""),"●","")</x:f>
      </x:c>
      <x:c r="BR317" s="165" t="str">
        <x:f>IF(AND(BR$5&gt;=$C317,BR$5&lt;=$D317,$A317&lt;&gt;""),"●","")</x:f>
      </x:c>
      <x:c r="BS317" s="165" t="str">
        <x:f>IF(AND(BS$5&gt;=$C317,BS$5&lt;=$D317,$A317&lt;&gt;""),"●","")</x:f>
      </x:c>
      <x:c r="BT317" s="165" t="str">
        <x:f>IF(AND(BT$5&gt;=$C317,BT$5&lt;=$D317,$A317&lt;&gt;""),"●","")</x:f>
      </x:c>
      <x:c r="BU317" s="165" t="str">
        <x:f>IF(AND(BU$5&gt;=$C317,BU$5&lt;=$D317,$A317&lt;&gt;""),"●","")</x:f>
      </x:c>
      <x:c r="BV317" s="165" t="str">
        <x:f>IF(AND(BV$5&gt;=$C317,BV$5&lt;=$D317,$A317&lt;&gt;""),"●","")</x:f>
      </x:c>
      <x:c r="BW317" s="165" t="str">
        <x:f>IF(AND(BW$5&gt;=$C317,BW$5&lt;=$D317,$A317&lt;&gt;""),"●","")</x:f>
      </x:c>
    </x:row>
    <x:row r="318">
      <x:c r="A318" s="159" t="str">
        <x:f>IF('รายการสัญญา'!A318="","",'รายการสัญญา'!A318)</x:f>
      </x:c>
      <x:c r="B318" s="159" t="str">
        <x:f>IF('รายการสัญญา'!A318="","",'รายการสัญญา'!C318)</x:f>
      </x:c>
      <x:c r="C318" s="162" t="str">
        <x:f>IF('รายการสัญญา'!A318="","",'รายการสัญญา'!E318)</x:f>
      </x:c>
      <x:c r="D318" s="162" t="str">
        <x:f>IF('รายการสัญญา'!A318="","",'รายการสัญญา'!G318)</x:f>
      </x:c>
      <x:c r="E318" s="159" t="str">
        <x:f>IF('รายการสัญญา'!A318="","",'รายการสัญญา'!K318)</x:f>
      </x:c>
      <x:c r="F318" s="165" t="str">
        <x:f>IF(AND(F$5&gt;=$C318,F$5&lt;=$D318,$A318&lt;&gt;""),"●","")</x:f>
      </x:c>
      <x:c r="G318" s="165" t="str">
        <x:f>IF(AND(G$5&gt;=$C318,G$5&lt;=$D318,$A318&lt;&gt;""),"●","")</x:f>
      </x:c>
      <x:c r="H318" s="165" t="str">
        <x:f>IF(AND(H$5&gt;=$C318,H$5&lt;=$D318,$A318&lt;&gt;""),"●","")</x:f>
      </x:c>
      <x:c r="I318" s="165" t="str">
        <x:f>IF(AND(I$5&gt;=$C318,I$5&lt;=$D318,$A318&lt;&gt;""),"●","")</x:f>
      </x:c>
      <x:c r="J318" s="165" t="str">
        <x:f>IF(AND(J$5&gt;=$C318,J$5&lt;=$D318,$A318&lt;&gt;""),"●","")</x:f>
      </x:c>
      <x:c r="K318" s="165" t="str">
        <x:f>IF(AND(K$5&gt;=$C318,K$5&lt;=$D318,$A318&lt;&gt;""),"●","")</x:f>
      </x:c>
      <x:c r="L318" s="165" t="str">
        <x:f>IF(AND(L$5&gt;=$C318,L$5&lt;=$D318,$A318&lt;&gt;""),"●","")</x:f>
      </x:c>
      <x:c r="M318" s="165" t="str">
        <x:f>IF(AND(M$5&gt;=$C318,M$5&lt;=$D318,$A318&lt;&gt;""),"●","")</x:f>
      </x:c>
      <x:c r="N318" s="165" t="str">
        <x:f>IF(AND(N$5&gt;=$C318,N$5&lt;=$D318,$A318&lt;&gt;""),"●","")</x:f>
      </x:c>
      <x:c r="O318" s="165" t="str">
        <x:f>IF(AND(O$5&gt;=$C318,O$5&lt;=$D318,$A318&lt;&gt;""),"●","")</x:f>
      </x:c>
      <x:c r="P318" s="165" t="str">
        <x:f>IF(AND(P$5&gt;=$C318,P$5&lt;=$D318,$A318&lt;&gt;""),"●","")</x:f>
      </x:c>
      <x:c r="Q318" s="165" t="str">
        <x:f>IF(AND(Q$5&gt;=$C318,Q$5&lt;=$D318,$A318&lt;&gt;""),"●","")</x:f>
      </x:c>
      <x:c r="R318" s="165" t="str">
        <x:f>IF(AND(R$5&gt;=$C318,R$5&lt;=$D318,$A318&lt;&gt;""),"●","")</x:f>
      </x:c>
      <x:c r="S318" s="165" t="str">
        <x:f>IF(AND(S$5&gt;=$C318,S$5&lt;=$D318,$A318&lt;&gt;""),"●","")</x:f>
      </x:c>
      <x:c r="T318" s="165" t="str">
        <x:f>IF(AND(T$5&gt;=$C318,T$5&lt;=$D318,$A318&lt;&gt;""),"●","")</x:f>
      </x:c>
      <x:c r="U318" s="165" t="str">
        <x:f>IF(AND(U$5&gt;=$C318,U$5&lt;=$D318,$A318&lt;&gt;""),"●","")</x:f>
      </x:c>
      <x:c r="V318" s="165" t="str">
        <x:f>IF(AND(V$5&gt;=$C318,V$5&lt;=$D318,$A318&lt;&gt;""),"●","")</x:f>
      </x:c>
      <x:c r="W318" s="165" t="str">
        <x:f>IF(AND(W$5&gt;=$C318,W$5&lt;=$D318,$A318&lt;&gt;""),"●","")</x:f>
      </x:c>
      <x:c r="X318" s="165" t="str">
        <x:f>IF(AND(X$5&gt;=$C318,X$5&lt;=$D318,$A318&lt;&gt;""),"●","")</x:f>
      </x:c>
      <x:c r="Y318" s="165" t="str">
        <x:f>IF(AND(Y$5&gt;=$C318,Y$5&lt;=$D318,$A318&lt;&gt;""),"●","")</x:f>
      </x:c>
      <x:c r="Z318" s="165" t="str">
        <x:f>IF(AND(Z$5&gt;=$C318,Z$5&lt;=$D318,$A318&lt;&gt;""),"●","")</x:f>
      </x:c>
      <x:c r="AA318" s="165" t="str">
        <x:f>IF(AND(AA$5&gt;=$C318,AA$5&lt;=$D318,$A318&lt;&gt;""),"●","")</x:f>
      </x:c>
      <x:c r="AB318" s="165" t="str">
        <x:f>IF(AND(AB$5&gt;=$C318,AB$5&lt;=$D318,$A318&lt;&gt;""),"●","")</x:f>
      </x:c>
      <x:c r="AC318" s="165" t="str">
        <x:f>IF(AND(AC$5&gt;=$C318,AC$5&lt;=$D318,$A318&lt;&gt;""),"●","")</x:f>
      </x:c>
      <x:c r="AD318" s="165" t="str">
        <x:f>IF(AND(AD$5&gt;=$C318,AD$5&lt;=$D318,$A318&lt;&gt;""),"●","")</x:f>
      </x:c>
      <x:c r="AE318" s="165" t="str">
        <x:f>IF(AND(AE$5&gt;=$C318,AE$5&lt;=$D318,$A318&lt;&gt;""),"●","")</x:f>
      </x:c>
      <x:c r="AF318" s="165" t="str">
        <x:f>IF(AND(AF$5&gt;=$C318,AF$5&lt;=$D318,$A318&lt;&gt;""),"●","")</x:f>
      </x:c>
      <x:c r="AG318" s="165" t="str">
        <x:f>IF(AND(AG$5&gt;=$C318,AG$5&lt;=$D318,$A318&lt;&gt;""),"●","")</x:f>
      </x:c>
      <x:c r="AH318" s="165" t="str">
        <x:f>IF(AND(AH$5&gt;=$C318,AH$5&lt;=$D318,$A318&lt;&gt;""),"●","")</x:f>
      </x:c>
      <x:c r="AI318" s="165" t="str">
        <x:f>IF(AND(AI$5&gt;=$C318,AI$5&lt;=$D318,$A318&lt;&gt;""),"●","")</x:f>
      </x:c>
      <x:c r="AJ318" s="165" t="str">
        <x:f>IF(AND(AJ$5&gt;=$C318,AJ$5&lt;=$D318,$A318&lt;&gt;""),"●","")</x:f>
      </x:c>
      <x:c r="AK318" s="165" t="str">
        <x:f>IF(AND(AK$5&gt;=$C318,AK$5&lt;=$D318,$A318&lt;&gt;""),"●","")</x:f>
      </x:c>
      <x:c r="AL318" s="165" t="str">
        <x:f>IF(AND(AL$5&gt;=$C318,AL$5&lt;=$D318,$A318&lt;&gt;""),"●","")</x:f>
      </x:c>
      <x:c r="AM318" s="165" t="str">
        <x:f>IF(AND(AM$5&gt;=$C318,AM$5&lt;=$D318,$A318&lt;&gt;""),"●","")</x:f>
      </x:c>
      <x:c r="AN318" s="165" t="str">
        <x:f>IF(AND(AN$5&gt;=$C318,AN$5&lt;=$D318,$A318&lt;&gt;""),"●","")</x:f>
      </x:c>
      <x:c r="AO318" s="165" t="str">
        <x:f>IF(AND(AO$5&gt;=$C318,AO$5&lt;=$D318,$A318&lt;&gt;""),"●","")</x:f>
      </x:c>
      <x:c r="AP318" s="165" t="str">
        <x:f>IF(AND(AP$5&gt;=$C318,AP$5&lt;=$D318,$A318&lt;&gt;""),"●","")</x:f>
      </x:c>
      <x:c r="AQ318" s="165" t="str">
        <x:f>IF(AND(AQ$5&gt;=$C318,AQ$5&lt;=$D318,$A318&lt;&gt;""),"●","")</x:f>
      </x:c>
      <x:c r="AR318" s="165" t="str">
        <x:f>IF(AND(AR$5&gt;=$C318,AR$5&lt;=$D318,$A318&lt;&gt;""),"●","")</x:f>
      </x:c>
      <x:c r="AS318" s="165" t="str">
        <x:f>IF(AND(AS$5&gt;=$C318,AS$5&lt;=$D318,$A318&lt;&gt;""),"●","")</x:f>
      </x:c>
      <x:c r="AT318" s="165" t="str">
        <x:f>IF(AND(AT$5&gt;=$C318,AT$5&lt;=$D318,$A318&lt;&gt;""),"●","")</x:f>
      </x:c>
      <x:c r="AU318" s="165" t="str">
        <x:f>IF(AND(AU$5&gt;=$C318,AU$5&lt;=$D318,$A318&lt;&gt;""),"●","")</x:f>
      </x:c>
      <x:c r="AV318" s="165" t="str">
        <x:f>IF(AND(AV$5&gt;=$C318,AV$5&lt;=$D318,$A318&lt;&gt;""),"●","")</x:f>
      </x:c>
      <x:c r="AW318" s="165" t="str">
        <x:f>IF(AND(AW$5&gt;=$C318,AW$5&lt;=$D318,$A318&lt;&gt;""),"●","")</x:f>
      </x:c>
      <x:c r="AX318" s="165" t="str">
        <x:f>IF(AND(AX$5&gt;=$C318,AX$5&lt;=$D318,$A318&lt;&gt;""),"●","")</x:f>
      </x:c>
      <x:c r="AY318" s="165" t="str">
        <x:f>IF(AND(AY$5&gt;=$C318,AY$5&lt;=$D318,$A318&lt;&gt;""),"●","")</x:f>
      </x:c>
      <x:c r="AZ318" s="165" t="str">
        <x:f>IF(AND(AZ$5&gt;=$C318,AZ$5&lt;=$D318,$A318&lt;&gt;""),"●","")</x:f>
      </x:c>
      <x:c r="BA318" s="165" t="str">
        <x:f>IF(AND(BA$5&gt;=$C318,BA$5&lt;=$D318,$A318&lt;&gt;""),"●","")</x:f>
      </x:c>
      <x:c r="BB318" s="165" t="str">
        <x:f>IF(AND(BB$5&gt;=$C318,BB$5&lt;=$D318,$A318&lt;&gt;""),"●","")</x:f>
      </x:c>
      <x:c r="BC318" s="165" t="str">
        <x:f>IF(AND(BC$5&gt;=$C318,BC$5&lt;=$D318,$A318&lt;&gt;""),"●","")</x:f>
      </x:c>
      <x:c r="BD318" s="165" t="str">
        <x:f>IF(AND(BD$5&gt;=$C318,BD$5&lt;=$D318,$A318&lt;&gt;""),"●","")</x:f>
      </x:c>
      <x:c r="BE318" s="165" t="str">
        <x:f>IF(AND(BE$5&gt;=$C318,BE$5&lt;=$D318,$A318&lt;&gt;""),"●","")</x:f>
      </x:c>
      <x:c r="BF318" s="165" t="str">
        <x:f>IF(AND(BF$5&gt;=$C318,BF$5&lt;=$D318,$A318&lt;&gt;""),"●","")</x:f>
      </x:c>
      <x:c r="BG318" s="165" t="str">
        <x:f>IF(AND(BG$5&gt;=$C318,BG$5&lt;=$D318,$A318&lt;&gt;""),"●","")</x:f>
      </x:c>
      <x:c r="BH318" s="165" t="str">
        <x:f>IF(AND(BH$5&gt;=$C318,BH$5&lt;=$D318,$A318&lt;&gt;""),"●","")</x:f>
      </x:c>
      <x:c r="BI318" s="165" t="str">
        <x:f>IF(AND(BI$5&gt;=$C318,BI$5&lt;=$D318,$A318&lt;&gt;""),"●","")</x:f>
      </x:c>
      <x:c r="BJ318" s="165" t="str">
        <x:f>IF(AND(BJ$5&gt;=$C318,BJ$5&lt;=$D318,$A318&lt;&gt;""),"●","")</x:f>
      </x:c>
      <x:c r="BK318" s="165" t="str">
        <x:f>IF(AND(BK$5&gt;=$C318,BK$5&lt;=$D318,$A318&lt;&gt;""),"●","")</x:f>
      </x:c>
      <x:c r="BL318" s="165" t="str">
        <x:f>IF(AND(BL$5&gt;=$C318,BL$5&lt;=$D318,$A318&lt;&gt;""),"●","")</x:f>
      </x:c>
      <x:c r="BM318" s="165" t="str">
        <x:f>IF(AND(BM$5&gt;=$C318,BM$5&lt;=$D318,$A318&lt;&gt;""),"●","")</x:f>
      </x:c>
      <x:c r="BN318" s="165" t="str">
        <x:f>IF(AND(BN$5&gt;=$C318,BN$5&lt;=$D318,$A318&lt;&gt;""),"●","")</x:f>
      </x:c>
      <x:c r="BO318" s="165" t="str">
        <x:f>IF(AND(BO$5&gt;=$C318,BO$5&lt;=$D318,$A318&lt;&gt;""),"●","")</x:f>
      </x:c>
      <x:c r="BP318" s="165" t="str">
        <x:f>IF(AND(BP$5&gt;=$C318,BP$5&lt;=$D318,$A318&lt;&gt;""),"●","")</x:f>
      </x:c>
      <x:c r="BQ318" s="165" t="str">
        <x:f>IF(AND(BQ$5&gt;=$C318,BQ$5&lt;=$D318,$A318&lt;&gt;""),"●","")</x:f>
      </x:c>
      <x:c r="BR318" s="165" t="str">
        <x:f>IF(AND(BR$5&gt;=$C318,BR$5&lt;=$D318,$A318&lt;&gt;""),"●","")</x:f>
      </x:c>
      <x:c r="BS318" s="165" t="str">
        <x:f>IF(AND(BS$5&gt;=$C318,BS$5&lt;=$D318,$A318&lt;&gt;""),"●","")</x:f>
      </x:c>
      <x:c r="BT318" s="165" t="str">
        <x:f>IF(AND(BT$5&gt;=$C318,BT$5&lt;=$D318,$A318&lt;&gt;""),"●","")</x:f>
      </x:c>
      <x:c r="BU318" s="165" t="str">
        <x:f>IF(AND(BU$5&gt;=$C318,BU$5&lt;=$D318,$A318&lt;&gt;""),"●","")</x:f>
      </x:c>
      <x:c r="BV318" s="165" t="str">
        <x:f>IF(AND(BV$5&gt;=$C318,BV$5&lt;=$D318,$A318&lt;&gt;""),"●","")</x:f>
      </x:c>
      <x:c r="BW318" s="165" t="str">
        <x:f>IF(AND(BW$5&gt;=$C318,BW$5&lt;=$D318,$A318&lt;&gt;""),"●","")</x:f>
      </x:c>
    </x:row>
    <x:row r="319">
      <x:c r="A319" s="159" t="str">
        <x:f>IF('รายการสัญญา'!A319="","",'รายการสัญญา'!A319)</x:f>
      </x:c>
      <x:c r="B319" s="159" t="str">
        <x:f>IF('รายการสัญญา'!A319="","",'รายการสัญญา'!C319)</x:f>
      </x:c>
      <x:c r="C319" s="162" t="str">
        <x:f>IF('รายการสัญญา'!A319="","",'รายการสัญญา'!E319)</x:f>
      </x:c>
      <x:c r="D319" s="162" t="str">
        <x:f>IF('รายการสัญญา'!A319="","",'รายการสัญญา'!G319)</x:f>
      </x:c>
      <x:c r="E319" s="159" t="str">
        <x:f>IF('รายการสัญญา'!A319="","",'รายการสัญญา'!K319)</x:f>
      </x:c>
      <x:c r="F319" s="165" t="str">
        <x:f>IF(AND(F$5&gt;=$C319,F$5&lt;=$D319,$A319&lt;&gt;""),"●","")</x:f>
      </x:c>
      <x:c r="G319" s="165" t="str">
        <x:f>IF(AND(G$5&gt;=$C319,G$5&lt;=$D319,$A319&lt;&gt;""),"●","")</x:f>
      </x:c>
      <x:c r="H319" s="165" t="str">
        <x:f>IF(AND(H$5&gt;=$C319,H$5&lt;=$D319,$A319&lt;&gt;""),"●","")</x:f>
      </x:c>
      <x:c r="I319" s="165" t="str">
        <x:f>IF(AND(I$5&gt;=$C319,I$5&lt;=$D319,$A319&lt;&gt;""),"●","")</x:f>
      </x:c>
      <x:c r="J319" s="165" t="str">
        <x:f>IF(AND(J$5&gt;=$C319,J$5&lt;=$D319,$A319&lt;&gt;""),"●","")</x:f>
      </x:c>
      <x:c r="K319" s="165" t="str">
        <x:f>IF(AND(K$5&gt;=$C319,K$5&lt;=$D319,$A319&lt;&gt;""),"●","")</x:f>
      </x:c>
      <x:c r="L319" s="165" t="str">
        <x:f>IF(AND(L$5&gt;=$C319,L$5&lt;=$D319,$A319&lt;&gt;""),"●","")</x:f>
      </x:c>
      <x:c r="M319" s="165" t="str">
        <x:f>IF(AND(M$5&gt;=$C319,M$5&lt;=$D319,$A319&lt;&gt;""),"●","")</x:f>
      </x:c>
      <x:c r="N319" s="165" t="str">
        <x:f>IF(AND(N$5&gt;=$C319,N$5&lt;=$D319,$A319&lt;&gt;""),"●","")</x:f>
      </x:c>
      <x:c r="O319" s="165" t="str">
        <x:f>IF(AND(O$5&gt;=$C319,O$5&lt;=$D319,$A319&lt;&gt;""),"●","")</x:f>
      </x:c>
      <x:c r="P319" s="165" t="str">
        <x:f>IF(AND(P$5&gt;=$C319,P$5&lt;=$D319,$A319&lt;&gt;""),"●","")</x:f>
      </x:c>
      <x:c r="Q319" s="165" t="str">
        <x:f>IF(AND(Q$5&gt;=$C319,Q$5&lt;=$D319,$A319&lt;&gt;""),"●","")</x:f>
      </x:c>
      <x:c r="R319" s="165" t="str">
        <x:f>IF(AND(R$5&gt;=$C319,R$5&lt;=$D319,$A319&lt;&gt;""),"●","")</x:f>
      </x:c>
      <x:c r="S319" s="165" t="str">
        <x:f>IF(AND(S$5&gt;=$C319,S$5&lt;=$D319,$A319&lt;&gt;""),"●","")</x:f>
      </x:c>
      <x:c r="T319" s="165" t="str">
        <x:f>IF(AND(T$5&gt;=$C319,T$5&lt;=$D319,$A319&lt;&gt;""),"●","")</x:f>
      </x:c>
      <x:c r="U319" s="165" t="str">
        <x:f>IF(AND(U$5&gt;=$C319,U$5&lt;=$D319,$A319&lt;&gt;""),"●","")</x:f>
      </x:c>
      <x:c r="V319" s="165" t="str">
        <x:f>IF(AND(V$5&gt;=$C319,V$5&lt;=$D319,$A319&lt;&gt;""),"●","")</x:f>
      </x:c>
      <x:c r="W319" s="165" t="str">
        <x:f>IF(AND(W$5&gt;=$C319,W$5&lt;=$D319,$A319&lt;&gt;""),"●","")</x:f>
      </x:c>
      <x:c r="X319" s="165" t="str">
        <x:f>IF(AND(X$5&gt;=$C319,X$5&lt;=$D319,$A319&lt;&gt;""),"●","")</x:f>
      </x:c>
      <x:c r="Y319" s="165" t="str">
        <x:f>IF(AND(Y$5&gt;=$C319,Y$5&lt;=$D319,$A319&lt;&gt;""),"●","")</x:f>
      </x:c>
      <x:c r="Z319" s="165" t="str">
        <x:f>IF(AND(Z$5&gt;=$C319,Z$5&lt;=$D319,$A319&lt;&gt;""),"●","")</x:f>
      </x:c>
      <x:c r="AA319" s="165" t="str">
        <x:f>IF(AND(AA$5&gt;=$C319,AA$5&lt;=$D319,$A319&lt;&gt;""),"●","")</x:f>
      </x:c>
      <x:c r="AB319" s="165" t="str">
        <x:f>IF(AND(AB$5&gt;=$C319,AB$5&lt;=$D319,$A319&lt;&gt;""),"●","")</x:f>
      </x:c>
      <x:c r="AC319" s="165" t="str">
        <x:f>IF(AND(AC$5&gt;=$C319,AC$5&lt;=$D319,$A319&lt;&gt;""),"●","")</x:f>
      </x:c>
      <x:c r="AD319" s="165" t="str">
        <x:f>IF(AND(AD$5&gt;=$C319,AD$5&lt;=$D319,$A319&lt;&gt;""),"●","")</x:f>
      </x:c>
      <x:c r="AE319" s="165" t="str">
        <x:f>IF(AND(AE$5&gt;=$C319,AE$5&lt;=$D319,$A319&lt;&gt;""),"●","")</x:f>
      </x:c>
      <x:c r="AF319" s="165" t="str">
        <x:f>IF(AND(AF$5&gt;=$C319,AF$5&lt;=$D319,$A319&lt;&gt;""),"●","")</x:f>
      </x:c>
      <x:c r="AG319" s="165" t="str">
        <x:f>IF(AND(AG$5&gt;=$C319,AG$5&lt;=$D319,$A319&lt;&gt;""),"●","")</x:f>
      </x:c>
      <x:c r="AH319" s="165" t="str">
        <x:f>IF(AND(AH$5&gt;=$C319,AH$5&lt;=$D319,$A319&lt;&gt;""),"●","")</x:f>
      </x:c>
      <x:c r="AI319" s="165" t="str">
        <x:f>IF(AND(AI$5&gt;=$C319,AI$5&lt;=$D319,$A319&lt;&gt;""),"●","")</x:f>
      </x:c>
      <x:c r="AJ319" s="165" t="str">
        <x:f>IF(AND(AJ$5&gt;=$C319,AJ$5&lt;=$D319,$A319&lt;&gt;""),"●","")</x:f>
      </x:c>
      <x:c r="AK319" s="165" t="str">
        <x:f>IF(AND(AK$5&gt;=$C319,AK$5&lt;=$D319,$A319&lt;&gt;""),"●","")</x:f>
      </x:c>
      <x:c r="AL319" s="165" t="str">
        <x:f>IF(AND(AL$5&gt;=$C319,AL$5&lt;=$D319,$A319&lt;&gt;""),"●","")</x:f>
      </x:c>
      <x:c r="AM319" s="165" t="str">
        <x:f>IF(AND(AM$5&gt;=$C319,AM$5&lt;=$D319,$A319&lt;&gt;""),"●","")</x:f>
      </x:c>
      <x:c r="AN319" s="165" t="str">
        <x:f>IF(AND(AN$5&gt;=$C319,AN$5&lt;=$D319,$A319&lt;&gt;""),"●","")</x:f>
      </x:c>
      <x:c r="AO319" s="165" t="str">
        <x:f>IF(AND(AO$5&gt;=$C319,AO$5&lt;=$D319,$A319&lt;&gt;""),"●","")</x:f>
      </x:c>
      <x:c r="AP319" s="165" t="str">
        <x:f>IF(AND(AP$5&gt;=$C319,AP$5&lt;=$D319,$A319&lt;&gt;""),"●","")</x:f>
      </x:c>
      <x:c r="AQ319" s="165" t="str">
        <x:f>IF(AND(AQ$5&gt;=$C319,AQ$5&lt;=$D319,$A319&lt;&gt;""),"●","")</x:f>
      </x:c>
      <x:c r="AR319" s="165" t="str">
        <x:f>IF(AND(AR$5&gt;=$C319,AR$5&lt;=$D319,$A319&lt;&gt;""),"●","")</x:f>
      </x:c>
      <x:c r="AS319" s="165" t="str">
        <x:f>IF(AND(AS$5&gt;=$C319,AS$5&lt;=$D319,$A319&lt;&gt;""),"●","")</x:f>
      </x:c>
      <x:c r="AT319" s="165" t="str">
        <x:f>IF(AND(AT$5&gt;=$C319,AT$5&lt;=$D319,$A319&lt;&gt;""),"●","")</x:f>
      </x:c>
      <x:c r="AU319" s="165" t="str">
        <x:f>IF(AND(AU$5&gt;=$C319,AU$5&lt;=$D319,$A319&lt;&gt;""),"●","")</x:f>
      </x:c>
      <x:c r="AV319" s="165" t="str">
        <x:f>IF(AND(AV$5&gt;=$C319,AV$5&lt;=$D319,$A319&lt;&gt;""),"●","")</x:f>
      </x:c>
      <x:c r="AW319" s="165" t="str">
        <x:f>IF(AND(AW$5&gt;=$C319,AW$5&lt;=$D319,$A319&lt;&gt;""),"●","")</x:f>
      </x:c>
      <x:c r="AX319" s="165" t="str">
        <x:f>IF(AND(AX$5&gt;=$C319,AX$5&lt;=$D319,$A319&lt;&gt;""),"●","")</x:f>
      </x:c>
      <x:c r="AY319" s="165" t="str">
        <x:f>IF(AND(AY$5&gt;=$C319,AY$5&lt;=$D319,$A319&lt;&gt;""),"●","")</x:f>
      </x:c>
      <x:c r="AZ319" s="165" t="str">
        <x:f>IF(AND(AZ$5&gt;=$C319,AZ$5&lt;=$D319,$A319&lt;&gt;""),"●","")</x:f>
      </x:c>
      <x:c r="BA319" s="165" t="str">
        <x:f>IF(AND(BA$5&gt;=$C319,BA$5&lt;=$D319,$A319&lt;&gt;""),"●","")</x:f>
      </x:c>
      <x:c r="BB319" s="165" t="str">
        <x:f>IF(AND(BB$5&gt;=$C319,BB$5&lt;=$D319,$A319&lt;&gt;""),"●","")</x:f>
      </x:c>
      <x:c r="BC319" s="165" t="str">
        <x:f>IF(AND(BC$5&gt;=$C319,BC$5&lt;=$D319,$A319&lt;&gt;""),"●","")</x:f>
      </x:c>
      <x:c r="BD319" s="165" t="str">
        <x:f>IF(AND(BD$5&gt;=$C319,BD$5&lt;=$D319,$A319&lt;&gt;""),"●","")</x:f>
      </x:c>
      <x:c r="BE319" s="165" t="str">
        <x:f>IF(AND(BE$5&gt;=$C319,BE$5&lt;=$D319,$A319&lt;&gt;""),"●","")</x:f>
      </x:c>
      <x:c r="BF319" s="165" t="str">
        <x:f>IF(AND(BF$5&gt;=$C319,BF$5&lt;=$D319,$A319&lt;&gt;""),"●","")</x:f>
      </x:c>
      <x:c r="BG319" s="165" t="str">
        <x:f>IF(AND(BG$5&gt;=$C319,BG$5&lt;=$D319,$A319&lt;&gt;""),"●","")</x:f>
      </x:c>
      <x:c r="BH319" s="165" t="str">
        <x:f>IF(AND(BH$5&gt;=$C319,BH$5&lt;=$D319,$A319&lt;&gt;""),"●","")</x:f>
      </x:c>
      <x:c r="BI319" s="165" t="str">
        <x:f>IF(AND(BI$5&gt;=$C319,BI$5&lt;=$D319,$A319&lt;&gt;""),"●","")</x:f>
      </x:c>
      <x:c r="BJ319" s="165" t="str">
        <x:f>IF(AND(BJ$5&gt;=$C319,BJ$5&lt;=$D319,$A319&lt;&gt;""),"●","")</x:f>
      </x:c>
      <x:c r="BK319" s="165" t="str">
        <x:f>IF(AND(BK$5&gt;=$C319,BK$5&lt;=$D319,$A319&lt;&gt;""),"●","")</x:f>
      </x:c>
      <x:c r="BL319" s="165" t="str">
        <x:f>IF(AND(BL$5&gt;=$C319,BL$5&lt;=$D319,$A319&lt;&gt;""),"●","")</x:f>
      </x:c>
      <x:c r="BM319" s="165" t="str">
        <x:f>IF(AND(BM$5&gt;=$C319,BM$5&lt;=$D319,$A319&lt;&gt;""),"●","")</x:f>
      </x:c>
      <x:c r="BN319" s="165" t="str">
        <x:f>IF(AND(BN$5&gt;=$C319,BN$5&lt;=$D319,$A319&lt;&gt;""),"●","")</x:f>
      </x:c>
      <x:c r="BO319" s="165" t="str">
        <x:f>IF(AND(BO$5&gt;=$C319,BO$5&lt;=$D319,$A319&lt;&gt;""),"●","")</x:f>
      </x:c>
      <x:c r="BP319" s="165" t="str">
        <x:f>IF(AND(BP$5&gt;=$C319,BP$5&lt;=$D319,$A319&lt;&gt;""),"●","")</x:f>
      </x:c>
      <x:c r="BQ319" s="165" t="str">
        <x:f>IF(AND(BQ$5&gt;=$C319,BQ$5&lt;=$D319,$A319&lt;&gt;""),"●","")</x:f>
      </x:c>
      <x:c r="BR319" s="165" t="str">
        <x:f>IF(AND(BR$5&gt;=$C319,BR$5&lt;=$D319,$A319&lt;&gt;""),"●","")</x:f>
      </x:c>
      <x:c r="BS319" s="165" t="str">
        <x:f>IF(AND(BS$5&gt;=$C319,BS$5&lt;=$D319,$A319&lt;&gt;""),"●","")</x:f>
      </x:c>
      <x:c r="BT319" s="165" t="str">
        <x:f>IF(AND(BT$5&gt;=$C319,BT$5&lt;=$D319,$A319&lt;&gt;""),"●","")</x:f>
      </x:c>
      <x:c r="BU319" s="165" t="str">
        <x:f>IF(AND(BU$5&gt;=$C319,BU$5&lt;=$D319,$A319&lt;&gt;""),"●","")</x:f>
      </x:c>
      <x:c r="BV319" s="165" t="str">
        <x:f>IF(AND(BV$5&gt;=$C319,BV$5&lt;=$D319,$A319&lt;&gt;""),"●","")</x:f>
      </x:c>
      <x:c r="BW319" s="165" t="str">
        <x:f>IF(AND(BW$5&gt;=$C319,BW$5&lt;=$D319,$A319&lt;&gt;""),"●","")</x:f>
      </x:c>
    </x:row>
    <x:row r="320">
      <x:c r="A320" s="159" t="str">
        <x:f>IF('รายการสัญญา'!A320="","",'รายการสัญญา'!A320)</x:f>
      </x:c>
      <x:c r="B320" s="159" t="str">
        <x:f>IF('รายการสัญญา'!A320="","",'รายการสัญญา'!C320)</x:f>
      </x:c>
      <x:c r="C320" s="162" t="str">
        <x:f>IF('รายการสัญญา'!A320="","",'รายการสัญญา'!E320)</x:f>
      </x:c>
      <x:c r="D320" s="162" t="str">
        <x:f>IF('รายการสัญญา'!A320="","",'รายการสัญญา'!G320)</x:f>
      </x:c>
      <x:c r="E320" s="159" t="str">
        <x:f>IF('รายการสัญญา'!A320="","",'รายการสัญญา'!K320)</x:f>
      </x:c>
      <x:c r="F320" s="165" t="str">
        <x:f>IF(AND(F$5&gt;=$C320,F$5&lt;=$D320,$A320&lt;&gt;""),"●","")</x:f>
      </x:c>
      <x:c r="G320" s="165" t="str">
        <x:f>IF(AND(G$5&gt;=$C320,G$5&lt;=$D320,$A320&lt;&gt;""),"●","")</x:f>
      </x:c>
      <x:c r="H320" s="165" t="str">
        <x:f>IF(AND(H$5&gt;=$C320,H$5&lt;=$D320,$A320&lt;&gt;""),"●","")</x:f>
      </x:c>
      <x:c r="I320" s="165" t="str">
        <x:f>IF(AND(I$5&gt;=$C320,I$5&lt;=$D320,$A320&lt;&gt;""),"●","")</x:f>
      </x:c>
      <x:c r="J320" s="165" t="str">
        <x:f>IF(AND(J$5&gt;=$C320,J$5&lt;=$D320,$A320&lt;&gt;""),"●","")</x:f>
      </x:c>
      <x:c r="K320" s="165" t="str">
        <x:f>IF(AND(K$5&gt;=$C320,K$5&lt;=$D320,$A320&lt;&gt;""),"●","")</x:f>
      </x:c>
      <x:c r="L320" s="165" t="str">
        <x:f>IF(AND(L$5&gt;=$C320,L$5&lt;=$D320,$A320&lt;&gt;""),"●","")</x:f>
      </x:c>
      <x:c r="M320" s="165" t="str">
        <x:f>IF(AND(M$5&gt;=$C320,M$5&lt;=$D320,$A320&lt;&gt;""),"●","")</x:f>
      </x:c>
      <x:c r="N320" s="165" t="str">
        <x:f>IF(AND(N$5&gt;=$C320,N$5&lt;=$D320,$A320&lt;&gt;""),"●","")</x:f>
      </x:c>
      <x:c r="O320" s="165" t="str">
        <x:f>IF(AND(O$5&gt;=$C320,O$5&lt;=$D320,$A320&lt;&gt;""),"●","")</x:f>
      </x:c>
      <x:c r="P320" s="165" t="str">
        <x:f>IF(AND(P$5&gt;=$C320,P$5&lt;=$D320,$A320&lt;&gt;""),"●","")</x:f>
      </x:c>
      <x:c r="Q320" s="165" t="str">
        <x:f>IF(AND(Q$5&gt;=$C320,Q$5&lt;=$D320,$A320&lt;&gt;""),"●","")</x:f>
      </x:c>
      <x:c r="R320" s="165" t="str">
        <x:f>IF(AND(R$5&gt;=$C320,R$5&lt;=$D320,$A320&lt;&gt;""),"●","")</x:f>
      </x:c>
      <x:c r="S320" s="165" t="str">
        <x:f>IF(AND(S$5&gt;=$C320,S$5&lt;=$D320,$A320&lt;&gt;""),"●","")</x:f>
      </x:c>
      <x:c r="T320" s="165" t="str">
        <x:f>IF(AND(T$5&gt;=$C320,T$5&lt;=$D320,$A320&lt;&gt;""),"●","")</x:f>
      </x:c>
      <x:c r="U320" s="165" t="str">
        <x:f>IF(AND(U$5&gt;=$C320,U$5&lt;=$D320,$A320&lt;&gt;""),"●","")</x:f>
      </x:c>
      <x:c r="V320" s="165" t="str">
        <x:f>IF(AND(V$5&gt;=$C320,V$5&lt;=$D320,$A320&lt;&gt;""),"●","")</x:f>
      </x:c>
      <x:c r="W320" s="165" t="str">
        <x:f>IF(AND(W$5&gt;=$C320,W$5&lt;=$D320,$A320&lt;&gt;""),"●","")</x:f>
      </x:c>
      <x:c r="X320" s="165" t="str">
        <x:f>IF(AND(X$5&gt;=$C320,X$5&lt;=$D320,$A320&lt;&gt;""),"●","")</x:f>
      </x:c>
      <x:c r="Y320" s="165" t="str">
        <x:f>IF(AND(Y$5&gt;=$C320,Y$5&lt;=$D320,$A320&lt;&gt;""),"●","")</x:f>
      </x:c>
      <x:c r="Z320" s="165" t="str">
        <x:f>IF(AND(Z$5&gt;=$C320,Z$5&lt;=$D320,$A320&lt;&gt;""),"●","")</x:f>
      </x:c>
      <x:c r="AA320" s="165" t="str">
        <x:f>IF(AND(AA$5&gt;=$C320,AA$5&lt;=$D320,$A320&lt;&gt;""),"●","")</x:f>
      </x:c>
      <x:c r="AB320" s="165" t="str">
        <x:f>IF(AND(AB$5&gt;=$C320,AB$5&lt;=$D320,$A320&lt;&gt;""),"●","")</x:f>
      </x:c>
      <x:c r="AC320" s="165" t="str">
        <x:f>IF(AND(AC$5&gt;=$C320,AC$5&lt;=$D320,$A320&lt;&gt;""),"●","")</x:f>
      </x:c>
      <x:c r="AD320" s="165" t="str">
        <x:f>IF(AND(AD$5&gt;=$C320,AD$5&lt;=$D320,$A320&lt;&gt;""),"●","")</x:f>
      </x:c>
      <x:c r="AE320" s="165" t="str">
        <x:f>IF(AND(AE$5&gt;=$C320,AE$5&lt;=$D320,$A320&lt;&gt;""),"●","")</x:f>
      </x:c>
      <x:c r="AF320" s="165" t="str">
        <x:f>IF(AND(AF$5&gt;=$C320,AF$5&lt;=$D320,$A320&lt;&gt;""),"●","")</x:f>
      </x:c>
      <x:c r="AG320" s="165" t="str">
        <x:f>IF(AND(AG$5&gt;=$C320,AG$5&lt;=$D320,$A320&lt;&gt;""),"●","")</x:f>
      </x:c>
      <x:c r="AH320" s="165" t="str">
        <x:f>IF(AND(AH$5&gt;=$C320,AH$5&lt;=$D320,$A320&lt;&gt;""),"●","")</x:f>
      </x:c>
      <x:c r="AI320" s="165" t="str">
        <x:f>IF(AND(AI$5&gt;=$C320,AI$5&lt;=$D320,$A320&lt;&gt;""),"●","")</x:f>
      </x:c>
      <x:c r="AJ320" s="165" t="str">
        <x:f>IF(AND(AJ$5&gt;=$C320,AJ$5&lt;=$D320,$A320&lt;&gt;""),"●","")</x:f>
      </x:c>
      <x:c r="AK320" s="165" t="str">
        <x:f>IF(AND(AK$5&gt;=$C320,AK$5&lt;=$D320,$A320&lt;&gt;""),"●","")</x:f>
      </x:c>
      <x:c r="AL320" s="165" t="str">
        <x:f>IF(AND(AL$5&gt;=$C320,AL$5&lt;=$D320,$A320&lt;&gt;""),"●","")</x:f>
      </x:c>
      <x:c r="AM320" s="165" t="str">
        <x:f>IF(AND(AM$5&gt;=$C320,AM$5&lt;=$D320,$A320&lt;&gt;""),"●","")</x:f>
      </x:c>
      <x:c r="AN320" s="165" t="str">
        <x:f>IF(AND(AN$5&gt;=$C320,AN$5&lt;=$D320,$A320&lt;&gt;""),"●","")</x:f>
      </x:c>
      <x:c r="AO320" s="165" t="str">
        <x:f>IF(AND(AO$5&gt;=$C320,AO$5&lt;=$D320,$A320&lt;&gt;""),"●","")</x:f>
      </x:c>
      <x:c r="AP320" s="165" t="str">
        <x:f>IF(AND(AP$5&gt;=$C320,AP$5&lt;=$D320,$A320&lt;&gt;""),"●","")</x:f>
      </x:c>
      <x:c r="AQ320" s="165" t="str">
        <x:f>IF(AND(AQ$5&gt;=$C320,AQ$5&lt;=$D320,$A320&lt;&gt;""),"●","")</x:f>
      </x:c>
      <x:c r="AR320" s="165" t="str">
        <x:f>IF(AND(AR$5&gt;=$C320,AR$5&lt;=$D320,$A320&lt;&gt;""),"●","")</x:f>
      </x:c>
      <x:c r="AS320" s="165" t="str">
        <x:f>IF(AND(AS$5&gt;=$C320,AS$5&lt;=$D320,$A320&lt;&gt;""),"●","")</x:f>
      </x:c>
      <x:c r="AT320" s="165" t="str">
        <x:f>IF(AND(AT$5&gt;=$C320,AT$5&lt;=$D320,$A320&lt;&gt;""),"●","")</x:f>
      </x:c>
      <x:c r="AU320" s="165" t="str">
        <x:f>IF(AND(AU$5&gt;=$C320,AU$5&lt;=$D320,$A320&lt;&gt;""),"●","")</x:f>
      </x:c>
      <x:c r="AV320" s="165" t="str">
        <x:f>IF(AND(AV$5&gt;=$C320,AV$5&lt;=$D320,$A320&lt;&gt;""),"●","")</x:f>
      </x:c>
      <x:c r="AW320" s="165" t="str">
        <x:f>IF(AND(AW$5&gt;=$C320,AW$5&lt;=$D320,$A320&lt;&gt;""),"●","")</x:f>
      </x:c>
      <x:c r="AX320" s="165" t="str">
        <x:f>IF(AND(AX$5&gt;=$C320,AX$5&lt;=$D320,$A320&lt;&gt;""),"●","")</x:f>
      </x:c>
      <x:c r="AY320" s="165" t="str">
        <x:f>IF(AND(AY$5&gt;=$C320,AY$5&lt;=$D320,$A320&lt;&gt;""),"●","")</x:f>
      </x:c>
      <x:c r="AZ320" s="165" t="str">
        <x:f>IF(AND(AZ$5&gt;=$C320,AZ$5&lt;=$D320,$A320&lt;&gt;""),"●","")</x:f>
      </x:c>
      <x:c r="BA320" s="165" t="str">
        <x:f>IF(AND(BA$5&gt;=$C320,BA$5&lt;=$D320,$A320&lt;&gt;""),"●","")</x:f>
      </x:c>
      <x:c r="BB320" s="165" t="str">
        <x:f>IF(AND(BB$5&gt;=$C320,BB$5&lt;=$D320,$A320&lt;&gt;""),"●","")</x:f>
      </x:c>
      <x:c r="BC320" s="165" t="str">
        <x:f>IF(AND(BC$5&gt;=$C320,BC$5&lt;=$D320,$A320&lt;&gt;""),"●","")</x:f>
      </x:c>
      <x:c r="BD320" s="165" t="str">
        <x:f>IF(AND(BD$5&gt;=$C320,BD$5&lt;=$D320,$A320&lt;&gt;""),"●","")</x:f>
      </x:c>
      <x:c r="BE320" s="165" t="str">
        <x:f>IF(AND(BE$5&gt;=$C320,BE$5&lt;=$D320,$A320&lt;&gt;""),"●","")</x:f>
      </x:c>
      <x:c r="BF320" s="165" t="str">
        <x:f>IF(AND(BF$5&gt;=$C320,BF$5&lt;=$D320,$A320&lt;&gt;""),"●","")</x:f>
      </x:c>
      <x:c r="BG320" s="165" t="str">
        <x:f>IF(AND(BG$5&gt;=$C320,BG$5&lt;=$D320,$A320&lt;&gt;""),"●","")</x:f>
      </x:c>
      <x:c r="BH320" s="165" t="str">
        <x:f>IF(AND(BH$5&gt;=$C320,BH$5&lt;=$D320,$A320&lt;&gt;""),"●","")</x:f>
      </x:c>
      <x:c r="BI320" s="165" t="str">
        <x:f>IF(AND(BI$5&gt;=$C320,BI$5&lt;=$D320,$A320&lt;&gt;""),"●","")</x:f>
      </x:c>
      <x:c r="BJ320" s="165" t="str">
        <x:f>IF(AND(BJ$5&gt;=$C320,BJ$5&lt;=$D320,$A320&lt;&gt;""),"●","")</x:f>
      </x:c>
      <x:c r="BK320" s="165" t="str">
        <x:f>IF(AND(BK$5&gt;=$C320,BK$5&lt;=$D320,$A320&lt;&gt;""),"●","")</x:f>
      </x:c>
      <x:c r="BL320" s="165" t="str">
        <x:f>IF(AND(BL$5&gt;=$C320,BL$5&lt;=$D320,$A320&lt;&gt;""),"●","")</x:f>
      </x:c>
      <x:c r="BM320" s="165" t="str">
        <x:f>IF(AND(BM$5&gt;=$C320,BM$5&lt;=$D320,$A320&lt;&gt;""),"●","")</x:f>
      </x:c>
      <x:c r="BN320" s="165" t="str">
        <x:f>IF(AND(BN$5&gt;=$C320,BN$5&lt;=$D320,$A320&lt;&gt;""),"●","")</x:f>
      </x:c>
      <x:c r="BO320" s="165" t="str">
        <x:f>IF(AND(BO$5&gt;=$C320,BO$5&lt;=$D320,$A320&lt;&gt;""),"●","")</x:f>
      </x:c>
      <x:c r="BP320" s="165" t="str">
        <x:f>IF(AND(BP$5&gt;=$C320,BP$5&lt;=$D320,$A320&lt;&gt;""),"●","")</x:f>
      </x:c>
      <x:c r="BQ320" s="165" t="str">
        <x:f>IF(AND(BQ$5&gt;=$C320,BQ$5&lt;=$D320,$A320&lt;&gt;""),"●","")</x:f>
      </x:c>
      <x:c r="BR320" s="165" t="str">
        <x:f>IF(AND(BR$5&gt;=$C320,BR$5&lt;=$D320,$A320&lt;&gt;""),"●","")</x:f>
      </x:c>
      <x:c r="BS320" s="165" t="str">
        <x:f>IF(AND(BS$5&gt;=$C320,BS$5&lt;=$D320,$A320&lt;&gt;""),"●","")</x:f>
      </x:c>
      <x:c r="BT320" s="165" t="str">
        <x:f>IF(AND(BT$5&gt;=$C320,BT$5&lt;=$D320,$A320&lt;&gt;""),"●","")</x:f>
      </x:c>
      <x:c r="BU320" s="165" t="str">
        <x:f>IF(AND(BU$5&gt;=$C320,BU$5&lt;=$D320,$A320&lt;&gt;""),"●","")</x:f>
      </x:c>
      <x:c r="BV320" s="165" t="str">
        <x:f>IF(AND(BV$5&gt;=$C320,BV$5&lt;=$D320,$A320&lt;&gt;""),"●","")</x:f>
      </x:c>
      <x:c r="BW320" s="165" t="str">
        <x:f>IF(AND(BW$5&gt;=$C320,BW$5&lt;=$D320,$A320&lt;&gt;""),"●","")</x:f>
      </x:c>
    </x:row>
    <x:row r="321">
      <x:c r="A321" s="159" t="str">
        <x:f>IF('รายการสัญญา'!A321="","",'รายการสัญญา'!A321)</x:f>
      </x:c>
      <x:c r="B321" s="159" t="str">
        <x:f>IF('รายการสัญญา'!A321="","",'รายการสัญญา'!C321)</x:f>
      </x:c>
      <x:c r="C321" s="162" t="str">
        <x:f>IF('รายการสัญญา'!A321="","",'รายการสัญญา'!E321)</x:f>
      </x:c>
      <x:c r="D321" s="162" t="str">
        <x:f>IF('รายการสัญญา'!A321="","",'รายการสัญญา'!G321)</x:f>
      </x:c>
      <x:c r="E321" s="159" t="str">
        <x:f>IF('รายการสัญญา'!A321="","",'รายการสัญญา'!K321)</x:f>
      </x:c>
      <x:c r="F321" s="165" t="str">
        <x:f>IF(AND(F$5&gt;=$C321,F$5&lt;=$D321,$A321&lt;&gt;""),"●","")</x:f>
      </x:c>
      <x:c r="G321" s="165" t="str">
        <x:f>IF(AND(G$5&gt;=$C321,G$5&lt;=$D321,$A321&lt;&gt;""),"●","")</x:f>
      </x:c>
      <x:c r="H321" s="165" t="str">
        <x:f>IF(AND(H$5&gt;=$C321,H$5&lt;=$D321,$A321&lt;&gt;""),"●","")</x:f>
      </x:c>
      <x:c r="I321" s="165" t="str">
        <x:f>IF(AND(I$5&gt;=$C321,I$5&lt;=$D321,$A321&lt;&gt;""),"●","")</x:f>
      </x:c>
      <x:c r="J321" s="165" t="str">
        <x:f>IF(AND(J$5&gt;=$C321,J$5&lt;=$D321,$A321&lt;&gt;""),"●","")</x:f>
      </x:c>
      <x:c r="K321" s="165" t="str">
        <x:f>IF(AND(K$5&gt;=$C321,K$5&lt;=$D321,$A321&lt;&gt;""),"●","")</x:f>
      </x:c>
      <x:c r="L321" s="165" t="str">
        <x:f>IF(AND(L$5&gt;=$C321,L$5&lt;=$D321,$A321&lt;&gt;""),"●","")</x:f>
      </x:c>
      <x:c r="M321" s="165" t="str">
        <x:f>IF(AND(M$5&gt;=$C321,M$5&lt;=$D321,$A321&lt;&gt;""),"●","")</x:f>
      </x:c>
      <x:c r="N321" s="165" t="str">
        <x:f>IF(AND(N$5&gt;=$C321,N$5&lt;=$D321,$A321&lt;&gt;""),"●","")</x:f>
      </x:c>
      <x:c r="O321" s="165" t="str">
        <x:f>IF(AND(O$5&gt;=$C321,O$5&lt;=$D321,$A321&lt;&gt;""),"●","")</x:f>
      </x:c>
      <x:c r="P321" s="165" t="str">
        <x:f>IF(AND(P$5&gt;=$C321,P$5&lt;=$D321,$A321&lt;&gt;""),"●","")</x:f>
      </x:c>
      <x:c r="Q321" s="165" t="str">
        <x:f>IF(AND(Q$5&gt;=$C321,Q$5&lt;=$D321,$A321&lt;&gt;""),"●","")</x:f>
      </x:c>
      <x:c r="R321" s="165" t="str">
        <x:f>IF(AND(R$5&gt;=$C321,R$5&lt;=$D321,$A321&lt;&gt;""),"●","")</x:f>
      </x:c>
      <x:c r="S321" s="165" t="str">
        <x:f>IF(AND(S$5&gt;=$C321,S$5&lt;=$D321,$A321&lt;&gt;""),"●","")</x:f>
      </x:c>
      <x:c r="T321" s="165" t="str">
        <x:f>IF(AND(T$5&gt;=$C321,T$5&lt;=$D321,$A321&lt;&gt;""),"●","")</x:f>
      </x:c>
      <x:c r="U321" s="165" t="str">
        <x:f>IF(AND(U$5&gt;=$C321,U$5&lt;=$D321,$A321&lt;&gt;""),"●","")</x:f>
      </x:c>
      <x:c r="V321" s="165" t="str">
        <x:f>IF(AND(V$5&gt;=$C321,V$5&lt;=$D321,$A321&lt;&gt;""),"●","")</x:f>
      </x:c>
      <x:c r="W321" s="165" t="str">
        <x:f>IF(AND(W$5&gt;=$C321,W$5&lt;=$D321,$A321&lt;&gt;""),"●","")</x:f>
      </x:c>
      <x:c r="X321" s="165" t="str">
        <x:f>IF(AND(X$5&gt;=$C321,X$5&lt;=$D321,$A321&lt;&gt;""),"●","")</x:f>
      </x:c>
      <x:c r="Y321" s="165" t="str">
        <x:f>IF(AND(Y$5&gt;=$C321,Y$5&lt;=$D321,$A321&lt;&gt;""),"●","")</x:f>
      </x:c>
      <x:c r="Z321" s="165" t="str">
        <x:f>IF(AND(Z$5&gt;=$C321,Z$5&lt;=$D321,$A321&lt;&gt;""),"●","")</x:f>
      </x:c>
      <x:c r="AA321" s="165" t="str">
        <x:f>IF(AND(AA$5&gt;=$C321,AA$5&lt;=$D321,$A321&lt;&gt;""),"●","")</x:f>
      </x:c>
      <x:c r="AB321" s="165" t="str">
        <x:f>IF(AND(AB$5&gt;=$C321,AB$5&lt;=$D321,$A321&lt;&gt;""),"●","")</x:f>
      </x:c>
      <x:c r="AC321" s="165" t="str">
        <x:f>IF(AND(AC$5&gt;=$C321,AC$5&lt;=$D321,$A321&lt;&gt;""),"●","")</x:f>
      </x:c>
      <x:c r="AD321" s="165" t="str">
        <x:f>IF(AND(AD$5&gt;=$C321,AD$5&lt;=$D321,$A321&lt;&gt;""),"●","")</x:f>
      </x:c>
      <x:c r="AE321" s="165" t="str">
        <x:f>IF(AND(AE$5&gt;=$C321,AE$5&lt;=$D321,$A321&lt;&gt;""),"●","")</x:f>
      </x:c>
      <x:c r="AF321" s="165" t="str">
        <x:f>IF(AND(AF$5&gt;=$C321,AF$5&lt;=$D321,$A321&lt;&gt;""),"●","")</x:f>
      </x:c>
      <x:c r="AG321" s="165" t="str">
        <x:f>IF(AND(AG$5&gt;=$C321,AG$5&lt;=$D321,$A321&lt;&gt;""),"●","")</x:f>
      </x:c>
      <x:c r="AH321" s="165" t="str">
        <x:f>IF(AND(AH$5&gt;=$C321,AH$5&lt;=$D321,$A321&lt;&gt;""),"●","")</x:f>
      </x:c>
      <x:c r="AI321" s="165" t="str">
        <x:f>IF(AND(AI$5&gt;=$C321,AI$5&lt;=$D321,$A321&lt;&gt;""),"●","")</x:f>
      </x:c>
      <x:c r="AJ321" s="165" t="str">
        <x:f>IF(AND(AJ$5&gt;=$C321,AJ$5&lt;=$D321,$A321&lt;&gt;""),"●","")</x:f>
      </x:c>
      <x:c r="AK321" s="165" t="str">
        <x:f>IF(AND(AK$5&gt;=$C321,AK$5&lt;=$D321,$A321&lt;&gt;""),"●","")</x:f>
      </x:c>
      <x:c r="AL321" s="165" t="str">
        <x:f>IF(AND(AL$5&gt;=$C321,AL$5&lt;=$D321,$A321&lt;&gt;""),"●","")</x:f>
      </x:c>
      <x:c r="AM321" s="165" t="str">
        <x:f>IF(AND(AM$5&gt;=$C321,AM$5&lt;=$D321,$A321&lt;&gt;""),"●","")</x:f>
      </x:c>
      <x:c r="AN321" s="165" t="str">
        <x:f>IF(AND(AN$5&gt;=$C321,AN$5&lt;=$D321,$A321&lt;&gt;""),"●","")</x:f>
      </x:c>
      <x:c r="AO321" s="165" t="str">
        <x:f>IF(AND(AO$5&gt;=$C321,AO$5&lt;=$D321,$A321&lt;&gt;""),"●","")</x:f>
      </x:c>
      <x:c r="AP321" s="165" t="str">
        <x:f>IF(AND(AP$5&gt;=$C321,AP$5&lt;=$D321,$A321&lt;&gt;""),"●","")</x:f>
      </x:c>
      <x:c r="AQ321" s="165" t="str">
        <x:f>IF(AND(AQ$5&gt;=$C321,AQ$5&lt;=$D321,$A321&lt;&gt;""),"●","")</x:f>
      </x:c>
      <x:c r="AR321" s="165" t="str">
        <x:f>IF(AND(AR$5&gt;=$C321,AR$5&lt;=$D321,$A321&lt;&gt;""),"●","")</x:f>
      </x:c>
      <x:c r="AS321" s="165" t="str">
        <x:f>IF(AND(AS$5&gt;=$C321,AS$5&lt;=$D321,$A321&lt;&gt;""),"●","")</x:f>
      </x:c>
      <x:c r="AT321" s="165" t="str">
        <x:f>IF(AND(AT$5&gt;=$C321,AT$5&lt;=$D321,$A321&lt;&gt;""),"●","")</x:f>
      </x:c>
      <x:c r="AU321" s="165" t="str">
        <x:f>IF(AND(AU$5&gt;=$C321,AU$5&lt;=$D321,$A321&lt;&gt;""),"●","")</x:f>
      </x:c>
      <x:c r="AV321" s="165" t="str">
        <x:f>IF(AND(AV$5&gt;=$C321,AV$5&lt;=$D321,$A321&lt;&gt;""),"●","")</x:f>
      </x:c>
      <x:c r="AW321" s="165" t="str">
        <x:f>IF(AND(AW$5&gt;=$C321,AW$5&lt;=$D321,$A321&lt;&gt;""),"●","")</x:f>
      </x:c>
      <x:c r="AX321" s="165" t="str">
        <x:f>IF(AND(AX$5&gt;=$C321,AX$5&lt;=$D321,$A321&lt;&gt;""),"●","")</x:f>
      </x:c>
      <x:c r="AY321" s="165" t="str">
        <x:f>IF(AND(AY$5&gt;=$C321,AY$5&lt;=$D321,$A321&lt;&gt;""),"●","")</x:f>
      </x:c>
      <x:c r="AZ321" s="165" t="str">
        <x:f>IF(AND(AZ$5&gt;=$C321,AZ$5&lt;=$D321,$A321&lt;&gt;""),"●","")</x:f>
      </x:c>
      <x:c r="BA321" s="165" t="str">
        <x:f>IF(AND(BA$5&gt;=$C321,BA$5&lt;=$D321,$A321&lt;&gt;""),"●","")</x:f>
      </x:c>
      <x:c r="BB321" s="165" t="str">
        <x:f>IF(AND(BB$5&gt;=$C321,BB$5&lt;=$D321,$A321&lt;&gt;""),"●","")</x:f>
      </x:c>
      <x:c r="BC321" s="165" t="str">
        <x:f>IF(AND(BC$5&gt;=$C321,BC$5&lt;=$D321,$A321&lt;&gt;""),"●","")</x:f>
      </x:c>
      <x:c r="BD321" s="165" t="str">
        <x:f>IF(AND(BD$5&gt;=$C321,BD$5&lt;=$D321,$A321&lt;&gt;""),"●","")</x:f>
      </x:c>
      <x:c r="BE321" s="165" t="str">
        <x:f>IF(AND(BE$5&gt;=$C321,BE$5&lt;=$D321,$A321&lt;&gt;""),"●","")</x:f>
      </x:c>
      <x:c r="BF321" s="165" t="str">
        <x:f>IF(AND(BF$5&gt;=$C321,BF$5&lt;=$D321,$A321&lt;&gt;""),"●","")</x:f>
      </x:c>
      <x:c r="BG321" s="165" t="str">
        <x:f>IF(AND(BG$5&gt;=$C321,BG$5&lt;=$D321,$A321&lt;&gt;""),"●","")</x:f>
      </x:c>
      <x:c r="BH321" s="165" t="str">
        <x:f>IF(AND(BH$5&gt;=$C321,BH$5&lt;=$D321,$A321&lt;&gt;""),"●","")</x:f>
      </x:c>
      <x:c r="BI321" s="165" t="str">
        <x:f>IF(AND(BI$5&gt;=$C321,BI$5&lt;=$D321,$A321&lt;&gt;""),"●","")</x:f>
      </x:c>
      <x:c r="BJ321" s="165" t="str">
        <x:f>IF(AND(BJ$5&gt;=$C321,BJ$5&lt;=$D321,$A321&lt;&gt;""),"●","")</x:f>
      </x:c>
      <x:c r="BK321" s="165" t="str">
        <x:f>IF(AND(BK$5&gt;=$C321,BK$5&lt;=$D321,$A321&lt;&gt;""),"●","")</x:f>
      </x:c>
      <x:c r="BL321" s="165" t="str">
        <x:f>IF(AND(BL$5&gt;=$C321,BL$5&lt;=$D321,$A321&lt;&gt;""),"●","")</x:f>
      </x:c>
      <x:c r="BM321" s="165" t="str">
        <x:f>IF(AND(BM$5&gt;=$C321,BM$5&lt;=$D321,$A321&lt;&gt;""),"●","")</x:f>
      </x:c>
      <x:c r="BN321" s="165" t="str">
        <x:f>IF(AND(BN$5&gt;=$C321,BN$5&lt;=$D321,$A321&lt;&gt;""),"●","")</x:f>
      </x:c>
      <x:c r="BO321" s="165" t="str">
        <x:f>IF(AND(BO$5&gt;=$C321,BO$5&lt;=$D321,$A321&lt;&gt;""),"●","")</x:f>
      </x:c>
      <x:c r="BP321" s="165" t="str">
        <x:f>IF(AND(BP$5&gt;=$C321,BP$5&lt;=$D321,$A321&lt;&gt;""),"●","")</x:f>
      </x:c>
      <x:c r="BQ321" s="165" t="str">
        <x:f>IF(AND(BQ$5&gt;=$C321,BQ$5&lt;=$D321,$A321&lt;&gt;""),"●","")</x:f>
      </x:c>
      <x:c r="BR321" s="165" t="str">
        <x:f>IF(AND(BR$5&gt;=$C321,BR$5&lt;=$D321,$A321&lt;&gt;""),"●","")</x:f>
      </x:c>
      <x:c r="BS321" s="165" t="str">
        <x:f>IF(AND(BS$5&gt;=$C321,BS$5&lt;=$D321,$A321&lt;&gt;""),"●","")</x:f>
      </x:c>
      <x:c r="BT321" s="165" t="str">
        <x:f>IF(AND(BT$5&gt;=$C321,BT$5&lt;=$D321,$A321&lt;&gt;""),"●","")</x:f>
      </x:c>
      <x:c r="BU321" s="165" t="str">
        <x:f>IF(AND(BU$5&gt;=$C321,BU$5&lt;=$D321,$A321&lt;&gt;""),"●","")</x:f>
      </x:c>
      <x:c r="BV321" s="165" t="str">
        <x:f>IF(AND(BV$5&gt;=$C321,BV$5&lt;=$D321,$A321&lt;&gt;""),"●","")</x:f>
      </x:c>
      <x:c r="BW321" s="165" t="str">
        <x:f>IF(AND(BW$5&gt;=$C321,BW$5&lt;=$D321,$A321&lt;&gt;""),"●","")</x:f>
      </x:c>
    </x:row>
    <x:row r="322">
      <x:c r="A322" s="159" t="str">
        <x:f>IF('รายการสัญญา'!A322="","",'รายการสัญญา'!A322)</x:f>
      </x:c>
      <x:c r="B322" s="159" t="str">
        <x:f>IF('รายการสัญญา'!A322="","",'รายการสัญญา'!C322)</x:f>
      </x:c>
      <x:c r="C322" s="162" t="str">
        <x:f>IF('รายการสัญญา'!A322="","",'รายการสัญญา'!E322)</x:f>
      </x:c>
      <x:c r="D322" s="162" t="str">
        <x:f>IF('รายการสัญญา'!A322="","",'รายการสัญญา'!G322)</x:f>
      </x:c>
      <x:c r="E322" s="159" t="str">
        <x:f>IF('รายการสัญญา'!A322="","",'รายการสัญญา'!K322)</x:f>
      </x:c>
      <x:c r="F322" s="165" t="str">
        <x:f>IF(AND(F$5&gt;=$C322,F$5&lt;=$D322,$A322&lt;&gt;""),"●","")</x:f>
      </x:c>
      <x:c r="G322" s="165" t="str">
        <x:f>IF(AND(G$5&gt;=$C322,G$5&lt;=$D322,$A322&lt;&gt;""),"●","")</x:f>
      </x:c>
      <x:c r="H322" s="165" t="str">
        <x:f>IF(AND(H$5&gt;=$C322,H$5&lt;=$D322,$A322&lt;&gt;""),"●","")</x:f>
      </x:c>
      <x:c r="I322" s="165" t="str">
        <x:f>IF(AND(I$5&gt;=$C322,I$5&lt;=$D322,$A322&lt;&gt;""),"●","")</x:f>
      </x:c>
      <x:c r="J322" s="165" t="str">
        <x:f>IF(AND(J$5&gt;=$C322,J$5&lt;=$D322,$A322&lt;&gt;""),"●","")</x:f>
      </x:c>
      <x:c r="K322" s="165" t="str">
        <x:f>IF(AND(K$5&gt;=$C322,K$5&lt;=$D322,$A322&lt;&gt;""),"●","")</x:f>
      </x:c>
      <x:c r="L322" s="165" t="str">
        <x:f>IF(AND(L$5&gt;=$C322,L$5&lt;=$D322,$A322&lt;&gt;""),"●","")</x:f>
      </x:c>
      <x:c r="M322" s="165" t="str">
        <x:f>IF(AND(M$5&gt;=$C322,M$5&lt;=$D322,$A322&lt;&gt;""),"●","")</x:f>
      </x:c>
      <x:c r="N322" s="165" t="str">
        <x:f>IF(AND(N$5&gt;=$C322,N$5&lt;=$D322,$A322&lt;&gt;""),"●","")</x:f>
      </x:c>
      <x:c r="O322" s="165" t="str">
        <x:f>IF(AND(O$5&gt;=$C322,O$5&lt;=$D322,$A322&lt;&gt;""),"●","")</x:f>
      </x:c>
      <x:c r="P322" s="165" t="str">
        <x:f>IF(AND(P$5&gt;=$C322,P$5&lt;=$D322,$A322&lt;&gt;""),"●","")</x:f>
      </x:c>
      <x:c r="Q322" s="165" t="str">
        <x:f>IF(AND(Q$5&gt;=$C322,Q$5&lt;=$D322,$A322&lt;&gt;""),"●","")</x:f>
      </x:c>
      <x:c r="R322" s="165" t="str">
        <x:f>IF(AND(R$5&gt;=$C322,R$5&lt;=$D322,$A322&lt;&gt;""),"●","")</x:f>
      </x:c>
      <x:c r="S322" s="165" t="str">
        <x:f>IF(AND(S$5&gt;=$C322,S$5&lt;=$D322,$A322&lt;&gt;""),"●","")</x:f>
      </x:c>
      <x:c r="T322" s="165" t="str">
        <x:f>IF(AND(T$5&gt;=$C322,T$5&lt;=$D322,$A322&lt;&gt;""),"●","")</x:f>
      </x:c>
      <x:c r="U322" s="165" t="str">
        <x:f>IF(AND(U$5&gt;=$C322,U$5&lt;=$D322,$A322&lt;&gt;""),"●","")</x:f>
      </x:c>
      <x:c r="V322" s="165" t="str">
        <x:f>IF(AND(V$5&gt;=$C322,V$5&lt;=$D322,$A322&lt;&gt;""),"●","")</x:f>
      </x:c>
      <x:c r="W322" s="165" t="str">
        <x:f>IF(AND(W$5&gt;=$C322,W$5&lt;=$D322,$A322&lt;&gt;""),"●","")</x:f>
      </x:c>
      <x:c r="X322" s="165" t="str">
        <x:f>IF(AND(X$5&gt;=$C322,X$5&lt;=$D322,$A322&lt;&gt;""),"●","")</x:f>
      </x:c>
      <x:c r="Y322" s="165" t="str">
        <x:f>IF(AND(Y$5&gt;=$C322,Y$5&lt;=$D322,$A322&lt;&gt;""),"●","")</x:f>
      </x:c>
      <x:c r="Z322" s="165" t="str">
        <x:f>IF(AND(Z$5&gt;=$C322,Z$5&lt;=$D322,$A322&lt;&gt;""),"●","")</x:f>
      </x:c>
      <x:c r="AA322" s="165" t="str">
        <x:f>IF(AND(AA$5&gt;=$C322,AA$5&lt;=$D322,$A322&lt;&gt;""),"●","")</x:f>
      </x:c>
      <x:c r="AB322" s="165" t="str">
        <x:f>IF(AND(AB$5&gt;=$C322,AB$5&lt;=$D322,$A322&lt;&gt;""),"●","")</x:f>
      </x:c>
      <x:c r="AC322" s="165" t="str">
        <x:f>IF(AND(AC$5&gt;=$C322,AC$5&lt;=$D322,$A322&lt;&gt;""),"●","")</x:f>
      </x:c>
      <x:c r="AD322" s="165" t="str">
        <x:f>IF(AND(AD$5&gt;=$C322,AD$5&lt;=$D322,$A322&lt;&gt;""),"●","")</x:f>
      </x:c>
      <x:c r="AE322" s="165" t="str">
        <x:f>IF(AND(AE$5&gt;=$C322,AE$5&lt;=$D322,$A322&lt;&gt;""),"●","")</x:f>
      </x:c>
      <x:c r="AF322" s="165" t="str">
        <x:f>IF(AND(AF$5&gt;=$C322,AF$5&lt;=$D322,$A322&lt;&gt;""),"●","")</x:f>
      </x:c>
      <x:c r="AG322" s="165" t="str">
        <x:f>IF(AND(AG$5&gt;=$C322,AG$5&lt;=$D322,$A322&lt;&gt;""),"●","")</x:f>
      </x:c>
      <x:c r="AH322" s="165" t="str">
        <x:f>IF(AND(AH$5&gt;=$C322,AH$5&lt;=$D322,$A322&lt;&gt;""),"●","")</x:f>
      </x:c>
      <x:c r="AI322" s="165" t="str">
        <x:f>IF(AND(AI$5&gt;=$C322,AI$5&lt;=$D322,$A322&lt;&gt;""),"●","")</x:f>
      </x:c>
      <x:c r="AJ322" s="165" t="str">
        <x:f>IF(AND(AJ$5&gt;=$C322,AJ$5&lt;=$D322,$A322&lt;&gt;""),"●","")</x:f>
      </x:c>
      <x:c r="AK322" s="165" t="str">
        <x:f>IF(AND(AK$5&gt;=$C322,AK$5&lt;=$D322,$A322&lt;&gt;""),"●","")</x:f>
      </x:c>
      <x:c r="AL322" s="165" t="str">
        <x:f>IF(AND(AL$5&gt;=$C322,AL$5&lt;=$D322,$A322&lt;&gt;""),"●","")</x:f>
      </x:c>
      <x:c r="AM322" s="165" t="str">
        <x:f>IF(AND(AM$5&gt;=$C322,AM$5&lt;=$D322,$A322&lt;&gt;""),"●","")</x:f>
      </x:c>
      <x:c r="AN322" s="165" t="str">
        <x:f>IF(AND(AN$5&gt;=$C322,AN$5&lt;=$D322,$A322&lt;&gt;""),"●","")</x:f>
      </x:c>
      <x:c r="AO322" s="165" t="str">
        <x:f>IF(AND(AO$5&gt;=$C322,AO$5&lt;=$D322,$A322&lt;&gt;""),"●","")</x:f>
      </x:c>
      <x:c r="AP322" s="165" t="str">
        <x:f>IF(AND(AP$5&gt;=$C322,AP$5&lt;=$D322,$A322&lt;&gt;""),"●","")</x:f>
      </x:c>
      <x:c r="AQ322" s="165" t="str">
        <x:f>IF(AND(AQ$5&gt;=$C322,AQ$5&lt;=$D322,$A322&lt;&gt;""),"●","")</x:f>
      </x:c>
      <x:c r="AR322" s="165" t="str">
        <x:f>IF(AND(AR$5&gt;=$C322,AR$5&lt;=$D322,$A322&lt;&gt;""),"●","")</x:f>
      </x:c>
      <x:c r="AS322" s="165" t="str">
        <x:f>IF(AND(AS$5&gt;=$C322,AS$5&lt;=$D322,$A322&lt;&gt;""),"●","")</x:f>
      </x:c>
      <x:c r="AT322" s="165" t="str">
        <x:f>IF(AND(AT$5&gt;=$C322,AT$5&lt;=$D322,$A322&lt;&gt;""),"●","")</x:f>
      </x:c>
      <x:c r="AU322" s="165" t="str">
        <x:f>IF(AND(AU$5&gt;=$C322,AU$5&lt;=$D322,$A322&lt;&gt;""),"●","")</x:f>
      </x:c>
      <x:c r="AV322" s="165" t="str">
        <x:f>IF(AND(AV$5&gt;=$C322,AV$5&lt;=$D322,$A322&lt;&gt;""),"●","")</x:f>
      </x:c>
      <x:c r="AW322" s="165" t="str">
        <x:f>IF(AND(AW$5&gt;=$C322,AW$5&lt;=$D322,$A322&lt;&gt;""),"●","")</x:f>
      </x:c>
      <x:c r="AX322" s="165" t="str">
        <x:f>IF(AND(AX$5&gt;=$C322,AX$5&lt;=$D322,$A322&lt;&gt;""),"●","")</x:f>
      </x:c>
      <x:c r="AY322" s="165" t="str">
        <x:f>IF(AND(AY$5&gt;=$C322,AY$5&lt;=$D322,$A322&lt;&gt;""),"●","")</x:f>
      </x:c>
      <x:c r="AZ322" s="165" t="str">
        <x:f>IF(AND(AZ$5&gt;=$C322,AZ$5&lt;=$D322,$A322&lt;&gt;""),"●","")</x:f>
      </x:c>
      <x:c r="BA322" s="165" t="str">
        <x:f>IF(AND(BA$5&gt;=$C322,BA$5&lt;=$D322,$A322&lt;&gt;""),"●","")</x:f>
      </x:c>
      <x:c r="BB322" s="165" t="str">
        <x:f>IF(AND(BB$5&gt;=$C322,BB$5&lt;=$D322,$A322&lt;&gt;""),"●","")</x:f>
      </x:c>
      <x:c r="BC322" s="165" t="str">
        <x:f>IF(AND(BC$5&gt;=$C322,BC$5&lt;=$D322,$A322&lt;&gt;""),"●","")</x:f>
      </x:c>
      <x:c r="BD322" s="165" t="str">
        <x:f>IF(AND(BD$5&gt;=$C322,BD$5&lt;=$D322,$A322&lt;&gt;""),"●","")</x:f>
      </x:c>
      <x:c r="BE322" s="165" t="str">
        <x:f>IF(AND(BE$5&gt;=$C322,BE$5&lt;=$D322,$A322&lt;&gt;""),"●","")</x:f>
      </x:c>
      <x:c r="BF322" s="165" t="str">
        <x:f>IF(AND(BF$5&gt;=$C322,BF$5&lt;=$D322,$A322&lt;&gt;""),"●","")</x:f>
      </x:c>
      <x:c r="BG322" s="165" t="str">
        <x:f>IF(AND(BG$5&gt;=$C322,BG$5&lt;=$D322,$A322&lt;&gt;""),"●","")</x:f>
      </x:c>
      <x:c r="BH322" s="165" t="str">
        <x:f>IF(AND(BH$5&gt;=$C322,BH$5&lt;=$D322,$A322&lt;&gt;""),"●","")</x:f>
      </x:c>
      <x:c r="BI322" s="165" t="str">
        <x:f>IF(AND(BI$5&gt;=$C322,BI$5&lt;=$D322,$A322&lt;&gt;""),"●","")</x:f>
      </x:c>
      <x:c r="BJ322" s="165" t="str">
        <x:f>IF(AND(BJ$5&gt;=$C322,BJ$5&lt;=$D322,$A322&lt;&gt;""),"●","")</x:f>
      </x:c>
      <x:c r="BK322" s="165" t="str">
        <x:f>IF(AND(BK$5&gt;=$C322,BK$5&lt;=$D322,$A322&lt;&gt;""),"●","")</x:f>
      </x:c>
      <x:c r="BL322" s="165" t="str">
        <x:f>IF(AND(BL$5&gt;=$C322,BL$5&lt;=$D322,$A322&lt;&gt;""),"●","")</x:f>
      </x:c>
      <x:c r="BM322" s="165" t="str">
        <x:f>IF(AND(BM$5&gt;=$C322,BM$5&lt;=$D322,$A322&lt;&gt;""),"●","")</x:f>
      </x:c>
      <x:c r="BN322" s="165" t="str">
        <x:f>IF(AND(BN$5&gt;=$C322,BN$5&lt;=$D322,$A322&lt;&gt;""),"●","")</x:f>
      </x:c>
      <x:c r="BO322" s="165" t="str">
        <x:f>IF(AND(BO$5&gt;=$C322,BO$5&lt;=$D322,$A322&lt;&gt;""),"●","")</x:f>
      </x:c>
      <x:c r="BP322" s="165" t="str">
        <x:f>IF(AND(BP$5&gt;=$C322,BP$5&lt;=$D322,$A322&lt;&gt;""),"●","")</x:f>
      </x:c>
      <x:c r="BQ322" s="165" t="str">
        <x:f>IF(AND(BQ$5&gt;=$C322,BQ$5&lt;=$D322,$A322&lt;&gt;""),"●","")</x:f>
      </x:c>
      <x:c r="BR322" s="165" t="str">
        <x:f>IF(AND(BR$5&gt;=$C322,BR$5&lt;=$D322,$A322&lt;&gt;""),"●","")</x:f>
      </x:c>
      <x:c r="BS322" s="165" t="str">
        <x:f>IF(AND(BS$5&gt;=$C322,BS$5&lt;=$D322,$A322&lt;&gt;""),"●","")</x:f>
      </x:c>
      <x:c r="BT322" s="165" t="str">
        <x:f>IF(AND(BT$5&gt;=$C322,BT$5&lt;=$D322,$A322&lt;&gt;""),"●","")</x:f>
      </x:c>
      <x:c r="BU322" s="165" t="str">
        <x:f>IF(AND(BU$5&gt;=$C322,BU$5&lt;=$D322,$A322&lt;&gt;""),"●","")</x:f>
      </x:c>
      <x:c r="BV322" s="165" t="str">
        <x:f>IF(AND(BV$5&gt;=$C322,BV$5&lt;=$D322,$A322&lt;&gt;""),"●","")</x:f>
      </x:c>
      <x:c r="BW322" s="165" t="str">
        <x:f>IF(AND(BW$5&gt;=$C322,BW$5&lt;=$D322,$A322&lt;&gt;""),"●","")</x:f>
      </x:c>
    </x:row>
    <x:row r="323">
      <x:c r="A323" s="159" t="str">
        <x:f>IF('รายการสัญญา'!A323="","",'รายการสัญญา'!A323)</x:f>
      </x:c>
      <x:c r="B323" s="159" t="str">
        <x:f>IF('รายการสัญญา'!A323="","",'รายการสัญญา'!C323)</x:f>
      </x:c>
      <x:c r="C323" s="162" t="str">
        <x:f>IF('รายการสัญญา'!A323="","",'รายการสัญญา'!E323)</x:f>
      </x:c>
      <x:c r="D323" s="162" t="str">
        <x:f>IF('รายการสัญญา'!A323="","",'รายการสัญญา'!G323)</x:f>
      </x:c>
      <x:c r="E323" s="159" t="str">
        <x:f>IF('รายการสัญญา'!A323="","",'รายการสัญญา'!K323)</x:f>
      </x:c>
      <x:c r="F323" s="165" t="str">
        <x:f>IF(AND(F$5&gt;=$C323,F$5&lt;=$D323,$A323&lt;&gt;""),"●","")</x:f>
      </x:c>
      <x:c r="G323" s="165" t="str">
        <x:f>IF(AND(G$5&gt;=$C323,G$5&lt;=$D323,$A323&lt;&gt;""),"●","")</x:f>
      </x:c>
      <x:c r="H323" s="165" t="str">
        <x:f>IF(AND(H$5&gt;=$C323,H$5&lt;=$D323,$A323&lt;&gt;""),"●","")</x:f>
      </x:c>
      <x:c r="I323" s="165" t="str">
        <x:f>IF(AND(I$5&gt;=$C323,I$5&lt;=$D323,$A323&lt;&gt;""),"●","")</x:f>
      </x:c>
      <x:c r="J323" s="165" t="str">
        <x:f>IF(AND(J$5&gt;=$C323,J$5&lt;=$D323,$A323&lt;&gt;""),"●","")</x:f>
      </x:c>
      <x:c r="K323" s="165" t="str">
        <x:f>IF(AND(K$5&gt;=$C323,K$5&lt;=$D323,$A323&lt;&gt;""),"●","")</x:f>
      </x:c>
      <x:c r="L323" s="165" t="str">
        <x:f>IF(AND(L$5&gt;=$C323,L$5&lt;=$D323,$A323&lt;&gt;""),"●","")</x:f>
      </x:c>
      <x:c r="M323" s="165" t="str">
        <x:f>IF(AND(M$5&gt;=$C323,M$5&lt;=$D323,$A323&lt;&gt;""),"●","")</x:f>
      </x:c>
      <x:c r="N323" s="165" t="str">
        <x:f>IF(AND(N$5&gt;=$C323,N$5&lt;=$D323,$A323&lt;&gt;""),"●","")</x:f>
      </x:c>
      <x:c r="O323" s="165" t="str">
        <x:f>IF(AND(O$5&gt;=$C323,O$5&lt;=$D323,$A323&lt;&gt;""),"●","")</x:f>
      </x:c>
      <x:c r="P323" s="165" t="str">
        <x:f>IF(AND(P$5&gt;=$C323,P$5&lt;=$D323,$A323&lt;&gt;""),"●","")</x:f>
      </x:c>
      <x:c r="Q323" s="165" t="str">
        <x:f>IF(AND(Q$5&gt;=$C323,Q$5&lt;=$D323,$A323&lt;&gt;""),"●","")</x:f>
      </x:c>
      <x:c r="R323" s="165" t="str">
        <x:f>IF(AND(R$5&gt;=$C323,R$5&lt;=$D323,$A323&lt;&gt;""),"●","")</x:f>
      </x:c>
      <x:c r="S323" s="165" t="str">
        <x:f>IF(AND(S$5&gt;=$C323,S$5&lt;=$D323,$A323&lt;&gt;""),"●","")</x:f>
      </x:c>
      <x:c r="T323" s="165" t="str">
        <x:f>IF(AND(T$5&gt;=$C323,T$5&lt;=$D323,$A323&lt;&gt;""),"●","")</x:f>
      </x:c>
      <x:c r="U323" s="165" t="str">
        <x:f>IF(AND(U$5&gt;=$C323,U$5&lt;=$D323,$A323&lt;&gt;""),"●","")</x:f>
      </x:c>
      <x:c r="V323" s="165" t="str">
        <x:f>IF(AND(V$5&gt;=$C323,V$5&lt;=$D323,$A323&lt;&gt;""),"●","")</x:f>
      </x:c>
      <x:c r="W323" s="165" t="str">
        <x:f>IF(AND(W$5&gt;=$C323,W$5&lt;=$D323,$A323&lt;&gt;""),"●","")</x:f>
      </x:c>
      <x:c r="X323" s="165" t="str">
        <x:f>IF(AND(X$5&gt;=$C323,X$5&lt;=$D323,$A323&lt;&gt;""),"●","")</x:f>
      </x:c>
      <x:c r="Y323" s="165" t="str">
        <x:f>IF(AND(Y$5&gt;=$C323,Y$5&lt;=$D323,$A323&lt;&gt;""),"●","")</x:f>
      </x:c>
      <x:c r="Z323" s="165" t="str">
        <x:f>IF(AND(Z$5&gt;=$C323,Z$5&lt;=$D323,$A323&lt;&gt;""),"●","")</x:f>
      </x:c>
      <x:c r="AA323" s="165" t="str">
        <x:f>IF(AND(AA$5&gt;=$C323,AA$5&lt;=$D323,$A323&lt;&gt;""),"●","")</x:f>
      </x:c>
      <x:c r="AB323" s="165" t="str">
        <x:f>IF(AND(AB$5&gt;=$C323,AB$5&lt;=$D323,$A323&lt;&gt;""),"●","")</x:f>
      </x:c>
      <x:c r="AC323" s="165" t="str">
        <x:f>IF(AND(AC$5&gt;=$C323,AC$5&lt;=$D323,$A323&lt;&gt;""),"●","")</x:f>
      </x:c>
      <x:c r="AD323" s="165" t="str">
        <x:f>IF(AND(AD$5&gt;=$C323,AD$5&lt;=$D323,$A323&lt;&gt;""),"●","")</x:f>
      </x:c>
      <x:c r="AE323" s="165" t="str">
        <x:f>IF(AND(AE$5&gt;=$C323,AE$5&lt;=$D323,$A323&lt;&gt;""),"●","")</x:f>
      </x:c>
      <x:c r="AF323" s="165" t="str">
        <x:f>IF(AND(AF$5&gt;=$C323,AF$5&lt;=$D323,$A323&lt;&gt;""),"●","")</x:f>
      </x:c>
      <x:c r="AG323" s="165" t="str">
        <x:f>IF(AND(AG$5&gt;=$C323,AG$5&lt;=$D323,$A323&lt;&gt;""),"●","")</x:f>
      </x:c>
      <x:c r="AH323" s="165" t="str">
        <x:f>IF(AND(AH$5&gt;=$C323,AH$5&lt;=$D323,$A323&lt;&gt;""),"●","")</x:f>
      </x:c>
      <x:c r="AI323" s="165" t="str">
        <x:f>IF(AND(AI$5&gt;=$C323,AI$5&lt;=$D323,$A323&lt;&gt;""),"●","")</x:f>
      </x:c>
      <x:c r="AJ323" s="165" t="str">
        <x:f>IF(AND(AJ$5&gt;=$C323,AJ$5&lt;=$D323,$A323&lt;&gt;""),"●","")</x:f>
      </x:c>
      <x:c r="AK323" s="165" t="str">
        <x:f>IF(AND(AK$5&gt;=$C323,AK$5&lt;=$D323,$A323&lt;&gt;""),"●","")</x:f>
      </x:c>
      <x:c r="AL323" s="165" t="str">
        <x:f>IF(AND(AL$5&gt;=$C323,AL$5&lt;=$D323,$A323&lt;&gt;""),"●","")</x:f>
      </x:c>
      <x:c r="AM323" s="165" t="str">
        <x:f>IF(AND(AM$5&gt;=$C323,AM$5&lt;=$D323,$A323&lt;&gt;""),"●","")</x:f>
      </x:c>
      <x:c r="AN323" s="165" t="str">
        <x:f>IF(AND(AN$5&gt;=$C323,AN$5&lt;=$D323,$A323&lt;&gt;""),"●","")</x:f>
      </x:c>
      <x:c r="AO323" s="165" t="str">
        <x:f>IF(AND(AO$5&gt;=$C323,AO$5&lt;=$D323,$A323&lt;&gt;""),"●","")</x:f>
      </x:c>
      <x:c r="AP323" s="165" t="str">
        <x:f>IF(AND(AP$5&gt;=$C323,AP$5&lt;=$D323,$A323&lt;&gt;""),"●","")</x:f>
      </x:c>
      <x:c r="AQ323" s="165" t="str">
        <x:f>IF(AND(AQ$5&gt;=$C323,AQ$5&lt;=$D323,$A323&lt;&gt;""),"●","")</x:f>
      </x:c>
      <x:c r="AR323" s="165" t="str">
        <x:f>IF(AND(AR$5&gt;=$C323,AR$5&lt;=$D323,$A323&lt;&gt;""),"●","")</x:f>
      </x:c>
      <x:c r="AS323" s="165" t="str">
        <x:f>IF(AND(AS$5&gt;=$C323,AS$5&lt;=$D323,$A323&lt;&gt;""),"●","")</x:f>
      </x:c>
      <x:c r="AT323" s="165" t="str">
        <x:f>IF(AND(AT$5&gt;=$C323,AT$5&lt;=$D323,$A323&lt;&gt;""),"●","")</x:f>
      </x:c>
      <x:c r="AU323" s="165" t="str">
        <x:f>IF(AND(AU$5&gt;=$C323,AU$5&lt;=$D323,$A323&lt;&gt;""),"●","")</x:f>
      </x:c>
      <x:c r="AV323" s="165" t="str">
        <x:f>IF(AND(AV$5&gt;=$C323,AV$5&lt;=$D323,$A323&lt;&gt;""),"●","")</x:f>
      </x:c>
      <x:c r="AW323" s="165" t="str">
        <x:f>IF(AND(AW$5&gt;=$C323,AW$5&lt;=$D323,$A323&lt;&gt;""),"●","")</x:f>
      </x:c>
      <x:c r="AX323" s="165" t="str">
        <x:f>IF(AND(AX$5&gt;=$C323,AX$5&lt;=$D323,$A323&lt;&gt;""),"●","")</x:f>
      </x:c>
      <x:c r="AY323" s="165" t="str">
        <x:f>IF(AND(AY$5&gt;=$C323,AY$5&lt;=$D323,$A323&lt;&gt;""),"●","")</x:f>
      </x:c>
      <x:c r="AZ323" s="165" t="str">
        <x:f>IF(AND(AZ$5&gt;=$C323,AZ$5&lt;=$D323,$A323&lt;&gt;""),"●","")</x:f>
      </x:c>
      <x:c r="BA323" s="165" t="str">
        <x:f>IF(AND(BA$5&gt;=$C323,BA$5&lt;=$D323,$A323&lt;&gt;""),"●","")</x:f>
      </x:c>
      <x:c r="BB323" s="165" t="str">
        <x:f>IF(AND(BB$5&gt;=$C323,BB$5&lt;=$D323,$A323&lt;&gt;""),"●","")</x:f>
      </x:c>
      <x:c r="BC323" s="165" t="str">
        <x:f>IF(AND(BC$5&gt;=$C323,BC$5&lt;=$D323,$A323&lt;&gt;""),"●","")</x:f>
      </x:c>
      <x:c r="BD323" s="165" t="str">
        <x:f>IF(AND(BD$5&gt;=$C323,BD$5&lt;=$D323,$A323&lt;&gt;""),"●","")</x:f>
      </x:c>
      <x:c r="BE323" s="165" t="str">
        <x:f>IF(AND(BE$5&gt;=$C323,BE$5&lt;=$D323,$A323&lt;&gt;""),"●","")</x:f>
      </x:c>
      <x:c r="BF323" s="165" t="str">
        <x:f>IF(AND(BF$5&gt;=$C323,BF$5&lt;=$D323,$A323&lt;&gt;""),"●","")</x:f>
      </x:c>
      <x:c r="BG323" s="165" t="str">
        <x:f>IF(AND(BG$5&gt;=$C323,BG$5&lt;=$D323,$A323&lt;&gt;""),"●","")</x:f>
      </x:c>
      <x:c r="BH323" s="165" t="str">
        <x:f>IF(AND(BH$5&gt;=$C323,BH$5&lt;=$D323,$A323&lt;&gt;""),"●","")</x:f>
      </x:c>
      <x:c r="BI323" s="165" t="str">
        <x:f>IF(AND(BI$5&gt;=$C323,BI$5&lt;=$D323,$A323&lt;&gt;""),"●","")</x:f>
      </x:c>
      <x:c r="BJ323" s="165" t="str">
        <x:f>IF(AND(BJ$5&gt;=$C323,BJ$5&lt;=$D323,$A323&lt;&gt;""),"●","")</x:f>
      </x:c>
      <x:c r="BK323" s="165" t="str">
        <x:f>IF(AND(BK$5&gt;=$C323,BK$5&lt;=$D323,$A323&lt;&gt;""),"●","")</x:f>
      </x:c>
      <x:c r="BL323" s="165" t="str">
        <x:f>IF(AND(BL$5&gt;=$C323,BL$5&lt;=$D323,$A323&lt;&gt;""),"●","")</x:f>
      </x:c>
      <x:c r="BM323" s="165" t="str">
        <x:f>IF(AND(BM$5&gt;=$C323,BM$5&lt;=$D323,$A323&lt;&gt;""),"●","")</x:f>
      </x:c>
      <x:c r="BN323" s="165" t="str">
        <x:f>IF(AND(BN$5&gt;=$C323,BN$5&lt;=$D323,$A323&lt;&gt;""),"●","")</x:f>
      </x:c>
      <x:c r="BO323" s="165" t="str">
        <x:f>IF(AND(BO$5&gt;=$C323,BO$5&lt;=$D323,$A323&lt;&gt;""),"●","")</x:f>
      </x:c>
      <x:c r="BP323" s="165" t="str">
        <x:f>IF(AND(BP$5&gt;=$C323,BP$5&lt;=$D323,$A323&lt;&gt;""),"●","")</x:f>
      </x:c>
      <x:c r="BQ323" s="165" t="str">
        <x:f>IF(AND(BQ$5&gt;=$C323,BQ$5&lt;=$D323,$A323&lt;&gt;""),"●","")</x:f>
      </x:c>
      <x:c r="BR323" s="165" t="str">
        <x:f>IF(AND(BR$5&gt;=$C323,BR$5&lt;=$D323,$A323&lt;&gt;""),"●","")</x:f>
      </x:c>
      <x:c r="BS323" s="165" t="str">
        <x:f>IF(AND(BS$5&gt;=$C323,BS$5&lt;=$D323,$A323&lt;&gt;""),"●","")</x:f>
      </x:c>
      <x:c r="BT323" s="165" t="str">
        <x:f>IF(AND(BT$5&gt;=$C323,BT$5&lt;=$D323,$A323&lt;&gt;""),"●","")</x:f>
      </x:c>
      <x:c r="BU323" s="165" t="str">
        <x:f>IF(AND(BU$5&gt;=$C323,BU$5&lt;=$D323,$A323&lt;&gt;""),"●","")</x:f>
      </x:c>
      <x:c r="BV323" s="165" t="str">
        <x:f>IF(AND(BV$5&gt;=$C323,BV$5&lt;=$D323,$A323&lt;&gt;""),"●","")</x:f>
      </x:c>
      <x:c r="BW323" s="165" t="str">
        <x:f>IF(AND(BW$5&gt;=$C323,BW$5&lt;=$D323,$A323&lt;&gt;""),"●","")</x:f>
      </x:c>
    </x:row>
    <x:row r="324">
      <x:c r="A324" s="159" t="str">
        <x:f>IF('รายการสัญญา'!A324="","",'รายการสัญญา'!A324)</x:f>
      </x:c>
      <x:c r="B324" s="159" t="str">
        <x:f>IF('รายการสัญญา'!A324="","",'รายการสัญญา'!C324)</x:f>
      </x:c>
      <x:c r="C324" s="162" t="str">
        <x:f>IF('รายการสัญญา'!A324="","",'รายการสัญญา'!E324)</x:f>
      </x:c>
      <x:c r="D324" s="162" t="str">
        <x:f>IF('รายการสัญญา'!A324="","",'รายการสัญญา'!G324)</x:f>
      </x:c>
      <x:c r="E324" s="159" t="str">
        <x:f>IF('รายการสัญญา'!A324="","",'รายการสัญญา'!K324)</x:f>
      </x:c>
      <x:c r="F324" s="165" t="str">
        <x:f>IF(AND(F$5&gt;=$C324,F$5&lt;=$D324,$A324&lt;&gt;""),"●","")</x:f>
      </x:c>
      <x:c r="G324" s="165" t="str">
        <x:f>IF(AND(G$5&gt;=$C324,G$5&lt;=$D324,$A324&lt;&gt;""),"●","")</x:f>
      </x:c>
      <x:c r="H324" s="165" t="str">
        <x:f>IF(AND(H$5&gt;=$C324,H$5&lt;=$D324,$A324&lt;&gt;""),"●","")</x:f>
      </x:c>
      <x:c r="I324" s="165" t="str">
        <x:f>IF(AND(I$5&gt;=$C324,I$5&lt;=$D324,$A324&lt;&gt;""),"●","")</x:f>
      </x:c>
      <x:c r="J324" s="165" t="str">
        <x:f>IF(AND(J$5&gt;=$C324,J$5&lt;=$D324,$A324&lt;&gt;""),"●","")</x:f>
      </x:c>
      <x:c r="K324" s="165" t="str">
        <x:f>IF(AND(K$5&gt;=$C324,K$5&lt;=$D324,$A324&lt;&gt;""),"●","")</x:f>
      </x:c>
      <x:c r="L324" s="165" t="str">
        <x:f>IF(AND(L$5&gt;=$C324,L$5&lt;=$D324,$A324&lt;&gt;""),"●","")</x:f>
      </x:c>
      <x:c r="M324" s="165" t="str">
        <x:f>IF(AND(M$5&gt;=$C324,M$5&lt;=$D324,$A324&lt;&gt;""),"●","")</x:f>
      </x:c>
      <x:c r="N324" s="165" t="str">
        <x:f>IF(AND(N$5&gt;=$C324,N$5&lt;=$D324,$A324&lt;&gt;""),"●","")</x:f>
      </x:c>
      <x:c r="O324" s="165" t="str">
        <x:f>IF(AND(O$5&gt;=$C324,O$5&lt;=$D324,$A324&lt;&gt;""),"●","")</x:f>
      </x:c>
      <x:c r="P324" s="165" t="str">
        <x:f>IF(AND(P$5&gt;=$C324,P$5&lt;=$D324,$A324&lt;&gt;""),"●","")</x:f>
      </x:c>
      <x:c r="Q324" s="165" t="str">
        <x:f>IF(AND(Q$5&gt;=$C324,Q$5&lt;=$D324,$A324&lt;&gt;""),"●","")</x:f>
      </x:c>
      <x:c r="R324" s="165" t="str">
        <x:f>IF(AND(R$5&gt;=$C324,R$5&lt;=$D324,$A324&lt;&gt;""),"●","")</x:f>
      </x:c>
      <x:c r="S324" s="165" t="str">
        <x:f>IF(AND(S$5&gt;=$C324,S$5&lt;=$D324,$A324&lt;&gt;""),"●","")</x:f>
      </x:c>
      <x:c r="T324" s="165" t="str">
        <x:f>IF(AND(T$5&gt;=$C324,T$5&lt;=$D324,$A324&lt;&gt;""),"●","")</x:f>
      </x:c>
      <x:c r="U324" s="165" t="str">
        <x:f>IF(AND(U$5&gt;=$C324,U$5&lt;=$D324,$A324&lt;&gt;""),"●","")</x:f>
      </x:c>
      <x:c r="V324" s="165" t="str">
        <x:f>IF(AND(V$5&gt;=$C324,V$5&lt;=$D324,$A324&lt;&gt;""),"●","")</x:f>
      </x:c>
      <x:c r="W324" s="165" t="str">
        <x:f>IF(AND(W$5&gt;=$C324,W$5&lt;=$D324,$A324&lt;&gt;""),"●","")</x:f>
      </x:c>
      <x:c r="X324" s="165" t="str">
        <x:f>IF(AND(X$5&gt;=$C324,X$5&lt;=$D324,$A324&lt;&gt;""),"●","")</x:f>
      </x:c>
      <x:c r="Y324" s="165" t="str">
        <x:f>IF(AND(Y$5&gt;=$C324,Y$5&lt;=$D324,$A324&lt;&gt;""),"●","")</x:f>
      </x:c>
      <x:c r="Z324" s="165" t="str">
        <x:f>IF(AND(Z$5&gt;=$C324,Z$5&lt;=$D324,$A324&lt;&gt;""),"●","")</x:f>
      </x:c>
      <x:c r="AA324" s="165" t="str">
        <x:f>IF(AND(AA$5&gt;=$C324,AA$5&lt;=$D324,$A324&lt;&gt;""),"●","")</x:f>
      </x:c>
      <x:c r="AB324" s="165" t="str">
        <x:f>IF(AND(AB$5&gt;=$C324,AB$5&lt;=$D324,$A324&lt;&gt;""),"●","")</x:f>
      </x:c>
      <x:c r="AC324" s="165" t="str">
        <x:f>IF(AND(AC$5&gt;=$C324,AC$5&lt;=$D324,$A324&lt;&gt;""),"●","")</x:f>
      </x:c>
      <x:c r="AD324" s="165" t="str">
        <x:f>IF(AND(AD$5&gt;=$C324,AD$5&lt;=$D324,$A324&lt;&gt;""),"●","")</x:f>
      </x:c>
      <x:c r="AE324" s="165" t="str">
        <x:f>IF(AND(AE$5&gt;=$C324,AE$5&lt;=$D324,$A324&lt;&gt;""),"●","")</x:f>
      </x:c>
      <x:c r="AF324" s="165" t="str">
        <x:f>IF(AND(AF$5&gt;=$C324,AF$5&lt;=$D324,$A324&lt;&gt;""),"●","")</x:f>
      </x:c>
      <x:c r="AG324" s="165" t="str">
        <x:f>IF(AND(AG$5&gt;=$C324,AG$5&lt;=$D324,$A324&lt;&gt;""),"●","")</x:f>
      </x:c>
      <x:c r="AH324" s="165" t="str">
        <x:f>IF(AND(AH$5&gt;=$C324,AH$5&lt;=$D324,$A324&lt;&gt;""),"●","")</x:f>
      </x:c>
      <x:c r="AI324" s="165" t="str">
        <x:f>IF(AND(AI$5&gt;=$C324,AI$5&lt;=$D324,$A324&lt;&gt;""),"●","")</x:f>
      </x:c>
      <x:c r="AJ324" s="165" t="str">
        <x:f>IF(AND(AJ$5&gt;=$C324,AJ$5&lt;=$D324,$A324&lt;&gt;""),"●","")</x:f>
      </x:c>
      <x:c r="AK324" s="165" t="str">
        <x:f>IF(AND(AK$5&gt;=$C324,AK$5&lt;=$D324,$A324&lt;&gt;""),"●","")</x:f>
      </x:c>
      <x:c r="AL324" s="165" t="str">
        <x:f>IF(AND(AL$5&gt;=$C324,AL$5&lt;=$D324,$A324&lt;&gt;""),"●","")</x:f>
      </x:c>
      <x:c r="AM324" s="165" t="str">
        <x:f>IF(AND(AM$5&gt;=$C324,AM$5&lt;=$D324,$A324&lt;&gt;""),"●","")</x:f>
      </x:c>
      <x:c r="AN324" s="165" t="str">
        <x:f>IF(AND(AN$5&gt;=$C324,AN$5&lt;=$D324,$A324&lt;&gt;""),"●","")</x:f>
      </x:c>
      <x:c r="AO324" s="165" t="str">
        <x:f>IF(AND(AO$5&gt;=$C324,AO$5&lt;=$D324,$A324&lt;&gt;""),"●","")</x:f>
      </x:c>
      <x:c r="AP324" s="165" t="str">
        <x:f>IF(AND(AP$5&gt;=$C324,AP$5&lt;=$D324,$A324&lt;&gt;""),"●","")</x:f>
      </x:c>
      <x:c r="AQ324" s="165" t="str">
        <x:f>IF(AND(AQ$5&gt;=$C324,AQ$5&lt;=$D324,$A324&lt;&gt;""),"●","")</x:f>
      </x:c>
      <x:c r="AR324" s="165" t="str">
        <x:f>IF(AND(AR$5&gt;=$C324,AR$5&lt;=$D324,$A324&lt;&gt;""),"●","")</x:f>
      </x:c>
      <x:c r="AS324" s="165" t="str">
        <x:f>IF(AND(AS$5&gt;=$C324,AS$5&lt;=$D324,$A324&lt;&gt;""),"●","")</x:f>
      </x:c>
      <x:c r="AT324" s="165" t="str">
        <x:f>IF(AND(AT$5&gt;=$C324,AT$5&lt;=$D324,$A324&lt;&gt;""),"●","")</x:f>
      </x:c>
      <x:c r="AU324" s="165" t="str">
        <x:f>IF(AND(AU$5&gt;=$C324,AU$5&lt;=$D324,$A324&lt;&gt;""),"●","")</x:f>
      </x:c>
      <x:c r="AV324" s="165" t="str">
        <x:f>IF(AND(AV$5&gt;=$C324,AV$5&lt;=$D324,$A324&lt;&gt;""),"●","")</x:f>
      </x:c>
      <x:c r="AW324" s="165" t="str">
        <x:f>IF(AND(AW$5&gt;=$C324,AW$5&lt;=$D324,$A324&lt;&gt;""),"●","")</x:f>
      </x:c>
      <x:c r="AX324" s="165" t="str">
        <x:f>IF(AND(AX$5&gt;=$C324,AX$5&lt;=$D324,$A324&lt;&gt;""),"●","")</x:f>
      </x:c>
      <x:c r="AY324" s="165" t="str">
        <x:f>IF(AND(AY$5&gt;=$C324,AY$5&lt;=$D324,$A324&lt;&gt;""),"●","")</x:f>
      </x:c>
      <x:c r="AZ324" s="165" t="str">
        <x:f>IF(AND(AZ$5&gt;=$C324,AZ$5&lt;=$D324,$A324&lt;&gt;""),"●","")</x:f>
      </x:c>
      <x:c r="BA324" s="165" t="str">
        <x:f>IF(AND(BA$5&gt;=$C324,BA$5&lt;=$D324,$A324&lt;&gt;""),"●","")</x:f>
      </x:c>
      <x:c r="BB324" s="165" t="str">
        <x:f>IF(AND(BB$5&gt;=$C324,BB$5&lt;=$D324,$A324&lt;&gt;""),"●","")</x:f>
      </x:c>
      <x:c r="BC324" s="165" t="str">
        <x:f>IF(AND(BC$5&gt;=$C324,BC$5&lt;=$D324,$A324&lt;&gt;""),"●","")</x:f>
      </x:c>
      <x:c r="BD324" s="165" t="str">
        <x:f>IF(AND(BD$5&gt;=$C324,BD$5&lt;=$D324,$A324&lt;&gt;""),"●","")</x:f>
      </x:c>
      <x:c r="BE324" s="165" t="str">
        <x:f>IF(AND(BE$5&gt;=$C324,BE$5&lt;=$D324,$A324&lt;&gt;""),"●","")</x:f>
      </x:c>
      <x:c r="BF324" s="165" t="str">
        <x:f>IF(AND(BF$5&gt;=$C324,BF$5&lt;=$D324,$A324&lt;&gt;""),"●","")</x:f>
      </x:c>
      <x:c r="BG324" s="165" t="str">
        <x:f>IF(AND(BG$5&gt;=$C324,BG$5&lt;=$D324,$A324&lt;&gt;""),"●","")</x:f>
      </x:c>
      <x:c r="BH324" s="165" t="str">
        <x:f>IF(AND(BH$5&gt;=$C324,BH$5&lt;=$D324,$A324&lt;&gt;""),"●","")</x:f>
      </x:c>
      <x:c r="BI324" s="165" t="str">
        <x:f>IF(AND(BI$5&gt;=$C324,BI$5&lt;=$D324,$A324&lt;&gt;""),"●","")</x:f>
      </x:c>
      <x:c r="BJ324" s="165" t="str">
        <x:f>IF(AND(BJ$5&gt;=$C324,BJ$5&lt;=$D324,$A324&lt;&gt;""),"●","")</x:f>
      </x:c>
      <x:c r="BK324" s="165" t="str">
        <x:f>IF(AND(BK$5&gt;=$C324,BK$5&lt;=$D324,$A324&lt;&gt;""),"●","")</x:f>
      </x:c>
      <x:c r="BL324" s="165" t="str">
        <x:f>IF(AND(BL$5&gt;=$C324,BL$5&lt;=$D324,$A324&lt;&gt;""),"●","")</x:f>
      </x:c>
      <x:c r="BM324" s="165" t="str">
        <x:f>IF(AND(BM$5&gt;=$C324,BM$5&lt;=$D324,$A324&lt;&gt;""),"●","")</x:f>
      </x:c>
      <x:c r="BN324" s="165" t="str">
        <x:f>IF(AND(BN$5&gt;=$C324,BN$5&lt;=$D324,$A324&lt;&gt;""),"●","")</x:f>
      </x:c>
      <x:c r="BO324" s="165" t="str">
        <x:f>IF(AND(BO$5&gt;=$C324,BO$5&lt;=$D324,$A324&lt;&gt;""),"●","")</x:f>
      </x:c>
      <x:c r="BP324" s="165" t="str">
        <x:f>IF(AND(BP$5&gt;=$C324,BP$5&lt;=$D324,$A324&lt;&gt;""),"●","")</x:f>
      </x:c>
      <x:c r="BQ324" s="165" t="str">
        <x:f>IF(AND(BQ$5&gt;=$C324,BQ$5&lt;=$D324,$A324&lt;&gt;""),"●","")</x:f>
      </x:c>
      <x:c r="BR324" s="165" t="str">
        <x:f>IF(AND(BR$5&gt;=$C324,BR$5&lt;=$D324,$A324&lt;&gt;""),"●","")</x:f>
      </x:c>
      <x:c r="BS324" s="165" t="str">
        <x:f>IF(AND(BS$5&gt;=$C324,BS$5&lt;=$D324,$A324&lt;&gt;""),"●","")</x:f>
      </x:c>
      <x:c r="BT324" s="165" t="str">
        <x:f>IF(AND(BT$5&gt;=$C324,BT$5&lt;=$D324,$A324&lt;&gt;""),"●","")</x:f>
      </x:c>
      <x:c r="BU324" s="165" t="str">
        <x:f>IF(AND(BU$5&gt;=$C324,BU$5&lt;=$D324,$A324&lt;&gt;""),"●","")</x:f>
      </x:c>
      <x:c r="BV324" s="165" t="str">
        <x:f>IF(AND(BV$5&gt;=$C324,BV$5&lt;=$D324,$A324&lt;&gt;""),"●","")</x:f>
      </x:c>
      <x:c r="BW324" s="165" t="str">
        <x:f>IF(AND(BW$5&gt;=$C324,BW$5&lt;=$D324,$A324&lt;&gt;""),"●","")</x:f>
      </x:c>
    </x:row>
    <x:row r="325">
      <x:c r="A325" s="159" t="str">
        <x:f>IF('รายการสัญญา'!A325="","",'รายการสัญญา'!A325)</x:f>
      </x:c>
      <x:c r="B325" s="159" t="str">
        <x:f>IF('รายการสัญญา'!A325="","",'รายการสัญญา'!C325)</x:f>
      </x:c>
      <x:c r="C325" s="162" t="str">
        <x:f>IF('รายการสัญญา'!A325="","",'รายการสัญญา'!E325)</x:f>
      </x:c>
      <x:c r="D325" s="162" t="str">
        <x:f>IF('รายการสัญญา'!A325="","",'รายการสัญญา'!G325)</x:f>
      </x:c>
      <x:c r="E325" s="159" t="str">
        <x:f>IF('รายการสัญญา'!A325="","",'รายการสัญญา'!K325)</x:f>
      </x:c>
      <x:c r="F325" s="165" t="str">
        <x:f>IF(AND(F$5&gt;=$C325,F$5&lt;=$D325,$A325&lt;&gt;""),"●","")</x:f>
      </x:c>
      <x:c r="G325" s="165" t="str">
        <x:f>IF(AND(G$5&gt;=$C325,G$5&lt;=$D325,$A325&lt;&gt;""),"●","")</x:f>
      </x:c>
      <x:c r="H325" s="165" t="str">
        <x:f>IF(AND(H$5&gt;=$C325,H$5&lt;=$D325,$A325&lt;&gt;""),"●","")</x:f>
      </x:c>
      <x:c r="I325" s="165" t="str">
        <x:f>IF(AND(I$5&gt;=$C325,I$5&lt;=$D325,$A325&lt;&gt;""),"●","")</x:f>
      </x:c>
      <x:c r="J325" s="165" t="str">
        <x:f>IF(AND(J$5&gt;=$C325,J$5&lt;=$D325,$A325&lt;&gt;""),"●","")</x:f>
      </x:c>
      <x:c r="K325" s="165" t="str">
        <x:f>IF(AND(K$5&gt;=$C325,K$5&lt;=$D325,$A325&lt;&gt;""),"●","")</x:f>
      </x:c>
      <x:c r="L325" s="165" t="str">
        <x:f>IF(AND(L$5&gt;=$C325,L$5&lt;=$D325,$A325&lt;&gt;""),"●","")</x:f>
      </x:c>
      <x:c r="M325" s="165" t="str">
        <x:f>IF(AND(M$5&gt;=$C325,M$5&lt;=$D325,$A325&lt;&gt;""),"●","")</x:f>
      </x:c>
      <x:c r="N325" s="165" t="str">
        <x:f>IF(AND(N$5&gt;=$C325,N$5&lt;=$D325,$A325&lt;&gt;""),"●","")</x:f>
      </x:c>
      <x:c r="O325" s="165" t="str">
        <x:f>IF(AND(O$5&gt;=$C325,O$5&lt;=$D325,$A325&lt;&gt;""),"●","")</x:f>
      </x:c>
      <x:c r="P325" s="165" t="str">
        <x:f>IF(AND(P$5&gt;=$C325,P$5&lt;=$D325,$A325&lt;&gt;""),"●","")</x:f>
      </x:c>
      <x:c r="Q325" s="165" t="str">
        <x:f>IF(AND(Q$5&gt;=$C325,Q$5&lt;=$D325,$A325&lt;&gt;""),"●","")</x:f>
      </x:c>
      <x:c r="R325" s="165" t="str">
        <x:f>IF(AND(R$5&gt;=$C325,R$5&lt;=$D325,$A325&lt;&gt;""),"●","")</x:f>
      </x:c>
      <x:c r="S325" s="165" t="str">
        <x:f>IF(AND(S$5&gt;=$C325,S$5&lt;=$D325,$A325&lt;&gt;""),"●","")</x:f>
      </x:c>
      <x:c r="T325" s="165" t="str">
        <x:f>IF(AND(T$5&gt;=$C325,T$5&lt;=$D325,$A325&lt;&gt;""),"●","")</x:f>
      </x:c>
      <x:c r="U325" s="165" t="str">
        <x:f>IF(AND(U$5&gt;=$C325,U$5&lt;=$D325,$A325&lt;&gt;""),"●","")</x:f>
      </x:c>
      <x:c r="V325" s="165" t="str">
        <x:f>IF(AND(V$5&gt;=$C325,V$5&lt;=$D325,$A325&lt;&gt;""),"●","")</x:f>
      </x:c>
      <x:c r="W325" s="165" t="str">
        <x:f>IF(AND(W$5&gt;=$C325,W$5&lt;=$D325,$A325&lt;&gt;""),"●","")</x:f>
      </x:c>
      <x:c r="X325" s="165" t="str">
        <x:f>IF(AND(X$5&gt;=$C325,X$5&lt;=$D325,$A325&lt;&gt;""),"●","")</x:f>
      </x:c>
      <x:c r="Y325" s="165" t="str">
        <x:f>IF(AND(Y$5&gt;=$C325,Y$5&lt;=$D325,$A325&lt;&gt;""),"●","")</x:f>
      </x:c>
      <x:c r="Z325" s="165" t="str">
        <x:f>IF(AND(Z$5&gt;=$C325,Z$5&lt;=$D325,$A325&lt;&gt;""),"●","")</x:f>
      </x:c>
      <x:c r="AA325" s="165" t="str">
        <x:f>IF(AND(AA$5&gt;=$C325,AA$5&lt;=$D325,$A325&lt;&gt;""),"●","")</x:f>
      </x:c>
      <x:c r="AB325" s="165" t="str">
        <x:f>IF(AND(AB$5&gt;=$C325,AB$5&lt;=$D325,$A325&lt;&gt;""),"●","")</x:f>
      </x:c>
      <x:c r="AC325" s="165" t="str">
        <x:f>IF(AND(AC$5&gt;=$C325,AC$5&lt;=$D325,$A325&lt;&gt;""),"●","")</x:f>
      </x:c>
      <x:c r="AD325" s="165" t="str">
        <x:f>IF(AND(AD$5&gt;=$C325,AD$5&lt;=$D325,$A325&lt;&gt;""),"●","")</x:f>
      </x:c>
      <x:c r="AE325" s="165" t="str">
        <x:f>IF(AND(AE$5&gt;=$C325,AE$5&lt;=$D325,$A325&lt;&gt;""),"●","")</x:f>
      </x:c>
      <x:c r="AF325" s="165" t="str">
        <x:f>IF(AND(AF$5&gt;=$C325,AF$5&lt;=$D325,$A325&lt;&gt;""),"●","")</x:f>
      </x:c>
      <x:c r="AG325" s="165" t="str">
        <x:f>IF(AND(AG$5&gt;=$C325,AG$5&lt;=$D325,$A325&lt;&gt;""),"●","")</x:f>
      </x:c>
      <x:c r="AH325" s="165" t="str">
        <x:f>IF(AND(AH$5&gt;=$C325,AH$5&lt;=$D325,$A325&lt;&gt;""),"●","")</x:f>
      </x:c>
      <x:c r="AI325" s="165" t="str">
        <x:f>IF(AND(AI$5&gt;=$C325,AI$5&lt;=$D325,$A325&lt;&gt;""),"●","")</x:f>
      </x:c>
      <x:c r="AJ325" s="165" t="str">
        <x:f>IF(AND(AJ$5&gt;=$C325,AJ$5&lt;=$D325,$A325&lt;&gt;""),"●","")</x:f>
      </x:c>
      <x:c r="AK325" s="165" t="str">
        <x:f>IF(AND(AK$5&gt;=$C325,AK$5&lt;=$D325,$A325&lt;&gt;""),"●","")</x:f>
      </x:c>
      <x:c r="AL325" s="165" t="str">
        <x:f>IF(AND(AL$5&gt;=$C325,AL$5&lt;=$D325,$A325&lt;&gt;""),"●","")</x:f>
      </x:c>
      <x:c r="AM325" s="165" t="str">
        <x:f>IF(AND(AM$5&gt;=$C325,AM$5&lt;=$D325,$A325&lt;&gt;""),"●","")</x:f>
      </x:c>
      <x:c r="AN325" s="165" t="str">
        <x:f>IF(AND(AN$5&gt;=$C325,AN$5&lt;=$D325,$A325&lt;&gt;""),"●","")</x:f>
      </x:c>
      <x:c r="AO325" s="165" t="str">
        <x:f>IF(AND(AO$5&gt;=$C325,AO$5&lt;=$D325,$A325&lt;&gt;""),"●","")</x:f>
      </x:c>
      <x:c r="AP325" s="165" t="str">
        <x:f>IF(AND(AP$5&gt;=$C325,AP$5&lt;=$D325,$A325&lt;&gt;""),"●","")</x:f>
      </x:c>
      <x:c r="AQ325" s="165" t="str">
        <x:f>IF(AND(AQ$5&gt;=$C325,AQ$5&lt;=$D325,$A325&lt;&gt;""),"●","")</x:f>
      </x:c>
      <x:c r="AR325" s="165" t="str">
        <x:f>IF(AND(AR$5&gt;=$C325,AR$5&lt;=$D325,$A325&lt;&gt;""),"●","")</x:f>
      </x:c>
      <x:c r="AS325" s="165" t="str">
        <x:f>IF(AND(AS$5&gt;=$C325,AS$5&lt;=$D325,$A325&lt;&gt;""),"●","")</x:f>
      </x:c>
      <x:c r="AT325" s="165" t="str">
        <x:f>IF(AND(AT$5&gt;=$C325,AT$5&lt;=$D325,$A325&lt;&gt;""),"●","")</x:f>
      </x:c>
      <x:c r="AU325" s="165" t="str">
        <x:f>IF(AND(AU$5&gt;=$C325,AU$5&lt;=$D325,$A325&lt;&gt;""),"●","")</x:f>
      </x:c>
      <x:c r="AV325" s="165" t="str">
        <x:f>IF(AND(AV$5&gt;=$C325,AV$5&lt;=$D325,$A325&lt;&gt;""),"●","")</x:f>
      </x:c>
      <x:c r="AW325" s="165" t="str">
        <x:f>IF(AND(AW$5&gt;=$C325,AW$5&lt;=$D325,$A325&lt;&gt;""),"●","")</x:f>
      </x:c>
      <x:c r="AX325" s="165" t="str">
        <x:f>IF(AND(AX$5&gt;=$C325,AX$5&lt;=$D325,$A325&lt;&gt;""),"●","")</x:f>
      </x:c>
      <x:c r="AY325" s="165" t="str">
        <x:f>IF(AND(AY$5&gt;=$C325,AY$5&lt;=$D325,$A325&lt;&gt;""),"●","")</x:f>
      </x:c>
      <x:c r="AZ325" s="165" t="str">
        <x:f>IF(AND(AZ$5&gt;=$C325,AZ$5&lt;=$D325,$A325&lt;&gt;""),"●","")</x:f>
      </x:c>
      <x:c r="BA325" s="165" t="str">
        <x:f>IF(AND(BA$5&gt;=$C325,BA$5&lt;=$D325,$A325&lt;&gt;""),"●","")</x:f>
      </x:c>
      <x:c r="BB325" s="165" t="str">
        <x:f>IF(AND(BB$5&gt;=$C325,BB$5&lt;=$D325,$A325&lt;&gt;""),"●","")</x:f>
      </x:c>
      <x:c r="BC325" s="165" t="str">
        <x:f>IF(AND(BC$5&gt;=$C325,BC$5&lt;=$D325,$A325&lt;&gt;""),"●","")</x:f>
      </x:c>
      <x:c r="BD325" s="165" t="str">
        <x:f>IF(AND(BD$5&gt;=$C325,BD$5&lt;=$D325,$A325&lt;&gt;""),"●","")</x:f>
      </x:c>
      <x:c r="BE325" s="165" t="str">
        <x:f>IF(AND(BE$5&gt;=$C325,BE$5&lt;=$D325,$A325&lt;&gt;""),"●","")</x:f>
      </x:c>
      <x:c r="BF325" s="165" t="str">
        <x:f>IF(AND(BF$5&gt;=$C325,BF$5&lt;=$D325,$A325&lt;&gt;""),"●","")</x:f>
      </x:c>
      <x:c r="BG325" s="165" t="str">
        <x:f>IF(AND(BG$5&gt;=$C325,BG$5&lt;=$D325,$A325&lt;&gt;""),"●","")</x:f>
      </x:c>
      <x:c r="BH325" s="165" t="str">
        <x:f>IF(AND(BH$5&gt;=$C325,BH$5&lt;=$D325,$A325&lt;&gt;""),"●","")</x:f>
      </x:c>
      <x:c r="BI325" s="165" t="str">
        <x:f>IF(AND(BI$5&gt;=$C325,BI$5&lt;=$D325,$A325&lt;&gt;""),"●","")</x:f>
      </x:c>
      <x:c r="BJ325" s="165" t="str">
        <x:f>IF(AND(BJ$5&gt;=$C325,BJ$5&lt;=$D325,$A325&lt;&gt;""),"●","")</x:f>
      </x:c>
      <x:c r="BK325" s="165" t="str">
        <x:f>IF(AND(BK$5&gt;=$C325,BK$5&lt;=$D325,$A325&lt;&gt;""),"●","")</x:f>
      </x:c>
      <x:c r="BL325" s="165" t="str">
        <x:f>IF(AND(BL$5&gt;=$C325,BL$5&lt;=$D325,$A325&lt;&gt;""),"●","")</x:f>
      </x:c>
      <x:c r="BM325" s="165" t="str">
        <x:f>IF(AND(BM$5&gt;=$C325,BM$5&lt;=$D325,$A325&lt;&gt;""),"●","")</x:f>
      </x:c>
      <x:c r="BN325" s="165" t="str">
        <x:f>IF(AND(BN$5&gt;=$C325,BN$5&lt;=$D325,$A325&lt;&gt;""),"●","")</x:f>
      </x:c>
      <x:c r="BO325" s="165" t="str">
        <x:f>IF(AND(BO$5&gt;=$C325,BO$5&lt;=$D325,$A325&lt;&gt;""),"●","")</x:f>
      </x:c>
      <x:c r="BP325" s="165" t="str">
        <x:f>IF(AND(BP$5&gt;=$C325,BP$5&lt;=$D325,$A325&lt;&gt;""),"●","")</x:f>
      </x:c>
      <x:c r="BQ325" s="165" t="str">
        <x:f>IF(AND(BQ$5&gt;=$C325,BQ$5&lt;=$D325,$A325&lt;&gt;""),"●","")</x:f>
      </x:c>
      <x:c r="BR325" s="165" t="str">
        <x:f>IF(AND(BR$5&gt;=$C325,BR$5&lt;=$D325,$A325&lt;&gt;""),"●","")</x:f>
      </x:c>
      <x:c r="BS325" s="165" t="str">
        <x:f>IF(AND(BS$5&gt;=$C325,BS$5&lt;=$D325,$A325&lt;&gt;""),"●","")</x:f>
      </x:c>
      <x:c r="BT325" s="165" t="str">
        <x:f>IF(AND(BT$5&gt;=$C325,BT$5&lt;=$D325,$A325&lt;&gt;""),"●","")</x:f>
      </x:c>
      <x:c r="BU325" s="165" t="str">
        <x:f>IF(AND(BU$5&gt;=$C325,BU$5&lt;=$D325,$A325&lt;&gt;""),"●","")</x:f>
      </x:c>
      <x:c r="BV325" s="165" t="str">
        <x:f>IF(AND(BV$5&gt;=$C325,BV$5&lt;=$D325,$A325&lt;&gt;""),"●","")</x:f>
      </x:c>
      <x:c r="BW325" s="165" t="str">
        <x:f>IF(AND(BW$5&gt;=$C325,BW$5&lt;=$D325,$A325&lt;&gt;""),"●","")</x:f>
      </x:c>
    </x:row>
    <x:row r="326">
      <x:c r="A326" s="159" t="str">
        <x:f>IF('รายการสัญญา'!A326="","",'รายการสัญญา'!A326)</x:f>
      </x:c>
      <x:c r="B326" s="159" t="str">
        <x:f>IF('รายการสัญญา'!A326="","",'รายการสัญญา'!C326)</x:f>
      </x:c>
      <x:c r="C326" s="162" t="str">
        <x:f>IF('รายการสัญญา'!A326="","",'รายการสัญญา'!E326)</x:f>
      </x:c>
      <x:c r="D326" s="162" t="str">
        <x:f>IF('รายการสัญญา'!A326="","",'รายการสัญญา'!G326)</x:f>
      </x:c>
      <x:c r="E326" s="159" t="str">
        <x:f>IF('รายการสัญญา'!A326="","",'รายการสัญญา'!K326)</x:f>
      </x:c>
      <x:c r="F326" s="165" t="str">
        <x:f>IF(AND(F$5&gt;=$C326,F$5&lt;=$D326,$A326&lt;&gt;""),"●","")</x:f>
      </x:c>
      <x:c r="G326" s="165" t="str">
        <x:f>IF(AND(G$5&gt;=$C326,G$5&lt;=$D326,$A326&lt;&gt;""),"●","")</x:f>
      </x:c>
      <x:c r="H326" s="165" t="str">
        <x:f>IF(AND(H$5&gt;=$C326,H$5&lt;=$D326,$A326&lt;&gt;""),"●","")</x:f>
      </x:c>
      <x:c r="I326" s="165" t="str">
        <x:f>IF(AND(I$5&gt;=$C326,I$5&lt;=$D326,$A326&lt;&gt;""),"●","")</x:f>
      </x:c>
      <x:c r="J326" s="165" t="str">
        <x:f>IF(AND(J$5&gt;=$C326,J$5&lt;=$D326,$A326&lt;&gt;""),"●","")</x:f>
      </x:c>
      <x:c r="K326" s="165" t="str">
        <x:f>IF(AND(K$5&gt;=$C326,K$5&lt;=$D326,$A326&lt;&gt;""),"●","")</x:f>
      </x:c>
      <x:c r="L326" s="165" t="str">
        <x:f>IF(AND(L$5&gt;=$C326,L$5&lt;=$D326,$A326&lt;&gt;""),"●","")</x:f>
      </x:c>
      <x:c r="M326" s="165" t="str">
        <x:f>IF(AND(M$5&gt;=$C326,M$5&lt;=$D326,$A326&lt;&gt;""),"●","")</x:f>
      </x:c>
      <x:c r="N326" s="165" t="str">
        <x:f>IF(AND(N$5&gt;=$C326,N$5&lt;=$D326,$A326&lt;&gt;""),"●","")</x:f>
      </x:c>
      <x:c r="O326" s="165" t="str">
        <x:f>IF(AND(O$5&gt;=$C326,O$5&lt;=$D326,$A326&lt;&gt;""),"●","")</x:f>
      </x:c>
      <x:c r="P326" s="165" t="str">
        <x:f>IF(AND(P$5&gt;=$C326,P$5&lt;=$D326,$A326&lt;&gt;""),"●","")</x:f>
      </x:c>
      <x:c r="Q326" s="165" t="str">
        <x:f>IF(AND(Q$5&gt;=$C326,Q$5&lt;=$D326,$A326&lt;&gt;""),"●","")</x:f>
      </x:c>
      <x:c r="R326" s="165" t="str">
        <x:f>IF(AND(R$5&gt;=$C326,R$5&lt;=$D326,$A326&lt;&gt;""),"●","")</x:f>
      </x:c>
      <x:c r="S326" s="165" t="str">
        <x:f>IF(AND(S$5&gt;=$C326,S$5&lt;=$D326,$A326&lt;&gt;""),"●","")</x:f>
      </x:c>
      <x:c r="T326" s="165" t="str">
        <x:f>IF(AND(T$5&gt;=$C326,T$5&lt;=$D326,$A326&lt;&gt;""),"●","")</x:f>
      </x:c>
      <x:c r="U326" s="165" t="str">
        <x:f>IF(AND(U$5&gt;=$C326,U$5&lt;=$D326,$A326&lt;&gt;""),"●","")</x:f>
      </x:c>
      <x:c r="V326" s="165" t="str">
        <x:f>IF(AND(V$5&gt;=$C326,V$5&lt;=$D326,$A326&lt;&gt;""),"●","")</x:f>
      </x:c>
      <x:c r="W326" s="165" t="str">
        <x:f>IF(AND(W$5&gt;=$C326,W$5&lt;=$D326,$A326&lt;&gt;""),"●","")</x:f>
      </x:c>
      <x:c r="X326" s="165" t="str">
        <x:f>IF(AND(X$5&gt;=$C326,X$5&lt;=$D326,$A326&lt;&gt;""),"●","")</x:f>
      </x:c>
      <x:c r="Y326" s="165" t="str">
        <x:f>IF(AND(Y$5&gt;=$C326,Y$5&lt;=$D326,$A326&lt;&gt;""),"●","")</x:f>
      </x:c>
      <x:c r="Z326" s="165" t="str">
        <x:f>IF(AND(Z$5&gt;=$C326,Z$5&lt;=$D326,$A326&lt;&gt;""),"●","")</x:f>
      </x:c>
      <x:c r="AA326" s="165" t="str">
        <x:f>IF(AND(AA$5&gt;=$C326,AA$5&lt;=$D326,$A326&lt;&gt;""),"●","")</x:f>
      </x:c>
      <x:c r="AB326" s="165" t="str">
        <x:f>IF(AND(AB$5&gt;=$C326,AB$5&lt;=$D326,$A326&lt;&gt;""),"●","")</x:f>
      </x:c>
      <x:c r="AC326" s="165" t="str">
        <x:f>IF(AND(AC$5&gt;=$C326,AC$5&lt;=$D326,$A326&lt;&gt;""),"●","")</x:f>
      </x:c>
      <x:c r="AD326" s="165" t="str">
        <x:f>IF(AND(AD$5&gt;=$C326,AD$5&lt;=$D326,$A326&lt;&gt;""),"●","")</x:f>
      </x:c>
      <x:c r="AE326" s="165" t="str">
        <x:f>IF(AND(AE$5&gt;=$C326,AE$5&lt;=$D326,$A326&lt;&gt;""),"●","")</x:f>
      </x:c>
      <x:c r="AF326" s="165" t="str">
        <x:f>IF(AND(AF$5&gt;=$C326,AF$5&lt;=$D326,$A326&lt;&gt;""),"●","")</x:f>
      </x:c>
      <x:c r="AG326" s="165" t="str">
        <x:f>IF(AND(AG$5&gt;=$C326,AG$5&lt;=$D326,$A326&lt;&gt;""),"●","")</x:f>
      </x:c>
      <x:c r="AH326" s="165" t="str">
        <x:f>IF(AND(AH$5&gt;=$C326,AH$5&lt;=$D326,$A326&lt;&gt;""),"●","")</x:f>
      </x:c>
      <x:c r="AI326" s="165" t="str">
        <x:f>IF(AND(AI$5&gt;=$C326,AI$5&lt;=$D326,$A326&lt;&gt;""),"●","")</x:f>
      </x:c>
      <x:c r="AJ326" s="165" t="str">
        <x:f>IF(AND(AJ$5&gt;=$C326,AJ$5&lt;=$D326,$A326&lt;&gt;""),"●","")</x:f>
      </x:c>
      <x:c r="AK326" s="165" t="str">
        <x:f>IF(AND(AK$5&gt;=$C326,AK$5&lt;=$D326,$A326&lt;&gt;""),"●","")</x:f>
      </x:c>
      <x:c r="AL326" s="165" t="str">
        <x:f>IF(AND(AL$5&gt;=$C326,AL$5&lt;=$D326,$A326&lt;&gt;""),"●","")</x:f>
      </x:c>
      <x:c r="AM326" s="165" t="str">
        <x:f>IF(AND(AM$5&gt;=$C326,AM$5&lt;=$D326,$A326&lt;&gt;""),"●","")</x:f>
      </x:c>
      <x:c r="AN326" s="165" t="str">
        <x:f>IF(AND(AN$5&gt;=$C326,AN$5&lt;=$D326,$A326&lt;&gt;""),"●","")</x:f>
      </x:c>
      <x:c r="AO326" s="165" t="str">
        <x:f>IF(AND(AO$5&gt;=$C326,AO$5&lt;=$D326,$A326&lt;&gt;""),"●","")</x:f>
      </x:c>
      <x:c r="AP326" s="165" t="str">
        <x:f>IF(AND(AP$5&gt;=$C326,AP$5&lt;=$D326,$A326&lt;&gt;""),"●","")</x:f>
      </x:c>
      <x:c r="AQ326" s="165" t="str">
        <x:f>IF(AND(AQ$5&gt;=$C326,AQ$5&lt;=$D326,$A326&lt;&gt;""),"●","")</x:f>
      </x:c>
      <x:c r="AR326" s="165" t="str">
        <x:f>IF(AND(AR$5&gt;=$C326,AR$5&lt;=$D326,$A326&lt;&gt;""),"●","")</x:f>
      </x:c>
      <x:c r="AS326" s="165" t="str">
        <x:f>IF(AND(AS$5&gt;=$C326,AS$5&lt;=$D326,$A326&lt;&gt;""),"●","")</x:f>
      </x:c>
      <x:c r="AT326" s="165" t="str">
        <x:f>IF(AND(AT$5&gt;=$C326,AT$5&lt;=$D326,$A326&lt;&gt;""),"●","")</x:f>
      </x:c>
      <x:c r="AU326" s="165" t="str">
        <x:f>IF(AND(AU$5&gt;=$C326,AU$5&lt;=$D326,$A326&lt;&gt;""),"●","")</x:f>
      </x:c>
      <x:c r="AV326" s="165" t="str">
        <x:f>IF(AND(AV$5&gt;=$C326,AV$5&lt;=$D326,$A326&lt;&gt;""),"●","")</x:f>
      </x:c>
      <x:c r="AW326" s="165" t="str">
        <x:f>IF(AND(AW$5&gt;=$C326,AW$5&lt;=$D326,$A326&lt;&gt;""),"●","")</x:f>
      </x:c>
      <x:c r="AX326" s="165" t="str">
        <x:f>IF(AND(AX$5&gt;=$C326,AX$5&lt;=$D326,$A326&lt;&gt;""),"●","")</x:f>
      </x:c>
      <x:c r="AY326" s="165" t="str">
        <x:f>IF(AND(AY$5&gt;=$C326,AY$5&lt;=$D326,$A326&lt;&gt;""),"●","")</x:f>
      </x:c>
      <x:c r="AZ326" s="165" t="str">
        <x:f>IF(AND(AZ$5&gt;=$C326,AZ$5&lt;=$D326,$A326&lt;&gt;""),"●","")</x:f>
      </x:c>
      <x:c r="BA326" s="165" t="str">
        <x:f>IF(AND(BA$5&gt;=$C326,BA$5&lt;=$D326,$A326&lt;&gt;""),"●","")</x:f>
      </x:c>
      <x:c r="BB326" s="165" t="str">
        <x:f>IF(AND(BB$5&gt;=$C326,BB$5&lt;=$D326,$A326&lt;&gt;""),"●","")</x:f>
      </x:c>
      <x:c r="BC326" s="165" t="str">
        <x:f>IF(AND(BC$5&gt;=$C326,BC$5&lt;=$D326,$A326&lt;&gt;""),"●","")</x:f>
      </x:c>
      <x:c r="BD326" s="165" t="str">
        <x:f>IF(AND(BD$5&gt;=$C326,BD$5&lt;=$D326,$A326&lt;&gt;""),"●","")</x:f>
      </x:c>
      <x:c r="BE326" s="165" t="str">
        <x:f>IF(AND(BE$5&gt;=$C326,BE$5&lt;=$D326,$A326&lt;&gt;""),"●","")</x:f>
      </x:c>
      <x:c r="BF326" s="165" t="str">
        <x:f>IF(AND(BF$5&gt;=$C326,BF$5&lt;=$D326,$A326&lt;&gt;""),"●","")</x:f>
      </x:c>
      <x:c r="BG326" s="165" t="str">
        <x:f>IF(AND(BG$5&gt;=$C326,BG$5&lt;=$D326,$A326&lt;&gt;""),"●","")</x:f>
      </x:c>
      <x:c r="BH326" s="165" t="str">
        <x:f>IF(AND(BH$5&gt;=$C326,BH$5&lt;=$D326,$A326&lt;&gt;""),"●","")</x:f>
      </x:c>
      <x:c r="BI326" s="165" t="str">
        <x:f>IF(AND(BI$5&gt;=$C326,BI$5&lt;=$D326,$A326&lt;&gt;""),"●","")</x:f>
      </x:c>
      <x:c r="BJ326" s="165" t="str">
        <x:f>IF(AND(BJ$5&gt;=$C326,BJ$5&lt;=$D326,$A326&lt;&gt;""),"●","")</x:f>
      </x:c>
      <x:c r="BK326" s="165" t="str">
        <x:f>IF(AND(BK$5&gt;=$C326,BK$5&lt;=$D326,$A326&lt;&gt;""),"●","")</x:f>
      </x:c>
      <x:c r="BL326" s="165" t="str">
        <x:f>IF(AND(BL$5&gt;=$C326,BL$5&lt;=$D326,$A326&lt;&gt;""),"●","")</x:f>
      </x:c>
      <x:c r="BM326" s="165" t="str">
        <x:f>IF(AND(BM$5&gt;=$C326,BM$5&lt;=$D326,$A326&lt;&gt;""),"●","")</x:f>
      </x:c>
      <x:c r="BN326" s="165" t="str">
        <x:f>IF(AND(BN$5&gt;=$C326,BN$5&lt;=$D326,$A326&lt;&gt;""),"●","")</x:f>
      </x:c>
      <x:c r="BO326" s="165" t="str">
        <x:f>IF(AND(BO$5&gt;=$C326,BO$5&lt;=$D326,$A326&lt;&gt;""),"●","")</x:f>
      </x:c>
      <x:c r="BP326" s="165" t="str">
        <x:f>IF(AND(BP$5&gt;=$C326,BP$5&lt;=$D326,$A326&lt;&gt;""),"●","")</x:f>
      </x:c>
      <x:c r="BQ326" s="165" t="str">
        <x:f>IF(AND(BQ$5&gt;=$C326,BQ$5&lt;=$D326,$A326&lt;&gt;""),"●","")</x:f>
      </x:c>
      <x:c r="BR326" s="165" t="str">
        <x:f>IF(AND(BR$5&gt;=$C326,BR$5&lt;=$D326,$A326&lt;&gt;""),"●","")</x:f>
      </x:c>
      <x:c r="BS326" s="165" t="str">
        <x:f>IF(AND(BS$5&gt;=$C326,BS$5&lt;=$D326,$A326&lt;&gt;""),"●","")</x:f>
      </x:c>
      <x:c r="BT326" s="165" t="str">
        <x:f>IF(AND(BT$5&gt;=$C326,BT$5&lt;=$D326,$A326&lt;&gt;""),"●","")</x:f>
      </x:c>
      <x:c r="BU326" s="165" t="str">
        <x:f>IF(AND(BU$5&gt;=$C326,BU$5&lt;=$D326,$A326&lt;&gt;""),"●","")</x:f>
      </x:c>
      <x:c r="BV326" s="165" t="str">
        <x:f>IF(AND(BV$5&gt;=$C326,BV$5&lt;=$D326,$A326&lt;&gt;""),"●","")</x:f>
      </x:c>
      <x:c r="BW326" s="165" t="str">
        <x:f>IF(AND(BW$5&gt;=$C326,BW$5&lt;=$D326,$A326&lt;&gt;""),"●","")</x:f>
      </x:c>
    </x:row>
    <x:row r="327">
      <x:c r="A327" s="159" t="str">
        <x:f>IF('รายการสัญญา'!A327="","",'รายการสัญญา'!A327)</x:f>
      </x:c>
      <x:c r="B327" s="159" t="str">
        <x:f>IF('รายการสัญญา'!A327="","",'รายการสัญญา'!C327)</x:f>
      </x:c>
      <x:c r="C327" s="162" t="str">
        <x:f>IF('รายการสัญญา'!A327="","",'รายการสัญญา'!E327)</x:f>
      </x:c>
      <x:c r="D327" s="162" t="str">
        <x:f>IF('รายการสัญญา'!A327="","",'รายการสัญญา'!G327)</x:f>
      </x:c>
      <x:c r="E327" s="159" t="str">
        <x:f>IF('รายการสัญญา'!A327="","",'รายการสัญญา'!K327)</x:f>
      </x:c>
      <x:c r="F327" s="165" t="str">
        <x:f>IF(AND(F$5&gt;=$C327,F$5&lt;=$D327,$A327&lt;&gt;""),"●","")</x:f>
      </x:c>
      <x:c r="G327" s="165" t="str">
        <x:f>IF(AND(G$5&gt;=$C327,G$5&lt;=$D327,$A327&lt;&gt;""),"●","")</x:f>
      </x:c>
      <x:c r="H327" s="165" t="str">
        <x:f>IF(AND(H$5&gt;=$C327,H$5&lt;=$D327,$A327&lt;&gt;""),"●","")</x:f>
      </x:c>
      <x:c r="I327" s="165" t="str">
        <x:f>IF(AND(I$5&gt;=$C327,I$5&lt;=$D327,$A327&lt;&gt;""),"●","")</x:f>
      </x:c>
      <x:c r="J327" s="165" t="str">
        <x:f>IF(AND(J$5&gt;=$C327,J$5&lt;=$D327,$A327&lt;&gt;""),"●","")</x:f>
      </x:c>
      <x:c r="K327" s="165" t="str">
        <x:f>IF(AND(K$5&gt;=$C327,K$5&lt;=$D327,$A327&lt;&gt;""),"●","")</x:f>
      </x:c>
      <x:c r="L327" s="165" t="str">
        <x:f>IF(AND(L$5&gt;=$C327,L$5&lt;=$D327,$A327&lt;&gt;""),"●","")</x:f>
      </x:c>
      <x:c r="M327" s="165" t="str">
        <x:f>IF(AND(M$5&gt;=$C327,M$5&lt;=$D327,$A327&lt;&gt;""),"●","")</x:f>
      </x:c>
      <x:c r="N327" s="165" t="str">
        <x:f>IF(AND(N$5&gt;=$C327,N$5&lt;=$D327,$A327&lt;&gt;""),"●","")</x:f>
      </x:c>
      <x:c r="O327" s="165" t="str">
        <x:f>IF(AND(O$5&gt;=$C327,O$5&lt;=$D327,$A327&lt;&gt;""),"●","")</x:f>
      </x:c>
      <x:c r="P327" s="165" t="str">
        <x:f>IF(AND(P$5&gt;=$C327,P$5&lt;=$D327,$A327&lt;&gt;""),"●","")</x:f>
      </x:c>
      <x:c r="Q327" s="165" t="str">
        <x:f>IF(AND(Q$5&gt;=$C327,Q$5&lt;=$D327,$A327&lt;&gt;""),"●","")</x:f>
      </x:c>
      <x:c r="R327" s="165" t="str">
        <x:f>IF(AND(R$5&gt;=$C327,R$5&lt;=$D327,$A327&lt;&gt;""),"●","")</x:f>
      </x:c>
      <x:c r="S327" s="165" t="str">
        <x:f>IF(AND(S$5&gt;=$C327,S$5&lt;=$D327,$A327&lt;&gt;""),"●","")</x:f>
      </x:c>
      <x:c r="T327" s="165" t="str">
        <x:f>IF(AND(T$5&gt;=$C327,T$5&lt;=$D327,$A327&lt;&gt;""),"●","")</x:f>
      </x:c>
      <x:c r="U327" s="165" t="str">
        <x:f>IF(AND(U$5&gt;=$C327,U$5&lt;=$D327,$A327&lt;&gt;""),"●","")</x:f>
      </x:c>
      <x:c r="V327" s="165" t="str">
        <x:f>IF(AND(V$5&gt;=$C327,V$5&lt;=$D327,$A327&lt;&gt;""),"●","")</x:f>
      </x:c>
      <x:c r="W327" s="165" t="str">
        <x:f>IF(AND(W$5&gt;=$C327,W$5&lt;=$D327,$A327&lt;&gt;""),"●","")</x:f>
      </x:c>
      <x:c r="X327" s="165" t="str">
        <x:f>IF(AND(X$5&gt;=$C327,X$5&lt;=$D327,$A327&lt;&gt;""),"●","")</x:f>
      </x:c>
      <x:c r="Y327" s="165" t="str">
        <x:f>IF(AND(Y$5&gt;=$C327,Y$5&lt;=$D327,$A327&lt;&gt;""),"●","")</x:f>
      </x:c>
      <x:c r="Z327" s="165" t="str">
        <x:f>IF(AND(Z$5&gt;=$C327,Z$5&lt;=$D327,$A327&lt;&gt;""),"●","")</x:f>
      </x:c>
      <x:c r="AA327" s="165" t="str">
        <x:f>IF(AND(AA$5&gt;=$C327,AA$5&lt;=$D327,$A327&lt;&gt;""),"●","")</x:f>
      </x:c>
      <x:c r="AB327" s="165" t="str">
        <x:f>IF(AND(AB$5&gt;=$C327,AB$5&lt;=$D327,$A327&lt;&gt;""),"●","")</x:f>
      </x:c>
      <x:c r="AC327" s="165" t="str">
        <x:f>IF(AND(AC$5&gt;=$C327,AC$5&lt;=$D327,$A327&lt;&gt;""),"●","")</x:f>
      </x:c>
      <x:c r="AD327" s="165" t="str">
        <x:f>IF(AND(AD$5&gt;=$C327,AD$5&lt;=$D327,$A327&lt;&gt;""),"●","")</x:f>
      </x:c>
      <x:c r="AE327" s="165" t="str">
        <x:f>IF(AND(AE$5&gt;=$C327,AE$5&lt;=$D327,$A327&lt;&gt;""),"●","")</x:f>
      </x:c>
      <x:c r="AF327" s="165" t="str">
        <x:f>IF(AND(AF$5&gt;=$C327,AF$5&lt;=$D327,$A327&lt;&gt;""),"●","")</x:f>
      </x:c>
      <x:c r="AG327" s="165" t="str">
        <x:f>IF(AND(AG$5&gt;=$C327,AG$5&lt;=$D327,$A327&lt;&gt;""),"●","")</x:f>
      </x:c>
      <x:c r="AH327" s="165" t="str">
        <x:f>IF(AND(AH$5&gt;=$C327,AH$5&lt;=$D327,$A327&lt;&gt;""),"●","")</x:f>
      </x:c>
      <x:c r="AI327" s="165" t="str">
        <x:f>IF(AND(AI$5&gt;=$C327,AI$5&lt;=$D327,$A327&lt;&gt;""),"●","")</x:f>
      </x:c>
      <x:c r="AJ327" s="165" t="str">
        <x:f>IF(AND(AJ$5&gt;=$C327,AJ$5&lt;=$D327,$A327&lt;&gt;""),"●","")</x:f>
      </x:c>
      <x:c r="AK327" s="165" t="str">
        <x:f>IF(AND(AK$5&gt;=$C327,AK$5&lt;=$D327,$A327&lt;&gt;""),"●","")</x:f>
      </x:c>
      <x:c r="AL327" s="165" t="str">
        <x:f>IF(AND(AL$5&gt;=$C327,AL$5&lt;=$D327,$A327&lt;&gt;""),"●","")</x:f>
      </x:c>
      <x:c r="AM327" s="165" t="str">
        <x:f>IF(AND(AM$5&gt;=$C327,AM$5&lt;=$D327,$A327&lt;&gt;""),"●","")</x:f>
      </x:c>
      <x:c r="AN327" s="165" t="str">
        <x:f>IF(AND(AN$5&gt;=$C327,AN$5&lt;=$D327,$A327&lt;&gt;""),"●","")</x:f>
      </x:c>
      <x:c r="AO327" s="165" t="str">
        <x:f>IF(AND(AO$5&gt;=$C327,AO$5&lt;=$D327,$A327&lt;&gt;""),"●","")</x:f>
      </x:c>
      <x:c r="AP327" s="165" t="str">
        <x:f>IF(AND(AP$5&gt;=$C327,AP$5&lt;=$D327,$A327&lt;&gt;""),"●","")</x:f>
      </x:c>
      <x:c r="AQ327" s="165" t="str">
        <x:f>IF(AND(AQ$5&gt;=$C327,AQ$5&lt;=$D327,$A327&lt;&gt;""),"●","")</x:f>
      </x:c>
      <x:c r="AR327" s="165" t="str">
        <x:f>IF(AND(AR$5&gt;=$C327,AR$5&lt;=$D327,$A327&lt;&gt;""),"●","")</x:f>
      </x:c>
      <x:c r="AS327" s="165" t="str">
        <x:f>IF(AND(AS$5&gt;=$C327,AS$5&lt;=$D327,$A327&lt;&gt;""),"●","")</x:f>
      </x:c>
      <x:c r="AT327" s="165" t="str">
        <x:f>IF(AND(AT$5&gt;=$C327,AT$5&lt;=$D327,$A327&lt;&gt;""),"●","")</x:f>
      </x:c>
      <x:c r="AU327" s="165" t="str">
        <x:f>IF(AND(AU$5&gt;=$C327,AU$5&lt;=$D327,$A327&lt;&gt;""),"●","")</x:f>
      </x:c>
      <x:c r="AV327" s="165" t="str">
        <x:f>IF(AND(AV$5&gt;=$C327,AV$5&lt;=$D327,$A327&lt;&gt;""),"●","")</x:f>
      </x:c>
      <x:c r="AW327" s="165" t="str">
        <x:f>IF(AND(AW$5&gt;=$C327,AW$5&lt;=$D327,$A327&lt;&gt;""),"●","")</x:f>
      </x:c>
      <x:c r="AX327" s="165" t="str">
        <x:f>IF(AND(AX$5&gt;=$C327,AX$5&lt;=$D327,$A327&lt;&gt;""),"●","")</x:f>
      </x:c>
      <x:c r="AY327" s="165" t="str">
        <x:f>IF(AND(AY$5&gt;=$C327,AY$5&lt;=$D327,$A327&lt;&gt;""),"●","")</x:f>
      </x:c>
      <x:c r="AZ327" s="165" t="str">
        <x:f>IF(AND(AZ$5&gt;=$C327,AZ$5&lt;=$D327,$A327&lt;&gt;""),"●","")</x:f>
      </x:c>
      <x:c r="BA327" s="165" t="str">
        <x:f>IF(AND(BA$5&gt;=$C327,BA$5&lt;=$D327,$A327&lt;&gt;""),"●","")</x:f>
      </x:c>
      <x:c r="BB327" s="165" t="str">
        <x:f>IF(AND(BB$5&gt;=$C327,BB$5&lt;=$D327,$A327&lt;&gt;""),"●","")</x:f>
      </x:c>
      <x:c r="BC327" s="165" t="str">
        <x:f>IF(AND(BC$5&gt;=$C327,BC$5&lt;=$D327,$A327&lt;&gt;""),"●","")</x:f>
      </x:c>
      <x:c r="BD327" s="165" t="str">
        <x:f>IF(AND(BD$5&gt;=$C327,BD$5&lt;=$D327,$A327&lt;&gt;""),"●","")</x:f>
      </x:c>
      <x:c r="BE327" s="165" t="str">
        <x:f>IF(AND(BE$5&gt;=$C327,BE$5&lt;=$D327,$A327&lt;&gt;""),"●","")</x:f>
      </x:c>
      <x:c r="BF327" s="165" t="str">
        <x:f>IF(AND(BF$5&gt;=$C327,BF$5&lt;=$D327,$A327&lt;&gt;""),"●","")</x:f>
      </x:c>
      <x:c r="BG327" s="165" t="str">
        <x:f>IF(AND(BG$5&gt;=$C327,BG$5&lt;=$D327,$A327&lt;&gt;""),"●","")</x:f>
      </x:c>
      <x:c r="BH327" s="165" t="str">
        <x:f>IF(AND(BH$5&gt;=$C327,BH$5&lt;=$D327,$A327&lt;&gt;""),"●","")</x:f>
      </x:c>
      <x:c r="BI327" s="165" t="str">
        <x:f>IF(AND(BI$5&gt;=$C327,BI$5&lt;=$D327,$A327&lt;&gt;""),"●","")</x:f>
      </x:c>
      <x:c r="BJ327" s="165" t="str">
        <x:f>IF(AND(BJ$5&gt;=$C327,BJ$5&lt;=$D327,$A327&lt;&gt;""),"●","")</x:f>
      </x:c>
      <x:c r="BK327" s="165" t="str">
        <x:f>IF(AND(BK$5&gt;=$C327,BK$5&lt;=$D327,$A327&lt;&gt;""),"●","")</x:f>
      </x:c>
      <x:c r="BL327" s="165" t="str">
        <x:f>IF(AND(BL$5&gt;=$C327,BL$5&lt;=$D327,$A327&lt;&gt;""),"●","")</x:f>
      </x:c>
      <x:c r="BM327" s="165" t="str">
        <x:f>IF(AND(BM$5&gt;=$C327,BM$5&lt;=$D327,$A327&lt;&gt;""),"●","")</x:f>
      </x:c>
      <x:c r="BN327" s="165" t="str">
        <x:f>IF(AND(BN$5&gt;=$C327,BN$5&lt;=$D327,$A327&lt;&gt;""),"●","")</x:f>
      </x:c>
      <x:c r="BO327" s="165" t="str">
        <x:f>IF(AND(BO$5&gt;=$C327,BO$5&lt;=$D327,$A327&lt;&gt;""),"●","")</x:f>
      </x:c>
      <x:c r="BP327" s="165" t="str">
        <x:f>IF(AND(BP$5&gt;=$C327,BP$5&lt;=$D327,$A327&lt;&gt;""),"●","")</x:f>
      </x:c>
      <x:c r="BQ327" s="165" t="str">
        <x:f>IF(AND(BQ$5&gt;=$C327,BQ$5&lt;=$D327,$A327&lt;&gt;""),"●","")</x:f>
      </x:c>
      <x:c r="BR327" s="165" t="str">
        <x:f>IF(AND(BR$5&gt;=$C327,BR$5&lt;=$D327,$A327&lt;&gt;""),"●","")</x:f>
      </x:c>
      <x:c r="BS327" s="165" t="str">
        <x:f>IF(AND(BS$5&gt;=$C327,BS$5&lt;=$D327,$A327&lt;&gt;""),"●","")</x:f>
      </x:c>
      <x:c r="BT327" s="165" t="str">
        <x:f>IF(AND(BT$5&gt;=$C327,BT$5&lt;=$D327,$A327&lt;&gt;""),"●","")</x:f>
      </x:c>
      <x:c r="BU327" s="165" t="str">
        <x:f>IF(AND(BU$5&gt;=$C327,BU$5&lt;=$D327,$A327&lt;&gt;""),"●","")</x:f>
      </x:c>
      <x:c r="BV327" s="165" t="str">
        <x:f>IF(AND(BV$5&gt;=$C327,BV$5&lt;=$D327,$A327&lt;&gt;""),"●","")</x:f>
      </x:c>
      <x:c r="BW327" s="165" t="str">
        <x:f>IF(AND(BW$5&gt;=$C327,BW$5&lt;=$D327,$A327&lt;&gt;""),"●","")</x:f>
      </x:c>
    </x:row>
    <x:row r="328">
      <x:c r="A328" s="159" t="str">
        <x:f>IF('รายการสัญญา'!A328="","",'รายการสัญญา'!A328)</x:f>
      </x:c>
      <x:c r="B328" s="159" t="str">
        <x:f>IF('รายการสัญญา'!A328="","",'รายการสัญญา'!C328)</x:f>
      </x:c>
      <x:c r="C328" s="162" t="str">
        <x:f>IF('รายการสัญญา'!A328="","",'รายการสัญญา'!E328)</x:f>
      </x:c>
      <x:c r="D328" s="162" t="str">
        <x:f>IF('รายการสัญญา'!A328="","",'รายการสัญญา'!G328)</x:f>
      </x:c>
      <x:c r="E328" s="159" t="str">
        <x:f>IF('รายการสัญญา'!A328="","",'รายการสัญญา'!K328)</x:f>
      </x:c>
      <x:c r="F328" s="165" t="str">
        <x:f>IF(AND(F$5&gt;=$C328,F$5&lt;=$D328,$A328&lt;&gt;""),"●","")</x:f>
      </x:c>
      <x:c r="G328" s="165" t="str">
        <x:f>IF(AND(G$5&gt;=$C328,G$5&lt;=$D328,$A328&lt;&gt;""),"●","")</x:f>
      </x:c>
      <x:c r="H328" s="165" t="str">
        <x:f>IF(AND(H$5&gt;=$C328,H$5&lt;=$D328,$A328&lt;&gt;""),"●","")</x:f>
      </x:c>
      <x:c r="I328" s="165" t="str">
        <x:f>IF(AND(I$5&gt;=$C328,I$5&lt;=$D328,$A328&lt;&gt;""),"●","")</x:f>
      </x:c>
      <x:c r="J328" s="165" t="str">
        <x:f>IF(AND(J$5&gt;=$C328,J$5&lt;=$D328,$A328&lt;&gt;""),"●","")</x:f>
      </x:c>
      <x:c r="K328" s="165" t="str">
        <x:f>IF(AND(K$5&gt;=$C328,K$5&lt;=$D328,$A328&lt;&gt;""),"●","")</x:f>
      </x:c>
      <x:c r="L328" s="165" t="str">
        <x:f>IF(AND(L$5&gt;=$C328,L$5&lt;=$D328,$A328&lt;&gt;""),"●","")</x:f>
      </x:c>
      <x:c r="M328" s="165" t="str">
        <x:f>IF(AND(M$5&gt;=$C328,M$5&lt;=$D328,$A328&lt;&gt;""),"●","")</x:f>
      </x:c>
      <x:c r="N328" s="165" t="str">
        <x:f>IF(AND(N$5&gt;=$C328,N$5&lt;=$D328,$A328&lt;&gt;""),"●","")</x:f>
      </x:c>
      <x:c r="O328" s="165" t="str">
        <x:f>IF(AND(O$5&gt;=$C328,O$5&lt;=$D328,$A328&lt;&gt;""),"●","")</x:f>
      </x:c>
      <x:c r="P328" s="165" t="str">
        <x:f>IF(AND(P$5&gt;=$C328,P$5&lt;=$D328,$A328&lt;&gt;""),"●","")</x:f>
      </x:c>
      <x:c r="Q328" s="165" t="str">
        <x:f>IF(AND(Q$5&gt;=$C328,Q$5&lt;=$D328,$A328&lt;&gt;""),"●","")</x:f>
      </x:c>
      <x:c r="R328" s="165" t="str">
        <x:f>IF(AND(R$5&gt;=$C328,R$5&lt;=$D328,$A328&lt;&gt;""),"●","")</x:f>
      </x:c>
      <x:c r="S328" s="165" t="str">
        <x:f>IF(AND(S$5&gt;=$C328,S$5&lt;=$D328,$A328&lt;&gt;""),"●","")</x:f>
      </x:c>
      <x:c r="T328" s="165" t="str">
        <x:f>IF(AND(T$5&gt;=$C328,T$5&lt;=$D328,$A328&lt;&gt;""),"●","")</x:f>
      </x:c>
      <x:c r="U328" s="165" t="str">
        <x:f>IF(AND(U$5&gt;=$C328,U$5&lt;=$D328,$A328&lt;&gt;""),"●","")</x:f>
      </x:c>
      <x:c r="V328" s="165" t="str">
        <x:f>IF(AND(V$5&gt;=$C328,V$5&lt;=$D328,$A328&lt;&gt;""),"●","")</x:f>
      </x:c>
      <x:c r="W328" s="165" t="str">
        <x:f>IF(AND(W$5&gt;=$C328,W$5&lt;=$D328,$A328&lt;&gt;""),"●","")</x:f>
      </x:c>
      <x:c r="X328" s="165" t="str">
        <x:f>IF(AND(X$5&gt;=$C328,X$5&lt;=$D328,$A328&lt;&gt;""),"●","")</x:f>
      </x:c>
      <x:c r="Y328" s="165" t="str">
        <x:f>IF(AND(Y$5&gt;=$C328,Y$5&lt;=$D328,$A328&lt;&gt;""),"●","")</x:f>
      </x:c>
      <x:c r="Z328" s="165" t="str">
        <x:f>IF(AND(Z$5&gt;=$C328,Z$5&lt;=$D328,$A328&lt;&gt;""),"●","")</x:f>
      </x:c>
      <x:c r="AA328" s="165" t="str">
        <x:f>IF(AND(AA$5&gt;=$C328,AA$5&lt;=$D328,$A328&lt;&gt;""),"●","")</x:f>
      </x:c>
      <x:c r="AB328" s="165" t="str">
        <x:f>IF(AND(AB$5&gt;=$C328,AB$5&lt;=$D328,$A328&lt;&gt;""),"●","")</x:f>
      </x:c>
      <x:c r="AC328" s="165" t="str">
        <x:f>IF(AND(AC$5&gt;=$C328,AC$5&lt;=$D328,$A328&lt;&gt;""),"●","")</x:f>
      </x:c>
      <x:c r="AD328" s="165" t="str">
        <x:f>IF(AND(AD$5&gt;=$C328,AD$5&lt;=$D328,$A328&lt;&gt;""),"●","")</x:f>
      </x:c>
      <x:c r="AE328" s="165" t="str">
        <x:f>IF(AND(AE$5&gt;=$C328,AE$5&lt;=$D328,$A328&lt;&gt;""),"●","")</x:f>
      </x:c>
      <x:c r="AF328" s="165" t="str">
        <x:f>IF(AND(AF$5&gt;=$C328,AF$5&lt;=$D328,$A328&lt;&gt;""),"●","")</x:f>
      </x:c>
      <x:c r="AG328" s="165" t="str">
        <x:f>IF(AND(AG$5&gt;=$C328,AG$5&lt;=$D328,$A328&lt;&gt;""),"●","")</x:f>
      </x:c>
      <x:c r="AH328" s="165" t="str">
        <x:f>IF(AND(AH$5&gt;=$C328,AH$5&lt;=$D328,$A328&lt;&gt;""),"●","")</x:f>
      </x:c>
      <x:c r="AI328" s="165" t="str">
        <x:f>IF(AND(AI$5&gt;=$C328,AI$5&lt;=$D328,$A328&lt;&gt;""),"●","")</x:f>
      </x:c>
      <x:c r="AJ328" s="165" t="str">
        <x:f>IF(AND(AJ$5&gt;=$C328,AJ$5&lt;=$D328,$A328&lt;&gt;""),"●","")</x:f>
      </x:c>
      <x:c r="AK328" s="165" t="str">
        <x:f>IF(AND(AK$5&gt;=$C328,AK$5&lt;=$D328,$A328&lt;&gt;""),"●","")</x:f>
      </x:c>
      <x:c r="AL328" s="165" t="str">
        <x:f>IF(AND(AL$5&gt;=$C328,AL$5&lt;=$D328,$A328&lt;&gt;""),"●","")</x:f>
      </x:c>
      <x:c r="AM328" s="165" t="str">
        <x:f>IF(AND(AM$5&gt;=$C328,AM$5&lt;=$D328,$A328&lt;&gt;""),"●","")</x:f>
      </x:c>
      <x:c r="AN328" s="165" t="str">
        <x:f>IF(AND(AN$5&gt;=$C328,AN$5&lt;=$D328,$A328&lt;&gt;""),"●","")</x:f>
      </x:c>
      <x:c r="AO328" s="165" t="str">
        <x:f>IF(AND(AO$5&gt;=$C328,AO$5&lt;=$D328,$A328&lt;&gt;""),"●","")</x:f>
      </x:c>
      <x:c r="AP328" s="165" t="str">
        <x:f>IF(AND(AP$5&gt;=$C328,AP$5&lt;=$D328,$A328&lt;&gt;""),"●","")</x:f>
      </x:c>
      <x:c r="AQ328" s="165" t="str">
        <x:f>IF(AND(AQ$5&gt;=$C328,AQ$5&lt;=$D328,$A328&lt;&gt;""),"●","")</x:f>
      </x:c>
      <x:c r="AR328" s="165" t="str">
        <x:f>IF(AND(AR$5&gt;=$C328,AR$5&lt;=$D328,$A328&lt;&gt;""),"●","")</x:f>
      </x:c>
      <x:c r="AS328" s="165" t="str">
        <x:f>IF(AND(AS$5&gt;=$C328,AS$5&lt;=$D328,$A328&lt;&gt;""),"●","")</x:f>
      </x:c>
      <x:c r="AT328" s="165" t="str">
        <x:f>IF(AND(AT$5&gt;=$C328,AT$5&lt;=$D328,$A328&lt;&gt;""),"●","")</x:f>
      </x:c>
      <x:c r="AU328" s="165" t="str">
        <x:f>IF(AND(AU$5&gt;=$C328,AU$5&lt;=$D328,$A328&lt;&gt;""),"●","")</x:f>
      </x:c>
      <x:c r="AV328" s="165" t="str">
        <x:f>IF(AND(AV$5&gt;=$C328,AV$5&lt;=$D328,$A328&lt;&gt;""),"●","")</x:f>
      </x:c>
      <x:c r="AW328" s="165" t="str">
        <x:f>IF(AND(AW$5&gt;=$C328,AW$5&lt;=$D328,$A328&lt;&gt;""),"●","")</x:f>
      </x:c>
      <x:c r="AX328" s="165" t="str">
        <x:f>IF(AND(AX$5&gt;=$C328,AX$5&lt;=$D328,$A328&lt;&gt;""),"●","")</x:f>
      </x:c>
      <x:c r="AY328" s="165" t="str">
        <x:f>IF(AND(AY$5&gt;=$C328,AY$5&lt;=$D328,$A328&lt;&gt;""),"●","")</x:f>
      </x:c>
      <x:c r="AZ328" s="165" t="str">
        <x:f>IF(AND(AZ$5&gt;=$C328,AZ$5&lt;=$D328,$A328&lt;&gt;""),"●","")</x:f>
      </x:c>
      <x:c r="BA328" s="165" t="str">
        <x:f>IF(AND(BA$5&gt;=$C328,BA$5&lt;=$D328,$A328&lt;&gt;""),"●","")</x:f>
      </x:c>
      <x:c r="BB328" s="165" t="str">
        <x:f>IF(AND(BB$5&gt;=$C328,BB$5&lt;=$D328,$A328&lt;&gt;""),"●","")</x:f>
      </x:c>
      <x:c r="BC328" s="165" t="str">
        <x:f>IF(AND(BC$5&gt;=$C328,BC$5&lt;=$D328,$A328&lt;&gt;""),"●","")</x:f>
      </x:c>
      <x:c r="BD328" s="165" t="str">
        <x:f>IF(AND(BD$5&gt;=$C328,BD$5&lt;=$D328,$A328&lt;&gt;""),"●","")</x:f>
      </x:c>
      <x:c r="BE328" s="165" t="str">
        <x:f>IF(AND(BE$5&gt;=$C328,BE$5&lt;=$D328,$A328&lt;&gt;""),"●","")</x:f>
      </x:c>
      <x:c r="BF328" s="165" t="str">
        <x:f>IF(AND(BF$5&gt;=$C328,BF$5&lt;=$D328,$A328&lt;&gt;""),"●","")</x:f>
      </x:c>
      <x:c r="BG328" s="165" t="str">
        <x:f>IF(AND(BG$5&gt;=$C328,BG$5&lt;=$D328,$A328&lt;&gt;""),"●","")</x:f>
      </x:c>
      <x:c r="BH328" s="165" t="str">
        <x:f>IF(AND(BH$5&gt;=$C328,BH$5&lt;=$D328,$A328&lt;&gt;""),"●","")</x:f>
      </x:c>
      <x:c r="BI328" s="165" t="str">
        <x:f>IF(AND(BI$5&gt;=$C328,BI$5&lt;=$D328,$A328&lt;&gt;""),"●","")</x:f>
      </x:c>
      <x:c r="BJ328" s="165" t="str">
        <x:f>IF(AND(BJ$5&gt;=$C328,BJ$5&lt;=$D328,$A328&lt;&gt;""),"●","")</x:f>
      </x:c>
      <x:c r="BK328" s="165" t="str">
        <x:f>IF(AND(BK$5&gt;=$C328,BK$5&lt;=$D328,$A328&lt;&gt;""),"●","")</x:f>
      </x:c>
      <x:c r="BL328" s="165" t="str">
        <x:f>IF(AND(BL$5&gt;=$C328,BL$5&lt;=$D328,$A328&lt;&gt;""),"●","")</x:f>
      </x:c>
      <x:c r="BM328" s="165" t="str">
        <x:f>IF(AND(BM$5&gt;=$C328,BM$5&lt;=$D328,$A328&lt;&gt;""),"●","")</x:f>
      </x:c>
      <x:c r="BN328" s="165" t="str">
        <x:f>IF(AND(BN$5&gt;=$C328,BN$5&lt;=$D328,$A328&lt;&gt;""),"●","")</x:f>
      </x:c>
      <x:c r="BO328" s="165" t="str">
        <x:f>IF(AND(BO$5&gt;=$C328,BO$5&lt;=$D328,$A328&lt;&gt;""),"●","")</x:f>
      </x:c>
      <x:c r="BP328" s="165" t="str">
        <x:f>IF(AND(BP$5&gt;=$C328,BP$5&lt;=$D328,$A328&lt;&gt;""),"●","")</x:f>
      </x:c>
      <x:c r="BQ328" s="165" t="str">
        <x:f>IF(AND(BQ$5&gt;=$C328,BQ$5&lt;=$D328,$A328&lt;&gt;""),"●","")</x:f>
      </x:c>
      <x:c r="BR328" s="165" t="str">
        <x:f>IF(AND(BR$5&gt;=$C328,BR$5&lt;=$D328,$A328&lt;&gt;""),"●","")</x:f>
      </x:c>
      <x:c r="BS328" s="165" t="str">
        <x:f>IF(AND(BS$5&gt;=$C328,BS$5&lt;=$D328,$A328&lt;&gt;""),"●","")</x:f>
      </x:c>
      <x:c r="BT328" s="165" t="str">
        <x:f>IF(AND(BT$5&gt;=$C328,BT$5&lt;=$D328,$A328&lt;&gt;""),"●","")</x:f>
      </x:c>
      <x:c r="BU328" s="165" t="str">
        <x:f>IF(AND(BU$5&gt;=$C328,BU$5&lt;=$D328,$A328&lt;&gt;""),"●","")</x:f>
      </x:c>
      <x:c r="BV328" s="165" t="str">
        <x:f>IF(AND(BV$5&gt;=$C328,BV$5&lt;=$D328,$A328&lt;&gt;""),"●","")</x:f>
      </x:c>
      <x:c r="BW328" s="165" t="str">
        <x:f>IF(AND(BW$5&gt;=$C328,BW$5&lt;=$D328,$A328&lt;&gt;""),"●","")</x:f>
      </x:c>
    </x:row>
    <x:row r="329">
      <x:c r="A329" s="159" t="str">
        <x:f>IF('รายการสัญญา'!A329="","",'รายการสัญญา'!A329)</x:f>
      </x:c>
      <x:c r="B329" s="159" t="str">
        <x:f>IF('รายการสัญญา'!A329="","",'รายการสัญญา'!C329)</x:f>
      </x:c>
      <x:c r="C329" s="162" t="str">
        <x:f>IF('รายการสัญญา'!A329="","",'รายการสัญญา'!E329)</x:f>
      </x:c>
      <x:c r="D329" s="162" t="str">
        <x:f>IF('รายการสัญญา'!A329="","",'รายการสัญญา'!G329)</x:f>
      </x:c>
      <x:c r="E329" s="159" t="str">
        <x:f>IF('รายการสัญญา'!A329="","",'รายการสัญญา'!K329)</x:f>
      </x:c>
      <x:c r="F329" s="165" t="str">
        <x:f>IF(AND(F$5&gt;=$C329,F$5&lt;=$D329,$A329&lt;&gt;""),"●","")</x:f>
      </x:c>
      <x:c r="G329" s="165" t="str">
        <x:f>IF(AND(G$5&gt;=$C329,G$5&lt;=$D329,$A329&lt;&gt;""),"●","")</x:f>
      </x:c>
      <x:c r="H329" s="165" t="str">
        <x:f>IF(AND(H$5&gt;=$C329,H$5&lt;=$D329,$A329&lt;&gt;""),"●","")</x:f>
      </x:c>
      <x:c r="I329" s="165" t="str">
        <x:f>IF(AND(I$5&gt;=$C329,I$5&lt;=$D329,$A329&lt;&gt;""),"●","")</x:f>
      </x:c>
      <x:c r="J329" s="165" t="str">
        <x:f>IF(AND(J$5&gt;=$C329,J$5&lt;=$D329,$A329&lt;&gt;""),"●","")</x:f>
      </x:c>
      <x:c r="K329" s="165" t="str">
        <x:f>IF(AND(K$5&gt;=$C329,K$5&lt;=$D329,$A329&lt;&gt;""),"●","")</x:f>
      </x:c>
      <x:c r="L329" s="165" t="str">
        <x:f>IF(AND(L$5&gt;=$C329,L$5&lt;=$D329,$A329&lt;&gt;""),"●","")</x:f>
      </x:c>
      <x:c r="M329" s="165" t="str">
        <x:f>IF(AND(M$5&gt;=$C329,M$5&lt;=$D329,$A329&lt;&gt;""),"●","")</x:f>
      </x:c>
      <x:c r="N329" s="165" t="str">
        <x:f>IF(AND(N$5&gt;=$C329,N$5&lt;=$D329,$A329&lt;&gt;""),"●","")</x:f>
      </x:c>
      <x:c r="O329" s="165" t="str">
        <x:f>IF(AND(O$5&gt;=$C329,O$5&lt;=$D329,$A329&lt;&gt;""),"●","")</x:f>
      </x:c>
      <x:c r="P329" s="165" t="str">
        <x:f>IF(AND(P$5&gt;=$C329,P$5&lt;=$D329,$A329&lt;&gt;""),"●","")</x:f>
      </x:c>
      <x:c r="Q329" s="165" t="str">
        <x:f>IF(AND(Q$5&gt;=$C329,Q$5&lt;=$D329,$A329&lt;&gt;""),"●","")</x:f>
      </x:c>
      <x:c r="R329" s="165" t="str">
        <x:f>IF(AND(R$5&gt;=$C329,R$5&lt;=$D329,$A329&lt;&gt;""),"●","")</x:f>
      </x:c>
      <x:c r="S329" s="165" t="str">
        <x:f>IF(AND(S$5&gt;=$C329,S$5&lt;=$D329,$A329&lt;&gt;""),"●","")</x:f>
      </x:c>
      <x:c r="T329" s="165" t="str">
        <x:f>IF(AND(T$5&gt;=$C329,T$5&lt;=$D329,$A329&lt;&gt;""),"●","")</x:f>
      </x:c>
      <x:c r="U329" s="165" t="str">
        <x:f>IF(AND(U$5&gt;=$C329,U$5&lt;=$D329,$A329&lt;&gt;""),"●","")</x:f>
      </x:c>
      <x:c r="V329" s="165" t="str">
        <x:f>IF(AND(V$5&gt;=$C329,V$5&lt;=$D329,$A329&lt;&gt;""),"●","")</x:f>
      </x:c>
      <x:c r="W329" s="165" t="str">
        <x:f>IF(AND(W$5&gt;=$C329,W$5&lt;=$D329,$A329&lt;&gt;""),"●","")</x:f>
      </x:c>
      <x:c r="X329" s="165" t="str">
        <x:f>IF(AND(X$5&gt;=$C329,X$5&lt;=$D329,$A329&lt;&gt;""),"●","")</x:f>
      </x:c>
      <x:c r="Y329" s="165" t="str">
        <x:f>IF(AND(Y$5&gt;=$C329,Y$5&lt;=$D329,$A329&lt;&gt;""),"●","")</x:f>
      </x:c>
      <x:c r="Z329" s="165" t="str">
        <x:f>IF(AND(Z$5&gt;=$C329,Z$5&lt;=$D329,$A329&lt;&gt;""),"●","")</x:f>
      </x:c>
      <x:c r="AA329" s="165" t="str">
        <x:f>IF(AND(AA$5&gt;=$C329,AA$5&lt;=$D329,$A329&lt;&gt;""),"●","")</x:f>
      </x:c>
      <x:c r="AB329" s="165" t="str">
        <x:f>IF(AND(AB$5&gt;=$C329,AB$5&lt;=$D329,$A329&lt;&gt;""),"●","")</x:f>
      </x:c>
      <x:c r="AC329" s="165" t="str">
        <x:f>IF(AND(AC$5&gt;=$C329,AC$5&lt;=$D329,$A329&lt;&gt;""),"●","")</x:f>
      </x:c>
      <x:c r="AD329" s="165" t="str">
        <x:f>IF(AND(AD$5&gt;=$C329,AD$5&lt;=$D329,$A329&lt;&gt;""),"●","")</x:f>
      </x:c>
      <x:c r="AE329" s="165" t="str">
        <x:f>IF(AND(AE$5&gt;=$C329,AE$5&lt;=$D329,$A329&lt;&gt;""),"●","")</x:f>
      </x:c>
      <x:c r="AF329" s="165" t="str">
        <x:f>IF(AND(AF$5&gt;=$C329,AF$5&lt;=$D329,$A329&lt;&gt;""),"●","")</x:f>
      </x:c>
      <x:c r="AG329" s="165" t="str">
        <x:f>IF(AND(AG$5&gt;=$C329,AG$5&lt;=$D329,$A329&lt;&gt;""),"●","")</x:f>
      </x:c>
      <x:c r="AH329" s="165" t="str">
        <x:f>IF(AND(AH$5&gt;=$C329,AH$5&lt;=$D329,$A329&lt;&gt;""),"●","")</x:f>
      </x:c>
      <x:c r="AI329" s="165" t="str">
        <x:f>IF(AND(AI$5&gt;=$C329,AI$5&lt;=$D329,$A329&lt;&gt;""),"●","")</x:f>
      </x:c>
      <x:c r="AJ329" s="165" t="str">
        <x:f>IF(AND(AJ$5&gt;=$C329,AJ$5&lt;=$D329,$A329&lt;&gt;""),"●","")</x:f>
      </x:c>
      <x:c r="AK329" s="165" t="str">
        <x:f>IF(AND(AK$5&gt;=$C329,AK$5&lt;=$D329,$A329&lt;&gt;""),"●","")</x:f>
      </x:c>
      <x:c r="AL329" s="165" t="str">
        <x:f>IF(AND(AL$5&gt;=$C329,AL$5&lt;=$D329,$A329&lt;&gt;""),"●","")</x:f>
      </x:c>
      <x:c r="AM329" s="165" t="str">
        <x:f>IF(AND(AM$5&gt;=$C329,AM$5&lt;=$D329,$A329&lt;&gt;""),"●","")</x:f>
      </x:c>
      <x:c r="AN329" s="165" t="str">
        <x:f>IF(AND(AN$5&gt;=$C329,AN$5&lt;=$D329,$A329&lt;&gt;""),"●","")</x:f>
      </x:c>
      <x:c r="AO329" s="165" t="str">
        <x:f>IF(AND(AO$5&gt;=$C329,AO$5&lt;=$D329,$A329&lt;&gt;""),"●","")</x:f>
      </x:c>
      <x:c r="AP329" s="165" t="str">
        <x:f>IF(AND(AP$5&gt;=$C329,AP$5&lt;=$D329,$A329&lt;&gt;""),"●","")</x:f>
      </x:c>
      <x:c r="AQ329" s="165" t="str">
        <x:f>IF(AND(AQ$5&gt;=$C329,AQ$5&lt;=$D329,$A329&lt;&gt;""),"●","")</x:f>
      </x:c>
      <x:c r="AR329" s="165" t="str">
        <x:f>IF(AND(AR$5&gt;=$C329,AR$5&lt;=$D329,$A329&lt;&gt;""),"●","")</x:f>
      </x:c>
      <x:c r="AS329" s="165" t="str">
        <x:f>IF(AND(AS$5&gt;=$C329,AS$5&lt;=$D329,$A329&lt;&gt;""),"●","")</x:f>
      </x:c>
      <x:c r="AT329" s="165" t="str">
        <x:f>IF(AND(AT$5&gt;=$C329,AT$5&lt;=$D329,$A329&lt;&gt;""),"●","")</x:f>
      </x:c>
      <x:c r="AU329" s="165" t="str">
        <x:f>IF(AND(AU$5&gt;=$C329,AU$5&lt;=$D329,$A329&lt;&gt;""),"●","")</x:f>
      </x:c>
      <x:c r="AV329" s="165" t="str">
        <x:f>IF(AND(AV$5&gt;=$C329,AV$5&lt;=$D329,$A329&lt;&gt;""),"●","")</x:f>
      </x:c>
      <x:c r="AW329" s="165" t="str">
        <x:f>IF(AND(AW$5&gt;=$C329,AW$5&lt;=$D329,$A329&lt;&gt;""),"●","")</x:f>
      </x:c>
      <x:c r="AX329" s="165" t="str">
        <x:f>IF(AND(AX$5&gt;=$C329,AX$5&lt;=$D329,$A329&lt;&gt;""),"●","")</x:f>
      </x:c>
      <x:c r="AY329" s="165" t="str">
        <x:f>IF(AND(AY$5&gt;=$C329,AY$5&lt;=$D329,$A329&lt;&gt;""),"●","")</x:f>
      </x:c>
      <x:c r="AZ329" s="165" t="str">
        <x:f>IF(AND(AZ$5&gt;=$C329,AZ$5&lt;=$D329,$A329&lt;&gt;""),"●","")</x:f>
      </x:c>
      <x:c r="BA329" s="165" t="str">
        <x:f>IF(AND(BA$5&gt;=$C329,BA$5&lt;=$D329,$A329&lt;&gt;""),"●","")</x:f>
      </x:c>
      <x:c r="BB329" s="165" t="str">
        <x:f>IF(AND(BB$5&gt;=$C329,BB$5&lt;=$D329,$A329&lt;&gt;""),"●","")</x:f>
      </x:c>
      <x:c r="BC329" s="165" t="str">
        <x:f>IF(AND(BC$5&gt;=$C329,BC$5&lt;=$D329,$A329&lt;&gt;""),"●","")</x:f>
      </x:c>
      <x:c r="BD329" s="165" t="str">
        <x:f>IF(AND(BD$5&gt;=$C329,BD$5&lt;=$D329,$A329&lt;&gt;""),"●","")</x:f>
      </x:c>
      <x:c r="BE329" s="165" t="str">
        <x:f>IF(AND(BE$5&gt;=$C329,BE$5&lt;=$D329,$A329&lt;&gt;""),"●","")</x:f>
      </x:c>
      <x:c r="BF329" s="165" t="str">
        <x:f>IF(AND(BF$5&gt;=$C329,BF$5&lt;=$D329,$A329&lt;&gt;""),"●","")</x:f>
      </x:c>
      <x:c r="BG329" s="165" t="str">
        <x:f>IF(AND(BG$5&gt;=$C329,BG$5&lt;=$D329,$A329&lt;&gt;""),"●","")</x:f>
      </x:c>
      <x:c r="BH329" s="165" t="str">
        <x:f>IF(AND(BH$5&gt;=$C329,BH$5&lt;=$D329,$A329&lt;&gt;""),"●","")</x:f>
      </x:c>
      <x:c r="BI329" s="165" t="str">
        <x:f>IF(AND(BI$5&gt;=$C329,BI$5&lt;=$D329,$A329&lt;&gt;""),"●","")</x:f>
      </x:c>
      <x:c r="BJ329" s="165" t="str">
        <x:f>IF(AND(BJ$5&gt;=$C329,BJ$5&lt;=$D329,$A329&lt;&gt;""),"●","")</x:f>
      </x:c>
      <x:c r="BK329" s="165" t="str">
        <x:f>IF(AND(BK$5&gt;=$C329,BK$5&lt;=$D329,$A329&lt;&gt;""),"●","")</x:f>
      </x:c>
      <x:c r="BL329" s="165" t="str">
        <x:f>IF(AND(BL$5&gt;=$C329,BL$5&lt;=$D329,$A329&lt;&gt;""),"●","")</x:f>
      </x:c>
      <x:c r="BM329" s="165" t="str">
        <x:f>IF(AND(BM$5&gt;=$C329,BM$5&lt;=$D329,$A329&lt;&gt;""),"●","")</x:f>
      </x:c>
      <x:c r="BN329" s="165" t="str">
        <x:f>IF(AND(BN$5&gt;=$C329,BN$5&lt;=$D329,$A329&lt;&gt;""),"●","")</x:f>
      </x:c>
      <x:c r="BO329" s="165" t="str">
        <x:f>IF(AND(BO$5&gt;=$C329,BO$5&lt;=$D329,$A329&lt;&gt;""),"●","")</x:f>
      </x:c>
      <x:c r="BP329" s="165" t="str">
        <x:f>IF(AND(BP$5&gt;=$C329,BP$5&lt;=$D329,$A329&lt;&gt;""),"●","")</x:f>
      </x:c>
      <x:c r="BQ329" s="165" t="str">
        <x:f>IF(AND(BQ$5&gt;=$C329,BQ$5&lt;=$D329,$A329&lt;&gt;""),"●","")</x:f>
      </x:c>
      <x:c r="BR329" s="165" t="str">
        <x:f>IF(AND(BR$5&gt;=$C329,BR$5&lt;=$D329,$A329&lt;&gt;""),"●","")</x:f>
      </x:c>
      <x:c r="BS329" s="165" t="str">
        <x:f>IF(AND(BS$5&gt;=$C329,BS$5&lt;=$D329,$A329&lt;&gt;""),"●","")</x:f>
      </x:c>
      <x:c r="BT329" s="165" t="str">
        <x:f>IF(AND(BT$5&gt;=$C329,BT$5&lt;=$D329,$A329&lt;&gt;""),"●","")</x:f>
      </x:c>
      <x:c r="BU329" s="165" t="str">
        <x:f>IF(AND(BU$5&gt;=$C329,BU$5&lt;=$D329,$A329&lt;&gt;""),"●","")</x:f>
      </x:c>
      <x:c r="BV329" s="165" t="str">
        <x:f>IF(AND(BV$5&gt;=$C329,BV$5&lt;=$D329,$A329&lt;&gt;""),"●","")</x:f>
      </x:c>
      <x:c r="BW329" s="165" t="str">
        <x:f>IF(AND(BW$5&gt;=$C329,BW$5&lt;=$D329,$A329&lt;&gt;""),"●","")</x:f>
      </x:c>
    </x:row>
    <x:row r="330">
      <x:c r="A330" s="159" t="str">
        <x:f>IF('รายการสัญญา'!A330="","",'รายการสัญญา'!A330)</x:f>
      </x:c>
      <x:c r="B330" s="159" t="str">
        <x:f>IF('รายการสัญญา'!A330="","",'รายการสัญญา'!C330)</x:f>
      </x:c>
      <x:c r="C330" s="162" t="str">
        <x:f>IF('รายการสัญญา'!A330="","",'รายการสัญญา'!E330)</x:f>
      </x:c>
      <x:c r="D330" s="162" t="str">
        <x:f>IF('รายการสัญญา'!A330="","",'รายการสัญญา'!G330)</x:f>
      </x:c>
      <x:c r="E330" s="159" t="str">
        <x:f>IF('รายการสัญญา'!A330="","",'รายการสัญญา'!K330)</x:f>
      </x:c>
      <x:c r="F330" s="165" t="str">
        <x:f>IF(AND(F$5&gt;=$C330,F$5&lt;=$D330,$A330&lt;&gt;""),"●","")</x:f>
      </x:c>
      <x:c r="G330" s="165" t="str">
        <x:f>IF(AND(G$5&gt;=$C330,G$5&lt;=$D330,$A330&lt;&gt;""),"●","")</x:f>
      </x:c>
      <x:c r="H330" s="165" t="str">
        <x:f>IF(AND(H$5&gt;=$C330,H$5&lt;=$D330,$A330&lt;&gt;""),"●","")</x:f>
      </x:c>
      <x:c r="I330" s="165" t="str">
        <x:f>IF(AND(I$5&gt;=$C330,I$5&lt;=$D330,$A330&lt;&gt;""),"●","")</x:f>
      </x:c>
      <x:c r="J330" s="165" t="str">
        <x:f>IF(AND(J$5&gt;=$C330,J$5&lt;=$D330,$A330&lt;&gt;""),"●","")</x:f>
      </x:c>
      <x:c r="K330" s="165" t="str">
        <x:f>IF(AND(K$5&gt;=$C330,K$5&lt;=$D330,$A330&lt;&gt;""),"●","")</x:f>
      </x:c>
      <x:c r="L330" s="165" t="str">
        <x:f>IF(AND(L$5&gt;=$C330,L$5&lt;=$D330,$A330&lt;&gt;""),"●","")</x:f>
      </x:c>
      <x:c r="M330" s="165" t="str">
        <x:f>IF(AND(M$5&gt;=$C330,M$5&lt;=$D330,$A330&lt;&gt;""),"●","")</x:f>
      </x:c>
      <x:c r="N330" s="165" t="str">
        <x:f>IF(AND(N$5&gt;=$C330,N$5&lt;=$D330,$A330&lt;&gt;""),"●","")</x:f>
      </x:c>
      <x:c r="O330" s="165" t="str">
        <x:f>IF(AND(O$5&gt;=$C330,O$5&lt;=$D330,$A330&lt;&gt;""),"●","")</x:f>
      </x:c>
      <x:c r="P330" s="165" t="str">
        <x:f>IF(AND(P$5&gt;=$C330,P$5&lt;=$D330,$A330&lt;&gt;""),"●","")</x:f>
      </x:c>
      <x:c r="Q330" s="165" t="str">
        <x:f>IF(AND(Q$5&gt;=$C330,Q$5&lt;=$D330,$A330&lt;&gt;""),"●","")</x:f>
      </x:c>
      <x:c r="R330" s="165" t="str">
        <x:f>IF(AND(R$5&gt;=$C330,R$5&lt;=$D330,$A330&lt;&gt;""),"●","")</x:f>
      </x:c>
      <x:c r="S330" s="165" t="str">
        <x:f>IF(AND(S$5&gt;=$C330,S$5&lt;=$D330,$A330&lt;&gt;""),"●","")</x:f>
      </x:c>
      <x:c r="T330" s="165" t="str">
        <x:f>IF(AND(T$5&gt;=$C330,T$5&lt;=$D330,$A330&lt;&gt;""),"●","")</x:f>
      </x:c>
      <x:c r="U330" s="165" t="str">
        <x:f>IF(AND(U$5&gt;=$C330,U$5&lt;=$D330,$A330&lt;&gt;""),"●","")</x:f>
      </x:c>
      <x:c r="V330" s="165" t="str">
        <x:f>IF(AND(V$5&gt;=$C330,V$5&lt;=$D330,$A330&lt;&gt;""),"●","")</x:f>
      </x:c>
      <x:c r="W330" s="165" t="str">
        <x:f>IF(AND(W$5&gt;=$C330,W$5&lt;=$D330,$A330&lt;&gt;""),"●","")</x:f>
      </x:c>
      <x:c r="X330" s="165" t="str">
        <x:f>IF(AND(X$5&gt;=$C330,X$5&lt;=$D330,$A330&lt;&gt;""),"●","")</x:f>
      </x:c>
      <x:c r="Y330" s="165" t="str">
        <x:f>IF(AND(Y$5&gt;=$C330,Y$5&lt;=$D330,$A330&lt;&gt;""),"●","")</x:f>
      </x:c>
      <x:c r="Z330" s="165" t="str">
        <x:f>IF(AND(Z$5&gt;=$C330,Z$5&lt;=$D330,$A330&lt;&gt;""),"●","")</x:f>
      </x:c>
      <x:c r="AA330" s="165" t="str">
        <x:f>IF(AND(AA$5&gt;=$C330,AA$5&lt;=$D330,$A330&lt;&gt;""),"●","")</x:f>
      </x:c>
      <x:c r="AB330" s="165" t="str">
        <x:f>IF(AND(AB$5&gt;=$C330,AB$5&lt;=$D330,$A330&lt;&gt;""),"●","")</x:f>
      </x:c>
      <x:c r="AC330" s="165" t="str">
        <x:f>IF(AND(AC$5&gt;=$C330,AC$5&lt;=$D330,$A330&lt;&gt;""),"●","")</x:f>
      </x:c>
      <x:c r="AD330" s="165" t="str">
        <x:f>IF(AND(AD$5&gt;=$C330,AD$5&lt;=$D330,$A330&lt;&gt;""),"●","")</x:f>
      </x:c>
      <x:c r="AE330" s="165" t="str">
        <x:f>IF(AND(AE$5&gt;=$C330,AE$5&lt;=$D330,$A330&lt;&gt;""),"●","")</x:f>
      </x:c>
      <x:c r="AF330" s="165" t="str">
        <x:f>IF(AND(AF$5&gt;=$C330,AF$5&lt;=$D330,$A330&lt;&gt;""),"●","")</x:f>
      </x:c>
      <x:c r="AG330" s="165" t="str">
        <x:f>IF(AND(AG$5&gt;=$C330,AG$5&lt;=$D330,$A330&lt;&gt;""),"●","")</x:f>
      </x:c>
      <x:c r="AH330" s="165" t="str">
        <x:f>IF(AND(AH$5&gt;=$C330,AH$5&lt;=$D330,$A330&lt;&gt;""),"●","")</x:f>
      </x:c>
      <x:c r="AI330" s="165" t="str">
        <x:f>IF(AND(AI$5&gt;=$C330,AI$5&lt;=$D330,$A330&lt;&gt;""),"●","")</x:f>
      </x:c>
      <x:c r="AJ330" s="165" t="str">
        <x:f>IF(AND(AJ$5&gt;=$C330,AJ$5&lt;=$D330,$A330&lt;&gt;""),"●","")</x:f>
      </x:c>
      <x:c r="AK330" s="165" t="str">
        <x:f>IF(AND(AK$5&gt;=$C330,AK$5&lt;=$D330,$A330&lt;&gt;""),"●","")</x:f>
      </x:c>
      <x:c r="AL330" s="165" t="str">
        <x:f>IF(AND(AL$5&gt;=$C330,AL$5&lt;=$D330,$A330&lt;&gt;""),"●","")</x:f>
      </x:c>
      <x:c r="AM330" s="165" t="str">
        <x:f>IF(AND(AM$5&gt;=$C330,AM$5&lt;=$D330,$A330&lt;&gt;""),"●","")</x:f>
      </x:c>
      <x:c r="AN330" s="165" t="str">
        <x:f>IF(AND(AN$5&gt;=$C330,AN$5&lt;=$D330,$A330&lt;&gt;""),"●","")</x:f>
      </x:c>
      <x:c r="AO330" s="165" t="str">
        <x:f>IF(AND(AO$5&gt;=$C330,AO$5&lt;=$D330,$A330&lt;&gt;""),"●","")</x:f>
      </x:c>
      <x:c r="AP330" s="165" t="str">
        <x:f>IF(AND(AP$5&gt;=$C330,AP$5&lt;=$D330,$A330&lt;&gt;""),"●","")</x:f>
      </x:c>
      <x:c r="AQ330" s="165" t="str">
        <x:f>IF(AND(AQ$5&gt;=$C330,AQ$5&lt;=$D330,$A330&lt;&gt;""),"●","")</x:f>
      </x:c>
      <x:c r="AR330" s="165" t="str">
        <x:f>IF(AND(AR$5&gt;=$C330,AR$5&lt;=$D330,$A330&lt;&gt;""),"●","")</x:f>
      </x:c>
      <x:c r="AS330" s="165" t="str">
        <x:f>IF(AND(AS$5&gt;=$C330,AS$5&lt;=$D330,$A330&lt;&gt;""),"●","")</x:f>
      </x:c>
      <x:c r="AT330" s="165" t="str">
        <x:f>IF(AND(AT$5&gt;=$C330,AT$5&lt;=$D330,$A330&lt;&gt;""),"●","")</x:f>
      </x:c>
      <x:c r="AU330" s="165" t="str">
        <x:f>IF(AND(AU$5&gt;=$C330,AU$5&lt;=$D330,$A330&lt;&gt;""),"●","")</x:f>
      </x:c>
      <x:c r="AV330" s="165" t="str">
        <x:f>IF(AND(AV$5&gt;=$C330,AV$5&lt;=$D330,$A330&lt;&gt;""),"●","")</x:f>
      </x:c>
      <x:c r="AW330" s="165" t="str">
        <x:f>IF(AND(AW$5&gt;=$C330,AW$5&lt;=$D330,$A330&lt;&gt;""),"●","")</x:f>
      </x:c>
      <x:c r="AX330" s="165" t="str">
        <x:f>IF(AND(AX$5&gt;=$C330,AX$5&lt;=$D330,$A330&lt;&gt;""),"●","")</x:f>
      </x:c>
      <x:c r="AY330" s="165" t="str">
        <x:f>IF(AND(AY$5&gt;=$C330,AY$5&lt;=$D330,$A330&lt;&gt;""),"●","")</x:f>
      </x:c>
      <x:c r="AZ330" s="165" t="str">
        <x:f>IF(AND(AZ$5&gt;=$C330,AZ$5&lt;=$D330,$A330&lt;&gt;""),"●","")</x:f>
      </x:c>
      <x:c r="BA330" s="165" t="str">
        <x:f>IF(AND(BA$5&gt;=$C330,BA$5&lt;=$D330,$A330&lt;&gt;""),"●","")</x:f>
      </x:c>
      <x:c r="BB330" s="165" t="str">
        <x:f>IF(AND(BB$5&gt;=$C330,BB$5&lt;=$D330,$A330&lt;&gt;""),"●","")</x:f>
      </x:c>
      <x:c r="BC330" s="165" t="str">
        <x:f>IF(AND(BC$5&gt;=$C330,BC$5&lt;=$D330,$A330&lt;&gt;""),"●","")</x:f>
      </x:c>
      <x:c r="BD330" s="165" t="str">
        <x:f>IF(AND(BD$5&gt;=$C330,BD$5&lt;=$D330,$A330&lt;&gt;""),"●","")</x:f>
      </x:c>
      <x:c r="BE330" s="165" t="str">
        <x:f>IF(AND(BE$5&gt;=$C330,BE$5&lt;=$D330,$A330&lt;&gt;""),"●","")</x:f>
      </x:c>
      <x:c r="BF330" s="165" t="str">
        <x:f>IF(AND(BF$5&gt;=$C330,BF$5&lt;=$D330,$A330&lt;&gt;""),"●","")</x:f>
      </x:c>
      <x:c r="BG330" s="165" t="str">
        <x:f>IF(AND(BG$5&gt;=$C330,BG$5&lt;=$D330,$A330&lt;&gt;""),"●","")</x:f>
      </x:c>
      <x:c r="BH330" s="165" t="str">
        <x:f>IF(AND(BH$5&gt;=$C330,BH$5&lt;=$D330,$A330&lt;&gt;""),"●","")</x:f>
      </x:c>
      <x:c r="BI330" s="165" t="str">
        <x:f>IF(AND(BI$5&gt;=$C330,BI$5&lt;=$D330,$A330&lt;&gt;""),"●","")</x:f>
      </x:c>
      <x:c r="BJ330" s="165" t="str">
        <x:f>IF(AND(BJ$5&gt;=$C330,BJ$5&lt;=$D330,$A330&lt;&gt;""),"●","")</x:f>
      </x:c>
      <x:c r="BK330" s="165" t="str">
        <x:f>IF(AND(BK$5&gt;=$C330,BK$5&lt;=$D330,$A330&lt;&gt;""),"●","")</x:f>
      </x:c>
      <x:c r="BL330" s="165" t="str">
        <x:f>IF(AND(BL$5&gt;=$C330,BL$5&lt;=$D330,$A330&lt;&gt;""),"●","")</x:f>
      </x:c>
      <x:c r="BM330" s="165" t="str">
        <x:f>IF(AND(BM$5&gt;=$C330,BM$5&lt;=$D330,$A330&lt;&gt;""),"●","")</x:f>
      </x:c>
      <x:c r="BN330" s="165" t="str">
        <x:f>IF(AND(BN$5&gt;=$C330,BN$5&lt;=$D330,$A330&lt;&gt;""),"●","")</x:f>
      </x:c>
      <x:c r="BO330" s="165" t="str">
        <x:f>IF(AND(BO$5&gt;=$C330,BO$5&lt;=$D330,$A330&lt;&gt;""),"●","")</x:f>
      </x:c>
      <x:c r="BP330" s="165" t="str">
        <x:f>IF(AND(BP$5&gt;=$C330,BP$5&lt;=$D330,$A330&lt;&gt;""),"●","")</x:f>
      </x:c>
      <x:c r="BQ330" s="165" t="str">
        <x:f>IF(AND(BQ$5&gt;=$C330,BQ$5&lt;=$D330,$A330&lt;&gt;""),"●","")</x:f>
      </x:c>
      <x:c r="BR330" s="165" t="str">
        <x:f>IF(AND(BR$5&gt;=$C330,BR$5&lt;=$D330,$A330&lt;&gt;""),"●","")</x:f>
      </x:c>
      <x:c r="BS330" s="165" t="str">
        <x:f>IF(AND(BS$5&gt;=$C330,BS$5&lt;=$D330,$A330&lt;&gt;""),"●","")</x:f>
      </x:c>
      <x:c r="BT330" s="165" t="str">
        <x:f>IF(AND(BT$5&gt;=$C330,BT$5&lt;=$D330,$A330&lt;&gt;""),"●","")</x:f>
      </x:c>
      <x:c r="BU330" s="165" t="str">
        <x:f>IF(AND(BU$5&gt;=$C330,BU$5&lt;=$D330,$A330&lt;&gt;""),"●","")</x:f>
      </x:c>
      <x:c r="BV330" s="165" t="str">
        <x:f>IF(AND(BV$5&gt;=$C330,BV$5&lt;=$D330,$A330&lt;&gt;""),"●","")</x:f>
      </x:c>
      <x:c r="BW330" s="165" t="str">
        <x:f>IF(AND(BW$5&gt;=$C330,BW$5&lt;=$D330,$A330&lt;&gt;""),"●","")</x:f>
      </x:c>
    </x:row>
    <x:row r="331">
      <x:c r="A331" s="159" t="str">
        <x:f>IF('รายการสัญญา'!A331="","",'รายการสัญญา'!A331)</x:f>
      </x:c>
      <x:c r="B331" s="159" t="str">
        <x:f>IF('รายการสัญญา'!A331="","",'รายการสัญญา'!C331)</x:f>
      </x:c>
      <x:c r="C331" s="162" t="str">
        <x:f>IF('รายการสัญญา'!A331="","",'รายการสัญญา'!E331)</x:f>
      </x:c>
      <x:c r="D331" s="162" t="str">
        <x:f>IF('รายการสัญญา'!A331="","",'รายการสัญญา'!G331)</x:f>
      </x:c>
      <x:c r="E331" s="159" t="str">
        <x:f>IF('รายการสัญญา'!A331="","",'รายการสัญญา'!K331)</x:f>
      </x:c>
      <x:c r="F331" s="165" t="str">
        <x:f>IF(AND(F$5&gt;=$C331,F$5&lt;=$D331,$A331&lt;&gt;""),"●","")</x:f>
      </x:c>
      <x:c r="G331" s="165" t="str">
        <x:f>IF(AND(G$5&gt;=$C331,G$5&lt;=$D331,$A331&lt;&gt;""),"●","")</x:f>
      </x:c>
      <x:c r="H331" s="165" t="str">
        <x:f>IF(AND(H$5&gt;=$C331,H$5&lt;=$D331,$A331&lt;&gt;""),"●","")</x:f>
      </x:c>
      <x:c r="I331" s="165" t="str">
        <x:f>IF(AND(I$5&gt;=$C331,I$5&lt;=$D331,$A331&lt;&gt;""),"●","")</x:f>
      </x:c>
      <x:c r="J331" s="165" t="str">
        <x:f>IF(AND(J$5&gt;=$C331,J$5&lt;=$D331,$A331&lt;&gt;""),"●","")</x:f>
      </x:c>
      <x:c r="K331" s="165" t="str">
        <x:f>IF(AND(K$5&gt;=$C331,K$5&lt;=$D331,$A331&lt;&gt;""),"●","")</x:f>
      </x:c>
      <x:c r="L331" s="165" t="str">
        <x:f>IF(AND(L$5&gt;=$C331,L$5&lt;=$D331,$A331&lt;&gt;""),"●","")</x:f>
      </x:c>
      <x:c r="M331" s="165" t="str">
        <x:f>IF(AND(M$5&gt;=$C331,M$5&lt;=$D331,$A331&lt;&gt;""),"●","")</x:f>
      </x:c>
      <x:c r="N331" s="165" t="str">
        <x:f>IF(AND(N$5&gt;=$C331,N$5&lt;=$D331,$A331&lt;&gt;""),"●","")</x:f>
      </x:c>
      <x:c r="O331" s="165" t="str">
        <x:f>IF(AND(O$5&gt;=$C331,O$5&lt;=$D331,$A331&lt;&gt;""),"●","")</x:f>
      </x:c>
      <x:c r="P331" s="165" t="str">
        <x:f>IF(AND(P$5&gt;=$C331,P$5&lt;=$D331,$A331&lt;&gt;""),"●","")</x:f>
      </x:c>
      <x:c r="Q331" s="165" t="str">
        <x:f>IF(AND(Q$5&gt;=$C331,Q$5&lt;=$D331,$A331&lt;&gt;""),"●","")</x:f>
      </x:c>
      <x:c r="R331" s="165" t="str">
        <x:f>IF(AND(R$5&gt;=$C331,R$5&lt;=$D331,$A331&lt;&gt;""),"●","")</x:f>
      </x:c>
      <x:c r="S331" s="165" t="str">
        <x:f>IF(AND(S$5&gt;=$C331,S$5&lt;=$D331,$A331&lt;&gt;""),"●","")</x:f>
      </x:c>
      <x:c r="T331" s="165" t="str">
        <x:f>IF(AND(T$5&gt;=$C331,T$5&lt;=$D331,$A331&lt;&gt;""),"●","")</x:f>
      </x:c>
      <x:c r="U331" s="165" t="str">
        <x:f>IF(AND(U$5&gt;=$C331,U$5&lt;=$D331,$A331&lt;&gt;""),"●","")</x:f>
      </x:c>
      <x:c r="V331" s="165" t="str">
        <x:f>IF(AND(V$5&gt;=$C331,V$5&lt;=$D331,$A331&lt;&gt;""),"●","")</x:f>
      </x:c>
      <x:c r="W331" s="165" t="str">
        <x:f>IF(AND(W$5&gt;=$C331,W$5&lt;=$D331,$A331&lt;&gt;""),"●","")</x:f>
      </x:c>
      <x:c r="X331" s="165" t="str">
        <x:f>IF(AND(X$5&gt;=$C331,X$5&lt;=$D331,$A331&lt;&gt;""),"●","")</x:f>
      </x:c>
      <x:c r="Y331" s="165" t="str">
        <x:f>IF(AND(Y$5&gt;=$C331,Y$5&lt;=$D331,$A331&lt;&gt;""),"●","")</x:f>
      </x:c>
      <x:c r="Z331" s="165" t="str">
        <x:f>IF(AND(Z$5&gt;=$C331,Z$5&lt;=$D331,$A331&lt;&gt;""),"●","")</x:f>
      </x:c>
      <x:c r="AA331" s="165" t="str">
        <x:f>IF(AND(AA$5&gt;=$C331,AA$5&lt;=$D331,$A331&lt;&gt;""),"●","")</x:f>
      </x:c>
      <x:c r="AB331" s="165" t="str">
        <x:f>IF(AND(AB$5&gt;=$C331,AB$5&lt;=$D331,$A331&lt;&gt;""),"●","")</x:f>
      </x:c>
      <x:c r="AC331" s="165" t="str">
        <x:f>IF(AND(AC$5&gt;=$C331,AC$5&lt;=$D331,$A331&lt;&gt;""),"●","")</x:f>
      </x:c>
      <x:c r="AD331" s="165" t="str">
        <x:f>IF(AND(AD$5&gt;=$C331,AD$5&lt;=$D331,$A331&lt;&gt;""),"●","")</x:f>
      </x:c>
      <x:c r="AE331" s="165" t="str">
        <x:f>IF(AND(AE$5&gt;=$C331,AE$5&lt;=$D331,$A331&lt;&gt;""),"●","")</x:f>
      </x:c>
      <x:c r="AF331" s="165" t="str">
        <x:f>IF(AND(AF$5&gt;=$C331,AF$5&lt;=$D331,$A331&lt;&gt;""),"●","")</x:f>
      </x:c>
      <x:c r="AG331" s="165" t="str">
        <x:f>IF(AND(AG$5&gt;=$C331,AG$5&lt;=$D331,$A331&lt;&gt;""),"●","")</x:f>
      </x:c>
      <x:c r="AH331" s="165" t="str">
        <x:f>IF(AND(AH$5&gt;=$C331,AH$5&lt;=$D331,$A331&lt;&gt;""),"●","")</x:f>
      </x:c>
      <x:c r="AI331" s="165" t="str">
        <x:f>IF(AND(AI$5&gt;=$C331,AI$5&lt;=$D331,$A331&lt;&gt;""),"●","")</x:f>
      </x:c>
      <x:c r="AJ331" s="165" t="str">
        <x:f>IF(AND(AJ$5&gt;=$C331,AJ$5&lt;=$D331,$A331&lt;&gt;""),"●","")</x:f>
      </x:c>
      <x:c r="AK331" s="165" t="str">
        <x:f>IF(AND(AK$5&gt;=$C331,AK$5&lt;=$D331,$A331&lt;&gt;""),"●","")</x:f>
      </x:c>
      <x:c r="AL331" s="165" t="str">
        <x:f>IF(AND(AL$5&gt;=$C331,AL$5&lt;=$D331,$A331&lt;&gt;""),"●","")</x:f>
      </x:c>
      <x:c r="AM331" s="165" t="str">
        <x:f>IF(AND(AM$5&gt;=$C331,AM$5&lt;=$D331,$A331&lt;&gt;""),"●","")</x:f>
      </x:c>
      <x:c r="AN331" s="165" t="str">
        <x:f>IF(AND(AN$5&gt;=$C331,AN$5&lt;=$D331,$A331&lt;&gt;""),"●","")</x:f>
      </x:c>
      <x:c r="AO331" s="165" t="str">
        <x:f>IF(AND(AO$5&gt;=$C331,AO$5&lt;=$D331,$A331&lt;&gt;""),"●","")</x:f>
      </x:c>
      <x:c r="AP331" s="165" t="str">
        <x:f>IF(AND(AP$5&gt;=$C331,AP$5&lt;=$D331,$A331&lt;&gt;""),"●","")</x:f>
      </x:c>
      <x:c r="AQ331" s="165" t="str">
        <x:f>IF(AND(AQ$5&gt;=$C331,AQ$5&lt;=$D331,$A331&lt;&gt;""),"●","")</x:f>
      </x:c>
      <x:c r="AR331" s="165" t="str">
        <x:f>IF(AND(AR$5&gt;=$C331,AR$5&lt;=$D331,$A331&lt;&gt;""),"●","")</x:f>
      </x:c>
      <x:c r="AS331" s="165" t="str">
        <x:f>IF(AND(AS$5&gt;=$C331,AS$5&lt;=$D331,$A331&lt;&gt;""),"●","")</x:f>
      </x:c>
      <x:c r="AT331" s="165" t="str">
        <x:f>IF(AND(AT$5&gt;=$C331,AT$5&lt;=$D331,$A331&lt;&gt;""),"●","")</x:f>
      </x:c>
      <x:c r="AU331" s="165" t="str">
        <x:f>IF(AND(AU$5&gt;=$C331,AU$5&lt;=$D331,$A331&lt;&gt;""),"●","")</x:f>
      </x:c>
      <x:c r="AV331" s="165" t="str">
        <x:f>IF(AND(AV$5&gt;=$C331,AV$5&lt;=$D331,$A331&lt;&gt;""),"●","")</x:f>
      </x:c>
      <x:c r="AW331" s="165" t="str">
        <x:f>IF(AND(AW$5&gt;=$C331,AW$5&lt;=$D331,$A331&lt;&gt;""),"●","")</x:f>
      </x:c>
      <x:c r="AX331" s="165" t="str">
        <x:f>IF(AND(AX$5&gt;=$C331,AX$5&lt;=$D331,$A331&lt;&gt;""),"●","")</x:f>
      </x:c>
      <x:c r="AY331" s="165" t="str">
        <x:f>IF(AND(AY$5&gt;=$C331,AY$5&lt;=$D331,$A331&lt;&gt;""),"●","")</x:f>
      </x:c>
      <x:c r="AZ331" s="165" t="str">
        <x:f>IF(AND(AZ$5&gt;=$C331,AZ$5&lt;=$D331,$A331&lt;&gt;""),"●","")</x:f>
      </x:c>
      <x:c r="BA331" s="165" t="str">
        <x:f>IF(AND(BA$5&gt;=$C331,BA$5&lt;=$D331,$A331&lt;&gt;""),"●","")</x:f>
      </x:c>
      <x:c r="BB331" s="165" t="str">
        <x:f>IF(AND(BB$5&gt;=$C331,BB$5&lt;=$D331,$A331&lt;&gt;""),"●","")</x:f>
      </x:c>
      <x:c r="BC331" s="165" t="str">
        <x:f>IF(AND(BC$5&gt;=$C331,BC$5&lt;=$D331,$A331&lt;&gt;""),"●","")</x:f>
      </x:c>
      <x:c r="BD331" s="165" t="str">
        <x:f>IF(AND(BD$5&gt;=$C331,BD$5&lt;=$D331,$A331&lt;&gt;""),"●","")</x:f>
      </x:c>
      <x:c r="BE331" s="165" t="str">
        <x:f>IF(AND(BE$5&gt;=$C331,BE$5&lt;=$D331,$A331&lt;&gt;""),"●","")</x:f>
      </x:c>
      <x:c r="BF331" s="165" t="str">
        <x:f>IF(AND(BF$5&gt;=$C331,BF$5&lt;=$D331,$A331&lt;&gt;""),"●","")</x:f>
      </x:c>
      <x:c r="BG331" s="165" t="str">
        <x:f>IF(AND(BG$5&gt;=$C331,BG$5&lt;=$D331,$A331&lt;&gt;""),"●","")</x:f>
      </x:c>
      <x:c r="BH331" s="165" t="str">
        <x:f>IF(AND(BH$5&gt;=$C331,BH$5&lt;=$D331,$A331&lt;&gt;""),"●","")</x:f>
      </x:c>
      <x:c r="BI331" s="165" t="str">
        <x:f>IF(AND(BI$5&gt;=$C331,BI$5&lt;=$D331,$A331&lt;&gt;""),"●","")</x:f>
      </x:c>
      <x:c r="BJ331" s="165" t="str">
        <x:f>IF(AND(BJ$5&gt;=$C331,BJ$5&lt;=$D331,$A331&lt;&gt;""),"●","")</x:f>
      </x:c>
      <x:c r="BK331" s="165" t="str">
        <x:f>IF(AND(BK$5&gt;=$C331,BK$5&lt;=$D331,$A331&lt;&gt;""),"●","")</x:f>
      </x:c>
      <x:c r="BL331" s="165" t="str">
        <x:f>IF(AND(BL$5&gt;=$C331,BL$5&lt;=$D331,$A331&lt;&gt;""),"●","")</x:f>
      </x:c>
      <x:c r="BM331" s="165" t="str">
        <x:f>IF(AND(BM$5&gt;=$C331,BM$5&lt;=$D331,$A331&lt;&gt;""),"●","")</x:f>
      </x:c>
      <x:c r="BN331" s="165" t="str">
        <x:f>IF(AND(BN$5&gt;=$C331,BN$5&lt;=$D331,$A331&lt;&gt;""),"●","")</x:f>
      </x:c>
      <x:c r="BO331" s="165" t="str">
        <x:f>IF(AND(BO$5&gt;=$C331,BO$5&lt;=$D331,$A331&lt;&gt;""),"●","")</x:f>
      </x:c>
      <x:c r="BP331" s="165" t="str">
        <x:f>IF(AND(BP$5&gt;=$C331,BP$5&lt;=$D331,$A331&lt;&gt;""),"●","")</x:f>
      </x:c>
      <x:c r="BQ331" s="165" t="str">
        <x:f>IF(AND(BQ$5&gt;=$C331,BQ$5&lt;=$D331,$A331&lt;&gt;""),"●","")</x:f>
      </x:c>
      <x:c r="BR331" s="165" t="str">
        <x:f>IF(AND(BR$5&gt;=$C331,BR$5&lt;=$D331,$A331&lt;&gt;""),"●","")</x:f>
      </x:c>
      <x:c r="BS331" s="165" t="str">
        <x:f>IF(AND(BS$5&gt;=$C331,BS$5&lt;=$D331,$A331&lt;&gt;""),"●","")</x:f>
      </x:c>
      <x:c r="BT331" s="165" t="str">
        <x:f>IF(AND(BT$5&gt;=$C331,BT$5&lt;=$D331,$A331&lt;&gt;""),"●","")</x:f>
      </x:c>
      <x:c r="BU331" s="165" t="str">
        <x:f>IF(AND(BU$5&gt;=$C331,BU$5&lt;=$D331,$A331&lt;&gt;""),"●","")</x:f>
      </x:c>
      <x:c r="BV331" s="165" t="str">
        <x:f>IF(AND(BV$5&gt;=$C331,BV$5&lt;=$D331,$A331&lt;&gt;""),"●","")</x:f>
      </x:c>
      <x:c r="BW331" s="165" t="str">
        <x:f>IF(AND(BW$5&gt;=$C331,BW$5&lt;=$D331,$A331&lt;&gt;""),"●","")</x:f>
      </x:c>
    </x:row>
    <x:row r="332">
      <x:c r="A332" s="159" t="str">
        <x:f>IF('รายการสัญญา'!A332="","",'รายการสัญญา'!A332)</x:f>
      </x:c>
      <x:c r="B332" s="159" t="str">
        <x:f>IF('รายการสัญญา'!A332="","",'รายการสัญญา'!C332)</x:f>
      </x:c>
      <x:c r="C332" s="162" t="str">
        <x:f>IF('รายการสัญญา'!A332="","",'รายการสัญญา'!E332)</x:f>
      </x:c>
      <x:c r="D332" s="162" t="str">
        <x:f>IF('รายการสัญญา'!A332="","",'รายการสัญญา'!G332)</x:f>
      </x:c>
      <x:c r="E332" s="159" t="str">
        <x:f>IF('รายการสัญญา'!A332="","",'รายการสัญญา'!K332)</x:f>
      </x:c>
      <x:c r="F332" s="165" t="str">
        <x:f>IF(AND(F$5&gt;=$C332,F$5&lt;=$D332,$A332&lt;&gt;""),"●","")</x:f>
      </x:c>
      <x:c r="G332" s="165" t="str">
        <x:f>IF(AND(G$5&gt;=$C332,G$5&lt;=$D332,$A332&lt;&gt;""),"●","")</x:f>
      </x:c>
      <x:c r="H332" s="165" t="str">
        <x:f>IF(AND(H$5&gt;=$C332,H$5&lt;=$D332,$A332&lt;&gt;""),"●","")</x:f>
      </x:c>
      <x:c r="I332" s="165" t="str">
        <x:f>IF(AND(I$5&gt;=$C332,I$5&lt;=$D332,$A332&lt;&gt;""),"●","")</x:f>
      </x:c>
      <x:c r="J332" s="165" t="str">
        <x:f>IF(AND(J$5&gt;=$C332,J$5&lt;=$D332,$A332&lt;&gt;""),"●","")</x:f>
      </x:c>
      <x:c r="K332" s="165" t="str">
        <x:f>IF(AND(K$5&gt;=$C332,K$5&lt;=$D332,$A332&lt;&gt;""),"●","")</x:f>
      </x:c>
      <x:c r="L332" s="165" t="str">
        <x:f>IF(AND(L$5&gt;=$C332,L$5&lt;=$D332,$A332&lt;&gt;""),"●","")</x:f>
      </x:c>
      <x:c r="M332" s="165" t="str">
        <x:f>IF(AND(M$5&gt;=$C332,M$5&lt;=$D332,$A332&lt;&gt;""),"●","")</x:f>
      </x:c>
      <x:c r="N332" s="165" t="str">
        <x:f>IF(AND(N$5&gt;=$C332,N$5&lt;=$D332,$A332&lt;&gt;""),"●","")</x:f>
      </x:c>
      <x:c r="O332" s="165" t="str">
        <x:f>IF(AND(O$5&gt;=$C332,O$5&lt;=$D332,$A332&lt;&gt;""),"●","")</x:f>
      </x:c>
      <x:c r="P332" s="165" t="str">
        <x:f>IF(AND(P$5&gt;=$C332,P$5&lt;=$D332,$A332&lt;&gt;""),"●","")</x:f>
      </x:c>
      <x:c r="Q332" s="165" t="str">
        <x:f>IF(AND(Q$5&gt;=$C332,Q$5&lt;=$D332,$A332&lt;&gt;""),"●","")</x:f>
      </x:c>
      <x:c r="R332" s="165" t="str">
        <x:f>IF(AND(R$5&gt;=$C332,R$5&lt;=$D332,$A332&lt;&gt;""),"●","")</x:f>
      </x:c>
      <x:c r="S332" s="165" t="str">
        <x:f>IF(AND(S$5&gt;=$C332,S$5&lt;=$D332,$A332&lt;&gt;""),"●","")</x:f>
      </x:c>
      <x:c r="T332" s="165" t="str">
        <x:f>IF(AND(T$5&gt;=$C332,T$5&lt;=$D332,$A332&lt;&gt;""),"●","")</x:f>
      </x:c>
      <x:c r="U332" s="165" t="str">
        <x:f>IF(AND(U$5&gt;=$C332,U$5&lt;=$D332,$A332&lt;&gt;""),"●","")</x:f>
      </x:c>
      <x:c r="V332" s="165" t="str">
        <x:f>IF(AND(V$5&gt;=$C332,V$5&lt;=$D332,$A332&lt;&gt;""),"●","")</x:f>
      </x:c>
      <x:c r="W332" s="165" t="str">
        <x:f>IF(AND(W$5&gt;=$C332,W$5&lt;=$D332,$A332&lt;&gt;""),"●","")</x:f>
      </x:c>
      <x:c r="X332" s="165" t="str">
        <x:f>IF(AND(X$5&gt;=$C332,X$5&lt;=$D332,$A332&lt;&gt;""),"●","")</x:f>
      </x:c>
      <x:c r="Y332" s="165" t="str">
        <x:f>IF(AND(Y$5&gt;=$C332,Y$5&lt;=$D332,$A332&lt;&gt;""),"●","")</x:f>
      </x:c>
      <x:c r="Z332" s="165" t="str">
        <x:f>IF(AND(Z$5&gt;=$C332,Z$5&lt;=$D332,$A332&lt;&gt;""),"●","")</x:f>
      </x:c>
      <x:c r="AA332" s="165" t="str">
        <x:f>IF(AND(AA$5&gt;=$C332,AA$5&lt;=$D332,$A332&lt;&gt;""),"●","")</x:f>
      </x:c>
      <x:c r="AB332" s="165" t="str">
        <x:f>IF(AND(AB$5&gt;=$C332,AB$5&lt;=$D332,$A332&lt;&gt;""),"●","")</x:f>
      </x:c>
      <x:c r="AC332" s="165" t="str">
        <x:f>IF(AND(AC$5&gt;=$C332,AC$5&lt;=$D332,$A332&lt;&gt;""),"●","")</x:f>
      </x:c>
      <x:c r="AD332" s="165" t="str">
        <x:f>IF(AND(AD$5&gt;=$C332,AD$5&lt;=$D332,$A332&lt;&gt;""),"●","")</x:f>
      </x:c>
      <x:c r="AE332" s="165" t="str">
        <x:f>IF(AND(AE$5&gt;=$C332,AE$5&lt;=$D332,$A332&lt;&gt;""),"●","")</x:f>
      </x:c>
      <x:c r="AF332" s="165" t="str">
        <x:f>IF(AND(AF$5&gt;=$C332,AF$5&lt;=$D332,$A332&lt;&gt;""),"●","")</x:f>
      </x:c>
      <x:c r="AG332" s="165" t="str">
        <x:f>IF(AND(AG$5&gt;=$C332,AG$5&lt;=$D332,$A332&lt;&gt;""),"●","")</x:f>
      </x:c>
      <x:c r="AH332" s="165" t="str">
        <x:f>IF(AND(AH$5&gt;=$C332,AH$5&lt;=$D332,$A332&lt;&gt;""),"●","")</x:f>
      </x:c>
      <x:c r="AI332" s="165" t="str">
        <x:f>IF(AND(AI$5&gt;=$C332,AI$5&lt;=$D332,$A332&lt;&gt;""),"●","")</x:f>
      </x:c>
      <x:c r="AJ332" s="165" t="str">
        <x:f>IF(AND(AJ$5&gt;=$C332,AJ$5&lt;=$D332,$A332&lt;&gt;""),"●","")</x:f>
      </x:c>
      <x:c r="AK332" s="165" t="str">
        <x:f>IF(AND(AK$5&gt;=$C332,AK$5&lt;=$D332,$A332&lt;&gt;""),"●","")</x:f>
      </x:c>
      <x:c r="AL332" s="165" t="str">
        <x:f>IF(AND(AL$5&gt;=$C332,AL$5&lt;=$D332,$A332&lt;&gt;""),"●","")</x:f>
      </x:c>
      <x:c r="AM332" s="165" t="str">
        <x:f>IF(AND(AM$5&gt;=$C332,AM$5&lt;=$D332,$A332&lt;&gt;""),"●","")</x:f>
      </x:c>
      <x:c r="AN332" s="165" t="str">
        <x:f>IF(AND(AN$5&gt;=$C332,AN$5&lt;=$D332,$A332&lt;&gt;""),"●","")</x:f>
      </x:c>
      <x:c r="AO332" s="165" t="str">
        <x:f>IF(AND(AO$5&gt;=$C332,AO$5&lt;=$D332,$A332&lt;&gt;""),"●","")</x:f>
      </x:c>
      <x:c r="AP332" s="165" t="str">
        <x:f>IF(AND(AP$5&gt;=$C332,AP$5&lt;=$D332,$A332&lt;&gt;""),"●","")</x:f>
      </x:c>
      <x:c r="AQ332" s="165" t="str">
        <x:f>IF(AND(AQ$5&gt;=$C332,AQ$5&lt;=$D332,$A332&lt;&gt;""),"●","")</x:f>
      </x:c>
      <x:c r="AR332" s="165" t="str">
        <x:f>IF(AND(AR$5&gt;=$C332,AR$5&lt;=$D332,$A332&lt;&gt;""),"●","")</x:f>
      </x:c>
      <x:c r="AS332" s="165" t="str">
        <x:f>IF(AND(AS$5&gt;=$C332,AS$5&lt;=$D332,$A332&lt;&gt;""),"●","")</x:f>
      </x:c>
      <x:c r="AT332" s="165" t="str">
        <x:f>IF(AND(AT$5&gt;=$C332,AT$5&lt;=$D332,$A332&lt;&gt;""),"●","")</x:f>
      </x:c>
      <x:c r="AU332" s="165" t="str">
        <x:f>IF(AND(AU$5&gt;=$C332,AU$5&lt;=$D332,$A332&lt;&gt;""),"●","")</x:f>
      </x:c>
      <x:c r="AV332" s="165" t="str">
        <x:f>IF(AND(AV$5&gt;=$C332,AV$5&lt;=$D332,$A332&lt;&gt;""),"●","")</x:f>
      </x:c>
      <x:c r="AW332" s="165" t="str">
        <x:f>IF(AND(AW$5&gt;=$C332,AW$5&lt;=$D332,$A332&lt;&gt;""),"●","")</x:f>
      </x:c>
      <x:c r="AX332" s="165" t="str">
        <x:f>IF(AND(AX$5&gt;=$C332,AX$5&lt;=$D332,$A332&lt;&gt;""),"●","")</x:f>
      </x:c>
      <x:c r="AY332" s="165" t="str">
        <x:f>IF(AND(AY$5&gt;=$C332,AY$5&lt;=$D332,$A332&lt;&gt;""),"●","")</x:f>
      </x:c>
      <x:c r="AZ332" s="165" t="str">
        <x:f>IF(AND(AZ$5&gt;=$C332,AZ$5&lt;=$D332,$A332&lt;&gt;""),"●","")</x:f>
      </x:c>
      <x:c r="BA332" s="165" t="str">
        <x:f>IF(AND(BA$5&gt;=$C332,BA$5&lt;=$D332,$A332&lt;&gt;""),"●","")</x:f>
      </x:c>
      <x:c r="BB332" s="165" t="str">
        <x:f>IF(AND(BB$5&gt;=$C332,BB$5&lt;=$D332,$A332&lt;&gt;""),"●","")</x:f>
      </x:c>
      <x:c r="BC332" s="165" t="str">
        <x:f>IF(AND(BC$5&gt;=$C332,BC$5&lt;=$D332,$A332&lt;&gt;""),"●","")</x:f>
      </x:c>
      <x:c r="BD332" s="165" t="str">
        <x:f>IF(AND(BD$5&gt;=$C332,BD$5&lt;=$D332,$A332&lt;&gt;""),"●","")</x:f>
      </x:c>
      <x:c r="BE332" s="165" t="str">
        <x:f>IF(AND(BE$5&gt;=$C332,BE$5&lt;=$D332,$A332&lt;&gt;""),"●","")</x:f>
      </x:c>
      <x:c r="BF332" s="165" t="str">
        <x:f>IF(AND(BF$5&gt;=$C332,BF$5&lt;=$D332,$A332&lt;&gt;""),"●","")</x:f>
      </x:c>
      <x:c r="BG332" s="165" t="str">
        <x:f>IF(AND(BG$5&gt;=$C332,BG$5&lt;=$D332,$A332&lt;&gt;""),"●","")</x:f>
      </x:c>
      <x:c r="BH332" s="165" t="str">
        <x:f>IF(AND(BH$5&gt;=$C332,BH$5&lt;=$D332,$A332&lt;&gt;""),"●","")</x:f>
      </x:c>
      <x:c r="BI332" s="165" t="str">
        <x:f>IF(AND(BI$5&gt;=$C332,BI$5&lt;=$D332,$A332&lt;&gt;""),"●","")</x:f>
      </x:c>
      <x:c r="BJ332" s="165" t="str">
        <x:f>IF(AND(BJ$5&gt;=$C332,BJ$5&lt;=$D332,$A332&lt;&gt;""),"●","")</x:f>
      </x:c>
      <x:c r="BK332" s="165" t="str">
        <x:f>IF(AND(BK$5&gt;=$C332,BK$5&lt;=$D332,$A332&lt;&gt;""),"●","")</x:f>
      </x:c>
      <x:c r="BL332" s="165" t="str">
        <x:f>IF(AND(BL$5&gt;=$C332,BL$5&lt;=$D332,$A332&lt;&gt;""),"●","")</x:f>
      </x:c>
      <x:c r="BM332" s="165" t="str">
        <x:f>IF(AND(BM$5&gt;=$C332,BM$5&lt;=$D332,$A332&lt;&gt;""),"●","")</x:f>
      </x:c>
      <x:c r="BN332" s="165" t="str">
        <x:f>IF(AND(BN$5&gt;=$C332,BN$5&lt;=$D332,$A332&lt;&gt;""),"●","")</x:f>
      </x:c>
      <x:c r="BO332" s="165" t="str">
        <x:f>IF(AND(BO$5&gt;=$C332,BO$5&lt;=$D332,$A332&lt;&gt;""),"●","")</x:f>
      </x:c>
      <x:c r="BP332" s="165" t="str">
        <x:f>IF(AND(BP$5&gt;=$C332,BP$5&lt;=$D332,$A332&lt;&gt;""),"●","")</x:f>
      </x:c>
      <x:c r="BQ332" s="165" t="str">
        <x:f>IF(AND(BQ$5&gt;=$C332,BQ$5&lt;=$D332,$A332&lt;&gt;""),"●","")</x:f>
      </x:c>
      <x:c r="BR332" s="165" t="str">
        <x:f>IF(AND(BR$5&gt;=$C332,BR$5&lt;=$D332,$A332&lt;&gt;""),"●","")</x:f>
      </x:c>
      <x:c r="BS332" s="165" t="str">
        <x:f>IF(AND(BS$5&gt;=$C332,BS$5&lt;=$D332,$A332&lt;&gt;""),"●","")</x:f>
      </x:c>
      <x:c r="BT332" s="165" t="str">
        <x:f>IF(AND(BT$5&gt;=$C332,BT$5&lt;=$D332,$A332&lt;&gt;""),"●","")</x:f>
      </x:c>
      <x:c r="BU332" s="165" t="str">
        <x:f>IF(AND(BU$5&gt;=$C332,BU$5&lt;=$D332,$A332&lt;&gt;""),"●","")</x:f>
      </x:c>
      <x:c r="BV332" s="165" t="str">
        <x:f>IF(AND(BV$5&gt;=$C332,BV$5&lt;=$D332,$A332&lt;&gt;""),"●","")</x:f>
      </x:c>
      <x:c r="BW332" s="165" t="str">
        <x:f>IF(AND(BW$5&gt;=$C332,BW$5&lt;=$D332,$A332&lt;&gt;""),"●","")</x:f>
      </x:c>
    </x:row>
    <x:row r="333">
      <x:c r="A333" s="159" t="str">
        <x:f>IF('รายการสัญญา'!A333="","",'รายการสัญญา'!A333)</x:f>
      </x:c>
      <x:c r="B333" s="159" t="str">
        <x:f>IF('รายการสัญญา'!A333="","",'รายการสัญญา'!C333)</x:f>
      </x:c>
      <x:c r="C333" s="162" t="str">
        <x:f>IF('รายการสัญญา'!A333="","",'รายการสัญญา'!E333)</x:f>
      </x:c>
      <x:c r="D333" s="162" t="str">
        <x:f>IF('รายการสัญญา'!A333="","",'รายการสัญญา'!G333)</x:f>
      </x:c>
      <x:c r="E333" s="159" t="str">
        <x:f>IF('รายการสัญญา'!A333="","",'รายการสัญญา'!K333)</x:f>
      </x:c>
      <x:c r="F333" s="165" t="str">
        <x:f>IF(AND(F$5&gt;=$C333,F$5&lt;=$D333,$A333&lt;&gt;""),"●","")</x:f>
      </x:c>
      <x:c r="G333" s="165" t="str">
        <x:f>IF(AND(G$5&gt;=$C333,G$5&lt;=$D333,$A333&lt;&gt;""),"●","")</x:f>
      </x:c>
      <x:c r="H333" s="165" t="str">
        <x:f>IF(AND(H$5&gt;=$C333,H$5&lt;=$D333,$A333&lt;&gt;""),"●","")</x:f>
      </x:c>
      <x:c r="I333" s="165" t="str">
        <x:f>IF(AND(I$5&gt;=$C333,I$5&lt;=$D333,$A333&lt;&gt;""),"●","")</x:f>
      </x:c>
      <x:c r="J333" s="165" t="str">
        <x:f>IF(AND(J$5&gt;=$C333,J$5&lt;=$D333,$A333&lt;&gt;""),"●","")</x:f>
      </x:c>
      <x:c r="K333" s="165" t="str">
        <x:f>IF(AND(K$5&gt;=$C333,K$5&lt;=$D333,$A333&lt;&gt;""),"●","")</x:f>
      </x:c>
      <x:c r="L333" s="165" t="str">
        <x:f>IF(AND(L$5&gt;=$C333,L$5&lt;=$D333,$A333&lt;&gt;""),"●","")</x:f>
      </x:c>
      <x:c r="M333" s="165" t="str">
        <x:f>IF(AND(M$5&gt;=$C333,M$5&lt;=$D333,$A333&lt;&gt;""),"●","")</x:f>
      </x:c>
      <x:c r="N333" s="165" t="str">
        <x:f>IF(AND(N$5&gt;=$C333,N$5&lt;=$D333,$A333&lt;&gt;""),"●","")</x:f>
      </x:c>
      <x:c r="O333" s="165" t="str">
        <x:f>IF(AND(O$5&gt;=$C333,O$5&lt;=$D333,$A333&lt;&gt;""),"●","")</x:f>
      </x:c>
      <x:c r="P333" s="165" t="str">
        <x:f>IF(AND(P$5&gt;=$C333,P$5&lt;=$D333,$A333&lt;&gt;""),"●","")</x:f>
      </x:c>
      <x:c r="Q333" s="165" t="str">
        <x:f>IF(AND(Q$5&gt;=$C333,Q$5&lt;=$D333,$A333&lt;&gt;""),"●","")</x:f>
      </x:c>
      <x:c r="R333" s="165" t="str">
        <x:f>IF(AND(R$5&gt;=$C333,R$5&lt;=$D333,$A333&lt;&gt;""),"●","")</x:f>
      </x:c>
      <x:c r="S333" s="165" t="str">
        <x:f>IF(AND(S$5&gt;=$C333,S$5&lt;=$D333,$A333&lt;&gt;""),"●","")</x:f>
      </x:c>
      <x:c r="T333" s="165" t="str">
        <x:f>IF(AND(T$5&gt;=$C333,T$5&lt;=$D333,$A333&lt;&gt;""),"●","")</x:f>
      </x:c>
      <x:c r="U333" s="165" t="str">
        <x:f>IF(AND(U$5&gt;=$C333,U$5&lt;=$D333,$A333&lt;&gt;""),"●","")</x:f>
      </x:c>
      <x:c r="V333" s="165" t="str">
        <x:f>IF(AND(V$5&gt;=$C333,V$5&lt;=$D333,$A333&lt;&gt;""),"●","")</x:f>
      </x:c>
      <x:c r="W333" s="165" t="str">
        <x:f>IF(AND(W$5&gt;=$C333,W$5&lt;=$D333,$A333&lt;&gt;""),"●","")</x:f>
      </x:c>
      <x:c r="X333" s="165" t="str">
        <x:f>IF(AND(X$5&gt;=$C333,X$5&lt;=$D333,$A333&lt;&gt;""),"●","")</x:f>
      </x:c>
      <x:c r="Y333" s="165" t="str">
        <x:f>IF(AND(Y$5&gt;=$C333,Y$5&lt;=$D333,$A333&lt;&gt;""),"●","")</x:f>
      </x:c>
      <x:c r="Z333" s="165" t="str">
        <x:f>IF(AND(Z$5&gt;=$C333,Z$5&lt;=$D333,$A333&lt;&gt;""),"●","")</x:f>
      </x:c>
      <x:c r="AA333" s="165" t="str">
        <x:f>IF(AND(AA$5&gt;=$C333,AA$5&lt;=$D333,$A333&lt;&gt;""),"●","")</x:f>
      </x:c>
      <x:c r="AB333" s="165" t="str">
        <x:f>IF(AND(AB$5&gt;=$C333,AB$5&lt;=$D333,$A333&lt;&gt;""),"●","")</x:f>
      </x:c>
      <x:c r="AC333" s="165" t="str">
        <x:f>IF(AND(AC$5&gt;=$C333,AC$5&lt;=$D333,$A333&lt;&gt;""),"●","")</x:f>
      </x:c>
      <x:c r="AD333" s="165" t="str">
        <x:f>IF(AND(AD$5&gt;=$C333,AD$5&lt;=$D333,$A333&lt;&gt;""),"●","")</x:f>
      </x:c>
      <x:c r="AE333" s="165" t="str">
        <x:f>IF(AND(AE$5&gt;=$C333,AE$5&lt;=$D333,$A333&lt;&gt;""),"●","")</x:f>
      </x:c>
      <x:c r="AF333" s="165" t="str">
        <x:f>IF(AND(AF$5&gt;=$C333,AF$5&lt;=$D333,$A333&lt;&gt;""),"●","")</x:f>
      </x:c>
      <x:c r="AG333" s="165" t="str">
        <x:f>IF(AND(AG$5&gt;=$C333,AG$5&lt;=$D333,$A333&lt;&gt;""),"●","")</x:f>
      </x:c>
      <x:c r="AH333" s="165" t="str">
        <x:f>IF(AND(AH$5&gt;=$C333,AH$5&lt;=$D333,$A333&lt;&gt;""),"●","")</x:f>
      </x:c>
      <x:c r="AI333" s="165" t="str">
        <x:f>IF(AND(AI$5&gt;=$C333,AI$5&lt;=$D333,$A333&lt;&gt;""),"●","")</x:f>
      </x:c>
      <x:c r="AJ333" s="165" t="str">
        <x:f>IF(AND(AJ$5&gt;=$C333,AJ$5&lt;=$D333,$A333&lt;&gt;""),"●","")</x:f>
      </x:c>
      <x:c r="AK333" s="165" t="str">
        <x:f>IF(AND(AK$5&gt;=$C333,AK$5&lt;=$D333,$A333&lt;&gt;""),"●","")</x:f>
      </x:c>
      <x:c r="AL333" s="165" t="str">
        <x:f>IF(AND(AL$5&gt;=$C333,AL$5&lt;=$D333,$A333&lt;&gt;""),"●","")</x:f>
      </x:c>
      <x:c r="AM333" s="165" t="str">
        <x:f>IF(AND(AM$5&gt;=$C333,AM$5&lt;=$D333,$A333&lt;&gt;""),"●","")</x:f>
      </x:c>
      <x:c r="AN333" s="165" t="str">
        <x:f>IF(AND(AN$5&gt;=$C333,AN$5&lt;=$D333,$A333&lt;&gt;""),"●","")</x:f>
      </x:c>
      <x:c r="AO333" s="165" t="str">
        <x:f>IF(AND(AO$5&gt;=$C333,AO$5&lt;=$D333,$A333&lt;&gt;""),"●","")</x:f>
      </x:c>
      <x:c r="AP333" s="165" t="str">
        <x:f>IF(AND(AP$5&gt;=$C333,AP$5&lt;=$D333,$A333&lt;&gt;""),"●","")</x:f>
      </x:c>
      <x:c r="AQ333" s="165" t="str">
        <x:f>IF(AND(AQ$5&gt;=$C333,AQ$5&lt;=$D333,$A333&lt;&gt;""),"●","")</x:f>
      </x:c>
      <x:c r="AR333" s="165" t="str">
        <x:f>IF(AND(AR$5&gt;=$C333,AR$5&lt;=$D333,$A333&lt;&gt;""),"●","")</x:f>
      </x:c>
      <x:c r="AS333" s="165" t="str">
        <x:f>IF(AND(AS$5&gt;=$C333,AS$5&lt;=$D333,$A333&lt;&gt;""),"●","")</x:f>
      </x:c>
      <x:c r="AT333" s="165" t="str">
        <x:f>IF(AND(AT$5&gt;=$C333,AT$5&lt;=$D333,$A333&lt;&gt;""),"●","")</x:f>
      </x:c>
      <x:c r="AU333" s="165" t="str">
        <x:f>IF(AND(AU$5&gt;=$C333,AU$5&lt;=$D333,$A333&lt;&gt;""),"●","")</x:f>
      </x:c>
      <x:c r="AV333" s="165" t="str">
        <x:f>IF(AND(AV$5&gt;=$C333,AV$5&lt;=$D333,$A333&lt;&gt;""),"●","")</x:f>
      </x:c>
      <x:c r="AW333" s="165" t="str">
        <x:f>IF(AND(AW$5&gt;=$C333,AW$5&lt;=$D333,$A333&lt;&gt;""),"●","")</x:f>
      </x:c>
      <x:c r="AX333" s="165" t="str">
        <x:f>IF(AND(AX$5&gt;=$C333,AX$5&lt;=$D333,$A333&lt;&gt;""),"●","")</x:f>
      </x:c>
      <x:c r="AY333" s="165" t="str">
        <x:f>IF(AND(AY$5&gt;=$C333,AY$5&lt;=$D333,$A333&lt;&gt;""),"●","")</x:f>
      </x:c>
      <x:c r="AZ333" s="165" t="str">
        <x:f>IF(AND(AZ$5&gt;=$C333,AZ$5&lt;=$D333,$A333&lt;&gt;""),"●","")</x:f>
      </x:c>
      <x:c r="BA333" s="165" t="str">
        <x:f>IF(AND(BA$5&gt;=$C333,BA$5&lt;=$D333,$A333&lt;&gt;""),"●","")</x:f>
      </x:c>
      <x:c r="BB333" s="165" t="str">
        <x:f>IF(AND(BB$5&gt;=$C333,BB$5&lt;=$D333,$A333&lt;&gt;""),"●","")</x:f>
      </x:c>
      <x:c r="BC333" s="165" t="str">
        <x:f>IF(AND(BC$5&gt;=$C333,BC$5&lt;=$D333,$A333&lt;&gt;""),"●","")</x:f>
      </x:c>
      <x:c r="BD333" s="165" t="str">
        <x:f>IF(AND(BD$5&gt;=$C333,BD$5&lt;=$D333,$A333&lt;&gt;""),"●","")</x:f>
      </x:c>
      <x:c r="BE333" s="165" t="str">
        <x:f>IF(AND(BE$5&gt;=$C333,BE$5&lt;=$D333,$A333&lt;&gt;""),"●","")</x:f>
      </x:c>
      <x:c r="BF333" s="165" t="str">
        <x:f>IF(AND(BF$5&gt;=$C333,BF$5&lt;=$D333,$A333&lt;&gt;""),"●","")</x:f>
      </x:c>
      <x:c r="BG333" s="165" t="str">
        <x:f>IF(AND(BG$5&gt;=$C333,BG$5&lt;=$D333,$A333&lt;&gt;""),"●","")</x:f>
      </x:c>
      <x:c r="BH333" s="165" t="str">
        <x:f>IF(AND(BH$5&gt;=$C333,BH$5&lt;=$D333,$A333&lt;&gt;""),"●","")</x:f>
      </x:c>
      <x:c r="BI333" s="165" t="str">
        <x:f>IF(AND(BI$5&gt;=$C333,BI$5&lt;=$D333,$A333&lt;&gt;""),"●","")</x:f>
      </x:c>
      <x:c r="BJ333" s="165" t="str">
        <x:f>IF(AND(BJ$5&gt;=$C333,BJ$5&lt;=$D333,$A333&lt;&gt;""),"●","")</x:f>
      </x:c>
      <x:c r="BK333" s="165" t="str">
        <x:f>IF(AND(BK$5&gt;=$C333,BK$5&lt;=$D333,$A333&lt;&gt;""),"●","")</x:f>
      </x:c>
      <x:c r="BL333" s="165" t="str">
        <x:f>IF(AND(BL$5&gt;=$C333,BL$5&lt;=$D333,$A333&lt;&gt;""),"●","")</x:f>
      </x:c>
      <x:c r="BM333" s="165" t="str">
        <x:f>IF(AND(BM$5&gt;=$C333,BM$5&lt;=$D333,$A333&lt;&gt;""),"●","")</x:f>
      </x:c>
      <x:c r="BN333" s="165" t="str">
        <x:f>IF(AND(BN$5&gt;=$C333,BN$5&lt;=$D333,$A333&lt;&gt;""),"●","")</x:f>
      </x:c>
      <x:c r="BO333" s="165" t="str">
        <x:f>IF(AND(BO$5&gt;=$C333,BO$5&lt;=$D333,$A333&lt;&gt;""),"●","")</x:f>
      </x:c>
      <x:c r="BP333" s="165" t="str">
        <x:f>IF(AND(BP$5&gt;=$C333,BP$5&lt;=$D333,$A333&lt;&gt;""),"●","")</x:f>
      </x:c>
      <x:c r="BQ333" s="165" t="str">
        <x:f>IF(AND(BQ$5&gt;=$C333,BQ$5&lt;=$D333,$A333&lt;&gt;""),"●","")</x:f>
      </x:c>
      <x:c r="BR333" s="165" t="str">
        <x:f>IF(AND(BR$5&gt;=$C333,BR$5&lt;=$D333,$A333&lt;&gt;""),"●","")</x:f>
      </x:c>
      <x:c r="BS333" s="165" t="str">
        <x:f>IF(AND(BS$5&gt;=$C333,BS$5&lt;=$D333,$A333&lt;&gt;""),"●","")</x:f>
      </x:c>
      <x:c r="BT333" s="165" t="str">
        <x:f>IF(AND(BT$5&gt;=$C333,BT$5&lt;=$D333,$A333&lt;&gt;""),"●","")</x:f>
      </x:c>
      <x:c r="BU333" s="165" t="str">
        <x:f>IF(AND(BU$5&gt;=$C333,BU$5&lt;=$D333,$A333&lt;&gt;""),"●","")</x:f>
      </x:c>
      <x:c r="BV333" s="165" t="str">
        <x:f>IF(AND(BV$5&gt;=$C333,BV$5&lt;=$D333,$A333&lt;&gt;""),"●","")</x:f>
      </x:c>
      <x:c r="BW333" s="165" t="str">
        <x:f>IF(AND(BW$5&gt;=$C333,BW$5&lt;=$D333,$A333&lt;&gt;""),"●","")</x:f>
      </x:c>
    </x:row>
    <x:row r="334">
      <x:c r="A334" s="159" t="str">
        <x:f>IF('รายการสัญญา'!A334="","",'รายการสัญญา'!A334)</x:f>
      </x:c>
      <x:c r="B334" s="159" t="str">
        <x:f>IF('รายการสัญญา'!A334="","",'รายการสัญญา'!C334)</x:f>
      </x:c>
      <x:c r="C334" s="162" t="str">
        <x:f>IF('รายการสัญญา'!A334="","",'รายการสัญญา'!E334)</x:f>
      </x:c>
      <x:c r="D334" s="162" t="str">
        <x:f>IF('รายการสัญญา'!A334="","",'รายการสัญญา'!G334)</x:f>
      </x:c>
      <x:c r="E334" s="159" t="str">
        <x:f>IF('รายการสัญญา'!A334="","",'รายการสัญญา'!K334)</x:f>
      </x:c>
      <x:c r="F334" s="165" t="str">
        <x:f>IF(AND(F$5&gt;=$C334,F$5&lt;=$D334,$A334&lt;&gt;""),"●","")</x:f>
      </x:c>
      <x:c r="G334" s="165" t="str">
        <x:f>IF(AND(G$5&gt;=$C334,G$5&lt;=$D334,$A334&lt;&gt;""),"●","")</x:f>
      </x:c>
      <x:c r="H334" s="165" t="str">
        <x:f>IF(AND(H$5&gt;=$C334,H$5&lt;=$D334,$A334&lt;&gt;""),"●","")</x:f>
      </x:c>
      <x:c r="I334" s="165" t="str">
        <x:f>IF(AND(I$5&gt;=$C334,I$5&lt;=$D334,$A334&lt;&gt;""),"●","")</x:f>
      </x:c>
      <x:c r="J334" s="165" t="str">
        <x:f>IF(AND(J$5&gt;=$C334,J$5&lt;=$D334,$A334&lt;&gt;""),"●","")</x:f>
      </x:c>
      <x:c r="K334" s="165" t="str">
        <x:f>IF(AND(K$5&gt;=$C334,K$5&lt;=$D334,$A334&lt;&gt;""),"●","")</x:f>
      </x:c>
      <x:c r="L334" s="165" t="str">
        <x:f>IF(AND(L$5&gt;=$C334,L$5&lt;=$D334,$A334&lt;&gt;""),"●","")</x:f>
      </x:c>
      <x:c r="M334" s="165" t="str">
        <x:f>IF(AND(M$5&gt;=$C334,M$5&lt;=$D334,$A334&lt;&gt;""),"●","")</x:f>
      </x:c>
      <x:c r="N334" s="165" t="str">
        <x:f>IF(AND(N$5&gt;=$C334,N$5&lt;=$D334,$A334&lt;&gt;""),"●","")</x:f>
      </x:c>
      <x:c r="O334" s="165" t="str">
        <x:f>IF(AND(O$5&gt;=$C334,O$5&lt;=$D334,$A334&lt;&gt;""),"●","")</x:f>
      </x:c>
      <x:c r="P334" s="165" t="str">
        <x:f>IF(AND(P$5&gt;=$C334,P$5&lt;=$D334,$A334&lt;&gt;""),"●","")</x:f>
      </x:c>
      <x:c r="Q334" s="165" t="str">
        <x:f>IF(AND(Q$5&gt;=$C334,Q$5&lt;=$D334,$A334&lt;&gt;""),"●","")</x:f>
      </x:c>
      <x:c r="R334" s="165" t="str">
        <x:f>IF(AND(R$5&gt;=$C334,R$5&lt;=$D334,$A334&lt;&gt;""),"●","")</x:f>
      </x:c>
      <x:c r="S334" s="165" t="str">
        <x:f>IF(AND(S$5&gt;=$C334,S$5&lt;=$D334,$A334&lt;&gt;""),"●","")</x:f>
      </x:c>
      <x:c r="T334" s="165" t="str">
        <x:f>IF(AND(T$5&gt;=$C334,T$5&lt;=$D334,$A334&lt;&gt;""),"●","")</x:f>
      </x:c>
      <x:c r="U334" s="165" t="str">
        <x:f>IF(AND(U$5&gt;=$C334,U$5&lt;=$D334,$A334&lt;&gt;""),"●","")</x:f>
      </x:c>
      <x:c r="V334" s="165" t="str">
        <x:f>IF(AND(V$5&gt;=$C334,V$5&lt;=$D334,$A334&lt;&gt;""),"●","")</x:f>
      </x:c>
      <x:c r="W334" s="165" t="str">
        <x:f>IF(AND(W$5&gt;=$C334,W$5&lt;=$D334,$A334&lt;&gt;""),"●","")</x:f>
      </x:c>
      <x:c r="X334" s="165" t="str">
        <x:f>IF(AND(X$5&gt;=$C334,X$5&lt;=$D334,$A334&lt;&gt;""),"●","")</x:f>
      </x:c>
      <x:c r="Y334" s="165" t="str">
        <x:f>IF(AND(Y$5&gt;=$C334,Y$5&lt;=$D334,$A334&lt;&gt;""),"●","")</x:f>
      </x:c>
      <x:c r="Z334" s="165" t="str">
        <x:f>IF(AND(Z$5&gt;=$C334,Z$5&lt;=$D334,$A334&lt;&gt;""),"●","")</x:f>
      </x:c>
      <x:c r="AA334" s="165" t="str">
        <x:f>IF(AND(AA$5&gt;=$C334,AA$5&lt;=$D334,$A334&lt;&gt;""),"●","")</x:f>
      </x:c>
      <x:c r="AB334" s="165" t="str">
        <x:f>IF(AND(AB$5&gt;=$C334,AB$5&lt;=$D334,$A334&lt;&gt;""),"●","")</x:f>
      </x:c>
      <x:c r="AC334" s="165" t="str">
        <x:f>IF(AND(AC$5&gt;=$C334,AC$5&lt;=$D334,$A334&lt;&gt;""),"●","")</x:f>
      </x:c>
      <x:c r="AD334" s="165" t="str">
        <x:f>IF(AND(AD$5&gt;=$C334,AD$5&lt;=$D334,$A334&lt;&gt;""),"●","")</x:f>
      </x:c>
      <x:c r="AE334" s="165" t="str">
        <x:f>IF(AND(AE$5&gt;=$C334,AE$5&lt;=$D334,$A334&lt;&gt;""),"●","")</x:f>
      </x:c>
      <x:c r="AF334" s="165" t="str">
        <x:f>IF(AND(AF$5&gt;=$C334,AF$5&lt;=$D334,$A334&lt;&gt;""),"●","")</x:f>
      </x:c>
      <x:c r="AG334" s="165" t="str">
        <x:f>IF(AND(AG$5&gt;=$C334,AG$5&lt;=$D334,$A334&lt;&gt;""),"●","")</x:f>
      </x:c>
      <x:c r="AH334" s="165" t="str">
        <x:f>IF(AND(AH$5&gt;=$C334,AH$5&lt;=$D334,$A334&lt;&gt;""),"●","")</x:f>
      </x:c>
      <x:c r="AI334" s="165" t="str">
        <x:f>IF(AND(AI$5&gt;=$C334,AI$5&lt;=$D334,$A334&lt;&gt;""),"●","")</x:f>
      </x:c>
      <x:c r="AJ334" s="165" t="str">
        <x:f>IF(AND(AJ$5&gt;=$C334,AJ$5&lt;=$D334,$A334&lt;&gt;""),"●","")</x:f>
      </x:c>
      <x:c r="AK334" s="165" t="str">
        <x:f>IF(AND(AK$5&gt;=$C334,AK$5&lt;=$D334,$A334&lt;&gt;""),"●","")</x:f>
      </x:c>
      <x:c r="AL334" s="165" t="str">
        <x:f>IF(AND(AL$5&gt;=$C334,AL$5&lt;=$D334,$A334&lt;&gt;""),"●","")</x:f>
      </x:c>
      <x:c r="AM334" s="165" t="str">
        <x:f>IF(AND(AM$5&gt;=$C334,AM$5&lt;=$D334,$A334&lt;&gt;""),"●","")</x:f>
      </x:c>
      <x:c r="AN334" s="165" t="str">
        <x:f>IF(AND(AN$5&gt;=$C334,AN$5&lt;=$D334,$A334&lt;&gt;""),"●","")</x:f>
      </x:c>
      <x:c r="AO334" s="165" t="str">
        <x:f>IF(AND(AO$5&gt;=$C334,AO$5&lt;=$D334,$A334&lt;&gt;""),"●","")</x:f>
      </x:c>
      <x:c r="AP334" s="165" t="str">
        <x:f>IF(AND(AP$5&gt;=$C334,AP$5&lt;=$D334,$A334&lt;&gt;""),"●","")</x:f>
      </x:c>
      <x:c r="AQ334" s="165" t="str">
        <x:f>IF(AND(AQ$5&gt;=$C334,AQ$5&lt;=$D334,$A334&lt;&gt;""),"●","")</x:f>
      </x:c>
      <x:c r="AR334" s="165" t="str">
        <x:f>IF(AND(AR$5&gt;=$C334,AR$5&lt;=$D334,$A334&lt;&gt;""),"●","")</x:f>
      </x:c>
      <x:c r="AS334" s="165" t="str">
        <x:f>IF(AND(AS$5&gt;=$C334,AS$5&lt;=$D334,$A334&lt;&gt;""),"●","")</x:f>
      </x:c>
      <x:c r="AT334" s="165" t="str">
        <x:f>IF(AND(AT$5&gt;=$C334,AT$5&lt;=$D334,$A334&lt;&gt;""),"●","")</x:f>
      </x:c>
      <x:c r="AU334" s="165" t="str">
        <x:f>IF(AND(AU$5&gt;=$C334,AU$5&lt;=$D334,$A334&lt;&gt;""),"●","")</x:f>
      </x:c>
      <x:c r="AV334" s="165" t="str">
        <x:f>IF(AND(AV$5&gt;=$C334,AV$5&lt;=$D334,$A334&lt;&gt;""),"●","")</x:f>
      </x:c>
      <x:c r="AW334" s="165" t="str">
        <x:f>IF(AND(AW$5&gt;=$C334,AW$5&lt;=$D334,$A334&lt;&gt;""),"●","")</x:f>
      </x:c>
      <x:c r="AX334" s="165" t="str">
        <x:f>IF(AND(AX$5&gt;=$C334,AX$5&lt;=$D334,$A334&lt;&gt;""),"●","")</x:f>
      </x:c>
      <x:c r="AY334" s="165" t="str">
        <x:f>IF(AND(AY$5&gt;=$C334,AY$5&lt;=$D334,$A334&lt;&gt;""),"●","")</x:f>
      </x:c>
      <x:c r="AZ334" s="165" t="str">
        <x:f>IF(AND(AZ$5&gt;=$C334,AZ$5&lt;=$D334,$A334&lt;&gt;""),"●","")</x:f>
      </x:c>
      <x:c r="BA334" s="165" t="str">
        <x:f>IF(AND(BA$5&gt;=$C334,BA$5&lt;=$D334,$A334&lt;&gt;""),"●","")</x:f>
      </x:c>
      <x:c r="BB334" s="165" t="str">
        <x:f>IF(AND(BB$5&gt;=$C334,BB$5&lt;=$D334,$A334&lt;&gt;""),"●","")</x:f>
      </x:c>
      <x:c r="BC334" s="165" t="str">
        <x:f>IF(AND(BC$5&gt;=$C334,BC$5&lt;=$D334,$A334&lt;&gt;""),"●","")</x:f>
      </x:c>
      <x:c r="BD334" s="165" t="str">
        <x:f>IF(AND(BD$5&gt;=$C334,BD$5&lt;=$D334,$A334&lt;&gt;""),"●","")</x:f>
      </x:c>
      <x:c r="BE334" s="165" t="str">
        <x:f>IF(AND(BE$5&gt;=$C334,BE$5&lt;=$D334,$A334&lt;&gt;""),"●","")</x:f>
      </x:c>
      <x:c r="BF334" s="165" t="str">
        <x:f>IF(AND(BF$5&gt;=$C334,BF$5&lt;=$D334,$A334&lt;&gt;""),"●","")</x:f>
      </x:c>
      <x:c r="BG334" s="165" t="str">
        <x:f>IF(AND(BG$5&gt;=$C334,BG$5&lt;=$D334,$A334&lt;&gt;""),"●","")</x:f>
      </x:c>
      <x:c r="BH334" s="165" t="str">
        <x:f>IF(AND(BH$5&gt;=$C334,BH$5&lt;=$D334,$A334&lt;&gt;""),"●","")</x:f>
      </x:c>
      <x:c r="BI334" s="165" t="str">
        <x:f>IF(AND(BI$5&gt;=$C334,BI$5&lt;=$D334,$A334&lt;&gt;""),"●","")</x:f>
      </x:c>
      <x:c r="BJ334" s="165" t="str">
        <x:f>IF(AND(BJ$5&gt;=$C334,BJ$5&lt;=$D334,$A334&lt;&gt;""),"●","")</x:f>
      </x:c>
      <x:c r="BK334" s="165" t="str">
        <x:f>IF(AND(BK$5&gt;=$C334,BK$5&lt;=$D334,$A334&lt;&gt;""),"●","")</x:f>
      </x:c>
      <x:c r="BL334" s="165" t="str">
        <x:f>IF(AND(BL$5&gt;=$C334,BL$5&lt;=$D334,$A334&lt;&gt;""),"●","")</x:f>
      </x:c>
      <x:c r="BM334" s="165" t="str">
        <x:f>IF(AND(BM$5&gt;=$C334,BM$5&lt;=$D334,$A334&lt;&gt;""),"●","")</x:f>
      </x:c>
      <x:c r="BN334" s="165" t="str">
        <x:f>IF(AND(BN$5&gt;=$C334,BN$5&lt;=$D334,$A334&lt;&gt;""),"●","")</x:f>
      </x:c>
      <x:c r="BO334" s="165" t="str">
        <x:f>IF(AND(BO$5&gt;=$C334,BO$5&lt;=$D334,$A334&lt;&gt;""),"●","")</x:f>
      </x:c>
      <x:c r="BP334" s="165" t="str">
        <x:f>IF(AND(BP$5&gt;=$C334,BP$5&lt;=$D334,$A334&lt;&gt;""),"●","")</x:f>
      </x:c>
      <x:c r="BQ334" s="165" t="str">
        <x:f>IF(AND(BQ$5&gt;=$C334,BQ$5&lt;=$D334,$A334&lt;&gt;""),"●","")</x:f>
      </x:c>
      <x:c r="BR334" s="165" t="str">
        <x:f>IF(AND(BR$5&gt;=$C334,BR$5&lt;=$D334,$A334&lt;&gt;""),"●","")</x:f>
      </x:c>
      <x:c r="BS334" s="165" t="str">
        <x:f>IF(AND(BS$5&gt;=$C334,BS$5&lt;=$D334,$A334&lt;&gt;""),"●","")</x:f>
      </x:c>
      <x:c r="BT334" s="165" t="str">
        <x:f>IF(AND(BT$5&gt;=$C334,BT$5&lt;=$D334,$A334&lt;&gt;""),"●","")</x:f>
      </x:c>
      <x:c r="BU334" s="165" t="str">
        <x:f>IF(AND(BU$5&gt;=$C334,BU$5&lt;=$D334,$A334&lt;&gt;""),"●","")</x:f>
      </x:c>
      <x:c r="BV334" s="165" t="str">
        <x:f>IF(AND(BV$5&gt;=$C334,BV$5&lt;=$D334,$A334&lt;&gt;""),"●","")</x:f>
      </x:c>
      <x:c r="BW334" s="165" t="str">
        <x:f>IF(AND(BW$5&gt;=$C334,BW$5&lt;=$D334,$A334&lt;&gt;""),"●","")</x:f>
      </x:c>
    </x:row>
    <x:row r="335">
      <x:c r="A335" s="159" t="str">
        <x:f>IF('รายการสัญญา'!A335="","",'รายการสัญญา'!A335)</x:f>
      </x:c>
      <x:c r="B335" s="159" t="str">
        <x:f>IF('รายการสัญญา'!A335="","",'รายการสัญญา'!C335)</x:f>
      </x:c>
      <x:c r="C335" s="162" t="str">
        <x:f>IF('รายการสัญญา'!A335="","",'รายการสัญญา'!E335)</x:f>
      </x:c>
      <x:c r="D335" s="162" t="str">
        <x:f>IF('รายการสัญญา'!A335="","",'รายการสัญญา'!G335)</x:f>
      </x:c>
      <x:c r="E335" s="159" t="str">
        <x:f>IF('รายการสัญญา'!A335="","",'รายการสัญญา'!K335)</x:f>
      </x:c>
      <x:c r="F335" s="165" t="str">
        <x:f>IF(AND(F$5&gt;=$C335,F$5&lt;=$D335,$A335&lt;&gt;""),"●","")</x:f>
      </x:c>
      <x:c r="G335" s="165" t="str">
        <x:f>IF(AND(G$5&gt;=$C335,G$5&lt;=$D335,$A335&lt;&gt;""),"●","")</x:f>
      </x:c>
      <x:c r="H335" s="165" t="str">
        <x:f>IF(AND(H$5&gt;=$C335,H$5&lt;=$D335,$A335&lt;&gt;""),"●","")</x:f>
      </x:c>
      <x:c r="I335" s="165" t="str">
        <x:f>IF(AND(I$5&gt;=$C335,I$5&lt;=$D335,$A335&lt;&gt;""),"●","")</x:f>
      </x:c>
      <x:c r="J335" s="165" t="str">
        <x:f>IF(AND(J$5&gt;=$C335,J$5&lt;=$D335,$A335&lt;&gt;""),"●","")</x:f>
      </x:c>
      <x:c r="K335" s="165" t="str">
        <x:f>IF(AND(K$5&gt;=$C335,K$5&lt;=$D335,$A335&lt;&gt;""),"●","")</x:f>
      </x:c>
      <x:c r="L335" s="165" t="str">
        <x:f>IF(AND(L$5&gt;=$C335,L$5&lt;=$D335,$A335&lt;&gt;""),"●","")</x:f>
      </x:c>
      <x:c r="M335" s="165" t="str">
        <x:f>IF(AND(M$5&gt;=$C335,M$5&lt;=$D335,$A335&lt;&gt;""),"●","")</x:f>
      </x:c>
      <x:c r="N335" s="165" t="str">
        <x:f>IF(AND(N$5&gt;=$C335,N$5&lt;=$D335,$A335&lt;&gt;""),"●","")</x:f>
      </x:c>
      <x:c r="O335" s="165" t="str">
        <x:f>IF(AND(O$5&gt;=$C335,O$5&lt;=$D335,$A335&lt;&gt;""),"●","")</x:f>
      </x:c>
      <x:c r="P335" s="165" t="str">
        <x:f>IF(AND(P$5&gt;=$C335,P$5&lt;=$D335,$A335&lt;&gt;""),"●","")</x:f>
      </x:c>
      <x:c r="Q335" s="165" t="str">
        <x:f>IF(AND(Q$5&gt;=$C335,Q$5&lt;=$D335,$A335&lt;&gt;""),"●","")</x:f>
      </x:c>
      <x:c r="R335" s="165" t="str">
        <x:f>IF(AND(R$5&gt;=$C335,R$5&lt;=$D335,$A335&lt;&gt;""),"●","")</x:f>
      </x:c>
      <x:c r="S335" s="165" t="str">
        <x:f>IF(AND(S$5&gt;=$C335,S$5&lt;=$D335,$A335&lt;&gt;""),"●","")</x:f>
      </x:c>
      <x:c r="T335" s="165" t="str">
        <x:f>IF(AND(T$5&gt;=$C335,T$5&lt;=$D335,$A335&lt;&gt;""),"●","")</x:f>
      </x:c>
      <x:c r="U335" s="165" t="str">
        <x:f>IF(AND(U$5&gt;=$C335,U$5&lt;=$D335,$A335&lt;&gt;""),"●","")</x:f>
      </x:c>
      <x:c r="V335" s="165" t="str">
        <x:f>IF(AND(V$5&gt;=$C335,V$5&lt;=$D335,$A335&lt;&gt;""),"●","")</x:f>
      </x:c>
      <x:c r="W335" s="165" t="str">
        <x:f>IF(AND(W$5&gt;=$C335,W$5&lt;=$D335,$A335&lt;&gt;""),"●","")</x:f>
      </x:c>
      <x:c r="X335" s="165" t="str">
        <x:f>IF(AND(X$5&gt;=$C335,X$5&lt;=$D335,$A335&lt;&gt;""),"●","")</x:f>
      </x:c>
      <x:c r="Y335" s="165" t="str">
        <x:f>IF(AND(Y$5&gt;=$C335,Y$5&lt;=$D335,$A335&lt;&gt;""),"●","")</x:f>
      </x:c>
      <x:c r="Z335" s="165" t="str">
        <x:f>IF(AND(Z$5&gt;=$C335,Z$5&lt;=$D335,$A335&lt;&gt;""),"●","")</x:f>
      </x:c>
      <x:c r="AA335" s="165" t="str">
        <x:f>IF(AND(AA$5&gt;=$C335,AA$5&lt;=$D335,$A335&lt;&gt;""),"●","")</x:f>
      </x:c>
      <x:c r="AB335" s="165" t="str">
        <x:f>IF(AND(AB$5&gt;=$C335,AB$5&lt;=$D335,$A335&lt;&gt;""),"●","")</x:f>
      </x:c>
      <x:c r="AC335" s="165" t="str">
        <x:f>IF(AND(AC$5&gt;=$C335,AC$5&lt;=$D335,$A335&lt;&gt;""),"●","")</x:f>
      </x:c>
      <x:c r="AD335" s="165" t="str">
        <x:f>IF(AND(AD$5&gt;=$C335,AD$5&lt;=$D335,$A335&lt;&gt;""),"●","")</x:f>
      </x:c>
      <x:c r="AE335" s="165" t="str">
        <x:f>IF(AND(AE$5&gt;=$C335,AE$5&lt;=$D335,$A335&lt;&gt;""),"●","")</x:f>
      </x:c>
      <x:c r="AF335" s="165" t="str">
        <x:f>IF(AND(AF$5&gt;=$C335,AF$5&lt;=$D335,$A335&lt;&gt;""),"●","")</x:f>
      </x:c>
      <x:c r="AG335" s="165" t="str">
        <x:f>IF(AND(AG$5&gt;=$C335,AG$5&lt;=$D335,$A335&lt;&gt;""),"●","")</x:f>
      </x:c>
      <x:c r="AH335" s="165" t="str">
        <x:f>IF(AND(AH$5&gt;=$C335,AH$5&lt;=$D335,$A335&lt;&gt;""),"●","")</x:f>
      </x:c>
      <x:c r="AI335" s="165" t="str">
        <x:f>IF(AND(AI$5&gt;=$C335,AI$5&lt;=$D335,$A335&lt;&gt;""),"●","")</x:f>
      </x:c>
      <x:c r="AJ335" s="165" t="str">
        <x:f>IF(AND(AJ$5&gt;=$C335,AJ$5&lt;=$D335,$A335&lt;&gt;""),"●","")</x:f>
      </x:c>
      <x:c r="AK335" s="165" t="str">
        <x:f>IF(AND(AK$5&gt;=$C335,AK$5&lt;=$D335,$A335&lt;&gt;""),"●","")</x:f>
      </x:c>
      <x:c r="AL335" s="165" t="str">
        <x:f>IF(AND(AL$5&gt;=$C335,AL$5&lt;=$D335,$A335&lt;&gt;""),"●","")</x:f>
      </x:c>
      <x:c r="AM335" s="165" t="str">
        <x:f>IF(AND(AM$5&gt;=$C335,AM$5&lt;=$D335,$A335&lt;&gt;""),"●","")</x:f>
      </x:c>
      <x:c r="AN335" s="165" t="str">
        <x:f>IF(AND(AN$5&gt;=$C335,AN$5&lt;=$D335,$A335&lt;&gt;""),"●","")</x:f>
      </x:c>
      <x:c r="AO335" s="165" t="str">
        <x:f>IF(AND(AO$5&gt;=$C335,AO$5&lt;=$D335,$A335&lt;&gt;""),"●","")</x:f>
      </x:c>
      <x:c r="AP335" s="165" t="str">
        <x:f>IF(AND(AP$5&gt;=$C335,AP$5&lt;=$D335,$A335&lt;&gt;""),"●","")</x:f>
      </x:c>
      <x:c r="AQ335" s="165" t="str">
        <x:f>IF(AND(AQ$5&gt;=$C335,AQ$5&lt;=$D335,$A335&lt;&gt;""),"●","")</x:f>
      </x:c>
      <x:c r="AR335" s="165" t="str">
        <x:f>IF(AND(AR$5&gt;=$C335,AR$5&lt;=$D335,$A335&lt;&gt;""),"●","")</x:f>
      </x:c>
      <x:c r="AS335" s="165" t="str">
        <x:f>IF(AND(AS$5&gt;=$C335,AS$5&lt;=$D335,$A335&lt;&gt;""),"●","")</x:f>
      </x:c>
      <x:c r="AT335" s="165" t="str">
        <x:f>IF(AND(AT$5&gt;=$C335,AT$5&lt;=$D335,$A335&lt;&gt;""),"●","")</x:f>
      </x:c>
      <x:c r="AU335" s="165" t="str">
        <x:f>IF(AND(AU$5&gt;=$C335,AU$5&lt;=$D335,$A335&lt;&gt;""),"●","")</x:f>
      </x:c>
      <x:c r="AV335" s="165" t="str">
        <x:f>IF(AND(AV$5&gt;=$C335,AV$5&lt;=$D335,$A335&lt;&gt;""),"●","")</x:f>
      </x:c>
      <x:c r="AW335" s="165" t="str">
        <x:f>IF(AND(AW$5&gt;=$C335,AW$5&lt;=$D335,$A335&lt;&gt;""),"●","")</x:f>
      </x:c>
      <x:c r="AX335" s="165" t="str">
        <x:f>IF(AND(AX$5&gt;=$C335,AX$5&lt;=$D335,$A335&lt;&gt;""),"●","")</x:f>
      </x:c>
      <x:c r="AY335" s="165" t="str">
        <x:f>IF(AND(AY$5&gt;=$C335,AY$5&lt;=$D335,$A335&lt;&gt;""),"●","")</x:f>
      </x:c>
      <x:c r="AZ335" s="165" t="str">
        <x:f>IF(AND(AZ$5&gt;=$C335,AZ$5&lt;=$D335,$A335&lt;&gt;""),"●","")</x:f>
      </x:c>
      <x:c r="BA335" s="165" t="str">
        <x:f>IF(AND(BA$5&gt;=$C335,BA$5&lt;=$D335,$A335&lt;&gt;""),"●","")</x:f>
      </x:c>
      <x:c r="BB335" s="165" t="str">
        <x:f>IF(AND(BB$5&gt;=$C335,BB$5&lt;=$D335,$A335&lt;&gt;""),"●","")</x:f>
      </x:c>
      <x:c r="BC335" s="165" t="str">
        <x:f>IF(AND(BC$5&gt;=$C335,BC$5&lt;=$D335,$A335&lt;&gt;""),"●","")</x:f>
      </x:c>
      <x:c r="BD335" s="165" t="str">
        <x:f>IF(AND(BD$5&gt;=$C335,BD$5&lt;=$D335,$A335&lt;&gt;""),"●","")</x:f>
      </x:c>
      <x:c r="BE335" s="165" t="str">
        <x:f>IF(AND(BE$5&gt;=$C335,BE$5&lt;=$D335,$A335&lt;&gt;""),"●","")</x:f>
      </x:c>
      <x:c r="BF335" s="165" t="str">
        <x:f>IF(AND(BF$5&gt;=$C335,BF$5&lt;=$D335,$A335&lt;&gt;""),"●","")</x:f>
      </x:c>
      <x:c r="BG335" s="165" t="str">
        <x:f>IF(AND(BG$5&gt;=$C335,BG$5&lt;=$D335,$A335&lt;&gt;""),"●","")</x:f>
      </x:c>
      <x:c r="BH335" s="165" t="str">
        <x:f>IF(AND(BH$5&gt;=$C335,BH$5&lt;=$D335,$A335&lt;&gt;""),"●","")</x:f>
      </x:c>
      <x:c r="BI335" s="165" t="str">
        <x:f>IF(AND(BI$5&gt;=$C335,BI$5&lt;=$D335,$A335&lt;&gt;""),"●","")</x:f>
      </x:c>
      <x:c r="BJ335" s="165" t="str">
        <x:f>IF(AND(BJ$5&gt;=$C335,BJ$5&lt;=$D335,$A335&lt;&gt;""),"●","")</x:f>
      </x:c>
      <x:c r="BK335" s="165" t="str">
        <x:f>IF(AND(BK$5&gt;=$C335,BK$5&lt;=$D335,$A335&lt;&gt;""),"●","")</x:f>
      </x:c>
      <x:c r="BL335" s="165" t="str">
        <x:f>IF(AND(BL$5&gt;=$C335,BL$5&lt;=$D335,$A335&lt;&gt;""),"●","")</x:f>
      </x:c>
      <x:c r="BM335" s="165" t="str">
        <x:f>IF(AND(BM$5&gt;=$C335,BM$5&lt;=$D335,$A335&lt;&gt;""),"●","")</x:f>
      </x:c>
      <x:c r="BN335" s="165" t="str">
        <x:f>IF(AND(BN$5&gt;=$C335,BN$5&lt;=$D335,$A335&lt;&gt;""),"●","")</x:f>
      </x:c>
      <x:c r="BO335" s="165" t="str">
        <x:f>IF(AND(BO$5&gt;=$C335,BO$5&lt;=$D335,$A335&lt;&gt;""),"●","")</x:f>
      </x:c>
      <x:c r="BP335" s="165" t="str">
        <x:f>IF(AND(BP$5&gt;=$C335,BP$5&lt;=$D335,$A335&lt;&gt;""),"●","")</x:f>
      </x:c>
      <x:c r="BQ335" s="165" t="str">
        <x:f>IF(AND(BQ$5&gt;=$C335,BQ$5&lt;=$D335,$A335&lt;&gt;""),"●","")</x:f>
      </x:c>
      <x:c r="BR335" s="165" t="str">
        <x:f>IF(AND(BR$5&gt;=$C335,BR$5&lt;=$D335,$A335&lt;&gt;""),"●","")</x:f>
      </x:c>
      <x:c r="BS335" s="165" t="str">
        <x:f>IF(AND(BS$5&gt;=$C335,BS$5&lt;=$D335,$A335&lt;&gt;""),"●","")</x:f>
      </x:c>
      <x:c r="BT335" s="165" t="str">
        <x:f>IF(AND(BT$5&gt;=$C335,BT$5&lt;=$D335,$A335&lt;&gt;""),"●","")</x:f>
      </x:c>
      <x:c r="BU335" s="165" t="str">
        <x:f>IF(AND(BU$5&gt;=$C335,BU$5&lt;=$D335,$A335&lt;&gt;""),"●","")</x:f>
      </x:c>
      <x:c r="BV335" s="165" t="str">
        <x:f>IF(AND(BV$5&gt;=$C335,BV$5&lt;=$D335,$A335&lt;&gt;""),"●","")</x:f>
      </x:c>
      <x:c r="BW335" s="165" t="str">
        <x:f>IF(AND(BW$5&gt;=$C335,BW$5&lt;=$D335,$A335&lt;&gt;""),"●","")</x:f>
      </x:c>
    </x:row>
    <x:row r="336">
      <x:c r="A336" s="159" t="str">
        <x:f>IF('รายการสัญญา'!A336="","",'รายการสัญญา'!A336)</x:f>
      </x:c>
      <x:c r="B336" s="159" t="str">
        <x:f>IF('รายการสัญญา'!A336="","",'รายการสัญญา'!C336)</x:f>
      </x:c>
      <x:c r="C336" s="162" t="str">
        <x:f>IF('รายการสัญญา'!A336="","",'รายการสัญญา'!E336)</x:f>
      </x:c>
      <x:c r="D336" s="162" t="str">
        <x:f>IF('รายการสัญญา'!A336="","",'รายการสัญญา'!G336)</x:f>
      </x:c>
      <x:c r="E336" s="159" t="str">
        <x:f>IF('รายการสัญญา'!A336="","",'รายการสัญญา'!K336)</x:f>
      </x:c>
      <x:c r="F336" s="165" t="str">
        <x:f>IF(AND(F$5&gt;=$C336,F$5&lt;=$D336,$A336&lt;&gt;""),"●","")</x:f>
      </x:c>
      <x:c r="G336" s="165" t="str">
        <x:f>IF(AND(G$5&gt;=$C336,G$5&lt;=$D336,$A336&lt;&gt;""),"●","")</x:f>
      </x:c>
      <x:c r="H336" s="165" t="str">
        <x:f>IF(AND(H$5&gt;=$C336,H$5&lt;=$D336,$A336&lt;&gt;""),"●","")</x:f>
      </x:c>
      <x:c r="I336" s="165" t="str">
        <x:f>IF(AND(I$5&gt;=$C336,I$5&lt;=$D336,$A336&lt;&gt;""),"●","")</x:f>
      </x:c>
      <x:c r="J336" s="165" t="str">
        <x:f>IF(AND(J$5&gt;=$C336,J$5&lt;=$D336,$A336&lt;&gt;""),"●","")</x:f>
      </x:c>
      <x:c r="K336" s="165" t="str">
        <x:f>IF(AND(K$5&gt;=$C336,K$5&lt;=$D336,$A336&lt;&gt;""),"●","")</x:f>
      </x:c>
      <x:c r="L336" s="165" t="str">
        <x:f>IF(AND(L$5&gt;=$C336,L$5&lt;=$D336,$A336&lt;&gt;""),"●","")</x:f>
      </x:c>
      <x:c r="M336" s="165" t="str">
        <x:f>IF(AND(M$5&gt;=$C336,M$5&lt;=$D336,$A336&lt;&gt;""),"●","")</x:f>
      </x:c>
      <x:c r="N336" s="165" t="str">
        <x:f>IF(AND(N$5&gt;=$C336,N$5&lt;=$D336,$A336&lt;&gt;""),"●","")</x:f>
      </x:c>
      <x:c r="O336" s="165" t="str">
        <x:f>IF(AND(O$5&gt;=$C336,O$5&lt;=$D336,$A336&lt;&gt;""),"●","")</x:f>
      </x:c>
      <x:c r="P336" s="165" t="str">
        <x:f>IF(AND(P$5&gt;=$C336,P$5&lt;=$D336,$A336&lt;&gt;""),"●","")</x:f>
      </x:c>
      <x:c r="Q336" s="165" t="str">
        <x:f>IF(AND(Q$5&gt;=$C336,Q$5&lt;=$D336,$A336&lt;&gt;""),"●","")</x:f>
      </x:c>
      <x:c r="R336" s="165" t="str">
        <x:f>IF(AND(R$5&gt;=$C336,R$5&lt;=$D336,$A336&lt;&gt;""),"●","")</x:f>
      </x:c>
      <x:c r="S336" s="165" t="str">
        <x:f>IF(AND(S$5&gt;=$C336,S$5&lt;=$D336,$A336&lt;&gt;""),"●","")</x:f>
      </x:c>
      <x:c r="T336" s="165" t="str">
        <x:f>IF(AND(T$5&gt;=$C336,T$5&lt;=$D336,$A336&lt;&gt;""),"●","")</x:f>
      </x:c>
      <x:c r="U336" s="165" t="str">
        <x:f>IF(AND(U$5&gt;=$C336,U$5&lt;=$D336,$A336&lt;&gt;""),"●","")</x:f>
      </x:c>
      <x:c r="V336" s="165" t="str">
        <x:f>IF(AND(V$5&gt;=$C336,V$5&lt;=$D336,$A336&lt;&gt;""),"●","")</x:f>
      </x:c>
      <x:c r="W336" s="165" t="str">
        <x:f>IF(AND(W$5&gt;=$C336,W$5&lt;=$D336,$A336&lt;&gt;""),"●","")</x:f>
      </x:c>
      <x:c r="X336" s="165" t="str">
        <x:f>IF(AND(X$5&gt;=$C336,X$5&lt;=$D336,$A336&lt;&gt;""),"●","")</x:f>
      </x:c>
      <x:c r="Y336" s="165" t="str">
        <x:f>IF(AND(Y$5&gt;=$C336,Y$5&lt;=$D336,$A336&lt;&gt;""),"●","")</x:f>
      </x:c>
      <x:c r="Z336" s="165" t="str">
        <x:f>IF(AND(Z$5&gt;=$C336,Z$5&lt;=$D336,$A336&lt;&gt;""),"●","")</x:f>
      </x:c>
      <x:c r="AA336" s="165" t="str">
        <x:f>IF(AND(AA$5&gt;=$C336,AA$5&lt;=$D336,$A336&lt;&gt;""),"●","")</x:f>
      </x:c>
      <x:c r="AB336" s="165" t="str">
        <x:f>IF(AND(AB$5&gt;=$C336,AB$5&lt;=$D336,$A336&lt;&gt;""),"●","")</x:f>
      </x:c>
      <x:c r="AC336" s="165" t="str">
        <x:f>IF(AND(AC$5&gt;=$C336,AC$5&lt;=$D336,$A336&lt;&gt;""),"●","")</x:f>
      </x:c>
      <x:c r="AD336" s="165" t="str">
        <x:f>IF(AND(AD$5&gt;=$C336,AD$5&lt;=$D336,$A336&lt;&gt;""),"●","")</x:f>
      </x:c>
      <x:c r="AE336" s="165" t="str">
        <x:f>IF(AND(AE$5&gt;=$C336,AE$5&lt;=$D336,$A336&lt;&gt;""),"●","")</x:f>
      </x:c>
      <x:c r="AF336" s="165" t="str">
        <x:f>IF(AND(AF$5&gt;=$C336,AF$5&lt;=$D336,$A336&lt;&gt;""),"●","")</x:f>
      </x:c>
      <x:c r="AG336" s="165" t="str">
        <x:f>IF(AND(AG$5&gt;=$C336,AG$5&lt;=$D336,$A336&lt;&gt;""),"●","")</x:f>
      </x:c>
      <x:c r="AH336" s="165" t="str">
        <x:f>IF(AND(AH$5&gt;=$C336,AH$5&lt;=$D336,$A336&lt;&gt;""),"●","")</x:f>
      </x:c>
      <x:c r="AI336" s="165" t="str">
        <x:f>IF(AND(AI$5&gt;=$C336,AI$5&lt;=$D336,$A336&lt;&gt;""),"●","")</x:f>
      </x:c>
      <x:c r="AJ336" s="165" t="str">
        <x:f>IF(AND(AJ$5&gt;=$C336,AJ$5&lt;=$D336,$A336&lt;&gt;""),"●","")</x:f>
      </x:c>
      <x:c r="AK336" s="165" t="str">
        <x:f>IF(AND(AK$5&gt;=$C336,AK$5&lt;=$D336,$A336&lt;&gt;""),"●","")</x:f>
      </x:c>
      <x:c r="AL336" s="165" t="str">
        <x:f>IF(AND(AL$5&gt;=$C336,AL$5&lt;=$D336,$A336&lt;&gt;""),"●","")</x:f>
      </x:c>
      <x:c r="AM336" s="165" t="str">
        <x:f>IF(AND(AM$5&gt;=$C336,AM$5&lt;=$D336,$A336&lt;&gt;""),"●","")</x:f>
      </x:c>
      <x:c r="AN336" s="165" t="str">
        <x:f>IF(AND(AN$5&gt;=$C336,AN$5&lt;=$D336,$A336&lt;&gt;""),"●","")</x:f>
      </x:c>
      <x:c r="AO336" s="165" t="str">
        <x:f>IF(AND(AO$5&gt;=$C336,AO$5&lt;=$D336,$A336&lt;&gt;""),"●","")</x:f>
      </x:c>
      <x:c r="AP336" s="165" t="str">
        <x:f>IF(AND(AP$5&gt;=$C336,AP$5&lt;=$D336,$A336&lt;&gt;""),"●","")</x:f>
      </x:c>
      <x:c r="AQ336" s="165" t="str">
        <x:f>IF(AND(AQ$5&gt;=$C336,AQ$5&lt;=$D336,$A336&lt;&gt;""),"●","")</x:f>
      </x:c>
      <x:c r="AR336" s="165" t="str">
        <x:f>IF(AND(AR$5&gt;=$C336,AR$5&lt;=$D336,$A336&lt;&gt;""),"●","")</x:f>
      </x:c>
      <x:c r="AS336" s="165" t="str">
        <x:f>IF(AND(AS$5&gt;=$C336,AS$5&lt;=$D336,$A336&lt;&gt;""),"●","")</x:f>
      </x:c>
      <x:c r="AT336" s="165" t="str">
        <x:f>IF(AND(AT$5&gt;=$C336,AT$5&lt;=$D336,$A336&lt;&gt;""),"●","")</x:f>
      </x:c>
      <x:c r="AU336" s="165" t="str">
        <x:f>IF(AND(AU$5&gt;=$C336,AU$5&lt;=$D336,$A336&lt;&gt;""),"●","")</x:f>
      </x:c>
      <x:c r="AV336" s="165" t="str">
        <x:f>IF(AND(AV$5&gt;=$C336,AV$5&lt;=$D336,$A336&lt;&gt;""),"●","")</x:f>
      </x:c>
      <x:c r="AW336" s="165" t="str">
        <x:f>IF(AND(AW$5&gt;=$C336,AW$5&lt;=$D336,$A336&lt;&gt;""),"●","")</x:f>
      </x:c>
      <x:c r="AX336" s="165" t="str">
        <x:f>IF(AND(AX$5&gt;=$C336,AX$5&lt;=$D336,$A336&lt;&gt;""),"●","")</x:f>
      </x:c>
      <x:c r="AY336" s="165" t="str">
        <x:f>IF(AND(AY$5&gt;=$C336,AY$5&lt;=$D336,$A336&lt;&gt;""),"●","")</x:f>
      </x:c>
      <x:c r="AZ336" s="165" t="str">
        <x:f>IF(AND(AZ$5&gt;=$C336,AZ$5&lt;=$D336,$A336&lt;&gt;""),"●","")</x:f>
      </x:c>
      <x:c r="BA336" s="165" t="str">
        <x:f>IF(AND(BA$5&gt;=$C336,BA$5&lt;=$D336,$A336&lt;&gt;""),"●","")</x:f>
      </x:c>
      <x:c r="BB336" s="165" t="str">
        <x:f>IF(AND(BB$5&gt;=$C336,BB$5&lt;=$D336,$A336&lt;&gt;""),"●","")</x:f>
      </x:c>
      <x:c r="BC336" s="165" t="str">
        <x:f>IF(AND(BC$5&gt;=$C336,BC$5&lt;=$D336,$A336&lt;&gt;""),"●","")</x:f>
      </x:c>
      <x:c r="BD336" s="165" t="str">
        <x:f>IF(AND(BD$5&gt;=$C336,BD$5&lt;=$D336,$A336&lt;&gt;""),"●","")</x:f>
      </x:c>
      <x:c r="BE336" s="165" t="str">
        <x:f>IF(AND(BE$5&gt;=$C336,BE$5&lt;=$D336,$A336&lt;&gt;""),"●","")</x:f>
      </x:c>
      <x:c r="BF336" s="165" t="str">
        <x:f>IF(AND(BF$5&gt;=$C336,BF$5&lt;=$D336,$A336&lt;&gt;""),"●","")</x:f>
      </x:c>
      <x:c r="BG336" s="165" t="str">
        <x:f>IF(AND(BG$5&gt;=$C336,BG$5&lt;=$D336,$A336&lt;&gt;""),"●","")</x:f>
      </x:c>
      <x:c r="BH336" s="165" t="str">
        <x:f>IF(AND(BH$5&gt;=$C336,BH$5&lt;=$D336,$A336&lt;&gt;""),"●","")</x:f>
      </x:c>
      <x:c r="BI336" s="165" t="str">
        <x:f>IF(AND(BI$5&gt;=$C336,BI$5&lt;=$D336,$A336&lt;&gt;""),"●","")</x:f>
      </x:c>
      <x:c r="BJ336" s="165" t="str">
        <x:f>IF(AND(BJ$5&gt;=$C336,BJ$5&lt;=$D336,$A336&lt;&gt;""),"●","")</x:f>
      </x:c>
      <x:c r="BK336" s="165" t="str">
        <x:f>IF(AND(BK$5&gt;=$C336,BK$5&lt;=$D336,$A336&lt;&gt;""),"●","")</x:f>
      </x:c>
      <x:c r="BL336" s="165" t="str">
        <x:f>IF(AND(BL$5&gt;=$C336,BL$5&lt;=$D336,$A336&lt;&gt;""),"●","")</x:f>
      </x:c>
      <x:c r="BM336" s="165" t="str">
        <x:f>IF(AND(BM$5&gt;=$C336,BM$5&lt;=$D336,$A336&lt;&gt;""),"●","")</x:f>
      </x:c>
      <x:c r="BN336" s="165" t="str">
        <x:f>IF(AND(BN$5&gt;=$C336,BN$5&lt;=$D336,$A336&lt;&gt;""),"●","")</x:f>
      </x:c>
      <x:c r="BO336" s="165" t="str">
        <x:f>IF(AND(BO$5&gt;=$C336,BO$5&lt;=$D336,$A336&lt;&gt;""),"●","")</x:f>
      </x:c>
      <x:c r="BP336" s="165" t="str">
        <x:f>IF(AND(BP$5&gt;=$C336,BP$5&lt;=$D336,$A336&lt;&gt;""),"●","")</x:f>
      </x:c>
      <x:c r="BQ336" s="165" t="str">
        <x:f>IF(AND(BQ$5&gt;=$C336,BQ$5&lt;=$D336,$A336&lt;&gt;""),"●","")</x:f>
      </x:c>
      <x:c r="BR336" s="165" t="str">
        <x:f>IF(AND(BR$5&gt;=$C336,BR$5&lt;=$D336,$A336&lt;&gt;""),"●","")</x:f>
      </x:c>
      <x:c r="BS336" s="165" t="str">
        <x:f>IF(AND(BS$5&gt;=$C336,BS$5&lt;=$D336,$A336&lt;&gt;""),"●","")</x:f>
      </x:c>
      <x:c r="BT336" s="165" t="str">
        <x:f>IF(AND(BT$5&gt;=$C336,BT$5&lt;=$D336,$A336&lt;&gt;""),"●","")</x:f>
      </x:c>
      <x:c r="BU336" s="165" t="str">
        <x:f>IF(AND(BU$5&gt;=$C336,BU$5&lt;=$D336,$A336&lt;&gt;""),"●","")</x:f>
      </x:c>
      <x:c r="BV336" s="165" t="str">
        <x:f>IF(AND(BV$5&gt;=$C336,BV$5&lt;=$D336,$A336&lt;&gt;""),"●","")</x:f>
      </x:c>
      <x:c r="BW336" s="165" t="str">
        <x:f>IF(AND(BW$5&gt;=$C336,BW$5&lt;=$D336,$A336&lt;&gt;""),"●","")</x:f>
      </x:c>
    </x:row>
    <x:row r="337">
      <x:c r="A337" s="159" t="str">
        <x:f>IF('รายการสัญญา'!A337="","",'รายการสัญญา'!A337)</x:f>
      </x:c>
      <x:c r="B337" s="159" t="str">
        <x:f>IF('รายการสัญญา'!A337="","",'รายการสัญญา'!C337)</x:f>
      </x:c>
      <x:c r="C337" s="162" t="str">
        <x:f>IF('รายการสัญญา'!A337="","",'รายการสัญญา'!E337)</x:f>
      </x:c>
      <x:c r="D337" s="162" t="str">
        <x:f>IF('รายการสัญญา'!A337="","",'รายการสัญญา'!G337)</x:f>
      </x:c>
      <x:c r="E337" s="159" t="str">
        <x:f>IF('รายการสัญญา'!A337="","",'รายการสัญญา'!K337)</x:f>
      </x:c>
      <x:c r="F337" s="165" t="str">
        <x:f>IF(AND(F$5&gt;=$C337,F$5&lt;=$D337,$A337&lt;&gt;""),"●","")</x:f>
      </x:c>
      <x:c r="G337" s="165" t="str">
        <x:f>IF(AND(G$5&gt;=$C337,G$5&lt;=$D337,$A337&lt;&gt;""),"●","")</x:f>
      </x:c>
      <x:c r="H337" s="165" t="str">
        <x:f>IF(AND(H$5&gt;=$C337,H$5&lt;=$D337,$A337&lt;&gt;""),"●","")</x:f>
      </x:c>
      <x:c r="I337" s="165" t="str">
        <x:f>IF(AND(I$5&gt;=$C337,I$5&lt;=$D337,$A337&lt;&gt;""),"●","")</x:f>
      </x:c>
      <x:c r="J337" s="165" t="str">
        <x:f>IF(AND(J$5&gt;=$C337,J$5&lt;=$D337,$A337&lt;&gt;""),"●","")</x:f>
      </x:c>
      <x:c r="K337" s="165" t="str">
        <x:f>IF(AND(K$5&gt;=$C337,K$5&lt;=$D337,$A337&lt;&gt;""),"●","")</x:f>
      </x:c>
      <x:c r="L337" s="165" t="str">
        <x:f>IF(AND(L$5&gt;=$C337,L$5&lt;=$D337,$A337&lt;&gt;""),"●","")</x:f>
      </x:c>
      <x:c r="M337" s="165" t="str">
        <x:f>IF(AND(M$5&gt;=$C337,M$5&lt;=$D337,$A337&lt;&gt;""),"●","")</x:f>
      </x:c>
      <x:c r="N337" s="165" t="str">
        <x:f>IF(AND(N$5&gt;=$C337,N$5&lt;=$D337,$A337&lt;&gt;""),"●","")</x:f>
      </x:c>
      <x:c r="O337" s="165" t="str">
        <x:f>IF(AND(O$5&gt;=$C337,O$5&lt;=$D337,$A337&lt;&gt;""),"●","")</x:f>
      </x:c>
      <x:c r="P337" s="165" t="str">
        <x:f>IF(AND(P$5&gt;=$C337,P$5&lt;=$D337,$A337&lt;&gt;""),"●","")</x:f>
      </x:c>
      <x:c r="Q337" s="165" t="str">
        <x:f>IF(AND(Q$5&gt;=$C337,Q$5&lt;=$D337,$A337&lt;&gt;""),"●","")</x:f>
      </x:c>
      <x:c r="R337" s="165" t="str">
        <x:f>IF(AND(R$5&gt;=$C337,R$5&lt;=$D337,$A337&lt;&gt;""),"●","")</x:f>
      </x:c>
      <x:c r="S337" s="165" t="str">
        <x:f>IF(AND(S$5&gt;=$C337,S$5&lt;=$D337,$A337&lt;&gt;""),"●","")</x:f>
      </x:c>
      <x:c r="T337" s="165" t="str">
        <x:f>IF(AND(T$5&gt;=$C337,T$5&lt;=$D337,$A337&lt;&gt;""),"●","")</x:f>
      </x:c>
      <x:c r="U337" s="165" t="str">
        <x:f>IF(AND(U$5&gt;=$C337,U$5&lt;=$D337,$A337&lt;&gt;""),"●","")</x:f>
      </x:c>
      <x:c r="V337" s="165" t="str">
        <x:f>IF(AND(V$5&gt;=$C337,V$5&lt;=$D337,$A337&lt;&gt;""),"●","")</x:f>
      </x:c>
      <x:c r="W337" s="165" t="str">
        <x:f>IF(AND(W$5&gt;=$C337,W$5&lt;=$D337,$A337&lt;&gt;""),"●","")</x:f>
      </x:c>
      <x:c r="X337" s="165" t="str">
        <x:f>IF(AND(X$5&gt;=$C337,X$5&lt;=$D337,$A337&lt;&gt;""),"●","")</x:f>
      </x:c>
      <x:c r="Y337" s="165" t="str">
        <x:f>IF(AND(Y$5&gt;=$C337,Y$5&lt;=$D337,$A337&lt;&gt;""),"●","")</x:f>
      </x:c>
      <x:c r="Z337" s="165" t="str">
        <x:f>IF(AND(Z$5&gt;=$C337,Z$5&lt;=$D337,$A337&lt;&gt;""),"●","")</x:f>
      </x:c>
      <x:c r="AA337" s="165" t="str">
        <x:f>IF(AND(AA$5&gt;=$C337,AA$5&lt;=$D337,$A337&lt;&gt;""),"●","")</x:f>
      </x:c>
      <x:c r="AB337" s="165" t="str">
        <x:f>IF(AND(AB$5&gt;=$C337,AB$5&lt;=$D337,$A337&lt;&gt;""),"●","")</x:f>
      </x:c>
      <x:c r="AC337" s="165" t="str">
        <x:f>IF(AND(AC$5&gt;=$C337,AC$5&lt;=$D337,$A337&lt;&gt;""),"●","")</x:f>
      </x:c>
      <x:c r="AD337" s="165" t="str">
        <x:f>IF(AND(AD$5&gt;=$C337,AD$5&lt;=$D337,$A337&lt;&gt;""),"●","")</x:f>
      </x:c>
      <x:c r="AE337" s="165" t="str">
        <x:f>IF(AND(AE$5&gt;=$C337,AE$5&lt;=$D337,$A337&lt;&gt;""),"●","")</x:f>
      </x:c>
      <x:c r="AF337" s="165" t="str">
        <x:f>IF(AND(AF$5&gt;=$C337,AF$5&lt;=$D337,$A337&lt;&gt;""),"●","")</x:f>
      </x:c>
      <x:c r="AG337" s="165" t="str">
        <x:f>IF(AND(AG$5&gt;=$C337,AG$5&lt;=$D337,$A337&lt;&gt;""),"●","")</x:f>
      </x:c>
      <x:c r="AH337" s="165" t="str">
        <x:f>IF(AND(AH$5&gt;=$C337,AH$5&lt;=$D337,$A337&lt;&gt;""),"●","")</x:f>
      </x:c>
      <x:c r="AI337" s="165" t="str">
        <x:f>IF(AND(AI$5&gt;=$C337,AI$5&lt;=$D337,$A337&lt;&gt;""),"●","")</x:f>
      </x:c>
      <x:c r="AJ337" s="165" t="str">
        <x:f>IF(AND(AJ$5&gt;=$C337,AJ$5&lt;=$D337,$A337&lt;&gt;""),"●","")</x:f>
      </x:c>
      <x:c r="AK337" s="165" t="str">
        <x:f>IF(AND(AK$5&gt;=$C337,AK$5&lt;=$D337,$A337&lt;&gt;""),"●","")</x:f>
      </x:c>
      <x:c r="AL337" s="165" t="str">
        <x:f>IF(AND(AL$5&gt;=$C337,AL$5&lt;=$D337,$A337&lt;&gt;""),"●","")</x:f>
      </x:c>
      <x:c r="AM337" s="165" t="str">
        <x:f>IF(AND(AM$5&gt;=$C337,AM$5&lt;=$D337,$A337&lt;&gt;""),"●","")</x:f>
      </x:c>
      <x:c r="AN337" s="165" t="str">
        <x:f>IF(AND(AN$5&gt;=$C337,AN$5&lt;=$D337,$A337&lt;&gt;""),"●","")</x:f>
      </x:c>
      <x:c r="AO337" s="165" t="str">
        <x:f>IF(AND(AO$5&gt;=$C337,AO$5&lt;=$D337,$A337&lt;&gt;""),"●","")</x:f>
      </x:c>
      <x:c r="AP337" s="165" t="str">
        <x:f>IF(AND(AP$5&gt;=$C337,AP$5&lt;=$D337,$A337&lt;&gt;""),"●","")</x:f>
      </x:c>
      <x:c r="AQ337" s="165" t="str">
        <x:f>IF(AND(AQ$5&gt;=$C337,AQ$5&lt;=$D337,$A337&lt;&gt;""),"●","")</x:f>
      </x:c>
      <x:c r="AR337" s="165" t="str">
        <x:f>IF(AND(AR$5&gt;=$C337,AR$5&lt;=$D337,$A337&lt;&gt;""),"●","")</x:f>
      </x:c>
      <x:c r="AS337" s="165" t="str">
        <x:f>IF(AND(AS$5&gt;=$C337,AS$5&lt;=$D337,$A337&lt;&gt;""),"●","")</x:f>
      </x:c>
      <x:c r="AT337" s="165" t="str">
        <x:f>IF(AND(AT$5&gt;=$C337,AT$5&lt;=$D337,$A337&lt;&gt;""),"●","")</x:f>
      </x:c>
      <x:c r="AU337" s="165" t="str">
        <x:f>IF(AND(AU$5&gt;=$C337,AU$5&lt;=$D337,$A337&lt;&gt;""),"●","")</x:f>
      </x:c>
      <x:c r="AV337" s="165" t="str">
        <x:f>IF(AND(AV$5&gt;=$C337,AV$5&lt;=$D337,$A337&lt;&gt;""),"●","")</x:f>
      </x:c>
      <x:c r="AW337" s="165" t="str">
        <x:f>IF(AND(AW$5&gt;=$C337,AW$5&lt;=$D337,$A337&lt;&gt;""),"●","")</x:f>
      </x:c>
      <x:c r="AX337" s="165" t="str">
        <x:f>IF(AND(AX$5&gt;=$C337,AX$5&lt;=$D337,$A337&lt;&gt;""),"●","")</x:f>
      </x:c>
      <x:c r="AY337" s="165" t="str">
        <x:f>IF(AND(AY$5&gt;=$C337,AY$5&lt;=$D337,$A337&lt;&gt;""),"●","")</x:f>
      </x:c>
      <x:c r="AZ337" s="165" t="str">
        <x:f>IF(AND(AZ$5&gt;=$C337,AZ$5&lt;=$D337,$A337&lt;&gt;""),"●","")</x:f>
      </x:c>
      <x:c r="BA337" s="165" t="str">
        <x:f>IF(AND(BA$5&gt;=$C337,BA$5&lt;=$D337,$A337&lt;&gt;""),"●","")</x:f>
      </x:c>
      <x:c r="BB337" s="165" t="str">
        <x:f>IF(AND(BB$5&gt;=$C337,BB$5&lt;=$D337,$A337&lt;&gt;""),"●","")</x:f>
      </x:c>
      <x:c r="BC337" s="165" t="str">
        <x:f>IF(AND(BC$5&gt;=$C337,BC$5&lt;=$D337,$A337&lt;&gt;""),"●","")</x:f>
      </x:c>
      <x:c r="BD337" s="165" t="str">
        <x:f>IF(AND(BD$5&gt;=$C337,BD$5&lt;=$D337,$A337&lt;&gt;""),"●","")</x:f>
      </x:c>
      <x:c r="BE337" s="165" t="str">
        <x:f>IF(AND(BE$5&gt;=$C337,BE$5&lt;=$D337,$A337&lt;&gt;""),"●","")</x:f>
      </x:c>
      <x:c r="BF337" s="165" t="str">
        <x:f>IF(AND(BF$5&gt;=$C337,BF$5&lt;=$D337,$A337&lt;&gt;""),"●","")</x:f>
      </x:c>
      <x:c r="BG337" s="165" t="str">
        <x:f>IF(AND(BG$5&gt;=$C337,BG$5&lt;=$D337,$A337&lt;&gt;""),"●","")</x:f>
      </x:c>
      <x:c r="BH337" s="165" t="str">
        <x:f>IF(AND(BH$5&gt;=$C337,BH$5&lt;=$D337,$A337&lt;&gt;""),"●","")</x:f>
      </x:c>
      <x:c r="BI337" s="165" t="str">
        <x:f>IF(AND(BI$5&gt;=$C337,BI$5&lt;=$D337,$A337&lt;&gt;""),"●","")</x:f>
      </x:c>
      <x:c r="BJ337" s="165" t="str">
        <x:f>IF(AND(BJ$5&gt;=$C337,BJ$5&lt;=$D337,$A337&lt;&gt;""),"●","")</x:f>
      </x:c>
      <x:c r="BK337" s="165" t="str">
        <x:f>IF(AND(BK$5&gt;=$C337,BK$5&lt;=$D337,$A337&lt;&gt;""),"●","")</x:f>
      </x:c>
      <x:c r="BL337" s="165" t="str">
        <x:f>IF(AND(BL$5&gt;=$C337,BL$5&lt;=$D337,$A337&lt;&gt;""),"●","")</x:f>
      </x:c>
      <x:c r="BM337" s="165" t="str">
        <x:f>IF(AND(BM$5&gt;=$C337,BM$5&lt;=$D337,$A337&lt;&gt;""),"●","")</x:f>
      </x:c>
      <x:c r="BN337" s="165" t="str">
        <x:f>IF(AND(BN$5&gt;=$C337,BN$5&lt;=$D337,$A337&lt;&gt;""),"●","")</x:f>
      </x:c>
      <x:c r="BO337" s="165" t="str">
        <x:f>IF(AND(BO$5&gt;=$C337,BO$5&lt;=$D337,$A337&lt;&gt;""),"●","")</x:f>
      </x:c>
      <x:c r="BP337" s="165" t="str">
        <x:f>IF(AND(BP$5&gt;=$C337,BP$5&lt;=$D337,$A337&lt;&gt;""),"●","")</x:f>
      </x:c>
      <x:c r="BQ337" s="165" t="str">
        <x:f>IF(AND(BQ$5&gt;=$C337,BQ$5&lt;=$D337,$A337&lt;&gt;""),"●","")</x:f>
      </x:c>
      <x:c r="BR337" s="165" t="str">
        <x:f>IF(AND(BR$5&gt;=$C337,BR$5&lt;=$D337,$A337&lt;&gt;""),"●","")</x:f>
      </x:c>
      <x:c r="BS337" s="165" t="str">
        <x:f>IF(AND(BS$5&gt;=$C337,BS$5&lt;=$D337,$A337&lt;&gt;""),"●","")</x:f>
      </x:c>
      <x:c r="BT337" s="165" t="str">
        <x:f>IF(AND(BT$5&gt;=$C337,BT$5&lt;=$D337,$A337&lt;&gt;""),"●","")</x:f>
      </x:c>
      <x:c r="BU337" s="165" t="str">
        <x:f>IF(AND(BU$5&gt;=$C337,BU$5&lt;=$D337,$A337&lt;&gt;""),"●","")</x:f>
      </x:c>
      <x:c r="BV337" s="165" t="str">
        <x:f>IF(AND(BV$5&gt;=$C337,BV$5&lt;=$D337,$A337&lt;&gt;""),"●","")</x:f>
      </x:c>
      <x:c r="BW337" s="165" t="str">
        <x:f>IF(AND(BW$5&gt;=$C337,BW$5&lt;=$D337,$A337&lt;&gt;""),"●","")</x:f>
      </x:c>
    </x:row>
    <x:row r="338">
      <x:c r="A338" s="159" t="str">
        <x:f>IF('รายการสัญญา'!A338="","",'รายการสัญญา'!A338)</x:f>
      </x:c>
      <x:c r="B338" s="159" t="str">
        <x:f>IF('รายการสัญญา'!A338="","",'รายการสัญญา'!C338)</x:f>
      </x:c>
      <x:c r="C338" s="162" t="str">
        <x:f>IF('รายการสัญญา'!A338="","",'รายการสัญญา'!E338)</x:f>
      </x:c>
      <x:c r="D338" s="162" t="str">
        <x:f>IF('รายการสัญญา'!A338="","",'รายการสัญญา'!G338)</x:f>
      </x:c>
      <x:c r="E338" s="159" t="str">
        <x:f>IF('รายการสัญญา'!A338="","",'รายการสัญญา'!K338)</x:f>
      </x:c>
      <x:c r="F338" s="165" t="str">
        <x:f>IF(AND(F$5&gt;=$C338,F$5&lt;=$D338,$A338&lt;&gt;""),"●","")</x:f>
      </x:c>
      <x:c r="G338" s="165" t="str">
        <x:f>IF(AND(G$5&gt;=$C338,G$5&lt;=$D338,$A338&lt;&gt;""),"●","")</x:f>
      </x:c>
      <x:c r="H338" s="165" t="str">
        <x:f>IF(AND(H$5&gt;=$C338,H$5&lt;=$D338,$A338&lt;&gt;""),"●","")</x:f>
      </x:c>
      <x:c r="I338" s="165" t="str">
        <x:f>IF(AND(I$5&gt;=$C338,I$5&lt;=$D338,$A338&lt;&gt;""),"●","")</x:f>
      </x:c>
      <x:c r="J338" s="165" t="str">
        <x:f>IF(AND(J$5&gt;=$C338,J$5&lt;=$D338,$A338&lt;&gt;""),"●","")</x:f>
      </x:c>
      <x:c r="K338" s="165" t="str">
        <x:f>IF(AND(K$5&gt;=$C338,K$5&lt;=$D338,$A338&lt;&gt;""),"●","")</x:f>
      </x:c>
      <x:c r="L338" s="165" t="str">
        <x:f>IF(AND(L$5&gt;=$C338,L$5&lt;=$D338,$A338&lt;&gt;""),"●","")</x:f>
      </x:c>
      <x:c r="M338" s="165" t="str">
        <x:f>IF(AND(M$5&gt;=$C338,M$5&lt;=$D338,$A338&lt;&gt;""),"●","")</x:f>
      </x:c>
      <x:c r="N338" s="165" t="str">
        <x:f>IF(AND(N$5&gt;=$C338,N$5&lt;=$D338,$A338&lt;&gt;""),"●","")</x:f>
      </x:c>
      <x:c r="O338" s="165" t="str">
        <x:f>IF(AND(O$5&gt;=$C338,O$5&lt;=$D338,$A338&lt;&gt;""),"●","")</x:f>
      </x:c>
      <x:c r="P338" s="165" t="str">
        <x:f>IF(AND(P$5&gt;=$C338,P$5&lt;=$D338,$A338&lt;&gt;""),"●","")</x:f>
      </x:c>
      <x:c r="Q338" s="165" t="str">
        <x:f>IF(AND(Q$5&gt;=$C338,Q$5&lt;=$D338,$A338&lt;&gt;""),"●","")</x:f>
      </x:c>
      <x:c r="R338" s="165" t="str">
        <x:f>IF(AND(R$5&gt;=$C338,R$5&lt;=$D338,$A338&lt;&gt;""),"●","")</x:f>
      </x:c>
      <x:c r="S338" s="165" t="str">
        <x:f>IF(AND(S$5&gt;=$C338,S$5&lt;=$D338,$A338&lt;&gt;""),"●","")</x:f>
      </x:c>
      <x:c r="T338" s="165" t="str">
        <x:f>IF(AND(T$5&gt;=$C338,T$5&lt;=$D338,$A338&lt;&gt;""),"●","")</x:f>
      </x:c>
      <x:c r="U338" s="165" t="str">
        <x:f>IF(AND(U$5&gt;=$C338,U$5&lt;=$D338,$A338&lt;&gt;""),"●","")</x:f>
      </x:c>
      <x:c r="V338" s="165" t="str">
        <x:f>IF(AND(V$5&gt;=$C338,V$5&lt;=$D338,$A338&lt;&gt;""),"●","")</x:f>
      </x:c>
      <x:c r="W338" s="165" t="str">
        <x:f>IF(AND(W$5&gt;=$C338,W$5&lt;=$D338,$A338&lt;&gt;""),"●","")</x:f>
      </x:c>
      <x:c r="X338" s="165" t="str">
        <x:f>IF(AND(X$5&gt;=$C338,X$5&lt;=$D338,$A338&lt;&gt;""),"●","")</x:f>
      </x:c>
      <x:c r="Y338" s="165" t="str">
        <x:f>IF(AND(Y$5&gt;=$C338,Y$5&lt;=$D338,$A338&lt;&gt;""),"●","")</x:f>
      </x:c>
      <x:c r="Z338" s="165" t="str">
        <x:f>IF(AND(Z$5&gt;=$C338,Z$5&lt;=$D338,$A338&lt;&gt;""),"●","")</x:f>
      </x:c>
      <x:c r="AA338" s="165" t="str">
        <x:f>IF(AND(AA$5&gt;=$C338,AA$5&lt;=$D338,$A338&lt;&gt;""),"●","")</x:f>
      </x:c>
      <x:c r="AB338" s="165" t="str">
        <x:f>IF(AND(AB$5&gt;=$C338,AB$5&lt;=$D338,$A338&lt;&gt;""),"●","")</x:f>
      </x:c>
      <x:c r="AC338" s="165" t="str">
        <x:f>IF(AND(AC$5&gt;=$C338,AC$5&lt;=$D338,$A338&lt;&gt;""),"●","")</x:f>
      </x:c>
      <x:c r="AD338" s="165" t="str">
        <x:f>IF(AND(AD$5&gt;=$C338,AD$5&lt;=$D338,$A338&lt;&gt;""),"●","")</x:f>
      </x:c>
      <x:c r="AE338" s="165" t="str">
        <x:f>IF(AND(AE$5&gt;=$C338,AE$5&lt;=$D338,$A338&lt;&gt;""),"●","")</x:f>
      </x:c>
      <x:c r="AF338" s="165" t="str">
        <x:f>IF(AND(AF$5&gt;=$C338,AF$5&lt;=$D338,$A338&lt;&gt;""),"●","")</x:f>
      </x:c>
      <x:c r="AG338" s="165" t="str">
        <x:f>IF(AND(AG$5&gt;=$C338,AG$5&lt;=$D338,$A338&lt;&gt;""),"●","")</x:f>
      </x:c>
      <x:c r="AH338" s="165" t="str">
        <x:f>IF(AND(AH$5&gt;=$C338,AH$5&lt;=$D338,$A338&lt;&gt;""),"●","")</x:f>
      </x:c>
      <x:c r="AI338" s="165" t="str">
        <x:f>IF(AND(AI$5&gt;=$C338,AI$5&lt;=$D338,$A338&lt;&gt;""),"●","")</x:f>
      </x:c>
      <x:c r="AJ338" s="165" t="str">
        <x:f>IF(AND(AJ$5&gt;=$C338,AJ$5&lt;=$D338,$A338&lt;&gt;""),"●","")</x:f>
      </x:c>
      <x:c r="AK338" s="165" t="str">
        <x:f>IF(AND(AK$5&gt;=$C338,AK$5&lt;=$D338,$A338&lt;&gt;""),"●","")</x:f>
      </x:c>
      <x:c r="AL338" s="165" t="str">
        <x:f>IF(AND(AL$5&gt;=$C338,AL$5&lt;=$D338,$A338&lt;&gt;""),"●","")</x:f>
      </x:c>
      <x:c r="AM338" s="165" t="str">
        <x:f>IF(AND(AM$5&gt;=$C338,AM$5&lt;=$D338,$A338&lt;&gt;""),"●","")</x:f>
      </x:c>
      <x:c r="AN338" s="165" t="str">
        <x:f>IF(AND(AN$5&gt;=$C338,AN$5&lt;=$D338,$A338&lt;&gt;""),"●","")</x:f>
      </x:c>
      <x:c r="AO338" s="165" t="str">
        <x:f>IF(AND(AO$5&gt;=$C338,AO$5&lt;=$D338,$A338&lt;&gt;""),"●","")</x:f>
      </x:c>
      <x:c r="AP338" s="165" t="str">
        <x:f>IF(AND(AP$5&gt;=$C338,AP$5&lt;=$D338,$A338&lt;&gt;""),"●","")</x:f>
      </x:c>
      <x:c r="AQ338" s="165" t="str">
        <x:f>IF(AND(AQ$5&gt;=$C338,AQ$5&lt;=$D338,$A338&lt;&gt;""),"●","")</x:f>
      </x:c>
      <x:c r="AR338" s="165" t="str">
        <x:f>IF(AND(AR$5&gt;=$C338,AR$5&lt;=$D338,$A338&lt;&gt;""),"●","")</x:f>
      </x:c>
      <x:c r="AS338" s="165" t="str">
        <x:f>IF(AND(AS$5&gt;=$C338,AS$5&lt;=$D338,$A338&lt;&gt;""),"●","")</x:f>
      </x:c>
      <x:c r="AT338" s="165" t="str">
        <x:f>IF(AND(AT$5&gt;=$C338,AT$5&lt;=$D338,$A338&lt;&gt;""),"●","")</x:f>
      </x:c>
      <x:c r="AU338" s="165" t="str">
        <x:f>IF(AND(AU$5&gt;=$C338,AU$5&lt;=$D338,$A338&lt;&gt;""),"●","")</x:f>
      </x:c>
      <x:c r="AV338" s="165" t="str">
        <x:f>IF(AND(AV$5&gt;=$C338,AV$5&lt;=$D338,$A338&lt;&gt;""),"●","")</x:f>
      </x:c>
      <x:c r="AW338" s="165" t="str">
        <x:f>IF(AND(AW$5&gt;=$C338,AW$5&lt;=$D338,$A338&lt;&gt;""),"●","")</x:f>
      </x:c>
      <x:c r="AX338" s="165" t="str">
        <x:f>IF(AND(AX$5&gt;=$C338,AX$5&lt;=$D338,$A338&lt;&gt;""),"●","")</x:f>
      </x:c>
      <x:c r="AY338" s="165" t="str">
        <x:f>IF(AND(AY$5&gt;=$C338,AY$5&lt;=$D338,$A338&lt;&gt;""),"●","")</x:f>
      </x:c>
      <x:c r="AZ338" s="165" t="str">
        <x:f>IF(AND(AZ$5&gt;=$C338,AZ$5&lt;=$D338,$A338&lt;&gt;""),"●","")</x:f>
      </x:c>
      <x:c r="BA338" s="165" t="str">
        <x:f>IF(AND(BA$5&gt;=$C338,BA$5&lt;=$D338,$A338&lt;&gt;""),"●","")</x:f>
      </x:c>
      <x:c r="BB338" s="165" t="str">
        <x:f>IF(AND(BB$5&gt;=$C338,BB$5&lt;=$D338,$A338&lt;&gt;""),"●","")</x:f>
      </x:c>
      <x:c r="BC338" s="165" t="str">
        <x:f>IF(AND(BC$5&gt;=$C338,BC$5&lt;=$D338,$A338&lt;&gt;""),"●","")</x:f>
      </x:c>
      <x:c r="BD338" s="165" t="str">
        <x:f>IF(AND(BD$5&gt;=$C338,BD$5&lt;=$D338,$A338&lt;&gt;""),"●","")</x:f>
      </x:c>
      <x:c r="BE338" s="165" t="str">
        <x:f>IF(AND(BE$5&gt;=$C338,BE$5&lt;=$D338,$A338&lt;&gt;""),"●","")</x:f>
      </x:c>
      <x:c r="BF338" s="165" t="str">
        <x:f>IF(AND(BF$5&gt;=$C338,BF$5&lt;=$D338,$A338&lt;&gt;""),"●","")</x:f>
      </x:c>
      <x:c r="BG338" s="165" t="str">
        <x:f>IF(AND(BG$5&gt;=$C338,BG$5&lt;=$D338,$A338&lt;&gt;""),"●","")</x:f>
      </x:c>
      <x:c r="BH338" s="165" t="str">
        <x:f>IF(AND(BH$5&gt;=$C338,BH$5&lt;=$D338,$A338&lt;&gt;""),"●","")</x:f>
      </x:c>
      <x:c r="BI338" s="165" t="str">
        <x:f>IF(AND(BI$5&gt;=$C338,BI$5&lt;=$D338,$A338&lt;&gt;""),"●","")</x:f>
      </x:c>
      <x:c r="BJ338" s="165" t="str">
        <x:f>IF(AND(BJ$5&gt;=$C338,BJ$5&lt;=$D338,$A338&lt;&gt;""),"●","")</x:f>
      </x:c>
      <x:c r="BK338" s="165" t="str">
        <x:f>IF(AND(BK$5&gt;=$C338,BK$5&lt;=$D338,$A338&lt;&gt;""),"●","")</x:f>
      </x:c>
      <x:c r="BL338" s="165" t="str">
        <x:f>IF(AND(BL$5&gt;=$C338,BL$5&lt;=$D338,$A338&lt;&gt;""),"●","")</x:f>
      </x:c>
      <x:c r="BM338" s="165" t="str">
        <x:f>IF(AND(BM$5&gt;=$C338,BM$5&lt;=$D338,$A338&lt;&gt;""),"●","")</x:f>
      </x:c>
      <x:c r="BN338" s="165" t="str">
        <x:f>IF(AND(BN$5&gt;=$C338,BN$5&lt;=$D338,$A338&lt;&gt;""),"●","")</x:f>
      </x:c>
      <x:c r="BO338" s="165" t="str">
        <x:f>IF(AND(BO$5&gt;=$C338,BO$5&lt;=$D338,$A338&lt;&gt;""),"●","")</x:f>
      </x:c>
      <x:c r="BP338" s="165" t="str">
        <x:f>IF(AND(BP$5&gt;=$C338,BP$5&lt;=$D338,$A338&lt;&gt;""),"●","")</x:f>
      </x:c>
      <x:c r="BQ338" s="165" t="str">
        <x:f>IF(AND(BQ$5&gt;=$C338,BQ$5&lt;=$D338,$A338&lt;&gt;""),"●","")</x:f>
      </x:c>
      <x:c r="BR338" s="165" t="str">
        <x:f>IF(AND(BR$5&gt;=$C338,BR$5&lt;=$D338,$A338&lt;&gt;""),"●","")</x:f>
      </x:c>
      <x:c r="BS338" s="165" t="str">
        <x:f>IF(AND(BS$5&gt;=$C338,BS$5&lt;=$D338,$A338&lt;&gt;""),"●","")</x:f>
      </x:c>
      <x:c r="BT338" s="165" t="str">
        <x:f>IF(AND(BT$5&gt;=$C338,BT$5&lt;=$D338,$A338&lt;&gt;""),"●","")</x:f>
      </x:c>
      <x:c r="BU338" s="165" t="str">
        <x:f>IF(AND(BU$5&gt;=$C338,BU$5&lt;=$D338,$A338&lt;&gt;""),"●","")</x:f>
      </x:c>
      <x:c r="BV338" s="165" t="str">
        <x:f>IF(AND(BV$5&gt;=$C338,BV$5&lt;=$D338,$A338&lt;&gt;""),"●","")</x:f>
      </x:c>
      <x:c r="BW338" s="165" t="str">
        <x:f>IF(AND(BW$5&gt;=$C338,BW$5&lt;=$D338,$A338&lt;&gt;""),"●","")</x:f>
      </x:c>
    </x:row>
    <x:row r="339">
      <x:c r="A339" s="159" t="str">
        <x:f>IF('รายการสัญญา'!A339="","",'รายการสัญญา'!A339)</x:f>
      </x:c>
      <x:c r="B339" s="159" t="str">
        <x:f>IF('รายการสัญญา'!A339="","",'รายการสัญญา'!C339)</x:f>
      </x:c>
      <x:c r="C339" s="162" t="str">
        <x:f>IF('รายการสัญญา'!A339="","",'รายการสัญญา'!E339)</x:f>
      </x:c>
      <x:c r="D339" s="162" t="str">
        <x:f>IF('รายการสัญญา'!A339="","",'รายการสัญญา'!G339)</x:f>
      </x:c>
      <x:c r="E339" s="159" t="str">
        <x:f>IF('รายการสัญญา'!A339="","",'รายการสัญญา'!K339)</x:f>
      </x:c>
      <x:c r="F339" s="165" t="str">
        <x:f>IF(AND(F$5&gt;=$C339,F$5&lt;=$D339,$A339&lt;&gt;""),"●","")</x:f>
      </x:c>
      <x:c r="G339" s="165" t="str">
        <x:f>IF(AND(G$5&gt;=$C339,G$5&lt;=$D339,$A339&lt;&gt;""),"●","")</x:f>
      </x:c>
      <x:c r="H339" s="165" t="str">
        <x:f>IF(AND(H$5&gt;=$C339,H$5&lt;=$D339,$A339&lt;&gt;""),"●","")</x:f>
      </x:c>
      <x:c r="I339" s="165" t="str">
        <x:f>IF(AND(I$5&gt;=$C339,I$5&lt;=$D339,$A339&lt;&gt;""),"●","")</x:f>
      </x:c>
      <x:c r="J339" s="165" t="str">
        <x:f>IF(AND(J$5&gt;=$C339,J$5&lt;=$D339,$A339&lt;&gt;""),"●","")</x:f>
      </x:c>
      <x:c r="K339" s="165" t="str">
        <x:f>IF(AND(K$5&gt;=$C339,K$5&lt;=$D339,$A339&lt;&gt;""),"●","")</x:f>
      </x:c>
      <x:c r="L339" s="165" t="str">
        <x:f>IF(AND(L$5&gt;=$C339,L$5&lt;=$D339,$A339&lt;&gt;""),"●","")</x:f>
      </x:c>
      <x:c r="M339" s="165" t="str">
        <x:f>IF(AND(M$5&gt;=$C339,M$5&lt;=$D339,$A339&lt;&gt;""),"●","")</x:f>
      </x:c>
      <x:c r="N339" s="165" t="str">
        <x:f>IF(AND(N$5&gt;=$C339,N$5&lt;=$D339,$A339&lt;&gt;""),"●","")</x:f>
      </x:c>
      <x:c r="O339" s="165" t="str">
        <x:f>IF(AND(O$5&gt;=$C339,O$5&lt;=$D339,$A339&lt;&gt;""),"●","")</x:f>
      </x:c>
      <x:c r="P339" s="165" t="str">
        <x:f>IF(AND(P$5&gt;=$C339,P$5&lt;=$D339,$A339&lt;&gt;""),"●","")</x:f>
      </x:c>
      <x:c r="Q339" s="165" t="str">
        <x:f>IF(AND(Q$5&gt;=$C339,Q$5&lt;=$D339,$A339&lt;&gt;""),"●","")</x:f>
      </x:c>
      <x:c r="R339" s="165" t="str">
        <x:f>IF(AND(R$5&gt;=$C339,R$5&lt;=$D339,$A339&lt;&gt;""),"●","")</x:f>
      </x:c>
      <x:c r="S339" s="165" t="str">
        <x:f>IF(AND(S$5&gt;=$C339,S$5&lt;=$D339,$A339&lt;&gt;""),"●","")</x:f>
      </x:c>
      <x:c r="T339" s="165" t="str">
        <x:f>IF(AND(T$5&gt;=$C339,T$5&lt;=$D339,$A339&lt;&gt;""),"●","")</x:f>
      </x:c>
      <x:c r="U339" s="165" t="str">
        <x:f>IF(AND(U$5&gt;=$C339,U$5&lt;=$D339,$A339&lt;&gt;""),"●","")</x:f>
      </x:c>
      <x:c r="V339" s="165" t="str">
        <x:f>IF(AND(V$5&gt;=$C339,V$5&lt;=$D339,$A339&lt;&gt;""),"●","")</x:f>
      </x:c>
      <x:c r="W339" s="165" t="str">
        <x:f>IF(AND(W$5&gt;=$C339,W$5&lt;=$D339,$A339&lt;&gt;""),"●","")</x:f>
      </x:c>
      <x:c r="X339" s="165" t="str">
        <x:f>IF(AND(X$5&gt;=$C339,X$5&lt;=$D339,$A339&lt;&gt;""),"●","")</x:f>
      </x:c>
      <x:c r="Y339" s="165" t="str">
        <x:f>IF(AND(Y$5&gt;=$C339,Y$5&lt;=$D339,$A339&lt;&gt;""),"●","")</x:f>
      </x:c>
      <x:c r="Z339" s="165" t="str">
        <x:f>IF(AND(Z$5&gt;=$C339,Z$5&lt;=$D339,$A339&lt;&gt;""),"●","")</x:f>
      </x:c>
      <x:c r="AA339" s="165" t="str">
        <x:f>IF(AND(AA$5&gt;=$C339,AA$5&lt;=$D339,$A339&lt;&gt;""),"●","")</x:f>
      </x:c>
      <x:c r="AB339" s="165" t="str">
        <x:f>IF(AND(AB$5&gt;=$C339,AB$5&lt;=$D339,$A339&lt;&gt;""),"●","")</x:f>
      </x:c>
      <x:c r="AC339" s="165" t="str">
        <x:f>IF(AND(AC$5&gt;=$C339,AC$5&lt;=$D339,$A339&lt;&gt;""),"●","")</x:f>
      </x:c>
      <x:c r="AD339" s="165" t="str">
        <x:f>IF(AND(AD$5&gt;=$C339,AD$5&lt;=$D339,$A339&lt;&gt;""),"●","")</x:f>
      </x:c>
      <x:c r="AE339" s="165" t="str">
        <x:f>IF(AND(AE$5&gt;=$C339,AE$5&lt;=$D339,$A339&lt;&gt;""),"●","")</x:f>
      </x:c>
      <x:c r="AF339" s="165" t="str">
        <x:f>IF(AND(AF$5&gt;=$C339,AF$5&lt;=$D339,$A339&lt;&gt;""),"●","")</x:f>
      </x:c>
      <x:c r="AG339" s="165" t="str">
        <x:f>IF(AND(AG$5&gt;=$C339,AG$5&lt;=$D339,$A339&lt;&gt;""),"●","")</x:f>
      </x:c>
      <x:c r="AH339" s="165" t="str">
        <x:f>IF(AND(AH$5&gt;=$C339,AH$5&lt;=$D339,$A339&lt;&gt;""),"●","")</x:f>
      </x:c>
      <x:c r="AI339" s="165" t="str">
        <x:f>IF(AND(AI$5&gt;=$C339,AI$5&lt;=$D339,$A339&lt;&gt;""),"●","")</x:f>
      </x:c>
      <x:c r="AJ339" s="165" t="str">
        <x:f>IF(AND(AJ$5&gt;=$C339,AJ$5&lt;=$D339,$A339&lt;&gt;""),"●","")</x:f>
      </x:c>
      <x:c r="AK339" s="165" t="str">
        <x:f>IF(AND(AK$5&gt;=$C339,AK$5&lt;=$D339,$A339&lt;&gt;""),"●","")</x:f>
      </x:c>
      <x:c r="AL339" s="165" t="str">
        <x:f>IF(AND(AL$5&gt;=$C339,AL$5&lt;=$D339,$A339&lt;&gt;""),"●","")</x:f>
      </x:c>
      <x:c r="AM339" s="165" t="str">
        <x:f>IF(AND(AM$5&gt;=$C339,AM$5&lt;=$D339,$A339&lt;&gt;""),"●","")</x:f>
      </x:c>
      <x:c r="AN339" s="165" t="str">
        <x:f>IF(AND(AN$5&gt;=$C339,AN$5&lt;=$D339,$A339&lt;&gt;""),"●","")</x:f>
      </x:c>
      <x:c r="AO339" s="165" t="str">
        <x:f>IF(AND(AO$5&gt;=$C339,AO$5&lt;=$D339,$A339&lt;&gt;""),"●","")</x:f>
      </x:c>
      <x:c r="AP339" s="165" t="str">
        <x:f>IF(AND(AP$5&gt;=$C339,AP$5&lt;=$D339,$A339&lt;&gt;""),"●","")</x:f>
      </x:c>
      <x:c r="AQ339" s="165" t="str">
        <x:f>IF(AND(AQ$5&gt;=$C339,AQ$5&lt;=$D339,$A339&lt;&gt;""),"●","")</x:f>
      </x:c>
      <x:c r="AR339" s="165" t="str">
        <x:f>IF(AND(AR$5&gt;=$C339,AR$5&lt;=$D339,$A339&lt;&gt;""),"●","")</x:f>
      </x:c>
      <x:c r="AS339" s="165" t="str">
        <x:f>IF(AND(AS$5&gt;=$C339,AS$5&lt;=$D339,$A339&lt;&gt;""),"●","")</x:f>
      </x:c>
      <x:c r="AT339" s="165" t="str">
        <x:f>IF(AND(AT$5&gt;=$C339,AT$5&lt;=$D339,$A339&lt;&gt;""),"●","")</x:f>
      </x:c>
      <x:c r="AU339" s="165" t="str">
        <x:f>IF(AND(AU$5&gt;=$C339,AU$5&lt;=$D339,$A339&lt;&gt;""),"●","")</x:f>
      </x:c>
      <x:c r="AV339" s="165" t="str">
        <x:f>IF(AND(AV$5&gt;=$C339,AV$5&lt;=$D339,$A339&lt;&gt;""),"●","")</x:f>
      </x:c>
      <x:c r="AW339" s="165" t="str">
        <x:f>IF(AND(AW$5&gt;=$C339,AW$5&lt;=$D339,$A339&lt;&gt;""),"●","")</x:f>
      </x:c>
      <x:c r="AX339" s="165" t="str">
        <x:f>IF(AND(AX$5&gt;=$C339,AX$5&lt;=$D339,$A339&lt;&gt;""),"●","")</x:f>
      </x:c>
      <x:c r="AY339" s="165" t="str">
        <x:f>IF(AND(AY$5&gt;=$C339,AY$5&lt;=$D339,$A339&lt;&gt;""),"●","")</x:f>
      </x:c>
      <x:c r="AZ339" s="165" t="str">
        <x:f>IF(AND(AZ$5&gt;=$C339,AZ$5&lt;=$D339,$A339&lt;&gt;""),"●","")</x:f>
      </x:c>
      <x:c r="BA339" s="165" t="str">
        <x:f>IF(AND(BA$5&gt;=$C339,BA$5&lt;=$D339,$A339&lt;&gt;""),"●","")</x:f>
      </x:c>
      <x:c r="BB339" s="165" t="str">
        <x:f>IF(AND(BB$5&gt;=$C339,BB$5&lt;=$D339,$A339&lt;&gt;""),"●","")</x:f>
      </x:c>
      <x:c r="BC339" s="165" t="str">
        <x:f>IF(AND(BC$5&gt;=$C339,BC$5&lt;=$D339,$A339&lt;&gt;""),"●","")</x:f>
      </x:c>
      <x:c r="BD339" s="165" t="str">
        <x:f>IF(AND(BD$5&gt;=$C339,BD$5&lt;=$D339,$A339&lt;&gt;""),"●","")</x:f>
      </x:c>
      <x:c r="BE339" s="165" t="str">
        <x:f>IF(AND(BE$5&gt;=$C339,BE$5&lt;=$D339,$A339&lt;&gt;""),"●","")</x:f>
      </x:c>
      <x:c r="BF339" s="165" t="str">
        <x:f>IF(AND(BF$5&gt;=$C339,BF$5&lt;=$D339,$A339&lt;&gt;""),"●","")</x:f>
      </x:c>
      <x:c r="BG339" s="165" t="str">
        <x:f>IF(AND(BG$5&gt;=$C339,BG$5&lt;=$D339,$A339&lt;&gt;""),"●","")</x:f>
      </x:c>
      <x:c r="BH339" s="165" t="str">
        <x:f>IF(AND(BH$5&gt;=$C339,BH$5&lt;=$D339,$A339&lt;&gt;""),"●","")</x:f>
      </x:c>
      <x:c r="BI339" s="165" t="str">
        <x:f>IF(AND(BI$5&gt;=$C339,BI$5&lt;=$D339,$A339&lt;&gt;""),"●","")</x:f>
      </x:c>
      <x:c r="BJ339" s="165" t="str">
        <x:f>IF(AND(BJ$5&gt;=$C339,BJ$5&lt;=$D339,$A339&lt;&gt;""),"●","")</x:f>
      </x:c>
      <x:c r="BK339" s="165" t="str">
        <x:f>IF(AND(BK$5&gt;=$C339,BK$5&lt;=$D339,$A339&lt;&gt;""),"●","")</x:f>
      </x:c>
      <x:c r="BL339" s="165" t="str">
        <x:f>IF(AND(BL$5&gt;=$C339,BL$5&lt;=$D339,$A339&lt;&gt;""),"●","")</x:f>
      </x:c>
      <x:c r="BM339" s="165" t="str">
        <x:f>IF(AND(BM$5&gt;=$C339,BM$5&lt;=$D339,$A339&lt;&gt;""),"●","")</x:f>
      </x:c>
      <x:c r="BN339" s="165" t="str">
        <x:f>IF(AND(BN$5&gt;=$C339,BN$5&lt;=$D339,$A339&lt;&gt;""),"●","")</x:f>
      </x:c>
      <x:c r="BO339" s="165" t="str">
        <x:f>IF(AND(BO$5&gt;=$C339,BO$5&lt;=$D339,$A339&lt;&gt;""),"●","")</x:f>
      </x:c>
      <x:c r="BP339" s="165" t="str">
        <x:f>IF(AND(BP$5&gt;=$C339,BP$5&lt;=$D339,$A339&lt;&gt;""),"●","")</x:f>
      </x:c>
      <x:c r="BQ339" s="165" t="str">
        <x:f>IF(AND(BQ$5&gt;=$C339,BQ$5&lt;=$D339,$A339&lt;&gt;""),"●","")</x:f>
      </x:c>
      <x:c r="BR339" s="165" t="str">
        <x:f>IF(AND(BR$5&gt;=$C339,BR$5&lt;=$D339,$A339&lt;&gt;""),"●","")</x:f>
      </x:c>
      <x:c r="BS339" s="165" t="str">
        <x:f>IF(AND(BS$5&gt;=$C339,BS$5&lt;=$D339,$A339&lt;&gt;""),"●","")</x:f>
      </x:c>
      <x:c r="BT339" s="165" t="str">
        <x:f>IF(AND(BT$5&gt;=$C339,BT$5&lt;=$D339,$A339&lt;&gt;""),"●","")</x:f>
      </x:c>
      <x:c r="BU339" s="165" t="str">
        <x:f>IF(AND(BU$5&gt;=$C339,BU$5&lt;=$D339,$A339&lt;&gt;""),"●","")</x:f>
      </x:c>
      <x:c r="BV339" s="165" t="str">
        <x:f>IF(AND(BV$5&gt;=$C339,BV$5&lt;=$D339,$A339&lt;&gt;""),"●","")</x:f>
      </x:c>
      <x:c r="BW339" s="165" t="str">
        <x:f>IF(AND(BW$5&gt;=$C339,BW$5&lt;=$D339,$A339&lt;&gt;""),"●","")</x:f>
      </x:c>
    </x:row>
    <x:row r="340">
      <x:c r="A340" s="159" t="str">
        <x:f>IF('รายการสัญญา'!A340="","",'รายการสัญญา'!A340)</x:f>
      </x:c>
      <x:c r="B340" s="159" t="str">
        <x:f>IF('รายการสัญญา'!A340="","",'รายการสัญญา'!C340)</x:f>
      </x:c>
      <x:c r="C340" s="162" t="str">
        <x:f>IF('รายการสัญญา'!A340="","",'รายการสัญญา'!E340)</x:f>
      </x:c>
      <x:c r="D340" s="162" t="str">
        <x:f>IF('รายการสัญญา'!A340="","",'รายการสัญญา'!G340)</x:f>
      </x:c>
      <x:c r="E340" s="159" t="str">
        <x:f>IF('รายการสัญญา'!A340="","",'รายการสัญญา'!K340)</x:f>
      </x:c>
      <x:c r="F340" s="165" t="str">
        <x:f>IF(AND(F$5&gt;=$C340,F$5&lt;=$D340,$A340&lt;&gt;""),"●","")</x:f>
      </x:c>
      <x:c r="G340" s="165" t="str">
        <x:f>IF(AND(G$5&gt;=$C340,G$5&lt;=$D340,$A340&lt;&gt;""),"●","")</x:f>
      </x:c>
      <x:c r="H340" s="165" t="str">
        <x:f>IF(AND(H$5&gt;=$C340,H$5&lt;=$D340,$A340&lt;&gt;""),"●","")</x:f>
      </x:c>
      <x:c r="I340" s="165" t="str">
        <x:f>IF(AND(I$5&gt;=$C340,I$5&lt;=$D340,$A340&lt;&gt;""),"●","")</x:f>
      </x:c>
      <x:c r="J340" s="165" t="str">
        <x:f>IF(AND(J$5&gt;=$C340,J$5&lt;=$D340,$A340&lt;&gt;""),"●","")</x:f>
      </x:c>
      <x:c r="K340" s="165" t="str">
        <x:f>IF(AND(K$5&gt;=$C340,K$5&lt;=$D340,$A340&lt;&gt;""),"●","")</x:f>
      </x:c>
      <x:c r="L340" s="165" t="str">
        <x:f>IF(AND(L$5&gt;=$C340,L$5&lt;=$D340,$A340&lt;&gt;""),"●","")</x:f>
      </x:c>
      <x:c r="M340" s="165" t="str">
        <x:f>IF(AND(M$5&gt;=$C340,M$5&lt;=$D340,$A340&lt;&gt;""),"●","")</x:f>
      </x:c>
      <x:c r="N340" s="165" t="str">
        <x:f>IF(AND(N$5&gt;=$C340,N$5&lt;=$D340,$A340&lt;&gt;""),"●","")</x:f>
      </x:c>
      <x:c r="O340" s="165" t="str">
        <x:f>IF(AND(O$5&gt;=$C340,O$5&lt;=$D340,$A340&lt;&gt;""),"●","")</x:f>
      </x:c>
      <x:c r="P340" s="165" t="str">
        <x:f>IF(AND(P$5&gt;=$C340,P$5&lt;=$D340,$A340&lt;&gt;""),"●","")</x:f>
      </x:c>
      <x:c r="Q340" s="165" t="str">
        <x:f>IF(AND(Q$5&gt;=$C340,Q$5&lt;=$D340,$A340&lt;&gt;""),"●","")</x:f>
      </x:c>
      <x:c r="R340" s="165" t="str">
        <x:f>IF(AND(R$5&gt;=$C340,R$5&lt;=$D340,$A340&lt;&gt;""),"●","")</x:f>
      </x:c>
      <x:c r="S340" s="165" t="str">
        <x:f>IF(AND(S$5&gt;=$C340,S$5&lt;=$D340,$A340&lt;&gt;""),"●","")</x:f>
      </x:c>
      <x:c r="T340" s="165" t="str">
        <x:f>IF(AND(T$5&gt;=$C340,T$5&lt;=$D340,$A340&lt;&gt;""),"●","")</x:f>
      </x:c>
      <x:c r="U340" s="165" t="str">
        <x:f>IF(AND(U$5&gt;=$C340,U$5&lt;=$D340,$A340&lt;&gt;""),"●","")</x:f>
      </x:c>
      <x:c r="V340" s="165" t="str">
        <x:f>IF(AND(V$5&gt;=$C340,V$5&lt;=$D340,$A340&lt;&gt;""),"●","")</x:f>
      </x:c>
      <x:c r="W340" s="165" t="str">
        <x:f>IF(AND(W$5&gt;=$C340,W$5&lt;=$D340,$A340&lt;&gt;""),"●","")</x:f>
      </x:c>
      <x:c r="X340" s="165" t="str">
        <x:f>IF(AND(X$5&gt;=$C340,X$5&lt;=$D340,$A340&lt;&gt;""),"●","")</x:f>
      </x:c>
      <x:c r="Y340" s="165" t="str">
        <x:f>IF(AND(Y$5&gt;=$C340,Y$5&lt;=$D340,$A340&lt;&gt;""),"●","")</x:f>
      </x:c>
      <x:c r="Z340" s="165" t="str">
        <x:f>IF(AND(Z$5&gt;=$C340,Z$5&lt;=$D340,$A340&lt;&gt;""),"●","")</x:f>
      </x:c>
      <x:c r="AA340" s="165" t="str">
        <x:f>IF(AND(AA$5&gt;=$C340,AA$5&lt;=$D340,$A340&lt;&gt;""),"●","")</x:f>
      </x:c>
      <x:c r="AB340" s="165" t="str">
        <x:f>IF(AND(AB$5&gt;=$C340,AB$5&lt;=$D340,$A340&lt;&gt;""),"●","")</x:f>
      </x:c>
      <x:c r="AC340" s="165" t="str">
        <x:f>IF(AND(AC$5&gt;=$C340,AC$5&lt;=$D340,$A340&lt;&gt;""),"●","")</x:f>
      </x:c>
      <x:c r="AD340" s="165" t="str">
        <x:f>IF(AND(AD$5&gt;=$C340,AD$5&lt;=$D340,$A340&lt;&gt;""),"●","")</x:f>
      </x:c>
      <x:c r="AE340" s="165" t="str">
        <x:f>IF(AND(AE$5&gt;=$C340,AE$5&lt;=$D340,$A340&lt;&gt;""),"●","")</x:f>
      </x:c>
      <x:c r="AF340" s="165" t="str">
        <x:f>IF(AND(AF$5&gt;=$C340,AF$5&lt;=$D340,$A340&lt;&gt;""),"●","")</x:f>
      </x:c>
      <x:c r="AG340" s="165" t="str">
        <x:f>IF(AND(AG$5&gt;=$C340,AG$5&lt;=$D340,$A340&lt;&gt;""),"●","")</x:f>
      </x:c>
      <x:c r="AH340" s="165" t="str">
        <x:f>IF(AND(AH$5&gt;=$C340,AH$5&lt;=$D340,$A340&lt;&gt;""),"●","")</x:f>
      </x:c>
      <x:c r="AI340" s="165" t="str">
        <x:f>IF(AND(AI$5&gt;=$C340,AI$5&lt;=$D340,$A340&lt;&gt;""),"●","")</x:f>
      </x:c>
      <x:c r="AJ340" s="165" t="str">
        <x:f>IF(AND(AJ$5&gt;=$C340,AJ$5&lt;=$D340,$A340&lt;&gt;""),"●","")</x:f>
      </x:c>
      <x:c r="AK340" s="165" t="str">
        <x:f>IF(AND(AK$5&gt;=$C340,AK$5&lt;=$D340,$A340&lt;&gt;""),"●","")</x:f>
      </x:c>
      <x:c r="AL340" s="165" t="str">
        <x:f>IF(AND(AL$5&gt;=$C340,AL$5&lt;=$D340,$A340&lt;&gt;""),"●","")</x:f>
      </x:c>
      <x:c r="AM340" s="165" t="str">
        <x:f>IF(AND(AM$5&gt;=$C340,AM$5&lt;=$D340,$A340&lt;&gt;""),"●","")</x:f>
      </x:c>
      <x:c r="AN340" s="165" t="str">
        <x:f>IF(AND(AN$5&gt;=$C340,AN$5&lt;=$D340,$A340&lt;&gt;""),"●","")</x:f>
      </x:c>
      <x:c r="AO340" s="165" t="str">
        <x:f>IF(AND(AO$5&gt;=$C340,AO$5&lt;=$D340,$A340&lt;&gt;""),"●","")</x:f>
      </x:c>
      <x:c r="AP340" s="165" t="str">
        <x:f>IF(AND(AP$5&gt;=$C340,AP$5&lt;=$D340,$A340&lt;&gt;""),"●","")</x:f>
      </x:c>
      <x:c r="AQ340" s="165" t="str">
        <x:f>IF(AND(AQ$5&gt;=$C340,AQ$5&lt;=$D340,$A340&lt;&gt;""),"●","")</x:f>
      </x:c>
      <x:c r="AR340" s="165" t="str">
        <x:f>IF(AND(AR$5&gt;=$C340,AR$5&lt;=$D340,$A340&lt;&gt;""),"●","")</x:f>
      </x:c>
      <x:c r="AS340" s="165" t="str">
        <x:f>IF(AND(AS$5&gt;=$C340,AS$5&lt;=$D340,$A340&lt;&gt;""),"●","")</x:f>
      </x:c>
      <x:c r="AT340" s="165" t="str">
        <x:f>IF(AND(AT$5&gt;=$C340,AT$5&lt;=$D340,$A340&lt;&gt;""),"●","")</x:f>
      </x:c>
      <x:c r="AU340" s="165" t="str">
        <x:f>IF(AND(AU$5&gt;=$C340,AU$5&lt;=$D340,$A340&lt;&gt;""),"●","")</x:f>
      </x:c>
      <x:c r="AV340" s="165" t="str">
        <x:f>IF(AND(AV$5&gt;=$C340,AV$5&lt;=$D340,$A340&lt;&gt;""),"●","")</x:f>
      </x:c>
      <x:c r="AW340" s="165" t="str">
        <x:f>IF(AND(AW$5&gt;=$C340,AW$5&lt;=$D340,$A340&lt;&gt;""),"●","")</x:f>
      </x:c>
      <x:c r="AX340" s="165" t="str">
        <x:f>IF(AND(AX$5&gt;=$C340,AX$5&lt;=$D340,$A340&lt;&gt;""),"●","")</x:f>
      </x:c>
      <x:c r="AY340" s="165" t="str">
        <x:f>IF(AND(AY$5&gt;=$C340,AY$5&lt;=$D340,$A340&lt;&gt;""),"●","")</x:f>
      </x:c>
      <x:c r="AZ340" s="165" t="str">
        <x:f>IF(AND(AZ$5&gt;=$C340,AZ$5&lt;=$D340,$A340&lt;&gt;""),"●","")</x:f>
      </x:c>
      <x:c r="BA340" s="165" t="str">
        <x:f>IF(AND(BA$5&gt;=$C340,BA$5&lt;=$D340,$A340&lt;&gt;""),"●","")</x:f>
      </x:c>
      <x:c r="BB340" s="165" t="str">
        <x:f>IF(AND(BB$5&gt;=$C340,BB$5&lt;=$D340,$A340&lt;&gt;""),"●","")</x:f>
      </x:c>
      <x:c r="BC340" s="165" t="str">
        <x:f>IF(AND(BC$5&gt;=$C340,BC$5&lt;=$D340,$A340&lt;&gt;""),"●","")</x:f>
      </x:c>
      <x:c r="BD340" s="165" t="str">
        <x:f>IF(AND(BD$5&gt;=$C340,BD$5&lt;=$D340,$A340&lt;&gt;""),"●","")</x:f>
      </x:c>
      <x:c r="BE340" s="165" t="str">
        <x:f>IF(AND(BE$5&gt;=$C340,BE$5&lt;=$D340,$A340&lt;&gt;""),"●","")</x:f>
      </x:c>
      <x:c r="BF340" s="165" t="str">
        <x:f>IF(AND(BF$5&gt;=$C340,BF$5&lt;=$D340,$A340&lt;&gt;""),"●","")</x:f>
      </x:c>
      <x:c r="BG340" s="165" t="str">
        <x:f>IF(AND(BG$5&gt;=$C340,BG$5&lt;=$D340,$A340&lt;&gt;""),"●","")</x:f>
      </x:c>
      <x:c r="BH340" s="165" t="str">
        <x:f>IF(AND(BH$5&gt;=$C340,BH$5&lt;=$D340,$A340&lt;&gt;""),"●","")</x:f>
      </x:c>
      <x:c r="BI340" s="165" t="str">
        <x:f>IF(AND(BI$5&gt;=$C340,BI$5&lt;=$D340,$A340&lt;&gt;""),"●","")</x:f>
      </x:c>
      <x:c r="BJ340" s="165" t="str">
        <x:f>IF(AND(BJ$5&gt;=$C340,BJ$5&lt;=$D340,$A340&lt;&gt;""),"●","")</x:f>
      </x:c>
      <x:c r="BK340" s="165" t="str">
        <x:f>IF(AND(BK$5&gt;=$C340,BK$5&lt;=$D340,$A340&lt;&gt;""),"●","")</x:f>
      </x:c>
      <x:c r="BL340" s="165" t="str">
        <x:f>IF(AND(BL$5&gt;=$C340,BL$5&lt;=$D340,$A340&lt;&gt;""),"●","")</x:f>
      </x:c>
      <x:c r="BM340" s="165" t="str">
        <x:f>IF(AND(BM$5&gt;=$C340,BM$5&lt;=$D340,$A340&lt;&gt;""),"●","")</x:f>
      </x:c>
      <x:c r="BN340" s="165" t="str">
        <x:f>IF(AND(BN$5&gt;=$C340,BN$5&lt;=$D340,$A340&lt;&gt;""),"●","")</x:f>
      </x:c>
      <x:c r="BO340" s="165" t="str">
        <x:f>IF(AND(BO$5&gt;=$C340,BO$5&lt;=$D340,$A340&lt;&gt;""),"●","")</x:f>
      </x:c>
      <x:c r="BP340" s="165" t="str">
        <x:f>IF(AND(BP$5&gt;=$C340,BP$5&lt;=$D340,$A340&lt;&gt;""),"●","")</x:f>
      </x:c>
      <x:c r="BQ340" s="165" t="str">
        <x:f>IF(AND(BQ$5&gt;=$C340,BQ$5&lt;=$D340,$A340&lt;&gt;""),"●","")</x:f>
      </x:c>
      <x:c r="BR340" s="165" t="str">
        <x:f>IF(AND(BR$5&gt;=$C340,BR$5&lt;=$D340,$A340&lt;&gt;""),"●","")</x:f>
      </x:c>
      <x:c r="BS340" s="165" t="str">
        <x:f>IF(AND(BS$5&gt;=$C340,BS$5&lt;=$D340,$A340&lt;&gt;""),"●","")</x:f>
      </x:c>
      <x:c r="BT340" s="165" t="str">
        <x:f>IF(AND(BT$5&gt;=$C340,BT$5&lt;=$D340,$A340&lt;&gt;""),"●","")</x:f>
      </x:c>
      <x:c r="BU340" s="165" t="str">
        <x:f>IF(AND(BU$5&gt;=$C340,BU$5&lt;=$D340,$A340&lt;&gt;""),"●","")</x:f>
      </x:c>
      <x:c r="BV340" s="165" t="str">
        <x:f>IF(AND(BV$5&gt;=$C340,BV$5&lt;=$D340,$A340&lt;&gt;""),"●","")</x:f>
      </x:c>
      <x:c r="BW340" s="165" t="str">
        <x:f>IF(AND(BW$5&gt;=$C340,BW$5&lt;=$D340,$A340&lt;&gt;""),"●","")</x:f>
      </x:c>
    </x:row>
    <x:row r="341">
      <x:c r="A341" s="159" t="str">
        <x:f>IF('รายการสัญญา'!A341="","",'รายการสัญญา'!A341)</x:f>
      </x:c>
      <x:c r="B341" s="159" t="str">
        <x:f>IF('รายการสัญญา'!A341="","",'รายการสัญญา'!C341)</x:f>
      </x:c>
      <x:c r="C341" s="162" t="str">
        <x:f>IF('รายการสัญญา'!A341="","",'รายการสัญญา'!E341)</x:f>
      </x:c>
      <x:c r="D341" s="162" t="str">
        <x:f>IF('รายการสัญญา'!A341="","",'รายการสัญญา'!G341)</x:f>
      </x:c>
      <x:c r="E341" s="159" t="str">
        <x:f>IF('รายการสัญญา'!A341="","",'รายการสัญญา'!K341)</x:f>
      </x:c>
      <x:c r="F341" s="165" t="str">
        <x:f>IF(AND(F$5&gt;=$C341,F$5&lt;=$D341,$A341&lt;&gt;""),"●","")</x:f>
      </x:c>
      <x:c r="G341" s="165" t="str">
        <x:f>IF(AND(G$5&gt;=$C341,G$5&lt;=$D341,$A341&lt;&gt;""),"●","")</x:f>
      </x:c>
      <x:c r="H341" s="165" t="str">
        <x:f>IF(AND(H$5&gt;=$C341,H$5&lt;=$D341,$A341&lt;&gt;""),"●","")</x:f>
      </x:c>
      <x:c r="I341" s="165" t="str">
        <x:f>IF(AND(I$5&gt;=$C341,I$5&lt;=$D341,$A341&lt;&gt;""),"●","")</x:f>
      </x:c>
      <x:c r="J341" s="165" t="str">
        <x:f>IF(AND(J$5&gt;=$C341,J$5&lt;=$D341,$A341&lt;&gt;""),"●","")</x:f>
      </x:c>
      <x:c r="K341" s="165" t="str">
        <x:f>IF(AND(K$5&gt;=$C341,K$5&lt;=$D341,$A341&lt;&gt;""),"●","")</x:f>
      </x:c>
      <x:c r="L341" s="165" t="str">
        <x:f>IF(AND(L$5&gt;=$C341,L$5&lt;=$D341,$A341&lt;&gt;""),"●","")</x:f>
      </x:c>
      <x:c r="M341" s="165" t="str">
        <x:f>IF(AND(M$5&gt;=$C341,M$5&lt;=$D341,$A341&lt;&gt;""),"●","")</x:f>
      </x:c>
      <x:c r="N341" s="165" t="str">
        <x:f>IF(AND(N$5&gt;=$C341,N$5&lt;=$D341,$A341&lt;&gt;""),"●","")</x:f>
      </x:c>
      <x:c r="O341" s="165" t="str">
        <x:f>IF(AND(O$5&gt;=$C341,O$5&lt;=$D341,$A341&lt;&gt;""),"●","")</x:f>
      </x:c>
      <x:c r="P341" s="165" t="str">
        <x:f>IF(AND(P$5&gt;=$C341,P$5&lt;=$D341,$A341&lt;&gt;""),"●","")</x:f>
      </x:c>
      <x:c r="Q341" s="165" t="str">
        <x:f>IF(AND(Q$5&gt;=$C341,Q$5&lt;=$D341,$A341&lt;&gt;""),"●","")</x:f>
      </x:c>
      <x:c r="R341" s="165" t="str">
        <x:f>IF(AND(R$5&gt;=$C341,R$5&lt;=$D341,$A341&lt;&gt;""),"●","")</x:f>
      </x:c>
      <x:c r="S341" s="165" t="str">
        <x:f>IF(AND(S$5&gt;=$C341,S$5&lt;=$D341,$A341&lt;&gt;""),"●","")</x:f>
      </x:c>
      <x:c r="T341" s="165" t="str">
        <x:f>IF(AND(T$5&gt;=$C341,T$5&lt;=$D341,$A341&lt;&gt;""),"●","")</x:f>
      </x:c>
      <x:c r="U341" s="165" t="str">
        <x:f>IF(AND(U$5&gt;=$C341,U$5&lt;=$D341,$A341&lt;&gt;""),"●","")</x:f>
      </x:c>
      <x:c r="V341" s="165" t="str">
        <x:f>IF(AND(V$5&gt;=$C341,V$5&lt;=$D341,$A341&lt;&gt;""),"●","")</x:f>
      </x:c>
      <x:c r="W341" s="165" t="str">
        <x:f>IF(AND(W$5&gt;=$C341,W$5&lt;=$D341,$A341&lt;&gt;""),"●","")</x:f>
      </x:c>
      <x:c r="X341" s="165" t="str">
        <x:f>IF(AND(X$5&gt;=$C341,X$5&lt;=$D341,$A341&lt;&gt;""),"●","")</x:f>
      </x:c>
      <x:c r="Y341" s="165" t="str">
        <x:f>IF(AND(Y$5&gt;=$C341,Y$5&lt;=$D341,$A341&lt;&gt;""),"●","")</x:f>
      </x:c>
      <x:c r="Z341" s="165" t="str">
        <x:f>IF(AND(Z$5&gt;=$C341,Z$5&lt;=$D341,$A341&lt;&gt;""),"●","")</x:f>
      </x:c>
      <x:c r="AA341" s="165" t="str">
        <x:f>IF(AND(AA$5&gt;=$C341,AA$5&lt;=$D341,$A341&lt;&gt;""),"●","")</x:f>
      </x:c>
      <x:c r="AB341" s="165" t="str">
        <x:f>IF(AND(AB$5&gt;=$C341,AB$5&lt;=$D341,$A341&lt;&gt;""),"●","")</x:f>
      </x:c>
      <x:c r="AC341" s="165" t="str">
        <x:f>IF(AND(AC$5&gt;=$C341,AC$5&lt;=$D341,$A341&lt;&gt;""),"●","")</x:f>
      </x:c>
      <x:c r="AD341" s="165" t="str">
        <x:f>IF(AND(AD$5&gt;=$C341,AD$5&lt;=$D341,$A341&lt;&gt;""),"●","")</x:f>
      </x:c>
      <x:c r="AE341" s="165" t="str">
        <x:f>IF(AND(AE$5&gt;=$C341,AE$5&lt;=$D341,$A341&lt;&gt;""),"●","")</x:f>
      </x:c>
      <x:c r="AF341" s="165" t="str">
        <x:f>IF(AND(AF$5&gt;=$C341,AF$5&lt;=$D341,$A341&lt;&gt;""),"●","")</x:f>
      </x:c>
      <x:c r="AG341" s="165" t="str">
        <x:f>IF(AND(AG$5&gt;=$C341,AG$5&lt;=$D341,$A341&lt;&gt;""),"●","")</x:f>
      </x:c>
      <x:c r="AH341" s="165" t="str">
        <x:f>IF(AND(AH$5&gt;=$C341,AH$5&lt;=$D341,$A341&lt;&gt;""),"●","")</x:f>
      </x:c>
      <x:c r="AI341" s="165" t="str">
        <x:f>IF(AND(AI$5&gt;=$C341,AI$5&lt;=$D341,$A341&lt;&gt;""),"●","")</x:f>
      </x:c>
      <x:c r="AJ341" s="165" t="str">
        <x:f>IF(AND(AJ$5&gt;=$C341,AJ$5&lt;=$D341,$A341&lt;&gt;""),"●","")</x:f>
      </x:c>
      <x:c r="AK341" s="165" t="str">
        <x:f>IF(AND(AK$5&gt;=$C341,AK$5&lt;=$D341,$A341&lt;&gt;""),"●","")</x:f>
      </x:c>
      <x:c r="AL341" s="165" t="str">
        <x:f>IF(AND(AL$5&gt;=$C341,AL$5&lt;=$D341,$A341&lt;&gt;""),"●","")</x:f>
      </x:c>
      <x:c r="AM341" s="165" t="str">
        <x:f>IF(AND(AM$5&gt;=$C341,AM$5&lt;=$D341,$A341&lt;&gt;""),"●","")</x:f>
      </x:c>
      <x:c r="AN341" s="165" t="str">
        <x:f>IF(AND(AN$5&gt;=$C341,AN$5&lt;=$D341,$A341&lt;&gt;""),"●","")</x:f>
      </x:c>
      <x:c r="AO341" s="165" t="str">
        <x:f>IF(AND(AO$5&gt;=$C341,AO$5&lt;=$D341,$A341&lt;&gt;""),"●","")</x:f>
      </x:c>
      <x:c r="AP341" s="165" t="str">
        <x:f>IF(AND(AP$5&gt;=$C341,AP$5&lt;=$D341,$A341&lt;&gt;""),"●","")</x:f>
      </x:c>
      <x:c r="AQ341" s="165" t="str">
        <x:f>IF(AND(AQ$5&gt;=$C341,AQ$5&lt;=$D341,$A341&lt;&gt;""),"●","")</x:f>
      </x:c>
      <x:c r="AR341" s="165" t="str">
        <x:f>IF(AND(AR$5&gt;=$C341,AR$5&lt;=$D341,$A341&lt;&gt;""),"●","")</x:f>
      </x:c>
      <x:c r="AS341" s="165" t="str">
        <x:f>IF(AND(AS$5&gt;=$C341,AS$5&lt;=$D341,$A341&lt;&gt;""),"●","")</x:f>
      </x:c>
      <x:c r="AT341" s="165" t="str">
        <x:f>IF(AND(AT$5&gt;=$C341,AT$5&lt;=$D341,$A341&lt;&gt;""),"●","")</x:f>
      </x:c>
      <x:c r="AU341" s="165" t="str">
        <x:f>IF(AND(AU$5&gt;=$C341,AU$5&lt;=$D341,$A341&lt;&gt;""),"●","")</x:f>
      </x:c>
      <x:c r="AV341" s="165" t="str">
        <x:f>IF(AND(AV$5&gt;=$C341,AV$5&lt;=$D341,$A341&lt;&gt;""),"●","")</x:f>
      </x:c>
      <x:c r="AW341" s="165" t="str">
        <x:f>IF(AND(AW$5&gt;=$C341,AW$5&lt;=$D341,$A341&lt;&gt;""),"●","")</x:f>
      </x:c>
      <x:c r="AX341" s="165" t="str">
        <x:f>IF(AND(AX$5&gt;=$C341,AX$5&lt;=$D341,$A341&lt;&gt;""),"●","")</x:f>
      </x:c>
      <x:c r="AY341" s="165" t="str">
        <x:f>IF(AND(AY$5&gt;=$C341,AY$5&lt;=$D341,$A341&lt;&gt;""),"●","")</x:f>
      </x:c>
      <x:c r="AZ341" s="165" t="str">
        <x:f>IF(AND(AZ$5&gt;=$C341,AZ$5&lt;=$D341,$A341&lt;&gt;""),"●","")</x:f>
      </x:c>
      <x:c r="BA341" s="165" t="str">
        <x:f>IF(AND(BA$5&gt;=$C341,BA$5&lt;=$D341,$A341&lt;&gt;""),"●","")</x:f>
      </x:c>
      <x:c r="BB341" s="165" t="str">
        <x:f>IF(AND(BB$5&gt;=$C341,BB$5&lt;=$D341,$A341&lt;&gt;""),"●","")</x:f>
      </x:c>
      <x:c r="BC341" s="165" t="str">
        <x:f>IF(AND(BC$5&gt;=$C341,BC$5&lt;=$D341,$A341&lt;&gt;""),"●","")</x:f>
      </x:c>
      <x:c r="BD341" s="165" t="str">
        <x:f>IF(AND(BD$5&gt;=$C341,BD$5&lt;=$D341,$A341&lt;&gt;""),"●","")</x:f>
      </x:c>
      <x:c r="BE341" s="165" t="str">
        <x:f>IF(AND(BE$5&gt;=$C341,BE$5&lt;=$D341,$A341&lt;&gt;""),"●","")</x:f>
      </x:c>
      <x:c r="BF341" s="165" t="str">
        <x:f>IF(AND(BF$5&gt;=$C341,BF$5&lt;=$D341,$A341&lt;&gt;""),"●","")</x:f>
      </x:c>
      <x:c r="BG341" s="165" t="str">
        <x:f>IF(AND(BG$5&gt;=$C341,BG$5&lt;=$D341,$A341&lt;&gt;""),"●","")</x:f>
      </x:c>
      <x:c r="BH341" s="165" t="str">
        <x:f>IF(AND(BH$5&gt;=$C341,BH$5&lt;=$D341,$A341&lt;&gt;""),"●","")</x:f>
      </x:c>
      <x:c r="BI341" s="165" t="str">
        <x:f>IF(AND(BI$5&gt;=$C341,BI$5&lt;=$D341,$A341&lt;&gt;""),"●","")</x:f>
      </x:c>
      <x:c r="BJ341" s="165" t="str">
        <x:f>IF(AND(BJ$5&gt;=$C341,BJ$5&lt;=$D341,$A341&lt;&gt;""),"●","")</x:f>
      </x:c>
      <x:c r="BK341" s="165" t="str">
        <x:f>IF(AND(BK$5&gt;=$C341,BK$5&lt;=$D341,$A341&lt;&gt;""),"●","")</x:f>
      </x:c>
      <x:c r="BL341" s="165" t="str">
        <x:f>IF(AND(BL$5&gt;=$C341,BL$5&lt;=$D341,$A341&lt;&gt;""),"●","")</x:f>
      </x:c>
      <x:c r="BM341" s="165" t="str">
        <x:f>IF(AND(BM$5&gt;=$C341,BM$5&lt;=$D341,$A341&lt;&gt;""),"●","")</x:f>
      </x:c>
      <x:c r="BN341" s="165" t="str">
        <x:f>IF(AND(BN$5&gt;=$C341,BN$5&lt;=$D341,$A341&lt;&gt;""),"●","")</x:f>
      </x:c>
      <x:c r="BO341" s="165" t="str">
        <x:f>IF(AND(BO$5&gt;=$C341,BO$5&lt;=$D341,$A341&lt;&gt;""),"●","")</x:f>
      </x:c>
      <x:c r="BP341" s="165" t="str">
        <x:f>IF(AND(BP$5&gt;=$C341,BP$5&lt;=$D341,$A341&lt;&gt;""),"●","")</x:f>
      </x:c>
      <x:c r="BQ341" s="165" t="str">
        <x:f>IF(AND(BQ$5&gt;=$C341,BQ$5&lt;=$D341,$A341&lt;&gt;""),"●","")</x:f>
      </x:c>
      <x:c r="BR341" s="165" t="str">
        <x:f>IF(AND(BR$5&gt;=$C341,BR$5&lt;=$D341,$A341&lt;&gt;""),"●","")</x:f>
      </x:c>
      <x:c r="BS341" s="165" t="str">
        <x:f>IF(AND(BS$5&gt;=$C341,BS$5&lt;=$D341,$A341&lt;&gt;""),"●","")</x:f>
      </x:c>
      <x:c r="BT341" s="165" t="str">
        <x:f>IF(AND(BT$5&gt;=$C341,BT$5&lt;=$D341,$A341&lt;&gt;""),"●","")</x:f>
      </x:c>
      <x:c r="BU341" s="165" t="str">
        <x:f>IF(AND(BU$5&gt;=$C341,BU$5&lt;=$D341,$A341&lt;&gt;""),"●","")</x:f>
      </x:c>
      <x:c r="BV341" s="165" t="str">
        <x:f>IF(AND(BV$5&gt;=$C341,BV$5&lt;=$D341,$A341&lt;&gt;""),"●","")</x:f>
      </x:c>
      <x:c r="BW341" s="165" t="str">
        <x:f>IF(AND(BW$5&gt;=$C341,BW$5&lt;=$D341,$A341&lt;&gt;""),"●","")</x:f>
      </x:c>
    </x:row>
    <x:row r="342">
      <x:c r="A342" s="159" t="str">
        <x:f>IF('รายการสัญญา'!A342="","",'รายการสัญญา'!A342)</x:f>
      </x:c>
      <x:c r="B342" s="159" t="str">
        <x:f>IF('รายการสัญญา'!A342="","",'รายการสัญญา'!C342)</x:f>
      </x:c>
      <x:c r="C342" s="162" t="str">
        <x:f>IF('รายการสัญญา'!A342="","",'รายการสัญญา'!E342)</x:f>
      </x:c>
      <x:c r="D342" s="162" t="str">
        <x:f>IF('รายการสัญญา'!A342="","",'รายการสัญญา'!G342)</x:f>
      </x:c>
      <x:c r="E342" s="159" t="str">
        <x:f>IF('รายการสัญญา'!A342="","",'รายการสัญญา'!K342)</x:f>
      </x:c>
      <x:c r="F342" s="165" t="str">
        <x:f>IF(AND(F$5&gt;=$C342,F$5&lt;=$D342,$A342&lt;&gt;""),"●","")</x:f>
      </x:c>
      <x:c r="G342" s="165" t="str">
        <x:f>IF(AND(G$5&gt;=$C342,G$5&lt;=$D342,$A342&lt;&gt;""),"●","")</x:f>
      </x:c>
      <x:c r="H342" s="165" t="str">
        <x:f>IF(AND(H$5&gt;=$C342,H$5&lt;=$D342,$A342&lt;&gt;""),"●","")</x:f>
      </x:c>
      <x:c r="I342" s="165" t="str">
        <x:f>IF(AND(I$5&gt;=$C342,I$5&lt;=$D342,$A342&lt;&gt;""),"●","")</x:f>
      </x:c>
      <x:c r="J342" s="165" t="str">
        <x:f>IF(AND(J$5&gt;=$C342,J$5&lt;=$D342,$A342&lt;&gt;""),"●","")</x:f>
      </x:c>
      <x:c r="K342" s="165" t="str">
        <x:f>IF(AND(K$5&gt;=$C342,K$5&lt;=$D342,$A342&lt;&gt;""),"●","")</x:f>
      </x:c>
      <x:c r="L342" s="165" t="str">
        <x:f>IF(AND(L$5&gt;=$C342,L$5&lt;=$D342,$A342&lt;&gt;""),"●","")</x:f>
      </x:c>
      <x:c r="M342" s="165" t="str">
        <x:f>IF(AND(M$5&gt;=$C342,M$5&lt;=$D342,$A342&lt;&gt;""),"●","")</x:f>
      </x:c>
      <x:c r="N342" s="165" t="str">
        <x:f>IF(AND(N$5&gt;=$C342,N$5&lt;=$D342,$A342&lt;&gt;""),"●","")</x:f>
      </x:c>
      <x:c r="O342" s="165" t="str">
        <x:f>IF(AND(O$5&gt;=$C342,O$5&lt;=$D342,$A342&lt;&gt;""),"●","")</x:f>
      </x:c>
      <x:c r="P342" s="165" t="str">
        <x:f>IF(AND(P$5&gt;=$C342,P$5&lt;=$D342,$A342&lt;&gt;""),"●","")</x:f>
      </x:c>
      <x:c r="Q342" s="165" t="str">
        <x:f>IF(AND(Q$5&gt;=$C342,Q$5&lt;=$D342,$A342&lt;&gt;""),"●","")</x:f>
      </x:c>
      <x:c r="R342" s="165" t="str">
        <x:f>IF(AND(R$5&gt;=$C342,R$5&lt;=$D342,$A342&lt;&gt;""),"●","")</x:f>
      </x:c>
      <x:c r="S342" s="165" t="str">
        <x:f>IF(AND(S$5&gt;=$C342,S$5&lt;=$D342,$A342&lt;&gt;""),"●","")</x:f>
      </x:c>
      <x:c r="T342" s="165" t="str">
        <x:f>IF(AND(T$5&gt;=$C342,T$5&lt;=$D342,$A342&lt;&gt;""),"●","")</x:f>
      </x:c>
      <x:c r="U342" s="165" t="str">
        <x:f>IF(AND(U$5&gt;=$C342,U$5&lt;=$D342,$A342&lt;&gt;""),"●","")</x:f>
      </x:c>
      <x:c r="V342" s="165" t="str">
        <x:f>IF(AND(V$5&gt;=$C342,V$5&lt;=$D342,$A342&lt;&gt;""),"●","")</x:f>
      </x:c>
      <x:c r="W342" s="165" t="str">
        <x:f>IF(AND(W$5&gt;=$C342,W$5&lt;=$D342,$A342&lt;&gt;""),"●","")</x:f>
      </x:c>
      <x:c r="X342" s="165" t="str">
        <x:f>IF(AND(X$5&gt;=$C342,X$5&lt;=$D342,$A342&lt;&gt;""),"●","")</x:f>
      </x:c>
      <x:c r="Y342" s="165" t="str">
        <x:f>IF(AND(Y$5&gt;=$C342,Y$5&lt;=$D342,$A342&lt;&gt;""),"●","")</x:f>
      </x:c>
      <x:c r="Z342" s="165" t="str">
        <x:f>IF(AND(Z$5&gt;=$C342,Z$5&lt;=$D342,$A342&lt;&gt;""),"●","")</x:f>
      </x:c>
      <x:c r="AA342" s="165" t="str">
        <x:f>IF(AND(AA$5&gt;=$C342,AA$5&lt;=$D342,$A342&lt;&gt;""),"●","")</x:f>
      </x:c>
      <x:c r="AB342" s="165" t="str">
        <x:f>IF(AND(AB$5&gt;=$C342,AB$5&lt;=$D342,$A342&lt;&gt;""),"●","")</x:f>
      </x:c>
      <x:c r="AC342" s="165" t="str">
        <x:f>IF(AND(AC$5&gt;=$C342,AC$5&lt;=$D342,$A342&lt;&gt;""),"●","")</x:f>
      </x:c>
      <x:c r="AD342" s="165" t="str">
        <x:f>IF(AND(AD$5&gt;=$C342,AD$5&lt;=$D342,$A342&lt;&gt;""),"●","")</x:f>
      </x:c>
      <x:c r="AE342" s="165" t="str">
        <x:f>IF(AND(AE$5&gt;=$C342,AE$5&lt;=$D342,$A342&lt;&gt;""),"●","")</x:f>
      </x:c>
      <x:c r="AF342" s="165" t="str">
        <x:f>IF(AND(AF$5&gt;=$C342,AF$5&lt;=$D342,$A342&lt;&gt;""),"●","")</x:f>
      </x:c>
      <x:c r="AG342" s="165" t="str">
        <x:f>IF(AND(AG$5&gt;=$C342,AG$5&lt;=$D342,$A342&lt;&gt;""),"●","")</x:f>
      </x:c>
      <x:c r="AH342" s="165" t="str">
        <x:f>IF(AND(AH$5&gt;=$C342,AH$5&lt;=$D342,$A342&lt;&gt;""),"●","")</x:f>
      </x:c>
      <x:c r="AI342" s="165" t="str">
        <x:f>IF(AND(AI$5&gt;=$C342,AI$5&lt;=$D342,$A342&lt;&gt;""),"●","")</x:f>
      </x:c>
      <x:c r="AJ342" s="165" t="str">
        <x:f>IF(AND(AJ$5&gt;=$C342,AJ$5&lt;=$D342,$A342&lt;&gt;""),"●","")</x:f>
      </x:c>
      <x:c r="AK342" s="165" t="str">
        <x:f>IF(AND(AK$5&gt;=$C342,AK$5&lt;=$D342,$A342&lt;&gt;""),"●","")</x:f>
      </x:c>
      <x:c r="AL342" s="165" t="str">
        <x:f>IF(AND(AL$5&gt;=$C342,AL$5&lt;=$D342,$A342&lt;&gt;""),"●","")</x:f>
      </x:c>
      <x:c r="AM342" s="165" t="str">
        <x:f>IF(AND(AM$5&gt;=$C342,AM$5&lt;=$D342,$A342&lt;&gt;""),"●","")</x:f>
      </x:c>
      <x:c r="AN342" s="165" t="str">
        <x:f>IF(AND(AN$5&gt;=$C342,AN$5&lt;=$D342,$A342&lt;&gt;""),"●","")</x:f>
      </x:c>
      <x:c r="AO342" s="165" t="str">
        <x:f>IF(AND(AO$5&gt;=$C342,AO$5&lt;=$D342,$A342&lt;&gt;""),"●","")</x:f>
      </x:c>
      <x:c r="AP342" s="165" t="str">
        <x:f>IF(AND(AP$5&gt;=$C342,AP$5&lt;=$D342,$A342&lt;&gt;""),"●","")</x:f>
      </x:c>
      <x:c r="AQ342" s="165" t="str">
        <x:f>IF(AND(AQ$5&gt;=$C342,AQ$5&lt;=$D342,$A342&lt;&gt;""),"●","")</x:f>
      </x:c>
      <x:c r="AR342" s="165" t="str">
        <x:f>IF(AND(AR$5&gt;=$C342,AR$5&lt;=$D342,$A342&lt;&gt;""),"●","")</x:f>
      </x:c>
      <x:c r="AS342" s="165" t="str">
        <x:f>IF(AND(AS$5&gt;=$C342,AS$5&lt;=$D342,$A342&lt;&gt;""),"●","")</x:f>
      </x:c>
      <x:c r="AT342" s="165" t="str">
        <x:f>IF(AND(AT$5&gt;=$C342,AT$5&lt;=$D342,$A342&lt;&gt;""),"●","")</x:f>
      </x:c>
      <x:c r="AU342" s="165" t="str">
        <x:f>IF(AND(AU$5&gt;=$C342,AU$5&lt;=$D342,$A342&lt;&gt;""),"●","")</x:f>
      </x:c>
      <x:c r="AV342" s="165" t="str">
        <x:f>IF(AND(AV$5&gt;=$C342,AV$5&lt;=$D342,$A342&lt;&gt;""),"●","")</x:f>
      </x:c>
      <x:c r="AW342" s="165" t="str">
        <x:f>IF(AND(AW$5&gt;=$C342,AW$5&lt;=$D342,$A342&lt;&gt;""),"●","")</x:f>
      </x:c>
      <x:c r="AX342" s="165" t="str">
        <x:f>IF(AND(AX$5&gt;=$C342,AX$5&lt;=$D342,$A342&lt;&gt;""),"●","")</x:f>
      </x:c>
      <x:c r="AY342" s="165" t="str">
        <x:f>IF(AND(AY$5&gt;=$C342,AY$5&lt;=$D342,$A342&lt;&gt;""),"●","")</x:f>
      </x:c>
      <x:c r="AZ342" s="165" t="str">
        <x:f>IF(AND(AZ$5&gt;=$C342,AZ$5&lt;=$D342,$A342&lt;&gt;""),"●","")</x:f>
      </x:c>
      <x:c r="BA342" s="165" t="str">
        <x:f>IF(AND(BA$5&gt;=$C342,BA$5&lt;=$D342,$A342&lt;&gt;""),"●","")</x:f>
      </x:c>
      <x:c r="BB342" s="165" t="str">
        <x:f>IF(AND(BB$5&gt;=$C342,BB$5&lt;=$D342,$A342&lt;&gt;""),"●","")</x:f>
      </x:c>
      <x:c r="BC342" s="165" t="str">
        <x:f>IF(AND(BC$5&gt;=$C342,BC$5&lt;=$D342,$A342&lt;&gt;""),"●","")</x:f>
      </x:c>
      <x:c r="BD342" s="165" t="str">
        <x:f>IF(AND(BD$5&gt;=$C342,BD$5&lt;=$D342,$A342&lt;&gt;""),"●","")</x:f>
      </x:c>
      <x:c r="BE342" s="165" t="str">
        <x:f>IF(AND(BE$5&gt;=$C342,BE$5&lt;=$D342,$A342&lt;&gt;""),"●","")</x:f>
      </x:c>
      <x:c r="BF342" s="165" t="str">
        <x:f>IF(AND(BF$5&gt;=$C342,BF$5&lt;=$D342,$A342&lt;&gt;""),"●","")</x:f>
      </x:c>
      <x:c r="BG342" s="165" t="str">
        <x:f>IF(AND(BG$5&gt;=$C342,BG$5&lt;=$D342,$A342&lt;&gt;""),"●","")</x:f>
      </x:c>
      <x:c r="BH342" s="165" t="str">
        <x:f>IF(AND(BH$5&gt;=$C342,BH$5&lt;=$D342,$A342&lt;&gt;""),"●","")</x:f>
      </x:c>
      <x:c r="BI342" s="165" t="str">
        <x:f>IF(AND(BI$5&gt;=$C342,BI$5&lt;=$D342,$A342&lt;&gt;""),"●","")</x:f>
      </x:c>
      <x:c r="BJ342" s="165" t="str">
        <x:f>IF(AND(BJ$5&gt;=$C342,BJ$5&lt;=$D342,$A342&lt;&gt;""),"●","")</x:f>
      </x:c>
      <x:c r="BK342" s="165" t="str">
        <x:f>IF(AND(BK$5&gt;=$C342,BK$5&lt;=$D342,$A342&lt;&gt;""),"●","")</x:f>
      </x:c>
      <x:c r="BL342" s="165" t="str">
        <x:f>IF(AND(BL$5&gt;=$C342,BL$5&lt;=$D342,$A342&lt;&gt;""),"●","")</x:f>
      </x:c>
      <x:c r="BM342" s="165" t="str">
        <x:f>IF(AND(BM$5&gt;=$C342,BM$5&lt;=$D342,$A342&lt;&gt;""),"●","")</x:f>
      </x:c>
      <x:c r="BN342" s="165" t="str">
        <x:f>IF(AND(BN$5&gt;=$C342,BN$5&lt;=$D342,$A342&lt;&gt;""),"●","")</x:f>
      </x:c>
      <x:c r="BO342" s="165" t="str">
        <x:f>IF(AND(BO$5&gt;=$C342,BO$5&lt;=$D342,$A342&lt;&gt;""),"●","")</x:f>
      </x:c>
      <x:c r="BP342" s="165" t="str">
        <x:f>IF(AND(BP$5&gt;=$C342,BP$5&lt;=$D342,$A342&lt;&gt;""),"●","")</x:f>
      </x:c>
      <x:c r="BQ342" s="165" t="str">
        <x:f>IF(AND(BQ$5&gt;=$C342,BQ$5&lt;=$D342,$A342&lt;&gt;""),"●","")</x:f>
      </x:c>
      <x:c r="BR342" s="165" t="str">
        <x:f>IF(AND(BR$5&gt;=$C342,BR$5&lt;=$D342,$A342&lt;&gt;""),"●","")</x:f>
      </x:c>
      <x:c r="BS342" s="165" t="str">
        <x:f>IF(AND(BS$5&gt;=$C342,BS$5&lt;=$D342,$A342&lt;&gt;""),"●","")</x:f>
      </x:c>
      <x:c r="BT342" s="165" t="str">
        <x:f>IF(AND(BT$5&gt;=$C342,BT$5&lt;=$D342,$A342&lt;&gt;""),"●","")</x:f>
      </x:c>
      <x:c r="BU342" s="165" t="str">
        <x:f>IF(AND(BU$5&gt;=$C342,BU$5&lt;=$D342,$A342&lt;&gt;""),"●","")</x:f>
      </x:c>
      <x:c r="BV342" s="165" t="str">
        <x:f>IF(AND(BV$5&gt;=$C342,BV$5&lt;=$D342,$A342&lt;&gt;""),"●","")</x:f>
      </x:c>
      <x:c r="BW342" s="165" t="str">
        <x:f>IF(AND(BW$5&gt;=$C342,BW$5&lt;=$D342,$A342&lt;&gt;""),"●","")</x:f>
      </x:c>
    </x:row>
    <x:row r="343">
      <x:c r="A343" s="159" t="str">
        <x:f>IF('รายการสัญญา'!A343="","",'รายการสัญญา'!A343)</x:f>
      </x:c>
      <x:c r="B343" s="159" t="str">
        <x:f>IF('รายการสัญญา'!A343="","",'รายการสัญญา'!C343)</x:f>
      </x:c>
      <x:c r="C343" s="162" t="str">
        <x:f>IF('รายการสัญญา'!A343="","",'รายการสัญญา'!E343)</x:f>
      </x:c>
      <x:c r="D343" s="162" t="str">
        <x:f>IF('รายการสัญญา'!A343="","",'รายการสัญญา'!G343)</x:f>
      </x:c>
      <x:c r="E343" s="159" t="str">
        <x:f>IF('รายการสัญญา'!A343="","",'รายการสัญญา'!K343)</x:f>
      </x:c>
      <x:c r="F343" s="165" t="str">
        <x:f>IF(AND(F$5&gt;=$C343,F$5&lt;=$D343,$A343&lt;&gt;""),"●","")</x:f>
      </x:c>
      <x:c r="G343" s="165" t="str">
        <x:f>IF(AND(G$5&gt;=$C343,G$5&lt;=$D343,$A343&lt;&gt;""),"●","")</x:f>
      </x:c>
      <x:c r="H343" s="165" t="str">
        <x:f>IF(AND(H$5&gt;=$C343,H$5&lt;=$D343,$A343&lt;&gt;""),"●","")</x:f>
      </x:c>
      <x:c r="I343" s="165" t="str">
        <x:f>IF(AND(I$5&gt;=$C343,I$5&lt;=$D343,$A343&lt;&gt;""),"●","")</x:f>
      </x:c>
      <x:c r="J343" s="165" t="str">
        <x:f>IF(AND(J$5&gt;=$C343,J$5&lt;=$D343,$A343&lt;&gt;""),"●","")</x:f>
      </x:c>
      <x:c r="K343" s="165" t="str">
        <x:f>IF(AND(K$5&gt;=$C343,K$5&lt;=$D343,$A343&lt;&gt;""),"●","")</x:f>
      </x:c>
      <x:c r="L343" s="165" t="str">
        <x:f>IF(AND(L$5&gt;=$C343,L$5&lt;=$D343,$A343&lt;&gt;""),"●","")</x:f>
      </x:c>
      <x:c r="M343" s="165" t="str">
        <x:f>IF(AND(M$5&gt;=$C343,M$5&lt;=$D343,$A343&lt;&gt;""),"●","")</x:f>
      </x:c>
      <x:c r="N343" s="165" t="str">
        <x:f>IF(AND(N$5&gt;=$C343,N$5&lt;=$D343,$A343&lt;&gt;""),"●","")</x:f>
      </x:c>
      <x:c r="O343" s="165" t="str">
        <x:f>IF(AND(O$5&gt;=$C343,O$5&lt;=$D343,$A343&lt;&gt;""),"●","")</x:f>
      </x:c>
      <x:c r="P343" s="165" t="str">
        <x:f>IF(AND(P$5&gt;=$C343,P$5&lt;=$D343,$A343&lt;&gt;""),"●","")</x:f>
      </x:c>
      <x:c r="Q343" s="165" t="str">
        <x:f>IF(AND(Q$5&gt;=$C343,Q$5&lt;=$D343,$A343&lt;&gt;""),"●","")</x:f>
      </x:c>
      <x:c r="R343" s="165" t="str">
        <x:f>IF(AND(R$5&gt;=$C343,R$5&lt;=$D343,$A343&lt;&gt;""),"●","")</x:f>
      </x:c>
      <x:c r="S343" s="165" t="str">
        <x:f>IF(AND(S$5&gt;=$C343,S$5&lt;=$D343,$A343&lt;&gt;""),"●","")</x:f>
      </x:c>
      <x:c r="T343" s="165" t="str">
        <x:f>IF(AND(T$5&gt;=$C343,T$5&lt;=$D343,$A343&lt;&gt;""),"●","")</x:f>
      </x:c>
      <x:c r="U343" s="165" t="str">
        <x:f>IF(AND(U$5&gt;=$C343,U$5&lt;=$D343,$A343&lt;&gt;""),"●","")</x:f>
      </x:c>
      <x:c r="V343" s="165" t="str">
        <x:f>IF(AND(V$5&gt;=$C343,V$5&lt;=$D343,$A343&lt;&gt;""),"●","")</x:f>
      </x:c>
      <x:c r="W343" s="165" t="str">
        <x:f>IF(AND(W$5&gt;=$C343,W$5&lt;=$D343,$A343&lt;&gt;""),"●","")</x:f>
      </x:c>
      <x:c r="X343" s="165" t="str">
        <x:f>IF(AND(X$5&gt;=$C343,X$5&lt;=$D343,$A343&lt;&gt;""),"●","")</x:f>
      </x:c>
      <x:c r="Y343" s="165" t="str">
        <x:f>IF(AND(Y$5&gt;=$C343,Y$5&lt;=$D343,$A343&lt;&gt;""),"●","")</x:f>
      </x:c>
      <x:c r="Z343" s="165" t="str">
        <x:f>IF(AND(Z$5&gt;=$C343,Z$5&lt;=$D343,$A343&lt;&gt;""),"●","")</x:f>
      </x:c>
      <x:c r="AA343" s="165" t="str">
        <x:f>IF(AND(AA$5&gt;=$C343,AA$5&lt;=$D343,$A343&lt;&gt;""),"●","")</x:f>
      </x:c>
      <x:c r="AB343" s="165" t="str">
        <x:f>IF(AND(AB$5&gt;=$C343,AB$5&lt;=$D343,$A343&lt;&gt;""),"●","")</x:f>
      </x:c>
      <x:c r="AC343" s="165" t="str">
        <x:f>IF(AND(AC$5&gt;=$C343,AC$5&lt;=$D343,$A343&lt;&gt;""),"●","")</x:f>
      </x:c>
      <x:c r="AD343" s="165" t="str">
        <x:f>IF(AND(AD$5&gt;=$C343,AD$5&lt;=$D343,$A343&lt;&gt;""),"●","")</x:f>
      </x:c>
      <x:c r="AE343" s="165" t="str">
        <x:f>IF(AND(AE$5&gt;=$C343,AE$5&lt;=$D343,$A343&lt;&gt;""),"●","")</x:f>
      </x:c>
      <x:c r="AF343" s="165" t="str">
        <x:f>IF(AND(AF$5&gt;=$C343,AF$5&lt;=$D343,$A343&lt;&gt;""),"●","")</x:f>
      </x:c>
      <x:c r="AG343" s="165" t="str">
        <x:f>IF(AND(AG$5&gt;=$C343,AG$5&lt;=$D343,$A343&lt;&gt;""),"●","")</x:f>
      </x:c>
      <x:c r="AH343" s="165" t="str">
        <x:f>IF(AND(AH$5&gt;=$C343,AH$5&lt;=$D343,$A343&lt;&gt;""),"●","")</x:f>
      </x:c>
      <x:c r="AI343" s="165" t="str">
        <x:f>IF(AND(AI$5&gt;=$C343,AI$5&lt;=$D343,$A343&lt;&gt;""),"●","")</x:f>
      </x:c>
      <x:c r="AJ343" s="165" t="str">
        <x:f>IF(AND(AJ$5&gt;=$C343,AJ$5&lt;=$D343,$A343&lt;&gt;""),"●","")</x:f>
      </x:c>
      <x:c r="AK343" s="165" t="str">
        <x:f>IF(AND(AK$5&gt;=$C343,AK$5&lt;=$D343,$A343&lt;&gt;""),"●","")</x:f>
      </x:c>
      <x:c r="AL343" s="165" t="str">
        <x:f>IF(AND(AL$5&gt;=$C343,AL$5&lt;=$D343,$A343&lt;&gt;""),"●","")</x:f>
      </x:c>
      <x:c r="AM343" s="165" t="str">
        <x:f>IF(AND(AM$5&gt;=$C343,AM$5&lt;=$D343,$A343&lt;&gt;""),"●","")</x:f>
      </x:c>
      <x:c r="AN343" s="165" t="str">
        <x:f>IF(AND(AN$5&gt;=$C343,AN$5&lt;=$D343,$A343&lt;&gt;""),"●","")</x:f>
      </x:c>
      <x:c r="AO343" s="165" t="str">
        <x:f>IF(AND(AO$5&gt;=$C343,AO$5&lt;=$D343,$A343&lt;&gt;""),"●","")</x:f>
      </x:c>
      <x:c r="AP343" s="165" t="str">
        <x:f>IF(AND(AP$5&gt;=$C343,AP$5&lt;=$D343,$A343&lt;&gt;""),"●","")</x:f>
      </x:c>
      <x:c r="AQ343" s="165" t="str">
        <x:f>IF(AND(AQ$5&gt;=$C343,AQ$5&lt;=$D343,$A343&lt;&gt;""),"●","")</x:f>
      </x:c>
      <x:c r="AR343" s="165" t="str">
        <x:f>IF(AND(AR$5&gt;=$C343,AR$5&lt;=$D343,$A343&lt;&gt;""),"●","")</x:f>
      </x:c>
      <x:c r="AS343" s="165" t="str">
        <x:f>IF(AND(AS$5&gt;=$C343,AS$5&lt;=$D343,$A343&lt;&gt;""),"●","")</x:f>
      </x:c>
      <x:c r="AT343" s="165" t="str">
        <x:f>IF(AND(AT$5&gt;=$C343,AT$5&lt;=$D343,$A343&lt;&gt;""),"●","")</x:f>
      </x:c>
      <x:c r="AU343" s="165" t="str">
        <x:f>IF(AND(AU$5&gt;=$C343,AU$5&lt;=$D343,$A343&lt;&gt;""),"●","")</x:f>
      </x:c>
      <x:c r="AV343" s="165" t="str">
        <x:f>IF(AND(AV$5&gt;=$C343,AV$5&lt;=$D343,$A343&lt;&gt;""),"●","")</x:f>
      </x:c>
      <x:c r="AW343" s="165" t="str">
        <x:f>IF(AND(AW$5&gt;=$C343,AW$5&lt;=$D343,$A343&lt;&gt;""),"●","")</x:f>
      </x:c>
      <x:c r="AX343" s="165" t="str">
        <x:f>IF(AND(AX$5&gt;=$C343,AX$5&lt;=$D343,$A343&lt;&gt;""),"●","")</x:f>
      </x:c>
      <x:c r="AY343" s="165" t="str">
        <x:f>IF(AND(AY$5&gt;=$C343,AY$5&lt;=$D343,$A343&lt;&gt;""),"●","")</x:f>
      </x:c>
      <x:c r="AZ343" s="165" t="str">
        <x:f>IF(AND(AZ$5&gt;=$C343,AZ$5&lt;=$D343,$A343&lt;&gt;""),"●","")</x:f>
      </x:c>
      <x:c r="BA343" s="165" t="str">
        <x:f>IF(AND(BA$5&gt;=$C343,BA$5&lt;=$D343,$A343&lt;&gt;""),"●","")</x:f>
      </x:c>
      <x:c r="BB343" s="165" t="str">
        <x:f>IF(AND(BB$5&gt;=$C343,BB$5&lt;=$D343,$A343&lt;&gt;""),"●","")</x:f>
      </x:c>
      <x:c r="BC343" s="165" t="str">
        <x:f>IF(AND(BC$5&gt;=$C343,BC$5&lt;=$D343,$A343&lt;&gt;""),"●","")</x:f>
      </x:c>
      <x:c r="BD343" s="165" t="str">
        <x:f>IF(AND(BD$5&gt;=$C343,BD$5&lt;=$D343,$A343&lt;&gt;""),"●","")</x:f>
      </x:c>
      <x:c r="BE343" s="165" t="str">
        <x:f>IF(AND(BE$5&gt;=$C343,BE$5&lt;=$D343,$A343&lt;&gt;""),"●","")</x:f>
      </x:c>
      <x:c r="BF343" s="165" t="str">
        <x:f>IF(AND(BF$5&gt;=$C343,BF$5&lt;=$D343,$A343&lt;&gt;""),"●","")</x:f>
      </x:c>
      <x:c r="BG343" s="165" t="str">
        <x:f>IF(AND(BG$5&gt;=$C343,BG$5&lt;=$D343,$A343&lt;&gt;""),"●","")</x:f>
      </x:c>
      <x:c r="BH343" s="165" t="str">
        <x:f>IF(AND(BH$5&gt;=$C343,BH$5&lt;=$D343,$A343&lt;&gt;""),"●","")</x:f>
      </x:c>
      <x:c r="BI343" s="165" t="str">
        <x:f>IF(AND(BI$5&gt;=$C343,BI$5&lt;=$D343,$A343&lt;&gt;""),"●","")</x:f>
      </x:c>
      <x:c r="BJ343" s="165" t="str">
        <x:f>IF(AND(BJ$5&gt;=$C343,BJ$5&lt;=$D343,$A343&lt;&gt;""),"●","")</x:f>
      </x:c>
      <x:c r="BK343" s="165" t="str">
        <x:f>IF(AND(BK$5&gt;=$C343,BK$5&lt;=$D343,$A343&lt;&gt;""),"●","")</x:f>
      </x:c>
      <x:c r="BL343" s="165" t="str">
        <x:f>IF(AND(BL$5&gt;=$C343,BL$5&lt;=$D343,$A343&lt;&gt;""),"●","")</x:f>
      </x:c>
      <x:c r="BM343" s="165" t="str">
        <x:f>IF(AND(BM$5&gt;=$C343,BM$5&lt;=$D343,$A343&lt;&gt;""),"●","")</x:f>
      </x:c>
      <x:c r="BN343" s="165" t="str">
        <x:f>IF(AND(BN$5&gt;=$C343,BN$5&lt;=$D343,$A343&lt;&gt;""),"●","")</x:f>
      </x:c>
      <x:c r="BO343" s="165" t="str">
        <x:f>IF(AND(BO$5&gt;=$C343,BO$5&lt;=$D343,$A343&lt;&gt;""),"●","")</x:f>
      </x:c>
      <x:c r="BP343" s="165" t="str">
        <x:f>IF(AND(BP$5&gt;=$C343,BP$5&lt;=$D343,$A343&lt;&gt;""),"●","")</x:f>
      </x:c>
      <x:c r="BQ343" s="165" t="str">
        <x:f>IF(AND(BQ$5&gt;=$C343,BQ$5&lt;=$D343,$A343&lt;&gt;""),"●","")</x:f>
      </x:c>
      <x:c r="BR343" s="165" t="str">
        <x:f>IF(AND(BR$5&gt;=$C343,BR$5&lt;=$D343,$A343&lt;&gt;""),"●","")</x:f>
      </x:c>
      <x:c r="BS343" s="165" t="str">
        <x:f>IF(AND(BS$5&gt;=$C343,BS$5&lt;=$D343,$A343&lt;&gt;""),"●","")</x:f>
      </x:c>
      <x:c r="BT343" s="165" t="str">
        <x:f>IF(AND(BT$5&gt;=$C343,BT$5&lt;=$D343,$A343&lt;&gt;""),"●","")</x:f>
      </x:c>
      <x:c r="BU343" s="165" t="str">
        <x:f>IF(AND(BU$5&gt;=$C343,BU$5&lt;=$D343,$A343&lt;&gt;""),"●","")</x:f>
      </x:c>
      <x:c r="BV343" s="165" t="str">
        <x:f>IF(AND(BV$5&gt;=$C343,BV$5&lt;=$D343,$A343&lt;&gt;""),"●","")</x:f>
      </x:c>
      <x:c r="BW343" s="165" t="str">
        <x:f>IF(AND(BW$5&gt;=$C343,BW$5&lt;=$D343,$A343&lt;&gt;""),"●","")</x:f>
      </x:c>
    </x:row>
    <x:row r="344">
      <x:c r="A344" s="159" t="str">
        <x:f>IF('รายการสัญญา'!A344="","",'รายการสัญญา'!A344)</x:f>
      </x:c>
      <x:c r="B344" s="159" t="str">
        <x:f>IF('รายการสัญญา'!A344="","",'รายการสัญญา'!C344)</x:f>
      </x:c>
      <x:c r="C344" s="162" t="str">
        <x:f>IF('รายการสัญญา'!A344="","",'รายการสัญญา'!E344)</x:f>
      </x:c>
      <x:c r="D344" s="162" t="str">
        <x:f>IF('รายการสัญญา'!A344="","",'รายการสัญญา'!G344)</x:f>
      </x:c>
      <x:c r="E344" s="159" t="str">
        <x:f>IF('รายการสัญญา'!A344="","",'รายการสัญญา'!K344)</x:f>
      </x:c>
      <x:c r="F344" s="165" t="str">
        <x:f>IF(AND(F$5&gt;=$C344,F$5&lt;=$D344,$A344&lt;&gt;""),"●","")</x:f>
      </x:c>
      <x:c r="G344" s="165" t="str">
        <x:f>IF(AND(G$5&gt;=$C344,G$5&lt;=$D344,$A344&lt;&gt;""),"●","")</x:f>
      </x:c>
      <x:c r="H344" s="165" t="str">
        <x:f>IF(AND(H$5&gt;=$C344,H$5&lt;=$D344,$A344&lt;&gt;""),"●","")</x:f>
      </x:c>
      <x:c r="I344" s="165" t="str">
        <x:f>IF(AND(I$5&gt;=$C344,I$5&lt;=$D344,$A344&lt;&gt;""),"●","")</x:f>
      </x:c>
      <x:c r="J344" s="165" t="str">
        <x:f>IF(AND(J$5&gt;=$C344,J$5&lt;=$D344,$A344&lt;&gt;""),"●","")</x:f>
      </x:c>
      <x:c r="K344" s="165" t="str">
        <x:f>IF(AND(K$5&gt;=$C344,K$5&lt;=$D344,$A344&lt;&gt;""),"●","")</x:f>
      </x:c>
      <x:c r="L344" s="165" t="str">
        <x:f>IF(AND(L$5&gt;=$C344,L$5&lt;=$D344,$A344&lt;&gt;""),"●","")</x:f>
      </x:c>
      <x:c r="M344" s="165" t="str">
        <x:f>IF(AND(M$5&gt;=$C344,M$5&lt;=$D344,$A344&lt;&gt;""),"●","")</x:f>
      </x:c>
      <x:c r="N344" s="165" t="str">
        <x:f>IF(AND(N$5&gt;=$C344,N$5&lt;=$D344,$A344&lt;&gt;""),"●","")</x:f>
      </x:c>
      <x:c r="O344" s="165" t="str">
        <x:f>IF(AND(O$5&gt;=$C344,O$5&lt;=$D344,$A344&lt;&gt;""),"●","")</x:f>
      </x:c>
      <x:c r="P344" s="165" t="str">
        <x:f>IF(AND(P$5&gt;=$C344,P$5&lt;=$D344,$A344&lt;&gt;""),"●","")</x:f>
      </x:c>
      <x:c r="Q344" s="165" t="str">
        <x:f>IF(AND(Q$5&gt;=$C344,Q$5&lt;=$D344,$A344&lt;&gt;""),"●","")</x:f>
      </x:c>
      <x:c r="R344" s="165" t="str">
        <x:f>IF(AND(R$5&gt;=$C344,R$5&lt;=$D344,$A344&lt;&gt;""),"●","")</x:f>
      </x:c>
      <x:c r="S344" s="165" t="str">
        <x:f>IF(AND(S$5&gt;=$C344,S$5&lt;=$D344,$A344&lt;&gt;""),"●","")</x:f>
      </x:c>
      <x:c r="T344" s="165" t="str">
        <x:f>IF(AND(T$5&gt;=$C344,T$5&lt;=$D344,$A344&lt;&gt;""),"●","")</x:f>
      </x:c>
      <x:c r="U344" s="165" t="str">
        <x:f>IF(AND(U$5&gt;=$C344,U$5&lt;=$D344,$A344&lt;&gt;""),"●","")</x:f>
      </x:c>
      <x:c r="V344" s="165" t="str">
        <x:f>IF(AND(V$5&gt;=$C344,V$5&lt;=$D344,$A344&lt;&gt;""),"●","")</x:f>
      </x:c>
      <x:c r="W344" s="165" t="str">
        <x:f>IF(AND(W$5&gt;=$C344,W$5&lt;=$D344,$A344&lt;&gt;""),"●","")</x:f>
      </x:c>
      <x:c r="X344" s="165" t="str">
        <x:f>IF(AND(X$5&gt;=$C344,X$5&lt;=$D344,$A344&lt;&gt;""),"●","")</x:f>
      </x:c>
      <x:c r="Y344" s="165" t="str">
        <x:f>IF(AND(Y$5&gt;=$C344,Y$5&lt;=$D344,$A344&lt;&gt;""),"●","")</x:f>
      </x:c>
      <x:c r="Z344" s="165" t="str">
        <x:f>IF(AND(Z$5&gt;=$C344,Z$5&lt;=$D344,$A344&lt;&gt;""),"●","")</x:f>
      </x:c>
      <x:c r="AA344" s="165" t="str">
        <x:f>IF(AND(AA$5&gt;=$C344,AA$5&lt;=$D344,$A344&lt;&gt;""),"●","")</x:f>
      </x:c>
      <x:c r="AB344" s="165" t="str">
        <x:f>IF(AND(AB$5&gt;=$C344,AB$5&lt;=$D344,$A344&lt;&gt;""),"●","")</x:f>
      </x:c>
      <x:c r="AC344" s="165" t="str">
        <x:f>IF(AND(AC$5&gt;=$C344,AC$5&lt;=$D344,$A344&lt;&gt;""),"●","")</x:f>
      </x:c>
      <x:c r="AD344" s="165" t="str">
        <x:f>IF(AND(AD$5&gt;=$C344,AD$5&lt;=$D344,$A344&lt;&gt;""),"●","")</x:f>
      </x:c>
      <x:c r="AE344" s="165" t="str">
        <x:f>IF(AND(AE$5&gt;=$C344,AE$5&lt;=$D344,$A344&lt;&gt;""),"●","")</x:f>
      </x:c>
      <x:c r="AF344" s="165" t="str">
        <x:f>IF(AND(AF$5&gt;=$C344,AF$5&lt;=$D344,$A344&lt;&gt;""),"●","")</x:f>
      </x:c>
      <x:c r="AG344" s="165" t="str">
        <x:f>IF(AND(AG$5&gt;=$C344,AG$5&lt;=$D344,$A344&lt;&gt;""),"●","")</x:f>
      </x:c>
      <x:c r="AH344" s="165" t="str">
        <x:f>IF(AND(AH$5&gt;=$C344,AH$5&lt;=$D344,$A344&lt;&gt;""),"●","")</x:f>
      </x:c>
      <x:c r="AI344" s="165" t="str">
        <x:f>IF(AND(AI$5&gt;=$C344,AI$5&lt;=$D344,$A344&lt;&gt;""),"●","")</x:f>
      </x:c>
      <x:c r="AJ344" s="165" t="str">
        <x:f>IF(AND(AJ$5&gt;=$C344,AJ$5&lt;=$D344,$A344&lt;&gt;""),"●","")</x:f>
      </x:c>
      <x:c r="AK344" s="165" t="str">
        <x:f>IF(AND(AK$5&gt;=$C344,AK$5&lt;=$D344,$A344&lt;&gt;""),"●","")</x:f>
      </x:c>
      <x:c r="AL344" s="165" t="str">
        <x:f>IF(AND(AL$5&gt;=$C344,AL$5&lt;=$D344,$A344&lt;&gt;""),"●","")</x:f>
      </x:c>
      <x:c r="AM344" s="165" t="str">
        <x:f>IF(AND(AM$5&gt;=$C344,AM$5&lt;=$D344,$A344&lt;&gt;""),"●","")</x:f>
      </x:c>
      <x:c r="AN344" s="165" t="str">
        <x:f>IF(AND(AN$5&gt;=$C344,AN$5&lt;=$D344,$A344&lt;&gt;""),"●","")</x:f>
      </x:c>
      <x:c r="AO344" s="165" t="str">
        <x:f>IF(AND(AO$5&gt;=$C344,AO$5&lt;=$D344,$A344&lt;&gt;""),"●","")</x:f>
      </x:c>
      <x:c r="AP344" s="165" t="str">
        <x:f>IF(AND(AP$5&gt;=$C344,AP$5&lt;=$D344,$A344&lt;&gt;""),"●","")</x:f>
      </x:c>
      <x:c r="AQ344" s="165" t="str">
        <x:f>IF(AND(AQ$5&gt;=$C344,AQ$5&lt;=$D344,$A344&lt;&gt;""),"●","")</x:f>
      </x:c>
      <x:c r="AR344" s="165" t="str">
        <x:f>IF(AND(AR$5&gt;=$C344,AR$5&lt;=$D344,$A344&lt;&gt;""),"●","")</x:f>
      </x:c>
      <x:c r="AS344" s="165" t="str">
        <x:f>IF(AND(AS$5&gt;=$C344,AS$5&lt;=$D344,$A344&lt;&gt;""),"●","")</x:f>
      </x:c>
      <x:c r="AT344" s="165" t="str">
        <x:f>IF(AND(AT$5&gt;=$C344,AT$5&lt;=$D344,$A344&lt;&gt;""),"●","")</x:f>
      </x:c>
      <x:c r="AU344" s="165" t="str">
        <x:f>IF(AND(AU$5&gt;=$C344,AU$5&lt;=$D344,$A344&lt;&gt;""),"●","")</x:f>
      </x:c>
      <x:c r="AV344" s="165" t="str">
        <x:f>IF(AND(AV$5&gt;=$C344,AV$5&lt;=$D344,$A344&lt;&gt;""),"●","")</x:f>
      </x:c>
      <x:c r="AW344" s="165" t="str">
        <x:f>IF(AND(AW$5&gt;=$C344,AW$5&lt;=$D344,$A344&lt;&gt;""),"●","")</x:f>
      </x:c>
      <x:c r="AX344" s="165" t="str">
        <x:f>IF(AND(AX$5&gt;=$C344,AX$5&lt;=$D344,$A344&lt;&gt;""),"●","")</x:f>
      </x:c>
      <x:c r="AY344" s="165" t="str">
        <x:f>IF(AND(AY$5&gt;=$C344,AY$5&lt;=$D344,$A344&lt;&gt;""),"●","")</x:f>
      </x:c>
      <x:c r="AZ344" s="165" t="str">
        <x:f>IF(AND(AZ$5&gt;=$C344,AZ$5&lt;=$D344,$A344&lt;&gt;""),"●","")</x:f>
      </x:c>
      <x:c r="BA344" s="165" t="str">
        <x:f>IF(AND(BA$5&gt;=$C344,BA$5&lt;=$D344,$A344&lt;&gt;""),"●","")</x:f>
      </x:c>
      <x:c r="BB344" s="165" t="str">
        <x:f>IF(AND(BB$5&gt;=$C344,BB$5&lt;=$D344,$A344&lt;&gt;""),"●","")</x:f>
      </x:c>
      <x:c r="BC344" s="165" t="str">
        <x:f>IF(AND(BC$5&gt;=$C344,BC$5&lt;=$D344,$A344&lt;&gt;""),"●","")</x:f>
      </x:c>
      <x:c r="BD344" s="165" t="str">
        <x:f>IF(AND(BD$5&gt;=$C344,BD$5&lt;=$D344,$A344&lt;&gt;""),"●","")</x:f>
      </x:c>
      <x:c r="BE344" s="165" t="str">
        <x:f>IF(AND(BE$5&gt;=$C344,BE$5&lt;=$D344,$A344&lt;&gt;""),"●","")</x:f>
      </x:c>
      <x:c r="BF344" s="165" t="str">
        <x:f>IF(AND(BF$5&gt;=$C344,BF$5&lt;=$D344,$A344&lt;&gt;""),"●","")</x:f>
      </x:c>
      <x:c r="BG344" s="165" t="str">
        <x:f>IF(AND(BG$5&gt;=$C344,BG$5&lt;=$D344,$A344&lt;&gt;""),"●","")</x:f>
      </x:c>
      <x:c r="BH344" s="165" t="str">
        <x:f>IF(AND(BH$5&gt;=$C344,BH$5&lt;=$D344,$A344&lt;&gt;""),"●","")</x:f>
      </x:c>
      <x:c r="BI344" s="165" t="str">
        <x:f>IF(AND(BI$5&gt;=$C344,BI$5&lt;=$D344,$A344&lt;&gt;""),"●","")</x:f>
      </x:c>
      <x:c r="BJ344" s="165" t="str">
        <x:f>IF(AND(BJ$5&gt;=$C344,BJ$5&lt;=$D344,$A344&lt;&gt;""),"●","")</x:f>
      </x:c>
      <x:c r="BK344" s="165" t="str">
        <x:f>IF(AND(BK$5&gt;=$C344,BK$5&lt;=$D344,$A344&lt;&gt;""),"●","")</x:f>
      </x:c>
      <x:c r="BL344" s="165" t="str">
        <x:f>IF(AND(BL$5&gt;=$C344,BL$5&lt;=$D344,$A344&lt;&gt;""),"●","")</x:f>
      </x:c>
      <x:c r="BM344" s="165" t="str">
        <x:f>IF(AND(BM$5&gt;=$C344,BM$5&lt;=$D344,$A344&lt;&gt;""),"●","")</x:f>
      </x:c>
      <x:c r="BN344" s="165" t="str">
        <x:f>IF(AND(BN$5&gt;=$C344,BN$5&lt;=$D344,$A344&lt;&gt;""),"●","")</x:f>
      </x:c>
      <x:c r="BO344" s="165" t="str">
        <x:f>IF(AND(BO$5&gt;=$C344,BO$5&lt;=$D344,$A344&lt;&gt;""),"●","")</x:f>
      </x:c>
      <x:c r="BP344" s="165" t="str">
        <x:f>IF(AND(BP$5&gt;=$C344,BP$5&lt;=$D344,$A344&lt;&gt;""),"●","")</x:f>
      </x:c>
      <x:c r="BQ344" s="165" t="str">
        <x:f>IF(AND(BQ$5&gt;=$C344,BQ$5&lt;=$D344,$A344&lt;&gt;""),"●","")</x:f>
      </x:c>
      <x:c r="BR344" s="165" t="str">
        <x:f>IF(AND(BR$5&gt;=$C344,BR$5&lt;=$D344,$A344&lt;&gt;""),"●","")</x:f>
      </x:c>
      <x:c r="BS344" s="165" t="str">
        <x:f>IF(AND(BS$5&gt;=$C344,BS$5&lt;=$D344,$A344&lt;&gt;""),"●","")</x:f>
      </x:c>
      <x:c r="BT344" s="165" t="str">
        <x:f>IF(AND(BT$5&gt;=$C344,BT$5&lt;=$D344,$A344&lt;&gt;""),"●","")</x:f>
      </x:c>
      <x:c r="BU344" s="165" t="str">
        <x:f>IF(AND(BU$5&gt;=$C344,BU$5&lt;=$D344,$A344&lt;&gt;""),"●","")</x:f>
      </x:c>
      <x:c r="BV344" s="165" t="str">
        <x:f>IF(AND(BV$5&gt;=$C344,BV$5&lt;=$D344,$A344&lt;&gt;""),"●","")</x:f>
      </x:c>
      <x:c r="BW344" s="165" t="str">
        <x:f>IF(AND(BW$5&gt;=$C344,BW$5&lt;=$D344,$A344&lt;&gt;""),"●","")</x:f>
      </x:c>
    </x:row>
    <x:row r="345">
      <x:c r="A345" s="159" t="str">
        <x:f>IF('รายการสัญญา'!A345="","",'รายการสัญญา'!A345)</x:f>
      </x:c>
      <x:c r="B345" s="159" t="str">
        <x:f>IF('รายการสัญญา'!A345="","",'รายการสัญญา'!C345)</x:f>
      </x:c>
      <x:c r="C345" s="162" t="str">
        <x:f>IF('รายการสัญญา'!A345="","",'รายการสัญญา'!E345)</x:f>
      </x:c>
      <x:c r="D345" s="162" t="str">
        <x:f>IF('รายการสัญญา'!A345="","",'รายการสัญญา'!G345)</x:f>
      </x:c>
      <x:c r="E345" s="159" t="str">
        <x:f>IF('รายการสัญญา'!A345="","",'รายการสัญญา'!K345)</x:f>
      </x:c>
      <x:c r="F345" s="165" t="str">
        <x:f>IF(AND(F$5&gt;=$C345,F$5&lt;=$D345,$A345&lt;&gt;""),"●","")</x:f>
      </x:c>
      <x:c r="G345" s="165" t="str">
        <x:f>IF(AND(G$5&gt;=$C345,G$5&lt;=$D345,$A345&lt;&gt;""),"●","")</x:f>
      </x:c>
      <x:c r="H345" s="165" t="str">
        <x:f>IF(AND(H$5&gt;=$C345,H$5&lt;=$D345,$A345&lt;&gt;""),"●","")</x:f>
      </x:c>
      <x:c r="I345" s="165" t="str">
        <x:f>IF(AND(I$5&gt;=$C345,I$5&lt;=$D345,$A345&lt;&gt;""),"●","")</x:f>
      </x:c>
      <x:c r="J345" s="165" t="str">
        <x:f>IF(AND(J$5&gt;=$C345,J$5&lt;=$D345,$A345&lt;&gt;""),"●","")</x:f>
      </x:c>
      <x:c r="K345" s="165" t="str">
        <x:f>IF(AND(K$5&gt;=$C345,K$5&lt;=$D345,$A345&lt;&gt;""),"●","")</x:f>
      </x:c>
      <x:c r="L345" s="165" t="str">
        <x:f>IF(AND(L$5&gt;=$C345,L$5&lt;=$D345,$A345&lt;&gt;""),"●","")</x:f>
      </x:c>
      <x:c r="M345" s="165" t="str">
        <x:f>IF(AND(M$5&gt;=$C345,M$5&lt;=$D345,$A345&lt;&gt;""),"●","")</x:f>
      </x:c>
      <x:c r="N345" s="165" t="str">
        <x:f>IF(AND(N$5&gt;=$C345,N$5&lt;=$D345,$A345&lt;&gt;""),"●","")</x:f>
      </x:c>
      <x:c r="O345" s="165" t="str">
        <x:f>IF(AND(O$5&gt;=$C345,O$5&lt;=$D345,$A345&lt;&gt;""),"●","")</x:f>
      </x:c>
      <x:c r="P345" s="165" t="str">
        <x:f>IF(AND(P$5&gt;=$C345,P$5&lt;=$D345,$A345&lt;&gt;""),"●","")</x:f>
      </x:c>
      <x:c r="Q345" s="165" t="str">
        <x:f>IF(AND(Q$5&gt;=$C345,Q$5&lt;=$D345,$A345&lt;&gt;""),"●","")</x:f>
      </x:c>
      <x:c r="R345" s="165" t="str">
        <x:f>IF(AND(R$5&gt;=$C345,R$5&lt;=$D345,$A345&lt;&gt;""),"●","")</x:f>
      </x:c>
      <x:c r="S345" s="165" t="str">
        <x:f>IF(AND(S$5&gt;=$C345,S$5&lt;=$D345,$A345&lt;&gt;""),"●","")</x:f>
      </x:c>
      <x:c r="T345" s="165" t="str">
        <x:f>IF(AND(T$5&gt;=$C345,T$5&lt;=$D345,$A345&lt;&gt;""),"●","")</x:f>
      </x:c>
      <x:c r="U345" s="165" t="str">
        <x:f>IF(AND(U$5&gt;=$C345,U$5&lt;=$D345,$A345&lt;&gt;""),"●","")</x:f>
      </x:c>
      <x:c r="V345" s="165" t="str">
        <x:f>IF(AND(V$5&gt;=$C345,V$5&lt;=$D345,$A345&lt;&gt;""),"●","")</x:f>
      </x:c>
      <x:c r="W345" s="165" t="str">
        <x:f>IF(AND(W$5&gt;=$C345,W$5&lt;=$D345,$A345&lt;&gt;""),"●","")</x:f>
      </x:c>
      <x:c r="X345" s="165" t="str">
        <x:f>IF(AND(X$5&gt;=$C345,X$5&lt;=$D345,$A345&lt;&gt;""),"●","")</x:f>
      </x:c>
      <x:c r="Y345" s="165" t="str">
        <x:f>IF(AND(Y$5&gt;=$C345,Y$5&lt;=$D345,$A345&lt;&gt;""),"●","")</x:f>
      </x:c>
      <x:c r="Z345" s="165" t="str">
        <x:f>IF(AND(Z$5&gt;=$C345,Z$5&lt;=$D345,$A345&lt;&gt;""),"●","")</x:f>
      </x:c>
      <x:c r="AA345" s="165" t="str">
        <x:f>IF(AND(AA$5&gt;=$C345,AA$5&lt;=$D345,$A345&lt;&gt;""),"●","")</x:f>
      </x:c>
      <x:c r="AB345" s="165" t="str">
        <x:f>IF(AND(AB$5&gt;=$C345,AB$5&lt;=$D345,$A345&lt;&gt;""),"●","")</x:f>
      </x:c>
      <x:c r="AC345" s="165" t="str">
        <x:f>IF(AND(AC$5&gt;=$C345,AC$5&lt;=$D345,$A345&lt;&gt;""),"●","")</x:f>
      </x:c>
      <x:c r="AD345" s="165" t="str">
        <x:f>IF(AND(AD$5&gt;=$C345,AD$5&lt;=$D345,$A345&lt;&gt;""),"●","")</x:f>
      </x:c>
      <x:c r="AE345" s="165" t="str">
        <x:f>IF(AND(AE$5&gt;=$C345,AE$5&lt;=$D345,$A345&lt;&gt;""),"●","")</x:f>
      </x:c>
      <x:c r="AF345" s="165" t="str">
        <x:f>IF(AND(AF$5&gt;=$C345,AF$5&lt;=$D345,$A345&lt;&gt;""),"●","")</x:f>
      </x:c>
      <x:c r="AG345" s="165" t="str">
        <x:f>IF(AND(AG$5&gt;=$C345,AG$5&lt;=$D345,$A345&lt;&gt;""),"●","")</x:f>
      </x:c>
      <x:c r="AH345" s="165" t="str">
        <x:f>IF(AND(AH$5&gt;=$C345,AH$5&lt;=$D345,$A345&lt;&gt;""),"●","")</x:f>
      </x:c>
      <x:c r="AI345" s="165" t="str">
        <x:f>IF(AND(AI$5&gt;=$C345,AI$5&lt;=$D345,$A345&lt;&gt;""),"●","")</x:f>
      </x:c>
      <x:c r="AJ345" s="165" t="str">
        <x:f>IF(AND(AJ$5&gt;=$C345,AJ$5&lt;=$D345,$A345&lt;&gt;""),"●","")</x:f>
      </x:c>
      <x:c r="AK345" s="165" t="str">
        <x:f>IF(AND(AK$5&gt;=$C345,AK$5&lt;=$D345,$A345&lt;&gt;""),"●","")</x:f>
      </x:c>
      <x:c r="AL345" s="165" t="str">
        <x:f>IF(AND(AL$5&gt;=$C345,AL$5&lt;=$D345,$A345&lt;&gt;""),"●","")</x:f>
      </x:c>
      <x:c r="AM345" s="165" t="str">
        <x:f>IF(AND(AM$5&gt;=$C345,AM$5&lt;=$D345,$A345&lt;&gt;""),"●","")</x:f>
      </x:c>
      <x:c r="AN345" s="165" t="str">
        <x:f>IF(AND(AN$5&gt;=$C345,AN$5&lt;=$D345,$A345&lt;&gt;""),"●","")</x:f>
      </x:c>
      <x:c r="AO345" s="165" t="str">
        <x:f>IF(AND(AO$5&gt;=$C345,AO$5&lt;=$D345,$A345&lt;&gt;""),"●","")</x:f>
      </x:c>
      <x:c r="AP345" s="165" t="str">
        <x:f>IF(AND(AP$5&gt;=$C345,AP$5&lt;=$D345,$A345&lt;&gt;""),"●","")</x:f>
      </x:c>
      <x:c r="AQ345" s="165" t="str">
        <x:f>IF(AND(AQ$5&gt;=$C345,AQ$5&lt;=$D345,$A345&lt;&gt;""),"●","")</x:f>
      </x:c>
      <x:c r="AR345" s="165" t="str">
        <x:f>IF(AND(AR$5&gt;=$C345,AR$5&lt;=$D345,$A345&lt;&gt;""),"●","")</x:f>
      </x:c>
      <x:c r="AS345" s="165" t="str">
        <x:f>IF(AND(AS$5&gt;=$C345,AS$5&lt;=$D345,$A345&lt;&gt;""),"●","")</x:f>
      </x:c>
      <x:c r="AT345" s="165" t="str">
        <x:f>IF(AND(AT$5&gt;=$C345,AT$5&lt;=$D345,$A345&lt;&gt;""),"●","")</x:f>
      </x:c>
      <x:c r="AU345" s="165" t="str">
        <x:f>IF(AND(AU$5&gt;=$C345,AU$5&lt;=$D345,$A345&lt;&gt;""),"●","")</x:f>
      </x:c>
      <x:c r="AV345" s="165" t="str">
        <x:f>IF(AND(AV$5&gt;=$C345,AV$5&lt;=$D345,$A345&lt;&gt;""),"●","")</x:f>
      </x:c>
      <x:c r="AW345" s="165" t="str">
        <x:f>IF(AND(AW$5&gt;=$C345,AW$5&lt;=$D345,$A345&lt;&gt;""),"●","")</x:f>
      </x:c>
      <x:c r="AX345" s="165" t="str">
        <x:f>IF(AND(AX$5&gt;=$C345,AX$5&lt;=$D345,$A345&lt;&gt;""),"●","")</x:f>
      </x:c>
      <x:c r="AY345" s="165" t="str">
        <x:f>IF(AND(AY$5&gt;=$C345,AY$5&lt;=$D345,$A345&lt;&gt;""),"●","")</x:f>
      </x:c>
      <x:c r="AZ345" s="165" t="str">
        <x:f>IF(AND(AZ$5&gt;=$C345,AZ$5&lt;=$D345,$A345&lt;&gt;""),"●","")</x:f>
      </x:c>
      <x:c r="BA345" s="165" t="str">
        <x:f>IF(AND(BA$5&gt;=$C345,BA$5&lt;=$D345,$A345&lt;&gt;""),"●","")</x:f>
      </x:c>
      <x:c r="BB345" s="165" t="str">
        <x:f>IF(AND(BB$5&gt;=$C345,BB$5&lt;=$D345,$A345&lt;&gt;""),"●","")</x:f>
      </x:c>
      <x:c r="BC345" s="165" t="str">
        <x:f>IF(AND(BC$5&gt;=$C345,BC$5&lt;=$D345,$A345&lt;&gt;""),"●","")</x:f>
      </x:c>
      <x:c r="BD345" s="165" t="str">
        <x:f>IF(AND(BD$5&gt;=$C345,BD$5&lt;=$D345,$A345&lt;&gt;""),"●","")</x:f>
      </x:c>
      <x:c r="BE345" s="165" t="str">
        <x:f>IF(AND(BE$5&gt;=$C345,BE$5&lt;=$D345,$A345&lt;&gt;""),"●","")</x:f>
      </x:c>
      <x:c r="BF345" s="165" t="str">
        <x:f>IF(AND(BF$5&gt;=$C345,BF$5&lt;=$D345,$A345&lt;&gt;""),"●","")</x:f>
      </x:c>
      <x:c r="BG345" s="165" t="str">
        <x:f>IF(AND(BG$5&gt;=$C345,BG$5&lt;=$D345,$A345&lt;&gt;""),"●","")</x:f>
      </x:c>
      <x:c r="BH345" s="165" t="str">
        <x:f>IF(AND(BH$5&gt;=$C345,BH$5&lt;=$D345,$A345&lt;&gt;""),"●","")</x:f>
      </x:c>
      <x:c r="BI345" s="165" t="str">
        <x:f>IF(AND(BI$5&gt;=$C345,BI$5&lt;=$D345,$A345&lt;&gt;""),"●","")</x:f>
      </x:c>
      <x:c r="BJ345" s="165" t="str">
        <x:f>IF(AND(BJ$5&gt;=$C345,BJ$5&lt;=$D345,$A345&lt;&gt;""),"●","")</x:f>
      </x:c>
      <x:c r="BK345" s="165" t="str">
        <x:f>IF(AND(BK$5&gt;=$C345,BK$5&lt;=$D345,$A345&lt;&gt;""),"●","")</x:f>
      </x:c>
      <x:c r="BL345" s="165" t="str">
        <x:f>IF(AND(BL$5&gt;=$C345,BL$5&lt;=$D345,$A345&lt;&gt;""),"●","")</x:f>
      </x:c>
      <x:c r="BM345" s="165" t="str">
        <x:f>IF(AND(BM$5&gt;=$C345,BM$5&lt;=$D345,$A345&lt;&gt;""),"●","")</x:f>
      </x:c>
      <x:c r="BN345" s="165" t="str">
        <x:f>IF(AND(BN$5&gt;=$C345,BN$5&lt;=$D345,$A345&lt;&gt;""),"●","")</x:f>
      </x:c>
      <x:c r="BO345" s="165" t="str">
        <x:f>IF(AND(BO$5&gt;=$C345,BO$5&lt;=$D345,$A345&lt;&gt;""),"●","")</x:f>
      </x:c>
      <x:c r="BP345" s="165" t="str">
        <x:f>IF(AND(BP$5&gt;=$C345,BP$5&lt;=$D345,$A345&lt;&gt;""),"●","")</x:f>
      </x:c>
      <x:c r="BQ345" s="165" t="str">
        <x:f>IF(AND(BQ$5&gt;=$C345,BQ$5&lt;=$D345,$A345&lt;&gt;""),"●","")</x:f>
      </x:c>
      <x:c r="BR345" s="165" t="str">
        <x:f>IF(AND(BR$5&gt;=$C345,BR$5&lt;=$D345,$A345&lt;&gt;""),"●","")</x:f>
      </x:c>
      <x:c r="BS345" s="165" t="str">
        <x:f>IF(AND(BS$5&gt;=$C345,BS$5&lt;=$D345,$A345&lt;&gt;""),"●","")</x:f>
      </x:c>
      <x:c r="BT345" s="165" t="str">
        <x:f>IF(AND(BT$5&gt;=$C345,BT$5&lt;=$D345,$A345&lt;&gt;""),"●","")</x:f>
      </x:c>
      <x:c r="BU345" s="165" t="str">
        <x:f>IF(AND(BU$5&gt;=$C345,BU$5&lt;=$D345,$A345&lt;&gt;""),"●","")</x:f>
      </x:c>
      <x:c r="BV345" s="165" t="str">
        <x:f>IF(AND(BV$5&gt;=$C345,BV$5&lt;=$D345,$A345&lt;&gt;""),"●","")</x:f>
      </x:c>
      <x:c r="BW345" s="165" t="str">
        <x:f>IF(AND(BW$5&gt;=$C345,BW$5&lt;=$D345,$A345&lt;&gt;""),"●","")</x:f>
      </x:c>
    </x:row>
    <x:row r="346">
      <x:c r="A346" s="159" t="str">
        <x:f>IF('รายการสัญญา'!A346="","",'รายการสัญญา'!A346)</x:f>
      </x:c>
      <x:c r="B346" s="159" t="str">
        <x:f>IF('รายการสัญญา'!A346="","",'รายการสัญญา'!C346)</x:f>
      </x:c>
      <x:c r="C346" s="162" t="str">
        <x:f>IF('รายการสัญญา'!A346="","",'รายการสัญญา'!E346)</x:f>
      </x:c>
      <x:c r="D346" s="162" t="str">
        <x:f>IF('รายการสัญญา'!A346="","",'รายการสัญญา'!G346)</x:f>
      </x:c>
      <x:c r="E346" s="159" t="str">
        <x:f>IF('รายการสัญญา'!A346="","",'รายการสัญญา'!K346)</x:f>
      </x:c>
      <x:c r="F346" s="165" t="str">
        <x:f>IF(AND(F$5&gt;=$C346,F$5&lt;=$D346,$A346&lt;&gt;""),"●","")</x:f>
      </x:c>
      <x:c r="G346" s="165" t="str">
        <x:f>IF(AND(G$5&gt;=$C346,G$5&lt;=$D346,$A346&lt;&gt;""),"●","")</x:f>
      </x:c>
      <x:c r="H346" s="165" t="str">
        <x:f>IF(AND(H$5&gt;=$C346,H$5&lt;=$D346,$A346&lt;&gt;""),"●","")</x:f>
      </x:c>
      <x:c r="I346" s="165" t="str">
        <x:f>IF(AND(I$5&gt;=$C346,I$5&lt;=$D346,$A346&lt;&gt;""),"●","")</x:f>
      </x:c>
      <x:c r="J346" s="165" t="str">
        <x:f>IF(AND(J$5&gt;=$C346,J$5&lt;=$D346,$A346&lt;&gt;""),"●","")</x:f>
      </x:c>
      <x:c r="K346" s="165" t="str">
        <x:f>IF(AND(K$5&gt;=$C346,K$5&lt;=$D346,$A346&lt;&gt;""),"●","")</x:f>
      </x:c>
      <x:c r="L346" s="165" t="str">
        <x:f>IF(AND(L$5&gt;=$C346,L$5&lt;=$D346,$A346&lt;&gt;""),"●","")</x:f>
      </x:c>
      <x:c r="M346" s="165" t="str">
        <x:f>IF(AND(M$5&gt;=$C346,M$5&lt;=$D346,$A346&lt;&gt;""),"●","")</x:f>
      </x:c>
      <x:c r="N346" s="165" t="str">
        <x:f>IF(AND(N$5&gt;=$C346,N$5&lt;=$D346,$A346&lt;&gt;""),"●","")</x:f>
      </x:c>
      <x:c r="O346" s="165" t="str">
        <x:f>IF(AND(O$5&gt;=$C346,O$5&lt;=$D346,$A346&lt;&gt;""),"●","")</x:f>
      </x:c>
      <x:c r="P346" s="165" t="str">
        <x:f>IF(AND(P$5&gt;=$C346,P$5&lt;=$D346,$A346&lt;&gt;""),"●","")</x:f>
      </x:c>
      <x:c r="Q346" s="165" t="str">
        <x:f>IF(AND(Q$5&gt;=$C346,Q$5&lt;=$D346,$A346&lt;&gt;""),"●","")</x:f>
      </x:c>
      <x:c r="R346" s="165" t="str">
        <x:f>IF(AND(R$5&gt;=$C346,R$5&lt;=$D346,$A346&lt;&gt;""),"●","")</x:f>
      </x:c>
      <x:c r="S346" s="165" t="str">
        <x:f>IF(AND(S$5&gt;=$C346,S$5&lt;=$D346,$A346&lt;&gt;""),"●","")</x:f>
      </x:c>
      <x:c r="T346" s="165" t="str">
        <x:f>IF(AND(T$5&gt;=$C346,T$5&lt;=$D346,$A346&lt;&gt;""),"●","")</x:f>
      </x:c>
      <x:c r="U346" s="165" t="str">
        <x:f>IF(AND(U$5&gt;=$C346,U$5&lt;=$D346,$A346&lt;&gt;""),"●","")</x:f>
      </x:c>
      <x:c r="V346" s="165" t="str">
        <x:f>IF(AND(V$5&gt;=$C346,V$5&lt;=$D346,$A346&lt;&gt;""),"●","")</x:f>
      </x:c>
      <x:c r="W346" s="165" t="str">
        <x:f>IF(AND(W$5&gt;=$C346,W$5&lt;=$D346,$A346&lt;&gt;""),"●","")</x:f>
      </x:c>
      <x:c r="X346" s="165" t="str">
        <x:f>IF(AND(X$5&gt;=$C346,X$5&lt;=$D346,$A346&lt;&gt;""),"●","")</x:f>
      </x:c>
      <x:c r="Y346" s="165" t="str">
        <x:f>IF(AND(Y$5&gt;=$C346,Y$5&lt;=$D346,$A346&lt;&gt;""),"●","")</x:f>
      </x:c>
      <x:c r="Z346" s="165" t="str">
        <x:f>IF(AND(Z$5&gt;=$C346,Z$5&lt;=$D346,$A346&lt;&gt;""),"●","")</x:f>
      </x:c>
      <x:c r="AA346" s="165" t="str">
        <x:f>IF(AND(AA$5&gt;=$C346,AA$5&lt;=$D346,$A346&lt;&gt;""),"●","")</x:f>
      </x:c>
      <x:c r="AB346" s="165" t="str">
        <x:f>IF(AND(AB$5&gt;=$C346,AB$5&lt;=$D346,$A346&lt;&gt;""),"●","")</x:f>
      </x:c>
      <x:c r="AC346" s="165" t="str">
        <x:f>IF(AND(AC$5&gt;=$C346,AC$5&lt;=$D346,$A346&lt;&gt;""),"●","")</x:f>
      </x:c>
      <x:c r="AD346" s="165" t="str">
        <x:f>IF(AND(AD$5&gt;=$C346,AD$5&lt;=$D346,$A346&lt;&gt;""),"●","")</x:f>
      </x:c>
      <x:c r="AE346" s="165" t="str">
        <x:f>IF(AND(AE$5&gt;=$C346,AE$5&lt;=$D346,$A346&lt;&gt;""),"●","")</x:f>
      </x:c>
      <x:c r="AF346" s="165" t="str">
        <x:f>IF(AND(AF$5&gt;=$C346,AF$5&lt;=$D346,$A346&lt;&gt;""),"●","")</x:f>
      </x:c>
      <x:c r="AG346" s="165" t="str">
        <x:f>IF(AND(AG$5&gt;=$C346,AG$5&lt;=$D346,$A346&lt;&gt;""),"●","")</x:f>
      </x:c>
      <x:c r="AH346" s="165" t="str">
        <x:f>IF(AND(AH$5&gt;=$C346,AH$5&lt;=$D346,$A346&lt;&gt;""),"●","")</x:f>
      </x:c>
      <x:c r="AI346" s="165" t="str">
        <x:f>IF(AND(AI$5&gt;=$C346,AI$5&lt;=$D346,$A346&lt;&gt;""),"●","")</x:f>
      </x:c>
      <x:c r="AJ346" s="165" t="str">
        <x:f>IF(AND(AJ$5&gt;=$C346,AJ$5&lt;=$D346,$A346&lt;&gt;""),"●","")</x:f>
      </x:c>
      <x:c r="AK346" s="165" t="str">
        <x:f>IF(AND(AK$5&gt;=$C346,AK$5&lt;=$D346,$A346&lt;&gt;""),"●","")</x:f>
      </x:c>
      <x:c r="AL346" s="165" t="str">
        <x:f>IF(AND(AL$5&gt;=$C346,AL$5&lt;=$D346,$A346&lt;&gt;""),"●","")</x:f>
      </x:c>
      <x:c r="AM346" s="165" t="str">
        <x:f>IF(AND(AM$5&gt;=$C346,AM$5&lt;=$D346,$A346&lt;&gt;""),"●","")</x:f>
      </x:c>
      <x:c r="AN346" s="165" t="str">
        <x:f>IF(AND(AN$5&gt;=$C346,AN$5&lt;=$D346,$A346&lt;&gt;""),"●","")</x:f>
      </x:c>
      <x:c r="AO346" s="165" t="str">
        <x:f>IF(AND(AO$5&gt;=$C346,AO$5&lt;=$D346,$A346&lt;&gt;""),"●","")</x:f>
      </x:c>
      <x:c r="AP346" s="165" t="str">
        <x:f>IF(AND(AP$5&gt;=$C346,AP$5&lt;=$D346,$A346&lt;&gt;""),"●","")</x:f>
      </x:c>
      <x:c r="AQ346" s="165" t="str">
        <x:f>IF(AND(AQ$5&gt;=$C346,AQ$5&lt;=$D346,$A346&lt;&gt;""),"●","")</x:f>
      </x:c>
      <x:c r="AR346" s="165" t="str">
        <x:f>IF(AND(AR$5&gt;=$C346,AR$5&lt;=$D346,$A346&lt;&gt;""),"●","")</x:f>
      </x:c>
      <x:c r="AS346" s="165" t="str">
        <x:f>IF(AND(AS$5&gt;=$C346,AS$5&lt;=$D346,$A346&lt;&gt;""),"●","")</x:f>
      </x:c>
      <x:c r="AT346" s="165" t="str">
        <x:f>IF(AND(AT$5&gt;=$C346,AT$5&lt;=$D346,$A346&lt;&gt;""),"●","")</x:f>
      </x:c>
      <x:c r="AU346" s="165" t="str">
        <x:f>IF(AND(AU$5&gt;=$C346,AU$5&lt;=$D346,$A346&lt;&gt;""),"●","")</x:f>
      </x:c>
      <x:c r="AV346" s="165" t="str">
        <x:f>IF(AND(AV$5&gt;=$C346,AV$5&lt;=$D346,$A346&lt;&gt;""),"●","")</x:f>
      </x:c>
      <x:c r="AW346" s="165" t="str">
        <x:f>IF(AND(AW$5&gt;=$C346,AW$5&lt;=$D346,$A346&lt;&gt;""),"●","")</x:f>
      </x:c>
      <x:c r="AX346" s="165" t="str">
        <x:f>IF(AND(AX$5&gt;=$C346,AX$5&lt;=$D346,$A346&lt;&gt;""),"●","")</x:f>
      </x:c>
      <x:c r="AY346" s="165" t="str">
        <x:f>IF(AND(AY$5&gt;=$C346,AY$5&lt;=$D346,$A346&lt;&gt;""),"●","")</x:f>
      </x:c>
      <x:c r="AZ346" s="165" t="str">
        <x:f>IF(AND(AZ$5&gt;=$C346,AZ$5&lt;=$D346,$A346&lt;&gt;""),"●","")</x:f>
      </x:c>
      <x:c r="BA346" s="165" t="str">
        <x:f>IF(AND(BA$5&gt;=$C346,BA$5&lt;=$D346,$A346&lt;&gt;""),"●","")</x:f>
      </x:c>
      <x:c r="BB346" s="165" t="str">
        <x:f>IF(AND(BB$5&gt;=$C346,BB$5&lt;=$D346,$A346&lt;&gt;""),"●","")</x:f>
      </x:c>
      <x:c r="BC346" s="165" t="str">
        <x:f>IF(AND(BC$5&gt;=$C346,BC$5&lt;=$D346,$A346&lt;&gt;""),"●","")</x:f>
      </x:c>
      <x:c r="BD346" s="165" t="str">
        <x:f>IF(AND(BD$5&gt;=$C346,BD$5&lt;=$D346,$A346&lt;&gt;""),"●","")</x:f>
      </x:c>
      <x:c r="BE346" s="165" t="str">
        <x:f>IF(AND(BE$5&gt;=$C346,BE$5&lt;=$D346,$A346&lt;&gt;""),"●","")</x:f>
      </x:c>
      <x:c r="BF346" s="165" t="str">
        <x:f>IF(AND(BF$5&gt;=$C346,BF$5&lt;=$D346,$A346&lt;&gt;""),"●","")</x:f>
      </x:c>
      <x:c r="BG346" s="165" t="str">
        <x:f>IF(AND(BG$5&gt;=$C346,BG$5&lt;=$D346,$A346&lt;&gt;""),"●","")</x:f>
      </x:c>
      <x:c r="BH346" s="165" t="str">
        <x:f>IF(AND(BH$5&gt;=$C346,BH$5&lt;=$D346,$A346&lt;&gt;""),"●","")</x:f>
      </x:c>
      <x:c r="BI346" s="165" t="str">
        <x:f>IF(AND(BI$5&gt;=$C346,BI$5&lt;=$D346,$A346&lt;&gt;""),"●","")</x:f>
      </x:c>
      <x:c r="BJ346" s="165" t="str">
        <x:f>IF(AND(BJ$5&gt;=$C346,BJ$5&lt;=$D346,$A346&lt;&gt;""),"●","")</x:f>
      </x:c>
      <x:c r="BK346" s="165" t="str">
        <x:f>IF(AND(BK$5&gt;=$C346,BK$5&lt;=$D346,$A346&lt;&gt;""),"●","")</x:f>
      </x:c>
      <x:c r="BL346" s="165" t="str">
        <x:f>IF(AND(BL$5&gt;=$C346,BL$5&lt;=$D346,$A346&lt;&gt;""),"●","")</x:f>
      </x:c>
      <x:c r="BM346" s="165" t="str">
        <x:f>IF(AND(BM$5&gt;=$C346,BM$5&lt;=$D346,$A346&lt;&gt;""),"●","")</x:f>
      </x:c>
      <x:c r="BN346" s="165" t="str">
        <x:f>IF(AND(BN$5&gt;=$C346,BN$5&lt;=$D346,$A346&lt;&gt;""),"●","")</x:f>
      </x:c>
      <x:c r="BO346" s="165" t="str">
        <x:f>IF(AND(BO$5&gt;=$C346,BO$5&lt;=$D346,$A346&lt;&gt;""),"●","")</x:f>
      </x:c>
      <x:c r="BP346" s="165" t="str">
        <x:f>IF(AND(BP$5&gt;=$C346,BP$5&lt;=$D346,$A346&lt;&gt;""),"●","")</x:f>
      </x:c>
      <x:c r="BQ346" s="165" t="str">
        <x:f>IF(AND(BQ$5&gt;=$C346,BQ$5&lt;=$D346,$A346&lt;&gt;""),"●","")</x:f>
      </x:c>
      <x:c r="BR346" s="165" t="str">
        <x:f>IF(AND(BR$5&gt;=$C346,BR$5&lt;=$D346,$A346&lt;&gt;""),"●","")</x:f>
      </x:c>
      <x:c r="BS346" s="165" t="str">
        <x:f>IF(AND(BS$5&gt;=$C346,BS$5&lt;=$D346,$A346&lt;&gt;""),"●","")</x:f>
      </x:c>
      <x:c r="BT346" s="165" t="str">
        <x:f>IF(AND(BT$5&gt;=$C346,BT$5&lt;=$D346,$A346&lt;&gt;""),"●","")</x:f>
      </x:c>
      <x:c r="BU346" s="165" t="str">
        <x:f>IF(AND(BU$5&gt;=$C346,BU$5&lt;=$D346,$A346&lt;&gt;""),"●","")</x:f>
      </x:c>
      <x:c r="BV346" s="165" t="str">
        <x:f>IF(AND(BV$5&gt;=$C346,BV$5&lt;=$D346,$A346&lt;&gt;""),"●","")</x:f>
      </x:c>
      <x:c r="BW346" s="165" t="str">
        <x:f>IF(AND(BW$5&gt;=$C346,BW$5&lt;=$D346,$A346&lt;&gt;""),"●","")</x:f>
      </x:c>
    </x:row>
    <x:row r="347">
      <x:c r="A347" s="159" t="str">
        <x:f>IF('รายการสัญญา'!A347="","",'รายการสัญญา'!A347)</x:f>
      </x:c>
      <x:c r="B347" s="159" t="str">
        <x:f>IF('รายการสัญญา'!A347="","",'รายการสัญญา'!C347)</x:f>
      </x:c>
      <x:c r="C347" s="162" t="str">
        <x:f>IF('รายการสัญญา'!A347="","",'รายการสัญญา'!E347)</x:f>
      </x:c>
      <x:c r="D347" s="162" t="str">
        <x:f>IF('รายการสัญญา'!A347="","",'รายการสัญญา'!G347)</x:f>
      </x:c>
      <x:c r="E347" s="159" t="str">
        <x:f>IF('รายการสัญญา'!A347="","",'รายการสัญญา'!K347)</x:f>
      </x:c>
      <x:c r="F347" s="165" t="str">
        <x:f>IF(AND(F$5&gt;=$C347,F$5&lt;=$D347,$A347&lt;&gt;""),"●","")</x:f>
      </x:c>
      <x:c r="G347" s="165" t="str">
        <x:f>IF(AND(G$5&gt;=$C347,G$5&lt;=$D347,$A347&lt;&gt;""),"●","")</x:f>
      </x:c>
      <x:c r="H347" s="165" t="str">
        <x:f>IF(AND(H$5&gt;=$C347,H$5&lt;=$D347,$A347&lt;&gt;""),"●","")</x:f>
      </x:c>
      <x:c r="I347" s="165" t="str">
        <x:f>IF(AND(I$5&gt;=$C347,I$5&lt;=$D347,$A347&lt;&gt;""),"●","")</x:f>
      </x:c>
      <x:c r="J347" s="165" t="str">
        <x:f>IF(AND(J$5&gt;=$C347,J$5&lt;=$D347,$A347&lt;&gt;""),"●","")</x:f>
      </x:c>
      <x:c r="K347" s="165" t="str">
        <x:f>IF(AND(K$5&gt;=$C347,K$5&lt;=$D347,$A347&lt;&gt;""),"●","")</x:f>
      </x:c>
      <x:c r="L347" s="165" t="str">
        <x:f>IF(AND(L$5&gt;=$C347,L$5&lt;=$D347,$A347&lt;&gt;""),"●","")</x:f>
      </x:c>
      <x:c r="M347" s="165" t="str">
        <x:f>IF(AND(M$5&gt;=$C347,M$5&lt;=$D347,$A347&lt;&gt;""),"●","")</x:f>
      </x:c>
      <x:c r="N347" s="165" t="str">
        <x:f>IF(AND(N$5&gt;=$C347,N$5&lt;=$D347,$A347&lt;&gt;""),"●","")</x:f>
      </x:c>
      <x:c r="O347" s="165" t="str">
        <x:f>IF(AND(O$5&gt;=$C347,O$5&lt;=$D347,$A347&lt;&gt;""),"●","")</x:f>
      </x:c>
      <x:c r="P347" s="165" t="str">
        <x:f>IF(AND(P$5&gt;=$C347,P$5&lt;=$D347,$A347&lt;&gt;""),"●","")</x:f>
      </x:c>
      <x:c r="Q347" s="165" t="str">
        <x:f>IF(AND(Q$5&gt;=$C347,Q$5&lt;=$D347,$A347&lt;&gt;""),"●","")</x:f>
      </x:c>
      <x:c r="R347" s="165" t="str">
        <x:f>IF(AND(R$5&gt;=$C347,R$5&lt;=$D347,$A347&lt;&gt;""),"●","")</x:f>
      </x:c>
      <x:c r="S347" s="165" t="str">
        <x:f>IF(AND(S$5&gt;=$C347,S$5&lt;=$D347,$A347&lt;&gt;""),"●","")</x:f>
      </x:c>
      <x:c r="T347" s="165" t="str">
        <x:f>IF(AND(T$5&gt;=$C347,T$5&lt;=$D347,$A347&lt;&gt;""),"●","")</x:f>
      </x:c>
      <x:c r="U347" s="165" t="str">
        <x:f>IF(AND(U$5&gt;=$C347,U$5&lt;=$D347,$A347&lt;&gt;""),"●","")</x:f>
      </x:c>
      <x:c r="V347" s="165" t="str">
        <x:f>IF(AND(V$5&gt;=$C347,V$5&lt;=$D347,$A347&lt;&gt;""),"●","")</x:f>
      </x:c>
      <x:c r="W347" s="165" t="str">
        <x:f>IF(AND(W$5&gt;=$C347,W$5&lt;=$D347,$A347&lt;&gt;""),"●","")</x:f>
      </x:c>
      <x:c r="X347" s="165" t="str">
        <x:f>IF(AND(X$5&gt;=$C347,X$5&lt;=$D347,$A347&lt;&gt;""),"●","")</x:f>
      </x:c>
      <x:c r="Y347" s="165" t="str">
        <x:f>IF(AND(Y$5&gt;=$C347,Y$5&lt;=$D347,$A347&lt;&gt;""),"●","")</x:f>
      </x:c>
      <x:c r="Z347" s="165" t="str">
        <x:f>IF(AND(Z$5&gt;=$C347,Z$5&lt;=$D347,$A347&lt;&gt;""),"●","")</x:f>
      </x:c>
      <x:c r="AA347" s="165" t="str">
        <x:f>IF(AND(AA$5&gt;=$C347,AA$5&lt;=$D347,$A347&lt;&gt;""),"●","")</x:f>
      </x:c>
      <x:c r="AB347" s="165" t="str">
        <x:f>IF(AND(AB$5&gt;=$C347,AB$5&lt;=$D347,$A347&lt;&gt;""),"●","")</x:f>
      </x:c>
      <x:c r="AC347" s="165" t="str">
        <x:f>IF(AND(AC$5&gt;=$C347,AC$5&lt;=$D347,$A347&lt;&gt;""),"●","")</x:f>
      </x:c>
      <x:c r="AD347" s="165" t="str">
        <x:f>IF(AND(AD$5&gt;=$C347,AD$5&lt;=$D347,$A347&lt;&gt;""),"●","")</x:f>
      </x:c>
      <x:c r="AE347" s="165" t="str">
        <x:f>IF(AND(AE$5&gt;=$C347,AE$5&lt;=$D347,$A347&lt;&gt;""),"●","")</x:f>
      </x:c>
      <x:c r="AF347" s="165" t="str">
        <x:f>IF(AND(AF$5&gt;=$C347,AF$5&lt;=$D347,$A347&lt;&gt;""),"●","")</x:f>
      </x:c>
      <x:c r="AG347" s="165" t="str">
        <x:f>IF(AND(AG$5&gt;=$C347,AG$5&lt;=$D347,$A347&lt;&gt;""),"●","")</x:f>
      </x:c>
      <x:c r="AH347" s="165" t="str">
        <x:f>IF(AND(AH$5&gt;=$C347,AH$5&lt;=$D347,$A347&lt;&gt;""),"●","")</x:f>
      </x:c>
      <x:c r="AI347" s="165" t="str">
        <x:f>IF(AND(AI$5&gt;=$C347,AI$5&lt;=$D347,$A347&lt;&gt;""),"●","")</x:f>
      </x:c>
      <x:c r="AJ347" s="165" t="str">
        <x:f>IF(AND(AJ$5&gt;=$C347,AJ$5&lt;=$D347,$A347&lt;&gt;""),"●","")</x:f>
      </x:c>
      <x:c r="AK347" s="165" t="str">
        <x:f>IF(AND(AK$5&gt;=$C347,AK$5&lt;=$D347,$A347&lt;&gt;""),"●","")</x:f>
      </x:c>
      <x:c r="AL347" s="165" t="str">
        <x:f>IF(AND(AL$5&gt;=$C347,AL$5&lt;=$D347,$A347&lt;&gt;""),"●","")</x:f>
      </x:c>
      <x:c r="AM347" s="165" t="str">
        <x:f>IF(AND(AM$5&gt;=$C347,AM$5&lt;=$D347,$A347&lt;&gt;""),"●","")</x:f>
      </x:c>
      <x:c r="AN347" s="165" t="str">
        <x:f>IF(AND(AN$5&gt;=$C347,AN$5&lt;=$D347,$A347&lt;&gt;""),"●","")</x:f>
      </x:c>
      <x:c r="AO347" s="165" t="str">
        <x:f>IF(AND(AO$5&gt;=$C347,AO$5&lt;=$D347,$A347&lt;&gt;""),"●","")</x:f>
      </x:c>
      <x:c r="AP347" s="165" t="str">
        <x:f>IF(AND(AP$5&gt;=$C347,AP$5&lt;=$D347,$A347&lt;&gt;""),"●","")</x:f>
      </x:c>
      <x:c r="AQ347" s="165" t="str">
        <x:f>IF(AND(AQ$5&gt;=$C347,AQ$5&lt;=$D347,$A347&lt;&gt;""),"●","")</x:f>
      </x:c>
      <x:c r="AR347" s="165" t="str">
        <x:f>IF(AND(AR$5&gt;=$C347,AR$5&lt;=$D347,$A347&lt;&gt;""),"●","")</x:f>
      </x:c>
      <x:c r="AS347" s="165" t="str">
        <x:f>IF(AND(AS$5&gt;=$C347,AS$5&lt;=$D347,$A347&lt;&gt;""),"●","")</x:f>
      </x:c>
      <x:c r="AT347" s="165" t="str">
        <x:f>IF(AND(AT$5&gt;=$C347,AT$5&lt;=$D347,$A347&lt;&gt;""),"●","")</x:f>
      </x:c>
      <x:c r="AU347" s="165" t="str">
        <x:f>IF(AND(AU$5&gt;=$C347,AU$5&lt;=$D347,$A347&lt;&gt;""),"●","")</x:f>
      </x:c>
      <x:c r="AV347" s="165" t="str">
        <x:f>IF(AND(AV$5&gt;=$C347,AV$5&lt;=$D347,$A347&lt;&gt;""),"●","")</x:f>
      </x:c>
      <x:c r="AW347" s="165" t="str">
        <x:f>IF(AND(AW$5&gt;=$C347,AW$5&lt;=$D347,$A347&lt;&gt;""),"●","")</x:f>
      </x:c>
      <x:c r="AX347" s="165" t="str">
        <x:f>IF(AND(AX$5&gt;=$C347,AX$5&lt;=$D347,$A347&lt;&gt;""),"●","")</x:f>
      </x:c>
      <x:c r="AY347" s="165" t="str">
        <x:f>IF(AND(AY$5&gt;=$C347,AY$5&lt;=$D347,$A347&lt;&gt;""),"●","")</x:f>
      </x:c>
      <x:c r="AZ347" s="165" t="str">
        <x:f>IF(AND(AZ$5&gt;=$C347,AZ$5&lt;=$D347,$A347&lt;&gt;""),"●","")</x:f>
      </x:c>
      <x:c r="BA347" s="165" t="str">
        <x:f>IF(AND(BA$5&gt;=$C347,BA$5&lt;=$D347,$A347&lt;&gt;""),"●","")</x:f>
      </x:c>
      <x:c r="BB347" s="165" t="str">
        <x:f>IF(AND(BB$5&gt;=$C347,BB$5&lt;=$D347,$A347&lt;&gt;""),"●","")</x:f>
      </x:c>
      <x:c r="BC347" s="165" t="str">
        <x:f>IF(AND(BC$5&gt;=$C347,BC$5&lt;=$D347,$A347&lt;&gt;""),"●","")</x:f>
      </x:c>
      <x:c r="BD347" s="165" t="str">
        <x:f>IF(AND(BD$5&gt;=$C347,BD$5&lt;=$D347,$A347&lt;&gt;""),"●","")</x:f>
      </x:c>
      <x:c r="BE347" s="165" t="str">
        <x:f>IF(AND(BE$5&gt;=$C347,BE$5&lt;=$D347,$A347&lt;&gt;""),"●","")</x:f>
      </x:c>
      <x:c r="BF347" s="165" t="str">
        <x:f>IF(AND(BF$5&gt;=$C347,BF$5&lt;=$D347,$A347&lt;&gt;""),"●","")</x:f>
      </x:c>
      <x:c r="BG347" s="165" t="str">
        <x:f>IF(AND(BG$5&gt;=$C347,BG$5&lt;=$D347,$A347&lt;&gt;""),"●","")</x:f>
      </x:c>
      <x:c r="BH347" s="165" t="str">
        <x:f>IF(AND(BH$5&gt;=$C347,BH$5&lt;=$D347,$A347&lt;&gt;""),"●","")</x:f>
      </x:c>
      <x:c r="BI347" s="165" t="str">
        <x:f>IF(AND(BI$5&gt;=$C347,BI$5&lt;=$D347,$A347&lt;&gt;""),"●","")</x:f>
      </x:c>
      <x:c r="BJ347" s="165" t="str">
        <x:f>IF(AND(BJ$5&gt;=$C347,BJ$5&lt;=$D347,$A347&lt;&gt;""),"●","")</x:f>
      </x:c>
      <x:c r="BK347" s="165" t="str">
        <x:f>IF(AND(BK$5&gt;=$C347,BK$5&lt;=$D347,$A347&lt;&gt;""),"●","")</x:f>
      </x:c>
      <x:c r="BL347" s="165" t="str">
        <x:f>IF(AND(BL$5&gt;=$C347,BL$5&lt;=$D347,$A347&lt;&gt;""),"●","")</x:f>
      </x:c>
      <x:c r="BM347" s="165" t="str">
        <x:f>IF(AND(BM$5&gt;=$C347,BM$5&lt;=$D347,$A347&lt;&gt;""),"●","")</x:f>
      </x:c>
      <x:c r="BN347" s="165" t="str">
        <x:f>IF(AND(BN$5&gt;=$C347,BN$5&lt;=$D347,$A347&lt;&gt;""),"●","")</x:f>
      </x:c>
      <x:c r="BO347" s="165" t="str">
        <x:f>IF(AND(BO$5&gt;=$C347,BO$5&lt;=$D347,$A347&lt;&gt;""),"●","")</x:f>
      </x:c>
      <x:c r="BP347" s="165" t="str">
        <x:f>IF(AND(BP$5&gt;=$C347,BP$5&lt;=$D347,$A347&lt;&gt;""),"●","")</x:f>
      </x:c>
      <x:c r="BQ347" s="165" t="str">
        <x:f>IF(AND(BQ$5&gt;=$C347,BQ$5&lt;=$D347,$A347&lt;&gt;""),"●","")</x:f>
      </x:c>
      <x:c r="BR347" s="165" t="str">
        <x:f>IF(AND(BR$5&gt;=$C347,BR$5&lt;=$D347,$A347&lt;&gt;""),"●","")</x:f>
      </x:c>
      <x:c r="BS347" s="165" t="str">
        <x:f>IF(AND(BS$5&gt;=$C347,BS$5&lt;=$D347,$A347&lt;&gt;""),"●","")</x:f>
      </x:c>
      <x:c r="BT347" s="165" t="str">
        <x:f>IF(AND(BT$5&gt;=$C347,BT$5&lt;=$D347,$A347&lt;&gt;""),"●","")</x:f>
      </x:c>
      <x:c r="BU347" s="165" t="str">
        <x:f>IF(AND(BU$5&gt;=$C347,BU$5&lt;=$D347,$A347&lt;&gt;""),"●","")</x:f>
      </x:c>
      <x:c r="BV347" s="165" t="str">
        <x:f>IF(AND(BV$5&gt;=$C347,BV$5&lt;=$D347,$A347&lt;&gt;""),"●","")</x:f>
      </x:c>
      <x:c r="BW347" s="165" t="str">
        <x:f>IF(AND(BW$5&gt;=$C347,BW$5&lt;=$D347,$A347&lt;&gt;""),"●","")</x:f>
      </x:c>
    </x:row>
    <x:row r="348">
      <x:c r="A348" s="159" t="str">
        <x:f>IF('รายการสัญญา'!A348="","",'รายการสัญญา'!A348)</x:f>
      </x:c>
      <x:c r="B348" s="159" t="str">
        <x:f>IF('รายการสัญญา'!A348="","",'รายการสัญญา'!C348)</x:f>
      </x:c>
      <x:c r="C348" s="162" t="str">
        <x:f>IF('รายการสัญญา'!A348="","",'รายการสัญญา'!E348)</x:f>
      </x:c>
      <x:c r="D348" s="162" t="str">
        <x:f>IF('รายการสัญญา'!A348="","",'รายการสัญญา'!G348)</x:f>
      </x:c>
      <x:c r="E348" s="159" t="str">
        <x:f>IF('รายการสัญญา'!A348="","",'รายการสัญญา'!K348)</x:f>
      </x:c>
      <x:c r="F348" s="165" t="str">
        <x:f>IF(AND(F$5&gt;=$C348,F$5&lt;=$D348,$A348&lt;&gt;""),"●","")</x:f>
      </x:c>
      <x:c r="G348" s="165" t="str">
        <x:f>IF(AND(G$5&gt;=$C348,G$5&lt;=$D348,$A348&lt;&gt;""),"●","")</x:f>
      </x:c>
      <x:c r="H348" s="165" t="str">
        <x:f>IF(AND(H$5&gt;=$C348,H$5&lt;=$D348,$A348&lt;&gt;""),"●","")</x:f>
      </x:c>
      <x:c r="I348" s="165" t="str">
        <x:f>IF(AND(I$5&gt;=$C348,I$5&lt;=$D348,$A348&lt;&gt;""),"●","")</x:f>
      </x:c>
      <x:c r="J348" s="165" t="str">
        <x:f>IF(AND(J$5&gt;=$C348,J$5&lt;=$D348,$A348&lt;&gt;""),"●","")</x:f>
      </x:c>
      <x:c r="K348" s="165" t="str">
        <x:f>IF(AND(K$5&gt;=$C348,K$5&lt;=$D348,$A348&lt;&gt;""),"●","")</x:f>
      </x:c>
      <x:c r="L348" s="165" t="str">
        <x:f>IF(AND(L$5&gt;=$C348,L$5&lt;=$D348,$A348&lt;&gt;""),"●","")</x:f>
      </x:c>
      <x:c r="M348" s="165" t="str">
        <x:f>IF(AND(M$5&gt;=$C348,M$5&lt;=$D348,$A348&lt;&gt;""),"●","")</x:f>
      </x:c>
      <x:c r="N348" s="165" t="str">
        <x:f>IF(AND(N$5&gt;=$C348,N$5&lt;=$D348,$A348&lt;&gt;""),"●","")</x:f>
      </x:c>
      <x:c r="O348" s="165" t="str">
        <x:f>IF(AND(O$5&gt;=$C348,O$5&lt;=$D348,$A348&lt;&gt;""),"●","")</x:f>
      </x:c>
      <x:c r="P348" s="165" t="str">
        <x:f>IF(AND(P$5&gt;=$C348,P$5&lt;=$D348,$A348&lt;&gt;""),"●","")</x:f>
      </x:c>
      <x:c r="Q348" s="165" t="str">
        <x:f>IF(AND(Q$5&gt;=$C348,Q$5&lt;=$D348,$A348&lt;&gt;""),"●","")</x:f>
      </x:c>
      <x:c r="R348" s="165" t="str">
        <x:f>IF(AND(R$5&gt;=$C348,R$5&lt;=$D348,$A348&lt;&gt;""),"●","")</x:f>
      </x:c>
      <x:c r="S348" s="165" t="str">
        <x:f>IF(AND(S$5&gt;=$C348,S$5&lt;=$D348,$A348&lt;&gt;""),"●","")</x:f>
      </x:c>
      <x:c r="T348" s="165" t="str">
        <x:f>IF(AND(T$5&gt;=$C348,T$5&lt;=$D348,$A348&lt;&gt;""),"●","")</x:f>
      </x:c>
      <x:c r="U348" s="165" t="str">
        <x:f>IF(AND(U$5&gt;=$C348,U$5&lt;=$D348,$A348&lt;&gt;""),"●","")</x:f>
      </x:c>
      <x:c r="V348" s="165" t="str">
        <x:f>IF(AND(V$5&gt;=$C348,V$5&lt;=$D348,$A348&lt;&gt;""),"●","")</x:f>
      </x:c>
      <x:c r="W348" s="165" t="str">
        <x:f>IF(AND(W$5&gt;=$C348,W$5&lt;=$D348,$A348&lt;&gt;""),"●","")</x:f>
      </x:c>
      <x:c r="X348" s="165" t="str">
        <x:f>IF(AND(X$5&gt;=$C348,X$5&lt;=$D348,$A348&lt;&gt;""),"●","")</x:f>
      </x:c>
      <x:c r="Y348" s="165" t="str">
        <x:f>IF(AND(Y$5&gt;=$C348,Y$5&lt;=$D348,$A348&lt;&gt;""),"●","")</x:f>
      </x:c>
      <x:c r="Z348" s="165" t="str">
        <x:f>IF(AND(Z$5&gt;=$C348,Z$5&lt;=$D348,$A348&lt;&gt;""),"●","")</x:f>
      </x:c>
      <x:c r="AA348" s="165" t="str">
        <x:f>IF(AND(AA$5&gt;=$C348,AA$5&lt;=$D348,$A348&lt;&gt;""),"●","")</x:f>
      </x:c>
      <x:c r="AB348" s="165" t="str">
        <x:f>IF(AND(AB$5&gt;=$C348,AB$5&lt;=$D348,$A348&lt;&gt;""),"●","")</x:f>
      </x:c>
      <x:c r="AC348" s="165" t="str">
        <x:f>IF(AND(AC$5&gt;=$C348,AC$5&lt;=$D348,$A348&lt;&gt;""),"●","")</x:f>
      </x:c>
      <x:c r="AD348" s="165" t="str">
        <x:f>IF(AND(AD$5&gt;=$C348,AD$5&lt;=$D348,$A348&lt;&gt;""),"●","")</x:f>
      </x:c>
      <x:c r="AE348" s="165" t="str">
        <x:f>IF(AND(AE$5&gt;=$C348,AE$5&lt;=$D348,$A348&lt;&gt;""),"●","")</x:f>
      </x:c>
      <x:c r="AF348" s="165" t="str">
        <x:f>IF(AND(AF$5&gt;=$C348,AF$5&lt;=$D348,$A348&lt;&gt;""),"●","")</x:f>
      </x:c>
      <x:c r="AG348" s="165" t="str">
        <x:f>IF(AND(AG$5&gt;=$C348,AG$5&lt;=$D348,$A348&lt;&gt;""),"●","")</x:f>
      </x:c>
      <x:c r="AH348" s="165" t="str">
        <x:f>IF(AND(AH$5&gt;=$C348,AH$5&lt;=$D348,$A348&lt;&gt;""),"●","")</x:f>
      </x:c>
      <x:c r="AI348" s="165" t="str">
        <x:f>IF(AND(AI$5&gt;=$C348,AI$5&lt;=$D348,$A348&lt;&gt;""),"●","")</x:f>
      </x:c>
      <x:c r="AJ348" s="165" t="str">
        <x:f>IF(AND(AJ$5&gt;=$C348,AJ$5&lt;=$D348,$A348&lt;&gt;""),"●","")</x:f>
      </x:c>
      <x:c r="AK348" s="165" t="str">
        <x:f>IF(AND(AK$5&gt;=$C348,AK$5&lt;=$D348,$A348&lt;&gt;""),"●","")</x:f>
      </x:c>
      <x:c r="AL348" s="165" t="str">
        <x:f>IF(AND(AL$5&gt;=$C348,AL$5&lt;=$D348,$A348&lt;&gt;""),"●","")</x:f>
      </x:c>
      <x:c r="AM348" s="165" t="str">
        <x:f>IF(AND(AM$5&gt;=$C348,AM$5&lt;=$D348,$A348&lt;&gt;""),"●","")</x:f>
      </x:c>
      <x:c r="AN348" s="165" t="str">
        <x:f>IF(AND(AN$5&gt;=$C348,AN$5&lt;=$D348,$A348&lt;&gt;""),"●","")</x:f>
      </x:c>
      <x:c r="AO348" s="165" t="str">
        <x:f>IF(AND(AO$5&gt;=$C348,AO$5&lt;=$D348,$A348&lt;&gt;""),"●","")</x:f>
      </x:c>
      <x:c r="AP348" s="165" t="str">
        <x:f>IF(AND(AP$5&gt;=$C348,AP$5&lt;=$D348,$A348&lt;&gt;""),"●","")</x:f>
      </x:c>
      <x:c r="AQ348" s="165" t="str">
        <x:f>IF(AND(AQ$5&gt;=$C348,AQ$5&lt;=$D348,$A348&lt;&gt;""),"●","")</x:f>
      </x:c>
      <x:c r="AR348" s="165" t="str">
        <x:f>IF(AND(AR$5&gt;=$C348,AR$5&lt;=$D348,$A348&lt;&gt;""),"●","")</x:f>
      </x:c>
      <x:c r="AS348" s="165" t="str">
        <x:f>IF(AND(AS$5&gt;=$C348,AS$5&lt;=$D348,$A348&lt;&gt;""),"●","")</x:f>
      </x:c>
      <x:c r="AT348" s="165" t="str">
        <x:f>IF(AND(AT$5&gt;=$C348,AT$5&lt;=$D348,$A348&lt;&gt;""),"●","")</x:f>
      </x:c>
      <x:c r="AU348" s="165" t="str">
        <x:f>IF(AND(AU$5&gt;=$C348,AU$5&lt;=$D348,$A348&lt;&gt;""),"●","")</x:f>
      </x:c>
      <x:c r="AV348" s="165" t="str">
        <x:f>IF(AND(AV$5&gt;=$C348,AV$5&lt;=$D348,$A348&lt;&gt;""),"●","")</x:f>
      </x:c>
      <x:c r="AW348" s="165" t="str">
        <x:f>IF(AND(AW$5&gt;=$C348,AW$5&lt;=$D348,$A348&lt;&gt;""),"●","")</x:f>
      </x:c>
      <x:c r="AX348" s="165" t="str">
        <x:f>IF(AND(AX$5&gt;=$C348,AX$5&lt;=$D348,$A348&lt;&gt;""),"●","")</x:f>
      </x:c>
      <x:c r="AY348" s="165" t="str">
        <x:f>IF(AND(AY$5&gt;=$C348,AY$5&lt;=$D348,$A348&lt;&gt;""),"●","")</x:f>
      </x:c>
      <x:c r="AZ348" s="165" t="str">
        <x:f>IF(AND(AZ$5&gt;=$C348,AZ$5&lt;=$D348,$A348&lt;&gt;""),"●","")</x:f>
      </x:c>
      <x:c r="BA348" s="165" t="str">
        <x:f>IF(AND(BA$5&gt;=$C348,BA$5&lt;=$D348,$A348&lt;&gt;""),"●","")</x:f>
      </x:c>
      <x:c r="BB348" s="165" t="str">
        <x:f>IF(AND(BB$5&gt;=$C348,BB$5&lt;=$D348,$A348&lt;&gt;""),"●","")</x:f>
      </x:c>
      <x:c r="BC348" s="165" t="str">
        <x:f>IF(AND(BC$5&gt;=$C348,BC$5&lt;=$D348,$A348&lt;&gt;""),"●","")</x:f>
      </x:c>
      <x:c r="BD348" s="165" t="str">
        <x:f>IF(AND(BD$5&gt;=$C348,BD$5&lt;=$D348,$A348&lt;&gt;""),"●","")</x:f>
      </x:c>
      <x:c r="BE348" s="165" t="str">
        <x:f>IF(AND(BE$5&gt;=$C348,BE$5&lt;=$D348,$A348&lt;&gt;""),"●","")</x:f>
      </x:c>
      <x:c r="BF348" s="165" t="str">
        <x:f>IF(AND(BF$5&gt;=$C348,BF$5&lt;=$D348,$A348&lt;&gt;""),"●","")</x:f>
      </x:c>
      <x:c r="BG348" s="165" t="str">
        <x:f>IF(AND(BG$5&gt;=$C348,BG$5&lt;=$D348,$A348&lt;&gt;""),"●","")</x:f>
      </x:c>
      <x:c r="BH348" s="165" t="str">
        <x:f>IF(AND(BH$5&gt;=$C348,BH$5&lt;=$D348,$A348&lt;&gt;""),"●","")</x:f>
      </x:c>
      <x:c r="BI348" s="165" t="str">
        <x:f>IF(AND(BI$5&gt;=$C348,BI$5&lt;=$D348,$A348&lt;&gt;""),"●","")</x:f>
      </x:c>
      <x:c r="BJ348" s="165" t="str">
        <x:f>IF(AND(BJ$5&gt;=$C348,BJ$5&lt;=$D348,$A348&lt;&gt;""),"●","")</x:f>
      </x:c>
      <x:c r="BK348" s="165" t="str">
        <x:f>IF(AND(BK$5&gt;=$C348,BK$5&lt;=$D348,$A348&lt;&gt;""),"●","")</x:f>
      </x:c>
      <x:c r="BL348" s="165" t="str">
        <x:f>IF(AND(BL$5&gt;=$C348,BL$5&lt;=$D348,$A348&lt;&gt;""),"●","")</x:f>
      </x:c>
      <x:c r="BM348" s="165" t="str">
        <x:f>IF(AND(BM$5&gt;=$C348,BM$5&lt;=$D348,$A348&lt;&gt;""),"●","")</x:f>
      </x:c>
      <x:c r="BN348" s="165" t="str">
        <x:f>IF(AND(BN$5&gt;=$C348,BN$5&lt;=$D348,$A348&lt;&gt;""),"●","")</x:f>
      </x:c>
      <x:c r="BO348" s="165" t="str">
        <x:f>IF(AND(BO$5&gt;=$C348,BO$5&lt;=$D348,$A348&lt;&gt;""),"●","")</x:f>
      </x:c>
      <x:c r="BP348" s="165" t="str">
        <x:f>IF(AND(BP$5&gt;=$C348,BP$5&lt;=$D348,$A348&lt;&gt;""),"●","")</x:f>
      </x:c>
      <x:c r="BQ348" s="165" t="str">
        <x:f>IF(AND(BQ$5&gt;=$C348,BQ$5&lt;=$D348,$A348&lt;&gt;""),"●","")</x:f>
      </x:c>
      <x:c r="BR348" s="165" t="str">
        <x:f>IF(AND(BR$5&gt;=$C348,BR$5&lt;=$D348,$A348&lt;&gt;""),"●","")</x:f>
      </x:c>
      <x:c r="BS348" s="165" t="str">
        <x:f>IF(AND(BS$5&gt;=$C348,BS$5&lt;=$D348,$A348&lt;&gt;""),"●","")</x:f>
      </x:c>
      <x:c r="BT348" s="165" t="str">
        <x:f>IF(AND(BT$5&gt;=$C348,BT$5&lt;=$D348,$A348&lt;&gt;""),"●","")</x:f>
      </x:c>
      <x:c r="BU348" s="165" t="str">
        <x:f>IF(AND(BU$5&gt;=$C348,BU$5&lt;=$D348,$A348&lt;&gt;""),"●","")</x:f>
      </x:c>
      <x:c r="BV348" s="165" t="str">
        <x:f>IF(AND(BV$5&gt;=$C348,BV$5&lt;=$D348,$A348&lt;&gt;""),"●","")</x:f>
      </x:c>
      <x:c r="BW348" s="165" t="str">
        <x:f>IF(AND(BW$5&gt;=$C348,BW$5&lt;=$D348,$A348&lt;&gt;""),"●","")</x:f>
      </x:c>
    </x:row>
    <x:row r="349">
      <x:c r="A349" s="159" t="str">
        <x:f>IF('รายการสัญญา'!A349="","",'รายการสัญญา'!A349)</x:f>
      </x:c>
      <x:c r="B349" s="159" t="str">
        <x:f>IF('รายการสัญญา'!A349="","",'รายการสัญญา'!C349)</x:f>
      </x:c>
      <x:c r="C349" s="162" t="str">
        <x:f>IF('รายการสัญญา'!A349="","",'รายการสัญญา'!E349)</x:f>
      </x:c>
      <x:c r="D349" s="162" t="str">
        <x:f>IF('รายการสัญญา'!A349="","",'รายการสัญญา'!G349)</x:f>
      </x:c>
      <x:c r="E349" s="159" t="str">
        <x:f>IF('รายการสัญญา'!A349="","",'รายการสัญญา'!K349)</x:f>
      </x:c>
      <x:c r="F349" s="165" t="str">
        <x:f>IF(AND(F$5&gt;=$C349,F$5&lt;=$D349,$A349&lt;&gt;""),"●","")</x:f>
      </x:c>
      <x:c r="G349" s="165" t="str">
        <x:f>IF(AND(G$5&gt;=$C349,G$5&lt;=$D349,$A349&lt;&gt;""),"●","")</x:f>
      </x:c>
      <x:c r="H349" s="165" t="str">
        <x:f>IF(AND(H$5&gt;=$C349,H$5&lt;=$D349,$A349&lt;&gt;""),"●","")</x:f>
      </x:c>
      <x:c r="I349" s="165" t="str">
        <x:f>IF(AND(I$5&gt;=$C349,I$5&lt;=$D349,$A349&lt;&gt;""),"●","")</x:f>
      </x:c>
      <x:c r="J349" s="165" t="str">
        <x:f>IF(AND(J$5&gt;=$C349,J$5&lt;=$D349,$A349&lt;&gt;""),"●","")</x:f>
      </x:c>
      <x:c r="K349" s="165" t="str">
        <x:f>IF(AND(K$5&gt;=$C349,K$5&lt;=$D349,$A349&lt;&gt;""),"●","")</x:f>
      </x:c>
      <x:c r="L349" s="165" t="str">
        <x:f>IF(AND(L$5&gt;=$C349,L$5&lt;=$D349,$A349&lt;&gt;""),"●","")</x:f>
      </x:c>
      <x:c r="M349" s="165" t="str">
        <x:f>IF(AND(M$5&gt;=$C349,M$5&lt;=$D349,$A349&lt;&gt;""),"●","")</x:f>
      </x:c>
      <x:c r="N349" s="165" t="str">
        <x:f>IF(AND(N$5&gt;=$C349,N$5&lt;=$D349,$A349&lt;&gt;""),"●","")</x:f>
      </x:c>
      <x:c r="O349" s="165" t="str">
        <x:f>IF(AND(O$5&gt;=$C349,O$5&lt;=$D349,$A349&lt;&gt;""),"●","")</x:f>
      </x:c>
      <x:c r="P349" s="165" t="str">
        <x:f>IF(AND(P$5&gt;=$C349,P$5&lt;=$D349,$A349&lt;&gt;""),"●","")</x:f>
      </x:c>
      <x:c r="Q349" s="165" t="str">
        <x:f>IF(AND(Q$5&gt;=$C349,Q$5&lt;=$D349,$A349&lt;&gt;""),"●","")</x:f>
      </x:c>
      <x:c r="R349" s="165" t="str">
        <x:f>IF(AND(R$5&gt;=$C349,R$5&lt;=$D349,$A349&lt;&gt;""),"●","")</x:f>
      </x:c>
      <x:c r="S349" s="165" t="str">
        <x:f>IF(AND(S$5&gt;=$C349,S$5&lt;=$D349,$A349&lt;&gt;""),"●","")</x:f>
      </x:c>
      <x:c r="T349" s="165" t="str">
        <x:f>IF(AND(T$5&gt;=$C349,T$5&lt;=$D349,$A349&lt;&gt;""),"●","")</x:f>
      </x:c>
      <x:c r="U349" s="165" t="str">
        <x:f>IF(AND(U$5&gt;=$C349,U$5&lt;=$D349,$A349&lt;&gt;""),"●","")</x:f>
      </x:c>
      <x:c r="V349" s="165" t="str">
        <x:f>IF(AND(V$5&gt;=$C349,V$5&lt;=$D349,$A349&lt;&gt;""),"●","")</x:f>
      </x:c>
      <x:c r="W349" s="165" t="str">
        <x:f>IF(AND(W$5&gt;=$C349,W$5&lt;=$D349,$A349&lt;&gt;""),"●","")</x:f>
      </x:c>
      <x:c r="X349" s="165" t="str">
        <x:f>IF(AND(X$5&gt;=$C349,X$5&lt;=$D349,$A349&lt;&gt;""),"●","")</x:f>
      </x:c>
      <x:c r="Y349" s="165" t="str">
        <x:f>IF(AND(Y$5&gt;=$C349,Y$5&lt;=$D349,$A349&lt;&gt;""),"●","")</x:f>
      </x:c>
      <x:c r="Z349" s="165" t="str">
        <x:f>IF(AND(Z$5&gt;=$C349,Z$5&lt;=$D349,$A349&lt;&gt;""),"●","")</x:f>
      </x:c>
      <x:c r="AA349" s="165" t="str">
        <x:f>IF(AND(AA$5&gt;=$C349,AA$5&lt;=$D349,$A349&lt;&gt;""),"●","")</x:f>
      </x:c>
      <x:c r="AB349" s="165" t="str">
        <x:f>IF(AND(AB$5&gt;=$C349,AB$5&lt;=$D349,$A349&lt;&gt;""),"●","")</x:f>
      </x:c>
      <x:c r="AC349" s="165" t="str">
        <x:f>IF(AND(AC$5&gt;=$C349,AC$5&lt;=$D349,$A349&lt;&gt;""),"●","")</x:f>
      </x:c>
      <x:c r="AD349" s="165" t="str">
        <x:f>IF(AND(AD$5&gt;=$C349,AD$5&lt;=$D349,$A349&lt;&gt;""),"●","")</x:f>
      </x:c>
      <x:c r="AE349" s="165" t="str">
        <x:f>IF(AND(AE$5&gt;=$C349,AE$5&lt;=$D349,$A349&lt;&gt;""),"●","")</x:f>
      </x:c>
      <x:c r="AF349" s="165" t="str">
        <x:f>IF(AND(AF$5&gt;=$C349,AF$5&lt;=$D349,$A349&lt;&gt;""),"●","")</x:f>
      </x:c>
      <x:c r="AG349" s="165" t="str">
        <x:f>IF(AND(AG$5&gt;=$C349,AG$5&lt;=$D349,$A349&lt;&gt;""),"●","")</x:f>
      </x:c>
      <x:c r="AH349" s="165" t="str">
        <x:f>IF(AND(AH$5&gt;=$C349,AH$5&lt;=$D349,$A349&lt;&gt;""),"●","")</x:f>
      </x:c>
      <x:c r="AI349" s="165" t="str">
        <x:f>IF(AND(AI$5&gt;=$C349,AI$5&lt;=$D349,$A349&lt;&gt;""),"●","")</x:f>
      </x:c>
      <x:c r="AJ349" s="165" t="str">
        <x:f>IF(AND(AJ$5&gt;=$C349,AJ$5&lt;=$D349,$A349&lt;&gt;""),"●","")</x:f>
      </x:c>
      <x:c r="AK349" s="165" t="str">
        <x:f>IF(AND(AK$5&gt;=$C349,AK$5&lt;=$D349,$A349&lt;&gt;""),"●","")</x:f>
      </x:c>
      <x:c r="AL349" s="165" t="str">
        <x:f>IF(AND(AL$5&gt;=$C349,AL$5&lt;=$D349,$A349&lt;&gt;""),"●","")</x:f>
      </x:c>
      <x:c r="AM349" s="165" t="str">
        <x:f>IF(AND(AM$5&gt;=$C349,AM$5&lt;=$D349,$A349&lt;&gt;""),"●","")</x:f>
      </x:c>
      <x:c r="AN349" s="165" t="str">
        <x:f>IF(AND(AN$5&gt;=$C349,AN$5&lt;=$D349,$A349&lt;&gt;""),"●","")</x:f>
      </x:c>
      <x:c r="AO349" s="165" t="str">
        <x:f>IF(AND(AO$5&gt;=$C349,AO$5&lt;=$D349,$A349&lt;&gt;""),"●","")</x:f>
      </x:c>
      <x:c r="AP349" s="165" t="str">
        <x:f>IF(AND(AP$5&gt;=$C349,AP$5&lt;=$D349,$A349&lt;&gt;""),"●","")</x:f>
      </x:c>
      <x:c r="AQ349" s="165" t="str">
        <x:f>IF(AND(AQ$5&gt;=$C349,AQ$5&lt;=$D349,$A349&lt;&gt;""),"●","")</x:f>
      </x:c>
      <x:c r="AR349" s="165" t="str">
        <x:f>IF(AND(AR$5&gt;=$C349,AR$5&lt;=$D349,$A349&lt;&gt;""),"●","")</x:f>
      </x:c>
      <x:c r="AS349" s="165" t="str">
        <x:f>IF(AND(AS$5&gt;=$C349,AS$5&lt;=$D349,$A349&lt;&gt;""),"●","")</x:f>
      </x:c>
      <x:c r="AT349" s="165" t="str">
        <x:f>IF(AND(AT$5&gt;=$C349,AT$5&lt;=$D349,$A349&lt;&gt;""),"●","")</x:f>
      </x:c>
      <x:c r="AU349" s="165" t="str">
        <x:f>IF(AND(AU$5&gt;=$C349,AU$5&lt;=$D349,$A349&lt;&gt;""),"●","")</x:f>
      </x:c>
      <x:c r="AV349" s="165" t="str">
        <x:f>IF(AND(AV$5&gt;=$C349,AV$5&lt;=$D349,$A349&lt;&gt;""),"●","")</x:f>
      </x:c>
      <x:c r="AW349" s="165" t="str">
        <x:f>IF(AND(AW$5&gt;=$C349,AW$5&lt;=$D349,$A349&lt;&gt;""),"●","")</x:f>
      </x:c>
      <x:c r="AX349" s="165" t="str">
        <x:f>IF(AND(AX$5&gt;=$C349,AX$5&lt;=$D349,$A349&lt;&gt;""),"●","")</x:f>
      </x:c>
      <x:c r="AY349" s="165" t="str">
        <x:f>IF(AND(AY$5&gt;=$C349,AY$5&lt;=$D349,$A349&lt;&gt;""),"●","")</x:f>
      </x:c>
      <x:c r="AZ349" s="165" t="str">
        <x:f>IF(AND(AZ$5&gt;=$C349,AZ$5&lt;=$D349,$A349&lt;&gt;""),"●","")</x:f>
      </x:c>
      <x:c r="BA349" s="165" t="str">
        <x:f>IF(AND(BA$5&gt;=$C349,BA$5&lt;=$D349,$A349&lt;&gt;""),"●","")</x:f>
      </x:c>
      <x:c r="BB349" s="165" t="str">
        <x:f>IF(AND(BB$5&gt;=$C349,BB$5&lt;=$D349,$A349&lt;&gt;""),"●","")</x:f>
      </x:c>
      <x:c r="BC349" s="165" t="str">
        <x:f>IF(AND(BC$5&gt;=$C349,BC$5&lt;=$D349,$A349&lt;&gt;""),"●","")</x:f>
      </x:c>
      <x:c r="BD349" s="165" t="str">
        <x:f>IF(AND(BD$5&gt;=$C349,BD$5&lt;=$D349,$A349&lt;&gt;""),"●","")</x:f>
      </x:c>
      <x:c r="BE349" s="165" t="str">
        <x:f>IF(AND(BE$5&gt;=$C349,BE$5&lt;=$D349,$A349&lt;&gt;""),"●","")</x:f>
      </x:c>
      <x:c r="BF349" s="165" t="str">
        <x:f>IF(AND(BF$5&gt;=$C349,BF$5&lt;=$D349,$A349&lt;&gt;""),"●","")</x:f>
      </x:c>
      <x:c r="BG349" s="165" t="str">
        <x:f>IF(AND(BG$5&gt;=$C349,BG$5&lt;=$D349,$A349&lt;&gt;""),"●","")</x:f>
      </x:c>
      <x:c r="BH349" s="165" t="str">
        <x:f>IF(AND(BH$5&gt;=$C349,BH$5&lt;=$D349,$A349&lt;&gt;""),"●","")</x:f>
      </x:c>
      <x:c r="BI349" s="165" t="str">
        <x:f>IF(AND(BI$5&gt;=$C349,BI$5&lt;=$D349,$A349&lt;&gt;""),"●","")</x:f>
      </x:c>
      <x:c r="BJ349" s="165" t="str">
        <x:f>IF(AND(BJ$5&gt;=$C349,BJ$5&lt;=$D349,$A349&lt;&gt;""),"●","")</x:f>
      </x:c>
      <x:c r="BK349" s="165" t="str">
        <x:f>IF(AND(BK$5&gt;=$C349,BK$5&lt;=$D349,$A349&lt;&gt;""),"●","")</x:f>
      </x:c>
      <x:c r="BL349" s="165" t="str">
        <x:f>IF(AND(BL$5&gt;=$C349,BL$5&lt;=$D349,$A349&lt;&gt;""),"●","")</x:f>
      </x:c>
      <x:c r="BM349" s="165" t="str">
        <x:f>IF(AND(BM$5&gt;=$C349,BM$5&lt;=$D349,$A349&lt;&gt;""),"●","")</x:f>
      </x:c>
      <x:c r="BN349" s="165" t="str">
        <x:f>IF(AND(BN$5&gt;=$C349,BN$5&lt;=$D349,$A349&lt;&gt;""),"●","")</x:f>
      </x:c>
      <x:c r="BO349" s="165" t="str">
        <x:f>IF(AND(BO$5&gt;=$C349,BO$5&lt;=$D349,$A349&lt;&gt;""),"●","")</x:f>
      </x:c>
      <x:c r="BP349" s="165" t="str">
        <x:f>IF(AND(BP$5&gt;=$C349,BP$5&lt;=$D349,$A349&lt;&gt;""),"●","")</x:f>
      </x:c>
      <x:c r="BQ349" s="165" t="str">
        <x:f>IF(AND(BQ$5&gt;=$C349,BQ$5&lt;=$D349,$A349&lt;&gt;""),"●","")</x:f>
      </x:c>
      <x:c r="BR349" s="165" t="str">
        <x:f>IF(AND(BR$5&gt;=$C349,BR$5&lt;=$D349,$A349&lt;&gt;""),"●","")</x:f>
      </x:c>
      <x:c r="BS349" s="165" t="str">
        <x:f>IF(AND(BS$5&gt;=$C349,BS$5&lt;=$D349,$A349&lt;&gt;""),"●","")</x:f>
      </x:c>
      <x:c r="BT349" s="165" t="str">
        <x:f>IF(AND(BT$5&gt;=$C349,BT$5&lt;=$D349,$A349&lt;&gt;""),"●","")</x:f>
      </x:c>
      <x:c r="BU349" s="165" t="str">
        <x:f>IF(AND(BU$5&gt;=$C349,BU$5&lt;=$D349,$A349&lt;&gt;""),"●","")</x:f>
      </x:c>
      <x:c r="BV349" s="165" t="str">
        <x:f>IF(AND(BV$5&gt;=$C349,BV$5&lt;=$D349,$A349&lt;&gt;""),"●","")</x:f>
      </x:c>
      <x:c r="BW349" s="165" t="str">
        <x:f>IF(AND(BW$5&gt;=$C349,BW$5&lt;=$D349,$A349&lt;&gt;""),"●","")</x:f>
      </x:c>
    </x:row>
    <x:row r="350">
      <x:c r="A350" s="159" t="str">
        <x:f>IF('รายการสัญญา'!A350="","",'รายการสัญญา'!A350)</x:f>
      </x:c>
      <x:c r="B350" s="159" t="str">
        <x:f>IF('รายการสัญญา'!A350="","",'รายการสัญญา'!C350)</x:f>
      </x:c>
      <x:c r="C350" s="162" t="str">
        <x:f>IF('รายการสัญญา'!A350="","",'รายการสัญญา'!E350)</x:f>
      </x:c>
      <x:c r="D350" s="162" t="str">
        <x:f>IF('รายการสัญญา'!A350="","",'รายการสัญญา'!G350)</x:f>
      </x:c>
      <x:c r="E350" s="159" t="str">
        <x:f>IF('รายการสัญญา'!A350="","",'รายการสัญญา'!K350)</x:f>
      </x:c>
      <x:c r="F350" s="165" t="str">
        <x:f>IF(AND(F$5&gt;=$C350,F$5&lt;=$D350,$A350&lt;&gt;""),"●","")</x:f>
      </x:c>
      <x:c r="G350" s="165" t="str">
        <x:f>IF(AND(G$5&gt;=$C350,G$5&lt;=$D350,$A350&lt;&gt;""),"●","")</x:f>
      </x:c>
      <x:c r="H350" s="165" t="str">
        <x:f>IF(AND(H$5&gt;=$C350,H$5&lt;=$D350,$A350&lt;&gt;""),"●","")</x:f>
      </x:c>
      <x:c r="I350" s="165" t="str">
        <x:f>IF(AND(I$5&gt;=$C350,I$5&lt;=$D350,$A350&lt;&gt;""),"●","")</x:f>
      </x:c>
      <x:c r="J350" s="165" t="str">
        <x:f>IF(AND(J$5&gt;=$C350,J$5&lt;=$D350,$A350&lt;&gt;""),"●","")</x:f>
      </x:c>
      <x:c r="K350" s="165" t="str">
        <x:f>IF(AND(K$5&gt;=$C350,K$5&lt;=$D350,$A350&lt;&gt;""),"●","")</x:f>
      </x:c>
      <x:c r="L350" s="165" t="str">
        <x:f>IF(AND(L$5&gt;=$C350,L$5&lt;=$D350,$A350&lt;&gt;""),"●","")</x:f>
      </x:c>
      <x:c r="M350" s="165" t="str">
        <x:f>IF(AND(M$5&gt;=$C350,M$5&lt;=$D350,$A350&lt;&gt;""),"●","")</x:f>
      </x:c>
      <x:c r="N350" s="165" t="str">
        <x:f>IF(AND(N$5&gt;=$C350,N$5&lt;=$D350,$A350&lt;&gt;""),"●","")</x:f>
      </x:c>
      <x:c r="O350" s="165" t="str">
        <x:f>IF(AND(O$5&gt;=$C350,O$5&lt;=$D350,$A350&lt;&gt;""),"●","")</x:f>
      </x:c>
      <x:c r="P350" s="165" t="str">
        <x:f>IF(AND(P$5&gt;=$C350,P$5&lt;=$D350,$A350&lt;&gt;""),"●","")</x:f>
      </x:c>
      <x:c r="Q350" s="165" t="str">
        <x:f>IF(AND(Q$5&gt;=$C350,Q$5&lt;=$D350,$A350&lt;&gt;""),"●","")</x:f>
      </x:c>
      <x:c r="R350" s="165" t="str">
        <x:f>IF(AND(R$5&gt;=$C350,R$5&lt;=$D350,$A350&lt;&gt;""),"●","")</x:f>
      </x:c>
      <x:c r="S350" s="165" t="str">
        <x:f>IF(AND(S$5&gt;=$C350,S$5&lt;=$D350,$A350&lt;&gt;""),"●","")</x:f>
      </x:c>
      <x:c r="T350" s="165" t="str">
        <x:f>IF(AND(T$5&gt;=$C350,T$5&lt;=$D350,$A350&lt;&gt;""),"●","")</x:f>
      </x:c>
      <x:c r="U350" s="165" t="str">
        <x:f>IF(AND(U$5&gt;=$C350,U$5&lt;=$D350,$A350&lt;&gt;""),"●","")</x:f>
      </x:c>
      <x:c r="V350" s="165" t="str">
        <x:f>IF(AND(V$5&gt;=$C350,V$5&lt;=$D350,$A350&lt;&gt;""),"●","")</x:f>
      </x:c>
      <x:c r="W350" s="165" t="str">
        <x:f>IF(AND(W$5&gt;=$C350,W$5&lt;=$D350,$A350&lt;&gt;""),"●","")</x:f>
      </x:c>
      <x:c r="X350" s="165" t="str">
        <x:f>IF(AND(X$5&gt;=$C350,X$5&lt;=$D350,$A350&lt;&gt;""),"●","")</x:f>
      </x:c>
      <x:c r="Y350" s="165" t="str">
        <x:f>IF(AND(Y$5&gt;=$C350,Y$5&lt;=$D350,$A350&lt;&gt;""),"●","")</x:f>
      </x:c>
      <x:c r="Z350" s="165" t="str">
        <x:f>IF(AND(Z$5&gt;=$C350,Z$5&lt;=$D350,$A350&lt;&gt;""),"●","")</x:f>
      </x:c>
      <x:c r="AA350" s="165" t="str">
        <x:f>IF(AND(AA$5&gt;=$C350,AA$5&lt;=$D350,$A350&lt;&gt;""),"●","")</x:f>
      </x:c>
      <x:c r="AB350" s="165" t="str">
        <x:f>IF(AND(AB$5&gt;=$C350,AB$5&lt;=$D350,$A350&lt;&gt;""),"●","")</x:f>
      </x:c>
      <x:c r="AC350" s="165" t="str">
        <x:f>IF(AND(AC$5&gt;=$C350,AC$5&lt;=$D350,$A350&lt;&gt;""),"●","")</x:f>
      </x:c>
      <x:c r="AD350" s="165" t="str">
        <x:f>IF(AND(AD$5&gt;=$C350,AD$5&lt;=$D350,$A350&lt;&gt;""),"●","")</x:f>
      </x:c>
      <x:c r="AE350" s="165" t="str">
        <x:f>IF(AND(AE$5&gt;=$C350,AE$5&lt;=$D350,$A350&lt;&gt;""),"●","")</x:f>
      </x:c>
      <x:c r="AF350" s="165" t="str">
        <x:f>IF(AND(AF$5&gt;=$C350,AF$5&lt;=$D350,$A350&lt;&gt;""),"●","")</x:f>
      </x:c>
      <x:c r="AG350" s="165" t="str">
        <x:f>IF(AND(AG$5&gt;=$C350,AG$5&lt;=$D350,$A350&lt;&gt;""),"●","")</x:f>
      </x:c>
      <x:c r="AH350" s="165" t="str">
        <x:f>IF(AND(AH$5&gt;=$C350,AH$5&lt;=$D350,$A350&lt;&gt;""),"●","")</x:f>
      </x:c>
      <x:c r="AI350" s="165" t="str">
        <x:f>IF(AND(AI$5&gt;=$C350,AI$5&lt;=$D350,$A350&lt;&gt;""),"●","")</x:f>
      </x:c>
      <x:c r="AJ350" s="165" t="str">
        <x:f>IF(AND(AJ$5&gt;=$C350,AJ$5&lt;=$D350,$A350&lt;&gt;""),"●","")</x:f>
      </x:c>
      <x:c r="AK350" s="165" t="str">
        <x:f>IF(AND(AK$5&gt;=$C350,AK$5&lt;=$D350,$A350&lt;&gt;""),"●","")</x:f>
      </x:c>
      <x:c r="AL350" s="165" t="str">
        <x:f>IF(AND(AL$5&gt;=$C350,AL$5&lt;=$D350,$A350&lt;&gt;""),"●","")</x:f>
      </x:c>
      <x:c r="AM350" s="165" t="str">
        <x:f>IF(AND(AM$5&gt;=$C350,AM$5&lt;=$D350,$A350&lt;&gt;""),"●","")</x:f>
      </x:c>
      <x:c r="AN350" s="165" t="str">
        <x:f>IF(AND(AN$5&gt;=$C350,AN$5&lt;=$D350,$A350&lt;&gt;""),"●","")</x:f>
      </x:c>
      <x:c r="AO350" s="165" t="str">
        <x:f>IF(AND(AO$5&gt;=$C350,AO$5&lt;=$D350,$A350&lt;&gt;""),"●","")</x:f>
      </x:c>
      <x:c r="AP350" s="165" t="str">
        <x:f>IF(AND(AP$5&gt;=$C350,AP$5&lt;=$D350,$A350&lt;&gt;""),"●","")</x:f>
      </x:c>
      <x:c r="AQ350" s="165" t="str">
        <x:f>IF(AND(AQ$5&gt;=$C350,AQ$5&lt;=$D350,$A350&lt;&gt;""),"●","")</x:f>
      </x:c>
      <x:c r="AR350" s="165" t="str">
        <x:f>IF(AND(AR$5&gt;=$C350,AR$5&lt;=$D350,$A350&lt;&gt;""),"●","")</x:f>
      </x:c>
      <x:c r="AS350" s="165" t="str">
        <x:f>IF(AND(AS$5&gt;=$C350,AS$5&lt;=$D350,$A350&lt;&gt;""),"●","")</x:f>
      </x:c>
      <x:c r="AT350" s="165" t="str">
        <x:f>IF(AND(AT$5&gt;=$C350,AT$5&lt;=$D350,$A350&lt;&gt;""),"●","")</x:f>
      </x:c>
      <x:c r="AU350" s="165" t="str">
        <x:f>IF(AND(AU$5&gt;=$C350,AU$5&lt;=$D350,$A350&lt;&gt;""),"●","")</x:f>
      </x:c>
      <x:c r="AV350" s="165" t="str">
        <x:f>IF(AND(AV$5&gt;=$C350,AV$5&lt;=$D350,$A350&lt;&gt;""),"●","")</x:f>
      </x:c>
      <x:c r="AW350" s="165" t="str">
        <x:f>IF(AND(AW$5&gt;=$C350,AW$5&lt;=$D350,$A350&lt;&gt;""),"●","")</x:f>
      </x:c>
      <x:c r="AX350" s="165" t="str">
        <x:f>IF(AND(AX$5&gt;=$C350,AX$5&lt;=$D350,$A350&lt;&gt;""),"●","")</x:f>
      </x:c>
      <x:c r="AY350" s="165" t="str">
        <x:f>IF(AND(AY$5&gt;=$C350,AY$5&lt;=$D350,$A350&lt;&gt;""),"●","")</x:f>
      </x:c>
      <x:c r="AZ350" s="165" t="str">
        <x:f>IF(AND(AZ$5&gt;=$C350,AZ$5&lt;=$D350,$A350&lt;&gt;""),"●","")</x:f>
      </x:c>
      <x:c r="BA350" s="165" t="str">
        <x:f>IF(AND(BA$5&gt;=$C350,BA$5&lt;=$D350,$A350&lt;&gt;""),"●","")</x:f>
      </x:c>
      <x:c r="BB350" s="165" t="str">
        <x:f>IF(AND(BB$5&gt;=$C350,BB$5&lt;=$D350,$A350&lt;&gt;""),"●","")</x:f>
      </x:c>
      <x:c r="BC350" s="165" t="str">
        <x:f>IF(AND(BC$5&gt;=$C350,BC$5&lt;=$D350,$A350&lt;&gt;""),"●","")</x:f>
      </x:c>
      <x:c r="BD350" s="165" t="str">
        <x:f>IF(AND(BD$5&gt;=$C350,BD$5&lt;=$D350,$A350&lt;&gt;""),"●","")</x:f>
      </x:c>
      <x:c r="BE350" s="165" t="str">
        <x:f>IF(AND(BE$5&gt;=$C350,BE$5&lt;=$D350,$A350&lt;&gt;""),"●","")</x:f>
      </x:c>
      <x:c r="BF350" s="165" t="str">
        <x:f>IF(AND(BF$5&gt;=$C350,BF$5&lt;=$D350,$A350&lt;&gt;""),"●","")</x:f>
      </x:c>
      <x:c r="BG350" s="165" t="str">
        <x:f>IF(AND(BG$5&gt;=$C350,BG$5&lt;=$D350,$A350&lt;&gt;""),"●","")</x:f>
      </x:c>
      <x:c r="BH350" s="165" t="str">
        <x:f>IF(AND(BH$5&gt;=$C350,BH$5&lt;=$D350,$A350&lt;&gt;""),"●","")</x:f>
      </x:c>
      <x:c r="BI350" s="165" t="str">
        <x:f>IF(AND(BI$5&gt;=$C350,BI$5&lt;=$D350,$A350&lt;&gt;""),"●","")</x:f>
      </x:c>
      <x:c r="BJ350" s="165" t="str">
        <x:f>IF(AND(BJ$5&gt;=$C350,BJ$5&lt;=$D350,$A350&lt;&gt;""),"●","")</x:f>
      </x:c>
      <x:c r="BK350" s="165" t="str">
        <x:f>IF(AND(BK$5&gt;=$C350,BK$5&lt;=$D350,$A350&lt;&gt;""),"●","")</x:f>
      </x:c>
      <x:c r="BL350" s="165" t="str">
        <x:f>IF(AND(BL$5&gt;=$C350,BL$5&lt;=$D350,$A350&lt;&gt;""),"●","")</x:f>
      </x:c>
      <x:c r="BM350" s="165" t="str">
        <x:f>IF(AND(BM$5&gt;=$C350,BM$5&lt;=$D350,$A350&lt;&gt;""),"●","")</x:f>
      </x:c>
      <x:c r="BN350" s="165" t="str">
        <x:f>IF(AND(BN$5&gt;=$C350,BN$5&lt;=$D350,$A350&lt;&gt;""),"●","")</x:f>
      </x:c>
      <x:c r="BO350" s="165" t="str">
        <x:f>IF(AND(BO$5&gt;=$C350,BO$5&lt;=$D350,$A350&lt;&gt;""),"●","")</x:f>
      </x:c>
      <x:c r="BP350" s="165" t="str">
        <x:f>IF(AND(BP$5&gt;=$C350,BP$5&lt;=$D350,$A350&lt;&gt;""),"●","")</x:f>
      </x:c>
      <x:c r="BQ350" s="165" t="str">
        <x:f>IF(AND(BQ$5&gt;=$C350,BQ$5&lt;=$D350,$A350&lt;&gt;""),"●","")</x:f>
      </x:c>
      <x:c r="BR350" s="165" t="str">
        <x:f>IF(AND(BR$5&gt;=$C350,BR$5&lt;=$D350,$A350&lt;&gt;""),"●","")</x:f>
      </x:c>
      <x:c r="BS350" s="165" t="str">
        <x:f>IF(AND(BS$5&gt;=$C350,BS$5&lt;=$D350,$A350&lt;&gt;""),"●","")</x:f>
      </x:c>
      <x:c r="BT350" s="165" t="str">
        <x:f>IF(AND(BT$5&gt;=$C350,BT$5&lt;=$D350,$A350&lt;&gt;""),"●","")</x:f>
      </x:c>
      <x:c r="BU350" s="165" t="str">
        <x:f>IF(AND(BU$5&gt;=$C350,BU$5&lt;=$D350,$A350&lt;&gt;""),"●","")</x:f>
      </x:c>
      <x:c r="BV350" s="165" t="str">
        <x:f>IF(AND(BV$5&gt;=$C350,BV$5&lt;=$D350,$A350&lt;&gt;""),"●","")</x:f>
      </x:c>
      <x:c r="BW350" s="165" t="str">
        <x:f>IF(AND(BW$5&gt;=$C350,BW$5&lt;=$D350,$A350&lt;&gt;""),"●","")</x:f>
      </x:c>
    </x:row>
    <x:row r="351">
      <x:c r="A351" s="159" t="str">
        <x:f>IF('รายการสัญญา'!A351="","",'รายการสัญญา'!A351)</x:f>
      </x:c>
      <x:c r="B351" s="159" t="str">
        <x:f>IF('รายการสัญญา'!A351="","",'รายการสัญญา'!C351)</x:f>
      </x:c>
      <x:c r="C351" s="162" t="str">
        <x:f>IF('รายการสัญญา'!A351="","",'รายการสัญญา'!E351)</x:f>
      </x:c>
      <x:c r="D351" s="162" t="str">
        <x:f>IF('รายการสัญญา'!A351="","",'รายการสัญญา'!G351)</x:f>
      </x:c>
      <x:c r="E351" s="159" t="str">
        <x:f>IF('รายการสัญญา'!A351="","",'รายการสัญญา'!K351)</x:f>
      </x:c>
      <x:c r="F351" s="165" t="str">
        <x:f>IF(AND(F$5&gt;=$C351,F$5&lt;=$D351,$A351&lt;&gt;""),"●","")</x:f>
      </x:c>
      <x:c r="G351" s="165" t="str">
        <x:f>IF(AND(G$5&gt;=$C351,G$5&lt;=$D351,$A351&lt;&gt;""),"●","")</x:f>
      </x:c>
      <x:c r="H351" s="165" t="str">
        <x:f>IF(AND(H$5&gt;=$C351,H$5&lt;=$D351,$A351&lt;&gt;""),"●","")</x:f>
      </x:c>
      <x:c r="I351" s="165" t="str">
        <x:f>IF(AND(I$5&gt;=$C351,I$5&lt;=$D351,$A351&lt;&gt;""),"●","")</x:f>
      </x:c>
      <x:c r="J351" s="165" t="str">
        <x:f>IF(AND(J$5&gt;=$C351,J$5&lt;=$D351,$A351&lt;&gt;""),"●","")</x:f>
      </x:c>
      <x:c r="K351" s="165" t="str">
        <x:f>IF(AND(K$5&gt;=$C351,K$5&lt;=$D351,$A351&lt;&gt;""),"●","")</x:f>
      </x:c>
      <x:c r="L351" s="165" t="str">
        <x:f>IF(AND(L$5&gt;=$C351,L$5&lt;=$D351,$A351&lt;&gt;""),"●","")</x:f>
      </x:c>
      <x:c r="M351" s="165" t="str">
        <x:f>IF(AND(M$5&gt;=$C351,M$5&lt;=$D351,$A351&lt;&gt;""),"●","")</x:f>
      </x:c>
      <x:c r="N351" s="165" t="str">
        <x:f>IF(AND(N$5&gt;=$C351,N$5&lt;=$D351,$A351&lt;&gt;""),"●","")</x:f>
      </x:c>
      <x:c r="O351" s="165" t="str">
        <x:f>IF(AND(O$5&gt;=$C351,O$5&lt;=$D351,$A351&lt;&gt;""),"●","")</x:f>
      </x:c>
      <x:c r="P351" s="165" t="str">
        <x:f>IF(AND(P$5&gt;=$C351,P$5&lt;=$D351,$A351&lt;&gt;""),"●","")</x:f>
      </x:c>
      <x:c r="Q351" s="165" t="str">
        <x:f>IF(AND(Q$5&gt;=$C351,Q$5&lt;=$D351,$A351&lt;&gt;""),"●","")</x:f>
      </x:c>
      <x:c r="R351" s="165" t="str">
        <x:f>IF(AND(R$5&gt;=$C351,R$5&lt;=$D351,$A351&lt;&gt;""),"●","")</x:f>
      </x:c>
      <x:c r="S351" s="165" t="str">
        <x:f>IF(AND(S$5&gt;=$C351,S$5&lt;=$D351,$A351&lt;&gt;""),"●","")</x:f>
      </x:c>
      <x:c r="T351" s="165" t="str">
        <x:f>IF(AND(T$5&gt;=$C351,T$5&lt;=$D351,$A351&lt;&gt;""),"●","")</x:f>
      </x:c>
      <x:c r="U351" s="165" t="str">
        <x:f>IF(AND(U$5&gt;=$C351,U$5&lt;=$D351,$A351&lt;&gt;""),"●","")</x:f>
      </x:c>
      <x:c r="V351" s="165" t="str">
        <x:f>IF(AND(V$5&gt;=$C351,V$5&lt;=$D351,$A351&lt;&gt;""),"●","")</x:f>
      </x:c>
      <x:c r="W351" s="165" t="str">
        <x:f>IF(AND(W$5&gt;=$C351,W$5&lt;=$D351,$A351&lt;&gt;""),"●","")</x:f>
      </x:c>
      <x:c r="X351" s="165" t="str">
        <x:f>IF(AND(X$5&gt;=$C351,X$5&lt;=$D351,$A351&lt;&gt;""),"●","")</x:f>
      </x:c>
      <x:c r="Y351" s="165" t="str">
        <x:f>IF(AND(Y$5&gt;=$C351,Y$5&lt;=$D351,$A351&lt;&gt;""),"●","")</x:f>
      </x:c>
      <x:c r="Z351" s="165" t="str">
        <x:f>IF(AND(Z$5&gt;=$C351,Z$5&lt;=$D351,$A351&lt;&gt;""),"●","")</x:f>
      </x:c>
      <x:c r="AA351" s="165" t="str">
        <x:f>IF(AND(AA$5&gt;=$C351,AA$5&lt;=$D351,$A351&lt;&gt;""),"●","")</x:f>
      </x:c>
      <x:c r="AB351" s="165" t="str">
        <x:f>IF(AND(AB$5&gt;=$C351,AB$5&lt;=$D351,$A351&lt;&gt;""),"●","")</x:f>
      </x:c>
      <x:c r="AC351" s="165" t="str">
        <x:f>IF(AND(AC$5&gt;=$C351,AC$5&lt;=$D351,$A351&lt;&gt;""),"●","")</x:f>
      </x:c>
      <x:c r="AD351" s="165" t="str">
        <x:f>IF(AND(AD$5&gt;=$C351,AD$5&lt;=$D351,$A351&lt;&gt;""),"●","")</x:f>
      </x:c>
      <x:c r="AE351" s="165" t="str">
        <x:f>IF(AND(AE$5&gt;=$C351,AE$5&lt;=$D351,$A351&lt;&gt;""),"●","")</x:f>
      </x:c>
      <x:c r="AF351" s="165" t="str">
        <x:f>IF(AND(AF$5&gt;=$C351,AF$5&lt;=$D351,$A351&lt;&gt;""),"●","")</x:f>
      </x:c>
      <x:c r="AG351" s="165" t="str">
        <x:f>IF(AND(AG$5&gt;=$C351,AG$5&lt;=$D351,$A351&lt;&gt;""),"●","")</x:f>
      </x:c>
      <x:c r="AH351" s="165" t="str">
        <x:f>IF(AND(AH$5&gt;=$C351,AH$5&lt;=$D351,$A351&lt;&gt;""),"●","")</x:f>
      </x:c>
      <x:c r="AI351" s="165" t="str">
        <x:f>IF(AND(AI$5&gt;=$C351,AI$5&lt;=$D351,$A351&lt;&gt;""),"●","")</x:f>
      </x:c>
      <x:c r="AJ351" s="165" t="str">
        <x:f>IF(AND(AJ$5&gt;=$C351,AJ$5&lt;=$D351,$A351&lt;&gt;""),"●","")</x:f>
      </x:c>
      <x:c r="AK351" s="165" t="str">
        <x:f>IF(AND(AK$5&gt;=$C351,AK$5&lt;=$D351,$A351&lt;&gt;""),"●","")</x:f>
      </x:c>
      <x:c r="AL351" s="165" t="str">
        <x:f>IF(AND(AL$5&gt;=$C351,AL$5&lt;=$D351,$A351&lt;&gt;""),"●","")</x:f>
      </x:c>
      <x:c r="AM351" s="165" t="str">
        <x:f>IF(AND(AM$5&gt;=$C351,AM$5&lt;=$D351,$A351&lt;&gt;""),"●","")</x:f>
      </x:c>
      <x:c r="AN351" s="165" t="str">
        <x:f>IF(AND(AN$5&gt;=$C351,AN$5&lt;=$D351,$A351&lt;&gt;""),"●","")</x:f>
      </x:c>
      <x:c r="AO351" s="165" t="str">
        <x:f>IF(AND(AO$5&gt;=$C351,AO$5&lt;=$D351,$A351&lt;&gt;""),"●","")</x:f>
      </x:c>
      <x:c r="AP351" s="165" t="str">
        <x:f>IF(AND(AP$5&gt;=$C351,AP$5&lt;=$D351,$A351&lt;&gt;""),"●","")</x:f>
      </x:c>
      <x:c r="AQ351" s="165" t="str">
        <x:f>IF(AND(AQ$5&gt;=$C351,AQ$5&lt;=$D351,$A351&lt;&gt;""),"●","")</x:f>
      </x:c>
      <x:c r="AR351" s="165" t="str">
        <x:f>IF(AND(AR$5&gt;=$C351,AR$5&lt;=$D351,$A351&lt;&gt;""),"●","")</x:f>
      </x:c>
      <x:c r="AS351" s="165" t="str">
        <x:f>IF(AND(AS$5&gt;=$C351,AS$5&lt;=$D351,$A351&lt;&gt;""),"●","")</x:f>
      </x:c>
      <x:c r="AT351" s="165" t="str">
        <x:f>IF(AND(AT$5&gt;=$C351,AT$5&lt;=$D351,$A351&lt;&gt;""),"●","")</x:f>
      </x:c>
      <x:c r="AU351" s="165" t="str">
        <x:f>IF(AND(AU$5&gt;=$C351,AU$5&lt;=$D351,$A351&lt;&gt;""),"●","")</x:f>
      </x:c>
      <x:c r="AV351" s="165" t="str">
        <x:f>IF(AND(AV$5&gt;=$C351,AV$5&lt;=$D351,$A351&lt;&gt;""),"●","")</x:f>
      </x:c>
      <x:c r="AW351" s="165" t="str">
        <x:f>IF(AND(AW$5&gt;=$C351,AW$5&lt;=$D351,$A351&lt;&gt;""),"●","")</x:f>
      </x:c>
      <x:c r="AX351" s="165" t="str">
        <x:f>IF(AND(AX$5&gt;=$C351,AX$5&lt;=$D351,$A351&lt;&gt;""),"●","")</x:f>
      </x:c>
      <x:c r="AY351" s="165" t="str">
        <x:f>IF(AND(AY$5&gt;=$C351,AY$5&lt;=$D351,$A351&lt;&gt;""),"●","")</x:f>
      </x:c>
      <x:c r="AZ351" s="165" t="str">
        <x:f>IF(AND(AZ$5&gt;=$C351,AZ$5&lt;=$D351,$A351&lt;&gt;""),"●","")</x:f>
      </x:c>
      <x:c r="BA351" s="165" t="str">
        <x:f>IF(AND(BA$5&gt;=$C351,BA$5&lt;=$D351,$A351&lt;&gt;""),"●","")</x:f>
      </x:c>
      <x:c r="BB351" s="165" t="str">
        <x:f>IF(AND(BB$5&gt;=$C351,BB$5&lt;=$D351,$A351&lt;&gt;""),"●","")</x:f>
      </x:c>
      <x:c r="BC351" s="165" t="str">
        <x:f>IF(AND(BC$5&gt;=$C351,BC$5&lt;=$D351,$A351&lt;&gt;""),"●","")</x:f>
      </x:c>
      <x:c r="BD351" s="165" t="str">
        <x:f>IF(AND(BD$5&gt;=$C351,BD$5&lt;=$D351,$A351&lt;&gt;""),"●","")</x:f>
      </x:c>
      <x:c r="BE351" s="165" t="str">
        <x:f>IF(AND(BE$5&gt;=$C351,BE$5&lt;=$D351,$A351&lt;&gt;""),"●","")</x:f>
      </x:c>
      <x:c r="BF351" s="165" t="str">
        <x:f>IF(AND(BF$5&gt;=$C351,BF$5&lt;=$D351,$A351&lt;&gt;""),"●","")</x:f>
      </x:c>
      <x:c r="BG351" s="165" t="str">
        <x:f>IF(AND(BG$5&gt;=$C351,BG$5&lt;=$D351,$A351&lt;&gt;""),"●","")</x:f>
      </x:c>
      <x:c r="BH351" s="165" t="str">
        <x:f>IF(AND(BH$5&gt;=$C351,BH$5&lt;=$D351,$A351&lt;&gt;""),"●","")</x:f>
      </x:c>
      <x:c r="BI351" s="165" t="str">
        <x:f>IF(AND(BI$5&gt;=$C351,BI$5&lt;=$D351,$A351&lt;&gt;""),"●","")</x:f>
      </x:c>
      <x:c r="BJ351" s="165" t="str">
        <x:f>IF(AND(BJ$5&gt;=$C351,BJ$5&lt;=$D351,$A351&lt;&gt;""),"●","")</x:f>
      </x:c>
      <x:c r="BK351" s="165" t="str">
        <x:f>IF(AND(BK$5&gt;=$C351,BK$5&lt;=$D351,$A351&lt;&gt;""),"●","")</x:f>
      </x:c>
      <x:c r="BL351" s="165" t="str">
        <x:f>IF(AND(BL$5&gt;=$C351,BL$5&lt;=$D351,$A351&lt;&gt;""),"●","")</x:f>
      </x:c>
      <x:c r="BM351" s="165" t="str">
        <x:f>IF(AND(BM$5&gt;=$C351,BM$5&lt;=$D351,$A351&lt;&gt;""),"●","")</x:f>
      </x:c>
      <x:c r="BN351" s="165" t="str">
        <x:f>IF(AND(BN$5&gt;=$C351,BN$5&lt;=$D351,$A351&lt;&gt;""),"●","")</x:f>
      </x:c>
      <x:c r="BO351" s="165" t="str">
        <x:f>IF(AND(BO$5&gt;=$C351,BO$5&lt;=$D351,$A351&lt;&gt;""),"●","")</x:f>
      </x:c>
      <x:c r="BP351" s="165" t="str">
        <x:f>IF(AND(BP$5&gt;=$C351,BP$5&lt;=$D351,$A351&lt;&gt;""),"●","")</x:f>
      </x:c>
      <x:c r="BQ351" s="165" t="str">
        <x:f>IF(AND(BQ$5&gt;=$C351,BQ$5&lt;=$D351,$A351&lt;&gt;""),"●","")</x:f>
      </x:c>
      <x:c r="BR351" s="165" t="str">
        <x:f>IF(AND(BR$5&gt;=$C351,BR$5&lt;=$D351,$A351&lt;&gt;""),"●","")</x:f>
      </x:c>
      <x:c r="BS351" s="165" t="str">
        <x:f>IF(AND(BS$5&gt;=$C351,BS$5&lt;=$D351,$A351&lt;&gt;""),"●","")</x:f>
      </x:c>
      <x:c r="BT351" s="165" t="str">
        <x:f>IF(AND(BT$5&gt;=$C351,BT$5&lt;=$D351,$A351&lt;&gt;""),"●","")</x:f>
      </x:c>
      <x:c r="BU351" s="165" t="str">
        <x:f>IF(AND(BU$5&gt;=$C351,BU$5&lt;=$D351,$A351&lt;&gt;""),"●","")</x:f>
      </x:c>
      <x:c r="BV351" s="165" t="str">
        <x:f>IF(AND(BV$5&gt;=$C351,BV$5&lt;=$D351,$A351&lt;&gt;""),"●","")</x:f>
      </x:c>
      <x:c r="BW351" s="165" t="str">
        <x:f>IF(AND(BW$5&gt;=$C351,BW$5&lt;=$D351,$A351&lt;&gt;""),"●","")</x:f>
      </x:c>
    </x:row>
    <x:row r="352">
      <x:c r="A352" s="159" t="str">
        <x:f>IF('รายการสัญญา'!A352="","",'รายการสัญญา'!A352)</x:f>
      </x:c>
      <x:c r="B352" s="159" t="str">
        <x:f>IF('รายการสัญญา'!A352="","",'รายการสัญญา'!C352)</x:f>
      </x:c>
      <x:c r="C352" s="162" t="str">
        <x:f>IF('รายการสัญญา'!A352="","",'รายการสัญญา'!E352)</x:f>
      </x:c>
      <x:c r="D352" s="162" t="str">
        <x:f>IF('รายการสัญญา'!A352="","",'รายการสัญญา'!G352)</x:f>
      </x:c>
      <x:c r="E352" s="159" t="str">
        <x:f>IF('รายการสัญญา'!A352="","",'รายการสัญญา'!K352)</x:f>
      </x:c>
      <x:c r="F352" s="165" t="str">
        <x:f>IF(AND(F$5&gt;=$C352,F$5&lt;=$D352,$A352&lt;&gt;""),"●","")</x:f>
      </x:c>
      <x:c r="G352" s="165" t="str">
        <x:f>IF(AND(G$5&gt;=$C352,G$5&lt;=$D352,$A352&lt;&gt;""),"●","")</x:f>
      </x:c>
      <x:c r="H352" s="165" t="str">
        <x:f>IF(AND(H$5&gt;=$C352,H$5&lt;=$D352,$A352&lt;&gt;""),"●","")</x:f>
      </x:c>
      <x:c r="I352" s="165" t="str">
        <x:f>IF(AND(I$5&gt;=$C352,I$5&lt;=$D352,$A352&lt;&gt;""),"●","")</x:f>
      </x:c>
      <x:c r="J352" s="165" t="str">
        <x:f>IF(AND(J$5&gt;=$C352,J$5&lt;=$D352,$A352&lt;&gt;""),"●","")</x:f>
      </x:c>
      <x:c r="K352" s="165" t="str">
        <x:f>IF(AND(K$5&gt;=$C352,K$5&lt;=$D352,$A352&lt;&gt;""),"●","")</x:f>
      </x:c>
      <x:c r="L352" s="165" t="str">
        <x:f>IF(AND(L$5&gt;=$C352,L$5&lt;=$D352,$A352&lt;&gt;""),"●","")</x:f>
      </x:c>
      <x:c r="M352" s="165" t="str">
        <x:f>IF(AND(M$5&gt;=$C352,M$5&lt;=$D352,$A352&lt;&gt;""),"●","")</x:f>
      </x:c>
      <x:c r="N352" s="165" t="str">
        <x:f>IF(AND(N$5&gt;=$C352,N$5&lt;=$D352,$A352&lt;&gt;""),"●","")</x:f>
      </x:c>
      <x:c r="O352" s="165" t="str">
        <x:f>IF(AND(O$5&gt;=$C352,O$5&lt;=$D352,$A352&lt;&gt;""),"●","")</x:f>
      </x:c>
      <x:c r="P352" s="165" t="str">
        <x:f>IF(AND(P$5&gt;=$C352,P$5&lt;=$D352,$A352&lt;&gt;""),"●","")</x:f>
      </x:c>
      <x:c r="Q352" s="165" t="str">
        <x:f>IF(AND(Q$5&gt;=$C352,Q$5&lt;=$D352,$A352&lt;&gt;""),"●","")</x:f>
      </x:c>
      <x:c r="R352" s="165" t="str">
        <x:f>IF(AND(R$5&gt;=$C352,R$5&lt;=$D352,$A352&lt;&gt;""),"●","")</x:f>
      </x:c>
      <x:c r="S352" s="165" t="str">
        <x:f>IF(AND(S$5&gt;=$C352,S$5&lt;=$D352,$A352&lt;&gt;""),"●","")</x:f>
      </x:c>
      <x:c r="T352" s="165" t="str">
        <x:f>IF(AND(T$5&gt;=$C352,T$5&lt;=$D352,$A352&lt;&gt;""),"●","")</x:f>
      </x:c>
      <x:c r="U352" s="165" t="str">
        <x:f>IF(AND(U$5&gt;=$C352,U$5&lt;=$D352,$A352&lt;&gt;""),"●","")</x:f>
      </x:c>
      <x:c r="V352" s="165" t="str">
        <x:f>IF(AND(V$5&gt;=$C352,V$5&lt;=$D352,$A352&lt;&gt;""),"●","")</x:f>
      </x:c>
      <x:c r="W352" s="165" t="str">
        <x:f>IF(AND(W$5&gt;=$C352,W$5&lt;=$D352,$A352&lt;&gt;""),"●","")</x:f>
      </x:c>
      <x:c r="X352" s="165" t="str">
        <x:f>IF(AND(X$5&gt;=$C352,X$5&lt;=$D352,$A352&lt;&gt;""),"●","")</x:f>
      </x:c>
      <x:c r="Y352" s="165" t="str">
        <x:f>IF(AND(Y$5&gt;=$C352,Y$5&lt;=$D352,$A352&lt;&gt;""),"●","")</x:f>
      </x:c>
      <x:c r="Z352" s="165" t="str">
        <x:f>IF(AND(Z$5&gt;=$C352,Z$5&lt;=$D352,$A352&lt;&gt;""),"●","")</x:f>
      </x:c>
      <x:c r="AA352" s="165" t="str">
        <x:f>IF(AND(AA$5&gt;=$C352,AA$5&lt;=$D352,$A352&lt;&gt;""),"●","")</x:f>
      </x:c>
      <x:c r="AB352" s="165" t="str">
        <x:f>IF(AND(AB$5&gt;=$C352,AB$5&lt;=$D352,$A352&lt;&gt;""),"●","")</x:f>
      </x:c>
      <x:c r="AC352" s="165" t="str">
        <x:f>IF(AND(AC$5&gt;=$C352,AC$5&lt;=$D352,$A352&lt;&gt;""),"●","")</x:f>
      </x:c>
      <x:c r="AD352" s="165" t="str">
        <x:f>IF(AND(AD$5&gt;=$C352,AD$5&lt;=$D352,$A352&lt;&gt;""),"●","")</x:f>
      </x:c>
      <x:c r="AE352" s="165" t="str">
        <x:f>IF(AND(AE$5&gt;=$C352,AE$5&lt;=$D352,$A352&lt;&gt;""),"●","")</x:f>
      </x:c>
      <x:c r="AF352" s="165" t="str">
        <x:f>IF(AND(AF$5&gt;=$C352,AF$5&lt;=$D352,$A352&lt;&gt;""),"●","")</x:f>
      </x:c>
      <x:c r="AG352" s="165" t="str">
        <x:f>IF(AND(AG$5&gt;=$C352,AG$5&lt;=$D352,$A352&lt;&gt;""),"●","")</x:f>
      </x:c>
      <x:c r="AH352" s="165" t="str">
        <x:f>IF(AND(AH$5&gt;=$C352,AH$5&lt;=$D352,$A352&lt;&gt;""),"●","")</x:f>
      </x:c>
      <x:c r="AI352" s="165" t="str">
        <x:f>IF(AND(AI$5&gt;=$C352,AI$5&lt;=$D352,$A352&lt;&gt;""),"●","")</x:f>
      </x:c>
      <x:c r="AJ352" s="165" t="str">
        <x:f>IF(AND(AJ$5&gt;=$C352,AJ$5&lt;=$D352,$A352&lt;&gt;""),"●","")</x:f>
      </x:c>
      <x:c r="AK352" s="165" t="str">
        <x:f>IF(AND(AK$5&gt;=$C352,AK$5&lt;=$D352,$A352&lt;&gt;""),"●","")</x:f>
      </x:c>
      <x:c r="AL352" s="165" t="str">
        <x:f>IF(AND(AL$5&gt;=$C352,AL$5&lt;=$D352,$A352&lt;&gt;""),"●","")</x:f>
      </x:c>
      <x:c r="AM352" s="165" t="str">
        <x:f>IF(AND(AM$5&gt;=$C352,AM$5&lt;=$D352,$A352&lt;&gt;""),"●","")</x:f>
      </x:c>
      <x:c r="AN352" s="165" t="str">
        <x:f>IF(AND(AN$5&gt;=$C352,AN$5&lt;=$D352,$A352&lt;&gt;""),"●","")</x:f>
      </x:c>
      <x:c r="AO352" s="165" t="str">
        <x:f>IF(AND(AO$5&gt;=$C352,AO$5&lt;=$D352,$A352&lt;&gt;""),"●","")</x:f>
      </x:c>
      <x:c r="AP352" s="165" t="str">
        <x:f>IF(AND(AP$5&gt;=$C352,AP$5&lt;=$D352,$A352&lt;&gt;""),"●","")</x:f>
      </x:c>
      <x:c r="AQ352" s="165" t="str">
        <x:f>IF(AND(AQ$5&gt;=$C352,AQ$5&lt;=$D352,$A352&lt;&gt;""),"●","")</x:f>
      </x:c>
      <x:c r="AR352" s="165" t="str">
        <x:f>IF(AND(AR$5&gt;=$C352,AR$5&lt;=$D352,$A352&lt;&gt;""),"●","")</x:f>
      </x:c>
      <x:c r="AS352" s="165" t="str">
        <x:f>IF(AND(AS$5&gt;=$C352,AS$5&lt;=$D352,$A352&lt;&gt;""),"●","")</x:f>
      </x:c>
      <x:c r="AT352" s="165" t="str">
        <x:f>IF(AND(AT$5&gt;=$C352,AT$5&lt;=$D352,$A352&lt;&gt;""),"●","")</x:f>
      </x:c>
      <x:c r="AU352" s="165" t="str">
        <x:f>IF(AND(AU$5&gt;=$C352,AU$5&lt;=$D352,$A352&lt;&gt;""),"●","")</x:f>
      </x:c>
      <x:c r="AV352" s="165" t="str">
        <x:f>IF(AND(AV$5&gt;=$C352,AV$5&lt;=$D352,$A352&lt;&gt;""),"●","")</x:f>
      </x:c>
      <x:c r="AW352" s="165" t="str">
        <x:f>IF(AND(AW$5&gt;=$C352,AW$5&lt;=$D352,$A352&lt;&gt;""),"●","")</x:f>
      </x:c>
      <x:c r="AX352" s="165" t="str">
        <x:f>IF(AND(AX$5&gt;=$C352,AX$5&lt;=$D352,$A352&lt;&gt;""),"●","")</x:f>
      </x:c>
      <x:c r="AY352" s="165" t="str">
        <x:f>IF(AND(AY$5&gt;=$C352,AY$5&lt;=$D352,$A352&lt;&gt;""),"●","")</x:f>
      </x:c>
      <x:c r="AZ352" s="165" t="str">
        <x:f>IF(AND(AZ$5&gt;=$C352,AZ$5&lt;=$D352,$A352&lt;&gt;""),"●","")</x:f>
      </x:c>
      <x:c r="BA352" s="165" t="str">
        <x:f>IF(AND(BA$5&gt;=$C352,BA$5&lt;=$D352,$A352&lt;&gt;""),"●","")</x:f>
      </x:c>
      <x:c r="BB352" s="165" t="str">
        <x:f>IF(AND(BB$5&gt;=$C352,BB$5&lt;=$D352,$A352&lt;&gt;""),"●","")</x:f>
      </x:c>
      <x:c r="BC352" s="165" t="str">
        <x:f>IF(AND(BC$5&gt;=$C352,BC$5&lt;=$D352,$A352&lt;&gt;""),"●","")</x:f>
      </x:c>
      <x:c r="BD352" s="165" t="str">
        <x:f>IF(AND(BD$5&gt;=$C352,BD$5&lt;=$D352,$A352&lt;&gt;""),"●","")</x:f>
      </x:c>
      <x:c r="BE352" s="165" t="str">
        <x:f>IF(AND(BE$5&gt;=$C352,BE$5&lt;=$D352,$A352&lt;&gt;""),"●","")</x:f>
      </x:c>
      <x:c r="BF352" s="165" t="str">
        <x:f>IF(AND(BF$5&gt;=$C352,BF$5&lt;=$D352,$A352&lt;&gt;""),"●","")</x:f>
      </x:c>
      <x:c r="BG352" s="165" t="str">
        <x:f>IF(AND(BG$5&gt;=$C352,BG$5&lt;=$D352,$A352&lt;&gt;""),"●","")</x:f>
      </x:c>
      <x:c r="BH352" s="165" t="str">
        <x:f>IF(AND(BH$5&gt;=$C352,BH$5&lt;=$D352,$A352&lt;&gt;""),"●","")</x:f>
      </x:c>
      <x:c r="BI352" s="165" t="str">
        <x:f>IF(AND(BI$5&gt;=$C352,BI$5&lt;=$D352,$A352&lt;&gt;""),"●","")</x:f>
      </x:c>
      <x:c r="BJ352" s="165" t="str">
        <x:f>IF(AND(BJ$5&gt;=$C352,BJ$5&lt;=$D352,$A352&lt;&gt;""),"●","")</x:f>
      </x:c>
      <x:c r="BK352" s="165" t="str">
        <x:f>IF(AND(BK$5&gt;=$C352,BK$5&lt;=$D352,$A352&lt;&gt;""),"●","")</x:f>
      </x:c>
      <x:c r="BL352" s="165" t="str">
        <x:f>IF(AND(BL$5&gt;=$C352,BL$5&lt;=$D352,$A352&lt;&gt;""),"●","")</x:f>
      </x:c>
      <x:c r="BM352" s="165" t="str">
        <x:f>IF(AND(BM$5&gt;=$C352,BM$5&lt;=$D352,$A352&lt;&gt;""),"●","")</x:f>
      </x:c>
      <x:c r="BN352" s="165" t="str">
        <x:f>IF(AND(BN$5&gt;=$C352,BN$5&lt;=$D352,$A352&lt;&gt;""),"●","")</x:f>
      </x:c>
      <x:c r="BO352" s="165" t="str">
        <x:f>IF(AND(BO$5&gt;=$C352,BO$5&lt;=$D352,$A352&lt;&gt;""),"●","")</x:f>
      </x:c>
      <x:c r="BP352" s="165" t="str">
        <x:f>IF(AND(BP$5&gt;=$C352,BP$5&lt;=$D352,$A352&lt;&gt;""),"●","")</x:f>
      </x:c>
      <x:c r="BQ352" s="165" t="str">
        <x:f>IF(AND(BQ$5&gt;=$C352,BQ$5&lt;=$D352,$A352&lt;&gt;""),"●","")</x:f>
      </x:c>
      <x:c r="BR352" s="165" t="str">
        <x:f>IF(AND(BR$5&gt;=$C352,BR$5&lt;=$D352,$A352&lt;&gt;""),"●","")</x:f>
      </x:c>
      <x:c r="BS352" s="165" t="str">
        <x:f>IF(AND(BS$5&gt;=$C352,BS$5&lt;=$D352,$A352&lt;&gt;""),"●","")</x:f>
      </x:c>
      <x:c r="BT352" s="165" t="str">
        <x:f>IF(AND(BT$5&gt;=$C352,BT$5&lt;=$D352,$A352&lt;&gt;""),"●","")</x:f>
      </x:c>
      <x:c r="BU352" s="165" t="str">
        <x:f>IF(AND(BU$5&gt;=$C352,BU$5&lt;=$D352,$A352&lt;&gt;""),"●","")</x:f>
      </x:c>
      <x:c r="BV352" s="165" t="str">
        <x:f>IF(AND(BV$5&gt;=$C352,BV$5&lt;=$D352,$A352&lt;&gt;""),"●","")</x:f>
      </x:c>
      <x:c r="BW352" s="165" t="str">
        <x:f>IF(AND(BW$5&gt;=$C352,BW$5&lt;=$D352,$A352&lt;&gt;""),"●","")</x:f>
      </x:c>
    </x:row>
    <x:row r="353">
      <x:c r="A353" s="159" t="str">
        <x:f>IF('รายการสัญญา'!A353="","",'รายการสัญญา'!A353)</x:f>
      </x:c>
      <x:c r="B353" s="159" t="str">
        <x:f>IF('รายการสัญญา'!A353="","",'รายการสัญญา'!C353)</x:f>
      </x:c>
      <x:c r="C353" s="162" t="str">
        <x:f>IF('รายการสัญญา'!A353="","",'รายการสัญญา'!E353)</x:f>
      </x:c>
      <x:c r="D353" s="162" t="str">
        <x:f>IF('รายการสัญญา'!A353="","",'รายการสัญญา'!G353)</x:f>
      </x:c>
      <x:c r="E353" s="159" t="str">
        <x:f>IF('รายการสัญญา'!A353="","",'รายการสัญญา'!K353)</x:f>
      </x:c>
      <x:c r="F353" s="165" t="str">
        <x:f>IF(AND(F$5&gt;=$C353,F$5&lt;=$D353,$A353&lt;&gt;""),"●","")</x:f>
      </x:c>
      <x:c r="G353" s="165" t="str">
        <x:f>IF(AND(G$5&gt;=$C353,G$5&lt;=$D353,$A353&lt;&gt;""),"●","")</x:f>
      </x:c>
      <x:c r="H353" s="165" t="str">
        <x:f>IF(AND(H$5&gt;=$C353,H$5&lt;=$D353,$A353&lt;&gt;""),"●","")</x:f>
      </x:c>
      <x:c r="I353" s="165" t="str">
        <x:f>IF(AND(I$5&gt;=$C353,I$5&lt;=$D353,$A353&lt;&gt;""),"●","")</x:f>
      </x:c>
      <x:c r="J353" s="165" t="str">
        <x:f>IF(AND(J$5&gt;=$C353,J$5&lt;=$D353,$A353&lt;&gt;""),"●","")</x:f>
      </x:c>
      <x:c r="K353" s="165" t="str">
        <x:f>IF(AND(K$5&gt;=$C353,K$5&lt;=$D353,$A353&lt;&gt;""),"●","")</x:f>
      </x:c>
      <x:c r="L353" s="165" t="str">
        <x:f>IF(AND(L$5&gt;=$C353,L$5&lt;=$D353,$A353&lt;&gt;""),"●","")</x:f>
      </x:c>
      <x:c r="M353" s="165" t="str">
        <x:f>IF(AND(M$5&gt;=$C353,M$5&lt;=$D353,$A353&lt;&gt;""),"●","")</x:f>
      </x:c>
      <x:c r="N353" s="165" t="str">
        <x:f>IF(AND(N$5&gt;=$C353,N$5&lt;=$D353,$A353&lt;&gt;""),"●","")</x:f>
      </x:c>
      <x:c r="O353" s="165" t="str">
        <x:f>IF(AND(O$5&gt;=$C353,O$5&lt;=$D353,$A353&lt;&gt;""),"●","")</x:f>
      </x:c>
      <x:c r="P353" s="165" t="str">
        <x:f>IF(AND(P$5&gt;=$C353,P$5&lt;=$D353,$A353&lt;&gt;""),"●","")</x:f>
      </x:c>
      <x:c r="Q353" s="165" t="str">
        <x:f>IF(AND(Q$5&gt;=$C353,Q$5&lt;=$D353,$A353&lt;&gt;""),"●","")</x:f>
      </x:c>
      <x:c r="R353" s="165" t="str">
        <x:f>IF(AND(R$5&gt;=$C353,R$5&lt;=$D353,$A353&lt;&gt;""),"●","")</x:f>
      </x:c>
      <x:c r="S353" s="165" t="str">
        <x:f>IF(AND(S$5&gt;=$C353,S$5&lt;=$D353,$A353&lt;&gt;""),"●","")</x:f>
      </x:c>
      <x:c r="T353" s="165" t="str">
        <x:f>IF(AND(T$5&gt;=$C353,T$5&lt;=$D353,$A353&lt;&gt;""),"●","")</x:f>
      </x:c>
      <x:c r="U353" s="165" t="str">
        <x:f>IF(AND(U$5&gt;=$C353,U$5&lt;=$D353,$A353&lt;&gt;""),"●","")</x:f>
      </x:c>
      <x:c r="V353" s="165" t="str">
        <x:f>IF(AND(V$5&gt;=$C353,V$5&lt;=$D353,$A353&lt;&gt;""),"●","")</x:f>
      </x:c>
      <x:c r="W353" s="165" t="str">
        <x:f>IF(AND(W$5&gt;=$C353,W$5&lt;=$D353,$A353&lt;&gt;""),"●","")</x:f>
      </x:c>
      <x:c r="X353" s="165" t="str">
        <x:f>IF(AND(X$5&gt;=$C353,X$5&lt;=$D353,$A353&lt;&gt;""),"●","")</x:f>
      </x:c>
      <x:c r="Y353" s="165" t="str">
        <x:f>IF(AND(Y$5&gt;=$C353,Y$5&lt;=$D353,$A353&lt;&gt;""),"●","")</x:f>
      </x:c>
      <x:c r="Z353" s="165" t="str">
        <x:f>IF(AND(Z$5&gt;=$C353,Z$5&lt;=$D353,$A353&lt;&gt;""),"●","")</x:f>
      </x:c>
      <x:c r="AA353" s="165" t="str">
        <x:f>IF(AND(AA$5&gt;=$C353,AA$5&lt;=$D353,$A353&lt;&gt;""),"●","")</x:f>
      </x:c>
      <x:c r="AB353" s="165" t="str">
        <x:f>IF(AND(AB$5&gt;=$C353,AB$5&lt;=$D353,$A353&lt;&gt;""),"●","")</x:f>
      </x:c>
      <x:c r="AC353" s="165" t="str">
        <x:f>IF(AND(AC$5&gt;=$C353,AC$5&lt;=$D353,$A353&lt;&gt;""),"●","")</x:f>
      </x:c>
      <x:c r="AD353" s="165" t="str">
        <x:f>IF(AND(AD$5&gt;=$C353,AD$5&lt;=$D353,$A353&lt;&gt;""),"●","")</x:f>
      </x:c>
      <x:c r="AE353" s="165" t="str">
        <x:f>IF(AND(AE$5&gt;=$C353,AE$5&lt;=$D353,$A353&lt;&gt;""),"●","")</x:f>
      </x:c>
      <x:c r="AF353" s="165" t="str">
        <x:f>IF(AND(AF$5&gt;=$C353,AF$5&lt;=$D353,$A353&lt;&gt;""),"●","")</x:f>
      </x:c>
      <x:c r="AG353" s="165" t="str">
        <x:f>IF(AND(AG$5&gt;=$C353,AG$5&lt;=$D353,$A353&lt;&gt;""),"●","")</x:f>
      </x:c>
      <x:c r="AH353" s="165" t="str">
        <x:f>IF(AND(AH$5&gt;=$C353,AH$5&lt;=$D353,$A353&lt;&gt;""),"●","")</x:f>
      </x:c>
      <x:c r="AI353" s="165" t="str">
        <x:f>IF(AND(AI$5&gt;=$C353,AI$5&lt;=$D353,$A353&lt;&gt;""),"●","")</x:f>
      </x:c>
      <x:c r="AJ353" s="165" t="str">
        <x:f>IF(AND(AJ$5&gt;=$C353,AJ$5&lt;=$D353,$A353&lt;&gt;""),"●","")</x:f>
      </x:c>
      <x:c r="AK353" s="165" t="str">
        <x:f>IF(AND(AK$5&gt;=$C353,AK$5&lt;=$D353,$A353&lt;&gt;""),"●","")</x:f>
      </x:c>
      <x:c r="AL353" s="165" t="str">
        <x:f>IF(AND(AL$5&gt;=$C353,AL$5&lt;=$D353,$A353&lt;&gt;""),"●","")</x:f>
      </x:c>
      <x:c r="AM353" s="165" t="str">
        <x:f>IF(AND(AM$5&gt;=$C353,AM$5&lt;=$D353,$A353&lt;&gt;""),"●","")</x:f>
      </x:c>
      <x:c r="AN353" s="165" t="str">
        <x:f>IF(AND(AN$5&gt;=$C353,AN$5&lt;=$D353,$A353&lt;&gt;""),"●","")</x:f>
      </x:c>
      <x:c r="AO353" s="165" t="str">
        <x:f>IF(AND(AO$5&gt;=$C353,AO$5&lt;=$D353,$A353&lt;&gt;""),"●","")</x:f>
      </x:c>
      <x:c r="AP353" s="165" t="str">
        <x:f>IF(AND(AP$5&gt;=$C353,AP$5&lt;=$D353,$A353&lt;&gt;""),"●","")</x:f>
      </x:c>
      <x:c r="AQ353" s="165" t="str">
        <x:f>IF(AND(AQ$5&gt;=$C353,AQ$5&lt;=$D353,$A353&lt;&gt;""),"●","")</x:f>
      </x:c>
      <x:c r="AR353" s="165" t="str">
        <x:f>IF(AND(AR$5&gt;=$C353,AR$5&lt;=$D353,$A353&lt;&gt;""),"●","")</x:f>
      </x:c>
      <x:c r="AS353" s="165" t="str">
        <x:f>IF(AND(AS$5&gt;=$C353,AS$5&lt;=$D353,$A353&lt;&gt;""),"●","")</x:f>
      </x:c>
      <x:c r="AT353" s="165" t="str">
        <x:f>IF(AND(AT$5&gt;=$C353,AT$5&lt;=$D353,$A353&lt;&gt;""),"●","")</x:f>
      </x:c>
      <x:c r="AU353" s="165" t="str">
        <x:f>IF(AND(AU$5&gt;=$C353,AU$5&lt;=$D353,$A353&lt;&gt;""),"●","")</x:f>
      </x:c>
      <x:c r="AV353" s="165" t="str">
        <x:f>IF(AND(AV$5&gt;=$C353,AV$5&lt;=$D353,$A353&lt;&gt;""),"●","")</x:f>
      </x:c>
      <x:c r="AW353" s="165" t="str">
        <x:f>IF(AND(AW$5&gt;=$C353,AW$5&lt;=$D353,$A353&lt;&gt;""),"●","")</x:f>
      </x:c>
      <x:c r="AX353" s="165" t="str">
        <x:f>IF(AND(AX$5&gt;=$C353,AX$5&lt;=$D353,$A353&lt;&gt;""),"●","")</x:f>
      </x:c>
      <x:c r="AY353" s="165" t="str">
        <x:f>IF(AND(AY$5&gt;=$C353,AY$5&lt;=$D353,$A353&lt;&gt;""),"●","")</x:f>
      </x:c>
      <x:c r="AZ353" s="165" t="str">
        <x:f>IF(AND(AZ$5&gt;=$C353,AZ$5&lt;=$D353,$A353&lt;&gt;""),"●","")</x:f>
      </x:c>
      <x:c r="BA353" s="165" t="str">
        <x:f>IF(AND(BA$5&gt;=$C353,BA$5&lt;=$D353,$A353&lt;&gt;""),"●","")</x:f>
      </x:c>
      <x:c r="BB353" s="165" t="str">
        <x:f>IF(AND(BB$5&gt;=$C353,BB$5&lt;=$D353,$A353&lt;&gt;""),"●","")</x:f>
      </x:c>
      <x:c r="BC353" s="165" t="str">
        <x:f>IF(AND(BC$5&gt;=$C353,BC$5&lt;=$D353,$A353&lt;&gt;""),"●","")</x:f>
      </x:c>
      <x:c r="BD353" s="165" t="str">
        <x:f>IF(AND(BD$5&gt;=$C353,BD$5&lt;=$D353,$A353&lt;&gt;""),"●","")</x:f>
      </x:c>
      <x:c r="BE353" s="165" t="str">
        <x:f>IF(AND(BE$5&gt;=$C353,BE$5&lt;=$D353,$A353&lt;&gt;""),"●","")</x:f>
      </x:c>
      <x:c r="BF353" s="165" t="str">
        <x:f>IF(AND(BF$5&gt;=$C353,BF$5&lt;=$D353,$A353&lt;&gt;""),"●","")</x:f>
      </x:c>
      <x:c r="BG353" s="165" t="str">
        <x:f>IF(AND(BG$5&gt;=$C353,BG$5&lt;=$D353,$A353&lt;&gt;""),"●","")</x:f>
      </x:c>
      <x:c r="BH353" s="165" t="str">
        <x:f>IF(AND(BH$5&gt;=$C353,BH$5&lt;=$D353,$A353&lt;&gt;""),"●","")</x:f>
      </x:c>
      <x:c r="BI353" s="165" t="str">
        <x:f>IF(AND(BI$5&gt;=$C353,BI$5&lt;=$D353,$A353&lt;&gt;""),"●","")</x:f>
      </x:c>
      <x:c r="BJ353" s="165" t="str">
        <x:f>IF(AND(BJ$5&gt;=$C353,BJ$5&lt;=$D353,$A353&lt;&gt;""),"●","")</x:f>
      </x:c>
      <x:c r="BK353" s="165" t="str">
        <x:f>IF(AND(BK$5&gt;=$C353,BK$5&lt;=$D353,$A353&lt;&gt;""),"●","")</x:f>
      </x:c>
      <x:c r="BL353" s="165" t="str">
        <x:f>IF(AND(BL$5&gt;=$C353,BL$5&lt;=$D353,$A353&lt;&gt;""),"●","")</x:f>
      </x:c>
      <x:c r="BM353" s="165" t="str">
        <x:f>IF(AND(BM$5&gt;=$C353,BM$5&lt;=$D353,$A353&lt;&gt;""),"●","")</x:f>
      </x:c>
      <x:c r="BN353" s="165" t="str">
        <x:f>IF(AND(BN$5&gt;=$C353,BN$5&lt;=$D353,$A353&lt;&gt;""),"●","")</x:f>
      </x:c>
      <x:c r="BO353" s="165" t="str">
        <x:f>IF(AND(BO$5&gt;=$C353,BO$5&lt;=$D353,$A353&lt;&gt;""),"●","")</x:f>
      </x:c>
      <x:c r="BP353" s="165" t="str">
        <x:f>IF(AND(BP$5&gt;=$C353,BP$5&lt;=$D353,$A353&lt;&gt;""),"●","")</x:f>
      </x:c>
      <x:c r="BQ353" s="165" t="str">
        <x:f>IF(AND(BQ$5&gt;=$C353,BQ$5&lt;=$D353,$A353&lt;&gt;""),"●","")</x:f>
      </x:c>
      <x:c r="BR353" s="165" t="str">
        <x:f>IF(AND(BR$5&gt;=$C353,BR$5&lt;=$D353,$A353&lt;&gt;""),"●","")</x:f>
      </x:c>
      <x:c r="BS353" s="165" t="str">
        <x:f>IF(AND(BS$5&gt;=$C353,BS$5&lt;=$D353,$A353&lt;&gt;""),"●","")</x:f>
      </x:c>
      <x:c r="BT353" s="165" t="str">
        <x:f>IF(AND(BT$5&gt;=$C353,BT$5&lt;=$D353,$A353&lt;&gt;""),"●","")</x:f>
      </x:c>
      <x:c r="BU353" s="165" t="str">
        <x:f>IF(AND(BU$5&gt;=$C353,BU$5&lt;=$D353,$A353&lt;&gt;""),"●","")</x:f>
      </x:c>
      <x:c r="BV353" s="165" t="str">
        <x:f>IF(AND(BV$5&gt;=$C353,BV$5&lt;=$D353,$A353&lt;&gt;""),"●","")</x:f>
      </x:c>
      <x:c r="BW353" s="165" t="str">
        <x:f>IF(AND(BW$5&gt;=$C353,BW$5&lt;=$D353,$A353&lt;&gt;""),"●","")</x:f>
      </x:c>
    </x:row>
    <x:row r="354">
      <x:c r="A354" s="159" t="str">
        <x:f>IF('รายการสัญญา'!A354="","",'รายการสัญญา'!A354)</x:f>
      </x:c>
      <x:c r="B354" s="159" t="str">
        <x:f>IF('รายการสัญญา'!A354="","",'รายการสัญญา'!C354)</x:f>
      </x:c>
      <x:c r="C354" s="162" t="str">
        <x:f>IF('รายการสัญญา'!A354="","",'รายการสัญญา'!E354)</x:f>
      </x:c>
      <x:c r="D354" s="162" t="str">
        <x:f>IF('รายการสัญญา'!A354="","",'รายการสัญญา'!G354)</x:f>
      </x:c>
      <x:c r="E354" s="159" t="str">
        <x:f>IF('รายการสัญญา'!A354="","",'รายการสัญญา'!K354)</x:f>
      </x:c>
      <x:c r="F354" s="165" t="str">
        <x:f>IF(AND(F$5&gt;=$C354,F$5&lt;=$D354,$A354&lt;&gt;""),"●","")</x:f>
      </x:c>
      <x:c r="G354" s="165" t="str">
        <x:f>IF(AND(G$5&gt;=$C354,G$5&lt;=$D354,$A354&lt;&gt;""),"●","")</x:f>
      </x:c>
      <x:c r="H354" s="165" t="str">
        <x:f>IF(AND(H$5&gt;=$C354,H$5&lt;=$D354,$A354&lt;&gt;""),"●","")</x:f>
      </x:c>
      <x:c r="I354" s="165" t="str">
        <x:f>IF(AND(I$5&gt;=$C354,I$5&lt;=$D354,$A354&lt;&gt;""),"●","")</x:f>
      </x:c>
      <x:c r="J354" s="165" t="str">
        <x:f>IF(AND(J$5&gt;=$C354,J$5&lt;=$D354,$A354&lt;&gt;""),"●","")</x:f>
      </x:c>
      <x:c r="K354" s="165" t="str">
        <x:f>IF(AND(K$5&gt;=$C354,K$5&lt;=$D354,$A354&lt;&gt;""),"●","")</x:f>
      </x:c>
      <x:c r="L354" s="165" t="str">
        <x:f>IF(AND(L$5&gt;=$C354,L$5&lt;=$D354,$A354&lt;&gt;""),"●","")</x:f>
      </x:c>
      <x:c r="M354" s="165" t="str">
        <x:f>IF(AND(M$5&gt;=$C354,M$5&lt;=$D354,$A354&lt;&gt;""),"●","")</x:f>
      </x:c>
      <x:c r="N354" s="165" t="str">
        <x:f>IF(AND(N$5&gt;=$C354,N$5&lt;=$D354,$A354&lt;&gt;""),"●","")</x:f>
      </x:c>
      <x:c r="O354" s="165" t="str">
        <x:f>IF(AND(O$5&gt;=$C354,O$5&lt;=$D354,$A354&lt;&gt;""),"●","")</x:f>
      </x:c>
      <x:c r="P354" s="165" t="str">
        <x:f>IF(AND(P$5&gt;=$C354,P$5&lt;=$D354,$A354&lt;&gt;""),"●","")</x:f>
      </x:c>
      <x:c r="Q354" s="165" t="str">
        <x:f>IF(AND(Q$5&gt;=$C354,Q$5&lt;=$D354,$A354&lt;&gt;""),"●","")</x:f>
      </x:c>
      <x:c r="R354" s="165" t="str">
        <x:f>IF(AND(R$5&gt;=$C354,R$5&lt;=$D354,$A354&lt;&gt;""),"●","")</x:f>
      </x:c>
      <x:c r="S354" s="165" t="str">
        <x:f>IF(AND(S$5&gt;=$C354,S$5&lt;=$D354,$A354&lt;&gt;""),"●","")</x:f>
      </x:c>
      <x:c r="T354" s="165" t="str">
        <x:f>IF(AND(T$5&gt;=$C354,T$5&lt;=$D354,$A354&lt;&gt;""),"●","")</x:f>
      </x:c>
      <x:c r="U354" s="165" t="str">
        <x:f>IF(AND(U$5&gt;=$C354,U$5&lt;=$D354,$A354&lt;&gt;""),"●","")</x:f>
      </x:c>
      <x:c r="V354" s="165" t="str">
        <x:f>IF(AND(V$5&gt;=$C354,V$5&lt;=$D354,$A354&lt;&gt;""),"●","")</x:f>
      </x:c>
      <x:c r="W354" s="165" t="str">
        <x:f>IF(AND(W$5&gt;=$C354,W$5&lt;=$D354,$A354&lt;&gt;""),"●","")</x:f>
      </x:c>
      <x:c r="X354" s="165" t="str">
        <x:f>IF(AND(X$5&gt;=$C354,X$5&lt;=$D354,$A354&lt;&gt;""),"●","")</x:f>
      </x:c>
      <x:c r="Y354" s="165" t="str">
        <x:f>IF(AND(Y$5&gt;=$C354,Y$5&lt;=$D354,$A354&lt;&gt;""),"●","")</x:f>
      </x:c>
      <x:c r="Z354" s="165" t="str">
        <x:f>IF(AND(Z$5&gt;=$C354,Z$5&lt;=$D354,$A354&lt;&gt;""),"●","")</x:f>
      </x:c>
      <x:c r="AA354" s="165" t="str">
        <x:f>IF(AND(AA$5&gt;=$C354,AA$5&lt;=$D354,$A354&lt;&gt;""),"●","")</x:f>
      </x:c>
      <x:c r="AB354" s="165" t="str">
        <x:f>IF(AND(AB$5&gt;=$C354,AB$5&lt;=$D354,$A354&lt;&gt;""),"●","")</x:f>
      </x:c>
      <x:c r="AC354" s="165" t="str">
        <x:f>IF(AND(AC$5&gt;=$C354,AC$5&lt;=$D354,$A354&lt;&gt;""),"●","")</x:f>
      </x:c>
      <x:c r="AD354" s="165" t="str">
        <x:f>IF(AND(AD$5&gt;=$C354,AD$5&lt;=$D354,$A354&lt;&gt;""),"●","")</x:f>
      </x:c>
      <x:c r="AE354" s="165" t="str">
        <x:f>IF(AND(AE$5&gt;=$C354,AE$5&lt;=$D354,$A354&lt;&gt;""),"●","")</x:f>
      </x:c>
      <x:c r="AF354" s="165" t="str">
        <x:f>IF(AND(AF$5&gt;=$C354,AF$5&lt;=$D354,$A354&lt;&gt;""),"●","")</x:f>
      </x:c>
      <x:c r="AG354" s="165" t="str">
        <x:f>IF(AND(AG$5&gt;=$C354,AG$5&lt;=$D354,$A354&lt;&gt;""),"●","")</x:f>
      </x:c>
      <x:c r="AH354" s="165" t="str">
        <x:f>IF(AND(AH$5&gt;=$C354,AH$5&lt;=$D354,$A354&lt;&gt;""),"●","")</x:f>
      </x:c>
      <x:c r="AI354" s="165" t="str">
        <x:f>IF(AND(AI$5&gt;=$C354,AI$5&lt;=$D354,$A354&lt;&gt;""),"●","")</x:f>
      </x:c>
      <x:c r="AJ354" s="165" t="str">
        <x:f>IF(AND(AJ$5&gt;=$C354,AJ$5&lt;=$D354,$A354&lt;&gt;""),"●","")</x:f>
      </x:c>
      <x:c r="AK354" s="165" t="str">
        <x:f>IF(AND(AK$5&gt;=$C354,AK$5&lt;=$D354,$A354&lt;&gt;""),"●","")</x:f>
      </x:c>
      <x:c r="AL354" s="165" t="str">
        <x:f>IF(AND(AL$5&gt;=$C354,AL$5&lt;=$D354,$A354&lt;&gt;""),"●","")</x:f>
      </x:c>
      <x:c r="AM354" s="165" t="str">
        <x:f>IF(AND(AM$5&gt;=$C354,AM$5&lt;=$D354,$A354&lt;&gt;""),"●","")</x:f>
      </x:c>
      <x:c r="AN354" s="165" t="str">
        <x:f>IF(AND(AN$5&gt;=$C354,AN$5&lt;=$D354,$A354&lt;&gt;""),"●","")</x:f>
      </x:c>
      <x:c r="AO354" s="165" t="str">
        <x:f>IF(AND(AO$5&gt;=$C354,AO$5&lt;=$D354,$A354&lt;&gt;""),"●","")</x:f>
      </x:c>
      <x:c r="AP354" s="165" t="str">
        <x:f>IF(AND(AP$5&gt;=$C354,AP$5&lt;=$D354,$A354&lt;&gt;""),"●","")</x:f>
      </x:c>
      <x:c r="AQ354" s="165" t="str">
        <x:f>IF(AND(AQ$5&gt;=$C354,AQ$5&lt;=$D354,$A354&lt;&gt;""),"●","")</x:f>
      </x:c>
      <x:c r="AR354" s="165" t="str">
        <x:f>IF(AND(AR$5&gt;=$C354,AR$5&lt;=$D354,$A354&lt;&gt;""),"●","")</x:f>
      </x:c>
      <x:c r="AS354" s="165" t="str">
        <x:f>IF(AND(AS$5&gt;=$C354,AS$5&lt;=$D354,$A354&lt;&gt;""),"●","")</x:f>
      </x:c>
      <x:c r="AT354" s="165" t="str">
        <x:f>IF(AND(AT$5&gt;=$C354,AT$5&lt;=$D354,$A354&lt;&gt;""),"●","")</x:f>
      </x:c>
      <x:c r="AU354" s="165" t="str">
        <x:f>IF(AND(AU$5&gt;=$C354,AU$5&lt;=$D354,$A354&lt;&gt;""),"●","")</x:f>
      </x:c>
      <x:c r="AV354" s="165" t="str">
        <x:f>IF(AND(AV$5&gt;=$C354,AV$5&lt;=$D354,$A354&lt;&gt;""),"●","")</x:f>
      </x:c>
      <x:c r="AW354" s="165" t="str">
        <x:f>IF(AND(AW$5&gt;=$C354,AW$5&lt;=$D354,$A354&lt;&gt;""),"●","")</x:f>
      </x:c>
      <x:c r="AX354" s="165" t="str">
        <x:f>IF(AND(AX$5&gt;=$C354,AX$5&lt;=$D354,$A354&lt;&gt;""),"●","")</x:f>
      </x:c>
      <x:c r="AY354" s="165" t="str">
        <x:f>IF(AND(AY$5&gt;=$C354,AY$5&lt;=$D354,$A354&lt;&gt;""),"●","")</x:f>
      </x:c>
      <x:c r="AZ354" s="165" t="str">
        <x:f>IF(AND(AZ$5&gt;=$C354,AZ$5&lt;=$D354,$A354&lt;&gt;""),"●","")</x:f>
      </x:c>
      <x:c r="BA354" s="165" t="str">
        <x:f>IF(AND(BA$5&gt;=$C354,BA$5&lt;=$D354,$A354&lt;&gt;""),"●","")</x:f>
      </x:c>
      <x:c r="BB354" s="165" t="str">
        <x:f>IF(AND(BB$5&gt;=$C354,BB$5&lt;=$D354,$A354&lt;&gt;""),"●","")</x:f>
      </x:c>
      <x:c r="BC354" s="165" t="str">
        <x:f>IF(AND(BC$5&gt;=$C354,BC$5&lt;=$D354,$A354&lt;&gt;""),"●","")</x:f>
      </x:c>
      <x:c r="BD354" s="165" t="str">
        <x:f>IF(AND(BD$5&gt;=$C354,BD$5&lt;=$D354,$A354&lt;&gt;""),"●","")</x:f>
      </x:c>
      <x:c r="BE354" s="165" t="str">
        <x:f>IF(AND(BE$5&gt;=$C354,BE$5&lt;=$D354,$A354&lt;&gt;""),"●","")</x:f>
      </x:c>
      <x:c r="BF354" s="165" t="str">
        <x:f>IF(AND(BF$5&gt;=$C354,BF$5&lt;=$D354,$A354&lt;&gt;""),"●","")</x:f>
      </x:c>
      <x:c r="BG354" s="165" t="str">
        <x:f>IF(AND(BG$5&gt;=$C354,BG$5&lt;=$D354,$A354&lt;&gt;""),"●","")</x:f>
      </x:c>
      <x:c r="BH354" s="165" t="str">
        <x:f>IF(AND(BH$5&gt;=$C354,BH$5&lt;=$D354,$A354&lt;&gt;""),"●","")</x:f>
      </x:c>
      <x:c r="BI354" s="165" t="str">
        <x:f>IF(AND(BI$5&gt;=$C354,BI$5&lt;=$D354,$A354&lt;&gt;""),"●","")</x:f>
      </x:c>
      <x:c r="BJ354" s="165" t="str">
        <x:f>IF(AND(BJ$5&gt;=$C354,BJ$5&lt;=$D354,$A354&lt;&gt;""),"●","")</x:f>
      </x:c>
      <x:c r="BK354" s="165" t="str">
        <x:f>IF(AND(BK$5&gt;=$C354,BK$5&lt;=$D354,$A354&lt;&gt;""),"●","")</x:f>
      </x:c>
      <x:c r="BL354" s="165" t="str">
        <x:f>IF(AND(BL$5&gt;=$C354,BL$5&lt;=$D354,$A354&lt;&gt;""),"●","")</x:f>
      </x:c>
      <x:c r="BM354" s="165" t="str">
        <x:f>IF(AND(BM$5&gt;=$C354,BM$5&lt;=$D354,$A354&lt;&gt;""),"●","")</x:f>
      </x:c>
      <x:c r="BN354" s="165" t="str">
        <x:f>IF(AND(BN$5&gt;=$C354,BN$5&lt;=$D354,$A354&lt;&gt;""),"●","")</x:f>
      </x:c>
      <x:c r="BO354" s="165" t="str">
        <x:f>IF(AND(BO$5&gt;=$C354,BO$5&lt;=$D354,$A354&lt;&gt;""),"●","")</x:f>
      </x:c>
      <x:c r="BP354" s="165" t="str">
        <x:f>IF(AND(BP$5&gt;=$C354,BP$5&lt;=$D354,$A354&lt;&gt;""),"●","")</x:f>
      </x:c>
      <x:c r="BQ354" s="165" t="str">
        <x:f>IF(AND(BQ$5&gt;=$C354,BQ$5&lt;=$D354,$A354&lt;&gt;""),"●","")</x:f>
      </x:c>
      <x:c r="BR354" s="165" t="str">
        <x:f>IF(AND(BR$5&gt;=$C354,BR$5&lt;=$D354,$A354&lt;&gt;""),"●","")</x:f>
      </x:c>
      <x:c r="BS354" s="165" t="str">
        <x:f>IF(AND(BS$5&gt;=$C354,BS$5&lt;=$D354,$A354&lt;&gt;""),"●","")</x:f>
      </x:c>
      <x:c r="BT354" s="165" t="str">
        <x:f>IF(AND(BT$5&gt;=$C354,BT$5&lt;=$D354,$A354&lt;&gt;""),"●","")</x:f>
      </x:c>
      <x:c r="BU354" s="165" t="str">
        <x:f>IF(AND(BU$5&gt;=$C354,BU$5&lt;=$D354,$A354&lt;&gt;""),"●","")</x:f>
      </x:c>
      <x:c r="BV354" s="165" t="str">
        <x:f>IF(AND(BV$5&gt;=$C354,BV$5&lt;=$D354,$A354&lt;&gt;""),"●","")</x:f>
      </x:c>
      <x:c r="BW354" s="165" t="str">
        <x:f>IF(AND(BW$5&gt;=$C354,BW$5&lt;=$D354,$A354&lt;&gt;""),"●","")</x:f>
      </x:c>
    </x:row>
    <x:row r="355">
      <x:c r="A355" s="159" t="str">
        <x:f>IF('รายการสัญญา'!A355="","",'รายการสัญญา'!A355)</x:f>
      </x:c>
      <x:c r="B355" s="159" t="str">
        <x:f>IF('รายการสัญญา'!A355="","",'รายการสัญญา'!C355)</x:f>
      </x:c>
      <x:c r="C355" s="162" t="str">
        <x:f>IF('รายการสัญญา'!A355="","",'รายการสัญญา'!E355)</x:f>
      </x:c>
      <x:c r="D355" s="162" t="str">
        <x:f>IF('รายการสัญญา'!A355="","",'รายการสัญญา'!G355)</x:f>
      </x:c>
      <x:c r="E355" s="159" t="str">
        <x:f>IF('รายการสัญญา'!A355="","",'รายการสัญญา'!K355)</x:f>
      </x:c>
      <x:c r="F355" s="165" t="str">
        <x:f>IF(AND(F$5&gt;=$C355,F$5&lt;=$D355,$A355&lt;&gt;""),"●","")</x:f>
      </x:c>
      <x:c r="G355" s="165" t="str">
        <x:f>IF(AND(G$5&gt;=$C355,G$5&lt;=$D355,$A355&lt;&gt;""),"●","")</x:f>
      </x:c>
      <x:c r="H355" s="165" t="str">
        <x:f>IF(AND(H$5&gt;=$C355,H$5&lt;=$D355,$A355&lt;&gt;""),"●","")</x:f>
      </x:c>
      <x:c r="I355" s="165" t="str">
        <x:f>IF(AND(I$5&gt;=$C355,I$5&lt;=$D355,$A355&lt;&gt;""),"●","")</x:f>
      </x:c>
      <x:c r="J355" s="165" t="str">
        <x:f>IF(AND(J$5&gt;=$C355,J$5&lt;=$D355,$A355&lt;&gt;""),"●","")</x:f>
      </x:c>
      <x:c r="K355" s="165" t="str">
        <x:f>IF(AND(K$5&gt;=$C355,K$5&lt;=$D355,$A355&lt;&gt;""),"●","")</x:f>
      </x:c>
      <x:c r="L355" s="165" t="str">
        <x:f>IF(AND(L$5&gt;=$C355,L$5&lt;=$D355,$A355&lt;&gt;""),"●","")</x:f>
      </x:c>
      <x:c r="M355" s="165" t="str">
        <x:f>IF(AND(M$5&gt;=$C355,M$5&lt;=$D355,$A355&lt;&gt;""),"●","")</x:f>
      </x:c>
      <x:c r="N355" s="165" t="str">
        <x:f>IF(AND(N$5&gt;=$C355,N$5&lt;=$D355,$A355&lt;&gt;""),"●","")</x:f>
      </x:c>
      <x:c r="O355" s="165" t="str">
        <x:f>IF(AND(O$5&gt;=$C355,O$5&lt;=$D355,$A355&lt;&gt;""),"●","")</x:f>
      </x:c>
      <x:c r="P355" s="165" t="str">
        <x:f>IF(AND(P$5&gt;=$C355,P$5&lt;=$D355,$A355&lt;&gt;""),"●","")</x:f>
      </x:c>
      <x:c r="Q355" s="165" t="str">
        <x:f>IF(AND(Q$5&gt;=$C355,Q$5&lt;=$D355,$A355&lt;&gt;""),"●","")</x:f>
      </x:c>
      <x:c r="R355" s="165" t="str">
        <x:f>IF(AND(R$5&gt;=$C355,R$5&lt;=$D355,$A355&lt;&gt;""),"●","")</x:f>
      </x:c>
      <x:c r="S355" s="165" t="str">
        <x:f>IF(AND(S$5&gt;=$C355,S$5&lt;=$D355,$A355&lt;&gt;""),"●","")</x:f>
      </x:c>
      <x:c r="T355" s="165" t="str">
        <x:f>IF(AND(T$5&gt;=$C355,T$5&lt;=$D355,$A355&lt;&gt;""),"●","")</x:f>
      </x:c>
      <x:c r="U355" s="165" t="str">
        <x:f>IF(AND(U$5&gt;=$C355,U$5&lt;=$D355,$A355&lt;&gt;""),"●","")</x:f>
      </x:c>
      <x:c r="V355" s="165" t="str">
        <x:f>IF(AND(V$5&gt;=$C355,V$5&lt;=$D355,$A355&lt;&gt;""),"●","")</x:f>
      </x:c>
      <x:c r="W355" s="165" t="str">
        <x:f>IF(AND(W$5&gt;=$C355,W$5&lt;=$D355,$A355&lt;&gt;""),"●","")</x:f>
      </x:c>
      <x:c r="X355" s="165" t="str">
        <x:f>IF(AND(X$5&gt;=$C355,X$5&lt;=$D355,$A355&lt;&gt;""),"●","")</x:f>
      </x:c>
      <x:c r="Y355" s="165" t="str">
        <x:f>IF(AND(Y$5&gt;=$C355,Y$5&lt;=$D355,$A355&lt;&gt;""),"●","")</x:f>
      </x:c>
      <x:c r="Z355" s="165" t="str">
        <x:f>IF(AND(Z$5&gt;=$C355,Z$5&lt;=$D355,$A355&lt;&gt;""),"●","")</x:f>
      </x:c>
      <x:c r="AA355" s="165" t="str">
        <x:f>IF(AND(AA$5&gt;=$C355,AA$5&lt;=$D355,$A355&lt;&gt;""),"●","")</x:f>
      </x:c>
      <x:c r="AB355" s="165" t="str">
        <x:f>IF(AND(AB$5&gt;=$C355,AB$5&lt;=$D355,$A355&lt;&gt;""),"●","")</x:f>
      </x:c>
      <x:c r="AC355" s="165" t="str">
        <x:f>IF(AND(AC$5&gt;=$C355,AC$5&lt;=$D355,$A355&lt;&gt;""),"●","")</x:f>
      </x:c>
      <x:c r="AD355" s="165" t="str">
        <x:f>IF(AND(AD$5&gt;=$C355,AD$5&lt;=$D355,$A355&lt;&gt;""),"●","")</x:f>
      </x:c>
      <x:c r="AE355" s="165" t="str">
        <x:f>IF(AND(AE$5&gt;=$C355,AE$5&lt;=$D355,$A355&lt;&gt;""),"●","")</x:f>
      </x:c>
      <x:c r="AF355" s="165" t="str">
        <x:f>IF(AND(AF$5&gt;=$C355,AF$5&lt;=$D355,$A355&lt;&gt;""),"●","")</x:f>
      </x:c>
      <x:c r="AG355" s="165" t="str">
        <x:f>IF(AND(AG$5&gt;=$C355,AG$5&lt;=$D355,$A355&lt;&gt;""),"●","")</x:f>
      </x:c>
      <x:c r="AH355" s="165" t="str">
        <x:f>IF(AND(AH$5&gt;=$C355,AH$5&lt;=$D355,$A355&lt;&gt;""),"●","")</x:f>
      </x:c>
      <x:c r="AI355" s="165" t="str">
        <x:f>IF(AND(AI$5&gt;=$C355,AI$5&lt;=$D355,$A355&lt;&gt;""),"●","")</x:f>
      </x:c>
      <x:c r="AJ355" s="165" t="str">
        <x:f>IF(AND(AJ$5&gt;=$C355,AJ$5&lt;=$D355,$A355&lt;&gt;""),"●","")</x:f>
      </x:c>
      <x:c r="AK355" s="165" t="str">
        <x:f>IF(AND(AK$5&gt;=$C355,AK$5&lt;=$D355,$A355&lt;&gt;""),"●","")</x:f>
      </x:c>
      <x:c r="AL355" s="165" t="str">
        <x:f>IF(AND(AL$5&gt;=$C355,AL$5&lt;=$D355,$A355&lt;&gt;""),"●","")</x:f>
      </x:c>
      <x:c r="AM355" s="165" t="str">
        <x:f>IF(AND(AM$5&gt;=$C355,AM$5&lt;=$D355,$A355&lt;&gt;""),"●","")</x:f>
      </x:c>
      <x:c r="AN355" s="165" t="str">
        <x:f>IF(AND(AN$5&gt;=$C355,AN$5&lt;=$D355,$A355&lt;&gt;""),"●","")</x:f>
      </x:c>
      <x:c r="AO355" s="165" t="str">
        <x:f>IF(AND(AO$5&gt;=$C355,AO$5&lt;=$D355,$A355&lt;&gt;""),"●","")</x:f>
      </x:c>
      <x:c r="AP355" s="165" t="str">
        <x:f>IF(AND(AP$5&gt;=$C355,AP$5&lt;=$D355,$A355&lt;&gt;""),"●","")</x:f>
      </x:c>
      <x:c r="AQ355" s="165" t="str">
        <x:f>IF(AND(AQ$5&gt;=$C355,AQ$5&lt;=$D355,$A355&lt;&gt;""),"●","")</x:f>
      </x:c>
      <x:c r="AR355" s="165" t="str">
        <x:f>IF(AND(AR$5&gt;=$C355,AR$5&lt;=$D355,$A355&lt;&gt;""),"●","")</x:f>
      </x:c>
      <x:c r="AS355" s="165" t="str">
        <x:f>IF(AND(AS$5&gt;=$C355,AS$5&lt;=$D355,$A355&lt;&gt;""),"●","")</x:f>
      </x:c>
      <x:c r="AT355" s="165" t="str">
        <x:f>IF(AND(AT$5&gt;=$C355,AT$5&lt;=$D355,$A355&lt;&gt;""),"●","")</x:f>
      </x:c>
      <x:c r="AU355" s="165" t="str">
        <x:f>IF(AND(AU$5&gt;=$C355,AU$5&lt;=$D355,$A355&lt;&gt;""),"●","")</x:f>
      </x:c>
      <x:c r="AV355" s="165" t="str">
        <x:f>IF(AND(AV$5&gt;=$C355,AV$5&lt;=$D355,$A355&lt;&gt;""),"●","")</x:f>
      </x:c>
      <x:c r="AW355" s="165" t="str">
        <x:f>IF(AND(AW$5&gt;=$C355,AW$5&lt;=$D355,$A355&lt;&gt;""),"●","")</x:f>
      </x:c>
      <x:c r="AX355" s="165" t="str">
        <x:f>IF(AND(AX$5&gt;=$C355,AX$5&lt;=$D355,$A355&lt;&gt;""),"●","")</x:f>
      </x:c>
      <x:c r="AY355" s="165" t="str">
        <x:f>IF(AND(AY$5&gt;=$C355,AY$5&lt;=$D355,$A355&lt;&gt;""),"●","")</x:f>
      </x:c>
      <x:c r="AZ355" s="165" t="str">
        <x:f>IF(AND(AZ$5&gt;=$C355,AZ$5&lt;=$D355,$A355&lt;&gt;""),"●","")</x:f>
      </x:c>
      <x:c r="BA355" s="165" t="str">
        <x:f>IF(AND(BA$5&gt;=$C355,BA$5&lt;=$D355,$A355&lt;&gt;""),"●","")</x:f>
      </x:c>
      <x:c r="BB355" s="165" t="str">
        <x:f>IF(AND(BB$5&gt;=$C355,BB$5&lt;=$D355,$A355&lt;&gt;""),"●","")</x:f>
      </x:c>
      <x:c r="BC355" s="165" t="str">
        <x:f>IF(AND(BC$5&gt;=$C355,BC$5&lt;=$D355,$A355&lt;&gt;""),"●","")</x:f>
      </x:c>
      <x:c r="BD355" s="165" t="str">
        <x:f>IF(AND(BD$5&gt;=$C355,BD$5&lt;=$D355,$A355&lt;&gt;""),"●","")</x:f>
      </x:c>
      <x:c r="BE355" s="165" t="str">
        <x:f>IF(AND(BE$5&gt;=$C355,BE$5&lt;=$D355,$A355&lt;&gt;""),"●","")</x:f>
      </x:c>
      <x:c r="BF355" s="165" t="str">
        <x:f>IF(AND(BF$5&gt;=$C355,BF$5&lt;=$D355,$A355&lt;&gt;""),"●","")</x:f>
      </x:c>
      <x:c r="BG355" s="165" t="str">
        <x:f>IF(AND(BG$5&gt;=$C355,BG$5&lt;=$D355,$A355&lt;&gt;""),"●","")</x:f>
      </x:c>
      <x:c r="BH355" s="165" t="str">
        <x:f>IF(AND(BH$5&gt;=$C355,BH$5&lt;=$D355,$A355&lt;&gt;""),"●","")</x:f>
      </x:c>
      <x:c r="BI355" s="165" t="str">
        <x:f>IF(AND(BI$5&gt;=$C355,BI$5&lt;=$D355,$A355&lt;&gt;""),"●","")</x:f>
      </x:c>
      <x:c r="BJ355" s="165" t="str">
        <x:f>IF(AND(BJ$5&gt;=$C355,BJ$5&lt;=$D355,$A355&lt;&gt;""),"●","")</x:f>
      </x:c>
      <x:c r="BK355" s="165" t="str">
        <x:f>IF(AND(BK$5&gt;=$C355,BK$5&lt;=$D355,$A355&lt;&gt;""),"●","")</x:f>
      </x:c>
      <x:c r="BL355" s="165" t="str">
        <x:f>IF(AND(BL$5&gt;=$C355,BL$5&lt;=$D355,$A355&lt;&gt;""),"●","")</x:f>
      </x:c>
      <x:c r="BM355" s="165" t="str">
        <x:f>IF(AND(BM$5&gt;=$C355,BM$5&lt;=$D355,$A355&lt;&gt;""),"●","")</x:f>
      </x:c>
      <x:c r="BN355" s="165" t="str">
        <x:f>IF(AND(BN$5&gt;=$C355,BN$5&lt;=$D355,$A355&lt;&gt;""),"●","")</x:f>
      </x:c>
      <x:c r="BO355" s="165" t="str">
        <x:f>IF(AND(BO$5&gt;=$C355,BO$5&lt;=$D355,$A355&lt;&gt;""),"●","")</x:f>
      </x:c>
      <x:c r="BP355" s="165" t="str">
        <x:f>IF(AND(BP$5&gt;=$C355,BP$5&lt;=$D355,$A355&lt;&gt;""),"●","")</x:f>
      </x:c>
      <x:c r="BQ355" s="165" t="str">
        <x:f>IF(AND(BQ$5&gt;=$C355,BQ$5&lt;=$D355,$A355&lt;&gt;""),"●","")</x:f>
      </x:c>
      <x:c r="BR355" s="165" t="str">
        <x:f>IF(AND(BR$5&gt;=$C355,BR$5&lt;=$D355,$A355&lt;&gt;""),"●","")</x:f>
      </x:c>
      <x:c r="BS355" s="165" t="str">
        <x:f>IF(AND(BS$5&gt;=$C355,BS$5&lt;=$D355,$A355&lt;&gt;""),"●","")</x:f>
      </x:c>
      <x:c r="BT355" s="165" t="str">
        <x:f>IF(AND(BT$5&gt;=$C355,BT$5&lt;=$D355,$A355&lt;&gt;""),"●","")</x:f>
      </x:c>
      <x:c r="BU355" s="165" t="str">
        <x:f>IF(AND(BU$5&gt;=$C355,BU$5&lt;=$D355,$A355&lt;&gt;""),"●","")</x:f>
      </x:c>
      <x:c r="BV355" s="165" t="str">
        <x:f>IF(AND(BV$5&gt;=$C355,BV$5&lt;=$D355,$A355&lt;&gt;""),"●","")</x:f>
      </x:c>
      <x:c r="BW355" s="165" t="str">
        <x:f>IF(AND(BW$5&gt;=$C355,BW$5&lt;=$D355,$A355&lt;&gt;""),"●","")</x:f>
      </x:c>
    </x:row>
    <x:row r="356">
      <x:c r="A356" s="159" t="str">
        <x:f>IF('รายการสัญญา'!A356="","",'รายการสัญญา'!A356)</x:f>
      </x:c>
      <x:c r="B356" s="159" t="str">
        <x:f>IF('รายการสัญญา'!A356="","",'รายการสัญญา'!C356)</x:f>
      </x:c>
      <x:c r="C356" s="162" t="str">
        <x:f>IF('รายการสัญญา'!A356="","",'รายการสัญญา'!E356)</x:f>
      </x:c>
      <x:c r="D356" s="162" t="str">
        <x:f>IF('รายการสัญญา'!A356="","",'รายการสัญญา'!G356)</x:f>
      </x:c>
      <x:c r="E356" s="159" t="str">
        <x:f>IF('รายการสัญญา'!A356="","",'รายการสัญญา'!K356)</x:f>
      </x:c>
      <x:c r="F356" s="165" t="str">
        <x:f>IF(AND(F$5&gt;=$C356,F$5&lt;=$D356,$A356&lt;&gt;""),"●","")</x:f>
      </x:c>
      <x:c r="G356" s="165" t="str">
        <x:f>IF(AND(G$5&gt;=$C356,G$5&lt;=$D356,$A356&lt;&gt;""),"●","")</x:f>
      </x:c>
      <x:c r="H356" s="165" t="str">
        <x:f>IF(AND(H$5&gt;=$C356,H$5&lt;=$D356,$A356&lt;&gt;""),"●","")</x:f>
      </x:c>
      <x:c r="I356" s="165" t="str">
        <x:f>IF(AND(I$5&gt;=$C356,I$5&lt;=$D356,$A356&lt;&gt;""),"●","")</x:f>
      </x:c>
      <x:c r="J356" s="165" t="str">
        <x:f>IF(AND(J$5&gt;=$C356,J$5&lt;=$D356,$A356&lt;&gt;""),"●","")</x:f>
      </x:c>
      <x:c r="K356" s="165" t="str">
        <x:f>IF(AND(K$5&gt;=$C356,K$5&lt;=$D356,$A356&lt;&gt;""),"●","")</x:f>
      </x:c>
      <x:c r="L356" s="165" t="str">
        <x:f>IF(AND(L$5&gt;=$C356,L$5&lt;=$D356,$A356&lt;&gt;""),"●","")</x:f>
      </x:c>
      <x:c r="M356" s="165" t="str">
        <x:f>IF(AND(M$5&gt;=$C356,M$5&lt;=$D356,$A356&lt;&gt;""),"●","")</x:f>
      </x:c>
      <x:c r="N356" s="165" t="str">
        <x:f>IF(AND(N$5&gt;=$C356,N$5&lt;=$D356,$A356&lt;&gt;""),"●","")</x:f>
      </x:c>
      <x:c r="O356" s="165" t="str">
        <x:f>IF(AND(O$5&gt;=$C356,O$5&lt;=$D356,$A356&lt;&gt;""),"●","")</x:f>
      </x:c>
      <x:c r="P356" s="165" t="str">
        <x:f>IF(AND(P$5&gt;=$C356,P$5&lt;=$D356,$A356&lt;&gt;""),"●","")</x:f>
      </x:c>
      <x:c r="Q356" s="165" t="str">
        <x:f>IF(AND(Q$5&gt;=$C356,Q$5&lt;=$D356,$A356&lt;&gt;""),"●","")</x:f>
      </x:c>
      <x:c r="R356" s="165" t="str">
        <x:f>IF(AND(R$5&gt;=$C356,R$5&lt;=$D356,$A356&lt;&gt;""),"●","")</x:f>
      </x:c>
      <x:c r="S356" s="165" t="str">
        <x:f>IF(AND(S$5&gt;=$C356,S$5&lt;=$D356,$A356&lt;&gt;""),"●","")</x:f>
      </x:c>
      <x:c r="T356" s="165" t="str">
        <x:f>IF(AND(T$5&gt;=$C356,T$5&lt;=$D356,$A356&lt;&gt;""),"●","")</x:f>
      </x:c>
      <x:c r="U356" s="165" t="str">
        <x:f>IF(AND(U$5&gt;=$C356,U$5&lt;=$D356,$A356&lt;&gt;""),"●","")</x:f>
      </x:c>
      <x:c r="V356" s="165" t="str">
        <x:f>IF(AND(V$5&gt;=$C356,V$5&lt;=$D356,$A356&lt;&gt;""),"●","")</x:f>
      </x:c>
      <x:c r="W356" s="165" t="str">
        <x:f>IF(AND(W$5&gt;=$C356,W$5&lt;=$D356,$A356&lt;&gt;""),"●","")</x:f>
      </x:c>
      <x:c r="X356" s="165" t="str">
        <x:f>IF(AND(X$5&gt;=$C356,X$5&lt;=$D356,$A356&lt;&gt;""),"●","")</x:f>
      </x:c>
      <x:c r="Y356" s="165" t="str">
        <x:f>IF(AND(Y$5&gt;=$C356,Y$5&lt;=$D356,$A356&lt;&gt;""),"●","")</x:f>
      </x:c>
      <x:c r="Z356" s="165" t="str">
        <x:f>IF(AND(Z$5&gt;=$C356,Z$5&lt;=$D356,$A356&lt;&gt;""),"●","")</x:f>
      </x:c>
      <x:c r="AA356" s="165" t="str">
        <x:f>IF(AND(AA$5&gt;=$C356,AA$5&lt;=$D356,$A356&lt;&gt;""),"●","")</x:f>
      </x:c>
      <x:c r="AB356" s="165" t="str">
        <x:f>IF(AND(AB$5&gt;=$C356,AB$5&lt;=$D356,$A356&lt;&gt;""),"●","")</x:f>
      </x:c>
      <x:c r="AC356" s="165" t="str">
        <x:f>IF(AND(AC$5&gt;=$C356,AC$5&lt;=$D356,$A356&lt;&gt;""),"●","")</x:f>
      </x:c>
      <x:c r="AD356" s="165" t="str">
        <x:f>IF(AND(AD$5&gt;=$C356,AD$5&lt;=$D356,$A356&lt;&gt;""),"●","")</x:f>
      </x:c>
      <x:c r="AE356" s="165" t="str">
        <x:f>IF(AND(AE$5&gt;=$C356,AE$5&lt;=$D356,$A356&lt;&gt;""),"●","")</x:f>
      </x:c>
      <x:c r="AF356" s="165" t="str">
        <x:f>IF(AND(AF$5&gt;=$C356,AF$5&lt;=$D356,$A356&lt;&gt;""),"●","")</x:f>
      </x:c>
      <x:c r="AG356" s="165" t="str">
        <x:f>IF(AND(AG$5&gt;=$C356,AG$5&lt;=$D356,$A356&lt;&gt;""),"●","")</x:f>
      </x:c>
      <x:c r="AH356" s="165" t="str">
        <x:f>IF(AND(AH$5&gt;=$C356,AH$5&lt;=$D356,$A356&lt;&gt;""),"●","")</x:f>
      </x:c>
      <x:c r="AI356" s="165" t="str">
        <x:f>IF(AND(AI$5&gt;=$C356,AI$5&lt;=$D356,$A356&lt;&gt;""),"●","")</x:f>
      </x:c>
      <x:c r="AJ356" s="165" t="str">
        <x:f>IF(AND(AJ$5&gt;=$C356,AJ$5&lt;=$D356,$A356&lt;&gt;""),"●","")</x:f>
      </x:c>
      <x:c r="AK356" s="165" t="str">
        <x:f>IF(AND(AK$5&gt;=$C356,AK$5&lt;=$D356,$A356&lt;&gt;""),"●","")</x:f>
      </x:c>
      <x:c r="AL356" s="165" t="str">
        <x:f>IF(AND(AL$5&gt;=$C356,AL$5&lt;=$D356,$A356&lt;&gt;""),"●","")</x:f>
      </x:c>
      <x:c r="AM356" s="165" t="str">
        <x:f>IF(AND(AM$5&gt;=$C356,AM$5&lt;=$D356,$A356&lt;&gt;""),"●","")</x:f>
      </x:c>
      <x:c r="AN356" s="165" t="str">
        <x:f>IF(AND(AN$5&gt;=$C356,AN$5&lt;=$D356,$A356&lt;&gt;""),"●","")</x:f>
      </x:c>
      <x:c r="AO356" s="165" t="str">
        <x:f>IF(AND(AO$5&gt;=$C356,AO$5&lt;=$D356,$A356&lt;&gt;""),"●","")</x:f>
      </x:c>
      <x:c r="AP356" s="165" t="str">
        <x:f>IF(AND(AP$5&gt;=$C356,AP$5&lt;=$D356,$A356&lt;&gt;""),"●","")</x:f>
      </x:c>
      <x:c r="AQ356" s="165" t="str">
        <x:f>IF(AND(AQ$5&gt;=$C356,AQ$5&lt;=$D356,$A356&lt;&gt;""),"●","")</x:f>
      </x:c>
      <x:c r="AR356" s="165" t="str">
        <x:f>IF(AND(AR$5&gt;=$C356,AR$5&lt;=$D356,$A356&lt;&gt;""),"●","")</x:f>
      </x:c>
      <x:c r="AS356" s="165" t="str">
        <x:f>IF(AND(AS$5&gt;=$C356,AS$5&lt;=$D356,$A356&lt;&gt;""),"●","")</x:f>
      </x:c>
      <x:c r="AT356" s="165" t="str">
        <x:f>IF(AND(AT$5&gt;=$C356,AT$5&lt;=$D356,$A356&lt;&gt;""),"●","")</x:f>
      </x:c>
      <x:c r="AU356" s="165" t="str">
        <x:f>IF(AND(AU$5&gt;=$C356,AU$5&lt;=$D356,$A356&lt;&gt;""),"●","")</x:f>
      </x:c>
      <x:c r="AV356" s="165" t="str">
        <x:f>IF(AND(AV$5&gt;=$C356,AV$5&lt;=$D356,$A356&lt;&gt;""),"●","")</x:f>
      </x:c>
      <x:c r="AW356" s="165" t="str">
        <x:f>IF(AND(AW$5&gt;=$C356,AW$5&lt;=$D356,$A356&lt;&gt;""),"●","")</x:f>
      </x:c>
      <x:c r="AX356" s="165" t="str">
        <x:f>IF(AND(AX$5&gt;=$C356,AX$5&lt;=$D356,$A356&lt;&gt;""),"●","")</x:f>
      </x:c>
      <x:c r="AY356" s="165" t="str">
        <x:f>IF(AND(AY$5&gt;=$C356,AY$5&lt;=$D356,$A356&lt;&gt;""),"●","")</x:f>
      </x:c>
      <x:c r="AZ356" s="165" t="str">
        <x:f>IF(AND(AZ$5&gt;=$C356,AZ$5&lt;=$D356,$A356&lt;&gt;""),"●","")</x:f>
      </x:c>
      <x:c r="BA356" s="165" t="str">
        <x:f>IF(AND(BA$5&gt;=$C356,BA$5&lt;=$D356,$A356&lt;&gt;""),"●","")</x:f>
      </x:c>
      <x:c r="BB356" s="165" t="str">
        <x:f>IF(AND(BB$5&gt;=$C356,BB$5&lt;=$D356,$A356&lt;&gt;""),"●","")</x:f>
      </x:c>
      <x:c r="BC356" s="165" t="str">
        <x:f>IF(AND(BC$5&gt;=$C356,BC$5&lt;=$D356,$A356&lt;&gt;""),"●","")</x:f>
      </x:c>
      <x:c r="BD356" s="165" t="str">
        <x:f>IF(AND(BD$5&gt;=$C356,BD$5&lt;=$D356,$A356&lt;&gt;""),"●","")</x:f>
      </x:c>
      <x:c r="BE356" s="165" t="str">
        <x:f>IF(AND(BE$5&gt;=$C356,BE$5&lt;=$D356,$A356&lt;&gt;""),"●","")</x:f>
      </x:c>
      <x:c r="BF356" s="165" t="str">
        <x:f>IF(AND(BF$5&gt;=$C356,BF$5&lt;=$D356,$A356&lt;&gt;""),"●","")</x:f>
      </x:c>
      <x:c r="BG356" s="165" t="str">
        <x:f>IF(AND(BG$5&gt;=$C356,BG$5&lt;=$D356,$A356&lt;&gt;""),"●","")</x:f>
      </x:c>
      <x:c r="BH356" s="165" t="str">
        <x:f>IF(AND(BH$5&gt;=$C356,BH$5&lt;=$D356,$A356&lt;&gt;""),"●","")</x:f>
      </x:c>
      <x:c r="BI356" s="165" t="str">
        <x:f>IF(AND(BI$5&gt;=$C356,BI$5&lt;=$D356,$A356&lt;&gt;""),"●","")</x:f>
      </x:c>
      <x:c r="BJ356" s="165" t="str">
        <x:f>IF(AND(BJ$5&gt;=$C356,BJ$5&lt;=$D356,$A356&lt;&gt;""),"●","")</x:f>
      </x:c>
      <x:c r="BK356" s="165" t="str">
        <x:f>IF(AND(BK$5&gt;=$C356,BK$5&lt;=$D356,$A356&lt;&gt;""),"●","")</x:f>
      </x:c>
      <x:c r="BL356" s="165" t="str">
        <x:f>IF(AND(BL$5&gt;=$C356,BL$5&lt;=$D356,$A356&lt;&gt;""),"●","")</x:f>
      </x:c>
      <x:c r="BM356" s="165" t="str">
        <x:f>IF(AND(BM$5&gt;=$C356,BM$5&lt;=$D356,$A356&lt;&gt;""),"●","")</x:f>
      </x:c>
      <x:c r="BN356" s="165" t="str">
        <x:f>IF(AND(BN$5&gt;=$C356,BN$5&lt;=$D356,$A356&lt;&gt;""),"●","")</x:f>
      </x:c>
      <x:c r="BO356" s="165" t="str">
        <x:f>IF(AND(BO$5&gt;=$C356,BO$5&lt;=$D356,$A356&lt;&gt;""),"●","")</x:f>
      </x:c>
      <x:c r="BP356" s="165" t="str">
        <x:f>IF(AND(BP$5&gt;=$C356,BP$5&lt;=$D356,$A356&lt;&gt;""),"●","")</x:f>
      </x:c>
      <x:c r="BQ356" s="165" t="str">
        <x:f>IF(AND(BQ$5&gt;=$C356,BQ$5&lt;=$D356,$A356&lt;&gt;""),"●","")</x:f>
      </x:c>
      <x:c r="BR356" s="165" t="str">
        <x:f>IF(AND(BR$5&gt;=$C356,BR$5&lt;=$D356,$A356&lt;&gt;""),"●","")</x:f>
      </x:c>
      <x:c r="BS356" s="165" t="str">
        <x:f>IF(AND(BS$5&gt;=$C356,BS$5&lt;=$D356,$A356&lt;&gt;""),"●","")</x:f>
      </x:c>
      <x:c r="BT356" s="165" t="str">
        <x:f>IF(AND(BT$5&gt;=$C356,BT$5&lt;=$D356,$A356&lt;&gt;""),"●","")</x:f>
      </x:c>
      <x:c r="BU356" s="165" t="str">
        <x:f>IF(AND(BU$5&gt;=$C356,BU$5&lt;=$D356,$A356&lt;&gt;""),"●","")</x:f>
      </x:c>
      <x:c r="BV356" s="165" t="str">
        <x:f>IF(AND(BV$5&gt;=$C356,BV$5&lt;=$D356,$A356&lt;&gt;""),"●","")</x:f>
      </x:c>
      <x:c r="BW356" s="165" t="str">
        <x:f>IF(AND(BW$5&gt;=$C356,BW$5&lt;=$D356,$A356&lt;&gt;""),"●","")</x:f>
      </x:c>
    </x:row>
    <x:row r="357">
      <x:c r="A357" s="159" t="str">
        <x:f>IF('รายการสัญญา'!A357="","",'รายการสัญญา'!A357)</x:f>
      </x:c>
      <x:c r="B357" s="159" t="str">
        <x:f>IF('รายการสัญญา'!A357="","",'รายการสัญญา'!C357)</x:f>
      </x:c>
      <x:c r="C357" s="162" t="str">
        <x:f>IF('รายการสัญญา'!A357="","",'รายการสัญญา'!E357)</x:f>
      </x:c>
      <x:c r="D357" s="162" t="str">
        <x:f>IF('รายการสัญญา'!A357="","",'รายการสัญญา'!G357)</x:f>
      </x:c>
      <x:c r="E357" s="159" t="str">
        <x:f>IF('รายการสัญญา'!A357="","",'รายการสัญญา'!K357)</x:f>
      </x:c>
      <x:c r="F357" s="165" t="str">
        <x:f>IF(AND(F$5&gt;=$C357,F$5&lt;=$D357,$A357&lt;&gt;""),"●","")</x:f>
      </x:c>
      <x:c r="G357" s="165" t="str">
        <x:f>IF(AND(G$5&gt;=$C357,G$5&lt;=$D357,$A357&lt;&gt;""),"●","")</x:f>
      </x:c>
      <x:c r="H357" s="165" t="str">
        <x:f>IF(AND(H$5&gt;=$C357,H$5&lt;=$D357,$A357&lt;&gt;""),"●","")</x:f>
      </x:c>
      <x:c r="I357" s="165" t="str">
        <x:f>IF(AND(I$5&gt;=$C357,I$5&lt;=$D357,$A357&lt;&gt;""),"●","")</x:f>
      </x:c>
      <x:c r="J357" s="165" t="str">
        <x:f>IF(AND(J$5&gt;=$C357,J$5&lt;=$D357,$A357&lt;&gt;""),"●","")</x:f>
      </x:c>
      <x:c r="K357" s="165" t="str">
        <x:f>IF(AND(K$5&gt;=$C357,K$5&lt;=$D357,$A357&lt;&gt;""),"●","")</x:f>
      </x:c>
      <x:c r="L357" s="165" t="str">
        <x:f>IF(AND(L$5&gt;=$C357,L$5&lt;=$D357,$A357&lt;&gt;""),"●","")</x:f>
      </x:c>
      <x:c r="M357" s="165" t="str">
        <x:f>IF(AND(M$5&gt;=$C357,M$5&lt;=$D357,$A357&lt;&gt;""),"●","")</x:f>
      </x:c>
      <x:c r="N357" s="165" t="str">
        <x:f>IF(AND(N$5&gt;=$C357,N$5&lt;=$D357,$A357&lt;&gt;""),"●","")</x:f>
      </x:c>
      <x:c r="O357" s="165" t="str">
        <x:f>IF(AND(O$5&gt;=$C357,O$5&lt;=$D357,$A357&lt;&gt;""),"●","")</x:f>
      </x:c>
      <x:c r="P357" s="165" t="str">
        <x:f>IF(AND(P$5&gt;=$C357,P$5&lt;=$D357,$A357&lt;&gt;""),"●","")</x:f>
      </x:c>
      <x:c r="Q357" s="165" t="str">
        <x:f>IF(AND(Q$5&gt;=$C357,Q$5&lt;=$D357,$A357&lt;&gt;""),"●","")</x:f>
      </x:c>
      <x:c r="R357" s="165" t="str">
        <x:f>IF(AND(R$5&gt;=$C357,R$5&lt;=$D357,$A357&lt;&gt;""),"●","")</x:f>
      </x:c>
      <x:c r="S357" s="165" t="str">
        <x:f>IF(AND(S$5&gt;=$C357,S$5&lt;=$D357,$A357&lt;&gt;""),"●","")</x:f>
      </x:c>
      <x:c r="T357" s="165" t="str">
        <x:f>IF(AND(T$5&gt;=$C357,T$5&lt;=$D357,$A357&lt;&gt;""),"●","")</x:f>
      </x:c>
      <x:c r="U357" s="165" t="str">
        <x:f>IF(AND(U$5&gt;=$C357,U$5&lt;=$D357,$A357&lt;&gt;""),"●","")</x:f>
      </x:c>
      <x:c r="V357" s="165" t="str">
        <x:f>IF(AND(V$5&gt;=$C357,V$5&lt;=$D357,$A357&lt;&gt;""),"●","")</x:f>
      </x:c>
      <x:c r="W357" s="165" t="str">
        <x:f>IF(AND(W$5&gt;=$C357,W$5&lt;=$D357,$A357&lt;&gt;""),"●","")</x:f>
      </x:c>
      <x:c r="X357" s="165" t="str">
        <x:f>IF(AND(X$5&gt;=$C357,X$5&lt;=$D357,$A357&lt;&gt;""),"●","")</x:f>
      </x:c>
      <x:c r="Y357" s="165" t="str">
        <x:f>IF(AND(Y$5&gt;=$C357,Y$5&lt;=$D357,$A357&lt;&gt;""),"●","")</x:f>
      </x:c>
      <x:c r="Z357" s="165" t="str">
        <x:f>IF(AND(Z$5&gt;=$C357,Z$5&lt;=$D357,$A357&lt;&gt;""),"●","")</x:f>
      </x:c>
      <x:c r="AA357" s="165" t="str">
        <x:f>IF(AND(AA$5&gt;=$C357,AA$5&lt;=$D357,$A357&lt;&gt;""),"●","")</x:f>
      </x:c>
      <x:c r="AB357" s="165" t="str">
        <x:f>IF(AND(AB$5&gt;=$C357,AB$5&lt;=$D357,$A357&lt;&gt;""),"●","")</x:f>
      </x:c>
      <x:c r="AC357" s="165" t="str">
        <x:f>IF(AND(AC$5&gt;=$C357,AC$5&lt;=$D357,$A357&lt;&gt;""),"●","")</x:f>
      </x:c>
      <x:c r="AD357" s="165" t="str">
        <x:f>IF(AND(AD$5&gt;=$C357,AD$5&lt;=$D357,$A357&lt;&gt;""),"●","")</x:f>
      </x:c>
      <x:c r="AE357" s="165" t="str">
        <x:f>IF(AND(AE$5&gt;=$C357,AE$5&lt;=$D357,$A357&lt;&gt;""),"●","")</x:f>
      </x:c>
      <x:c r="AF357" s="165" t="str">
        <x:f>IF(AND(AF$5&gt;=$C357,AF$5&lt;=$D357,$A357&lt;&gt;""),"●","")</x:f>
      </x:c>
      <x:c r="AG357" s="165" t="str">
        <x:f>IF(AND(AG$5&gt;=$C357,AG$5&lt;=$D357,$A357&lt;&gt;""),"●","")</x:f>
      </x:c>
      <x:c r="AH357" s="165" t="str">
        <x:f>IF(AND(AH$5&gt;=$C357,AH$5&lt;=$D357,$A357&lt;&gt;""),"●","")</x:f>
      </x:c>
      <x:c r="AI357" s="165" t="str">
        <x:f>IF(AND(AI$5&gt;=$C357,AI$5&lt;=$D357,$A357&lt;&gt;""),"●","")</x:f>
      </x:c>
      <x:c r="AJ357" s="165" t="str">
        <x:f>IF(AND(AJ$5&gt;=$C357,AJ$5&lt;=$D357,$A357&lt;&gt;""),"●","")</x:f>
      </x:c>
      <x:c r="AK357" s="165" t="str">
        <x:f>IF(AND(AK$5&gt;=$C357,AK$5&lt;=$D357,$A357&lt;&gt;""),"●","")</x:f>
      </x:c>
      <x:c r="AL357" s="165" t="str">
        <x:f>IF(AND(AL$5&gt;=$C357,AL$5&lt;=$D357,$A357&lt;&gt;""),"●","")</x:f>
      </x:c>
      <x:c r="AM357" s="165" t="str">
        <x:f>IF(AND(AM$5&gt;=$C357,AM$5&lt;=$D357,$A357&lt;&gt;""),"●","")</x:f>
      </x:c>
      <x:c r="AN357" s="165" t="str">
        <x:f>IF(AND(AN$5&gt;=$C357,AN$5&lt;=$D357,$A357&lt;&gt;""),"●","")</x:f>
      </x:c>
      <x:c r="AO357" s="165" t="str">
        <x:f>IF(AND(AO$5&gt;=$C357,AO$5&lt;=$D357,$A357&lt;&gt;""),"●","")</x:f>
      </x:c>
      <x:c r="AP357" s="165" t="str">
        <x:f>IF(AND(AP$5&gt;=$C357,AP$5&lt;=$D357,$A357&lt;&gt;""),"●","")</x:f>
      </x:c>
      <x:c r="AQ357" s="165" t="str">
        <x:f>IF(AND(AQ$5&gt;=$C357,AQ$5&lt;=$D357,$A357&lt;&gt;""),"●","")</x:f>
      </x:c>
      <x:c r="AR357" s="165" t="str">
        <x:f>IF(AND(AR$5&gt;=$C357,AR$5&lt;=$D357,$A357&lt;&gt;""),"●","")</x:f>
      </x:c>
      <x:c r="AS357" s="165" t="str">
        <x:f>IF(AND(AS$5&gt;=$C357,AS$5&lt;=$D357,$A357&lt;&gt;""),"●","")</x:f>
      </x:c>
      <x:c r="AT357" s="165" t="str">
        <x:f>IF(AND(AT$5&gt;=$C357,AT$5&lt;=$D357,$A357&lt;&gt;""),"●","")</x:f>
      </x:c>
      <x:c r="AU357" s="165" t="str">
        <x:f>IF(AND(AU$5&gt;=$C357,AU$5&lt;=$D357,$A357&lt;&gt;""),"●","")</x:f>
      </x:c>
      <x:c r="AV357" s="165" t="str">
        <x:f>IF(AND(AV$5&gt;=$C357,AV$5&lt;=$D357,$A357&lt;&gt;""),"●","")</x:f>
      </x:c>
      <x:c r="AW357" s="165" t="str">
        <x:f>IF(AND(AW$5&gt;=$C357,AW$5&lt;=$D357,$A357&lt;&gt;""),"●","")</x:f>
      </x:c>
      <x:c r="AX357" s="165" t="str">
        <x:f>IF(AND(AX$5&gt;=$C357,AX$5&lt;=$D357,$A357&lt;&gt;""),"●","")</x:f>
      </x:c>
      <x:c r="AY357" s="165" t="str">
        <x:f>IF(AND(AY$5&gt;=$C357,AY$5&lt;=$D357,$A357&lt;&gt;""),"●","")</x:f>
      </x:c>
      <x:c r="AZ357" s="165" t="str">
        <x:f>IF(AND(AZ$5&gt;=$C357,AZ$5&lt;=$D357,$A357&lt;&gt;""),"●","")</x:f>
      </x:c>
      <x:c r="BA357" s="165" t="str">
        <x:f>IF(AND(BA$5&gt;=$C357,BA$5&lt;=$D357,$A357&lt;&gt;""),"●","")</x:f>
      </x:c>
      <x:c r="BB357" s="165" t="str">
        <x:f>IF(AND(BB$5&gt;=$C357,BB$5&lt;=$D357,$A357&lt;&gt;""),"●","")</x:f>
      </x:c>
      <x:c r="BC357" s="165" t="str">
        <x:f>IF(AND(BC$5&gt;=$C357,BC$5&lt;=$D357,$A357&lt;&gt;""),"●","")</x:f>
      </x:c>
      <x:c r="BD357" s="165" t="str">
        <x:f>IF(AND(BD$5&gt;=$C357,BD$5&lt;=$D357,$A357&lt;&gt;""),"●","")</x:f>
      </x:c>
      <x:c r="BE357" s="165" t="str">
        <x:f>IF(AND(BE$5&gt;=$C357,BE$5&lt;=$D357,$A357&lt;&gt;""),"●","")</x:f>
      </x:c>
      <x:c r="BF357" s="165" t="str">
        <x:f>IF(AND(BF$5&gt;=$C357,BF$5&lt;=$D357,$A357&lt;&gt;""),"●","")</x:f>
      </x:c>
      <x:c r="BG357" s="165" t="str">
        <x:f>IF(AND(BG$5&gt;=$C357,BG$5&lt;=$D357,$A357&lt;&gt;""),"●","")</x:f>
      </x:c>
      <x:c r="BH357" s="165" t="str">
        <x:f>IF(AND(BH$5&gt;=$C357,BH$5&lt;=$D357,$A357&lt;&gt;""),"●","")</x:f>
      </x:c>
      <x:c r="BI357" s="165" t="str">
        <x:f>IF(AND(BI$5&gt;=$C357,BI$5&lt;=$D357,$A357&lt;&gt;""),"●","")</x:f>
      </x:c>
      <x:c r="BJ357" s="165" t="str">
        <x:f>IF(AND(BJ$5&gt;=$C357,BJ$5&lt;=$D357,$A357&lt;&gt;""),"●","")</x:f>
      </x:c>
      <x:c r="BK357" s="165" t="str">
        <x:f>IF(AND(BK$5&gt;=$C357,BK$5&lt;=$D357,$A357&lt;&gt;""),"●","")</x:f>
      </x:c>
      <x:c r="BL357" s="165" t="str">
        <x:f>IF(AND(BL$5&gt;=$C357,BL$5&lt;=$D357,$A357&lt;&gt;""),"●","")</x:f>
      </x:c>
      <x:c r="BM357" s="165" t="str">
        <x:f>IF(AND(BM$5&gt;=$C357,BM$5&lt;=$D357,$A357&lt;&gt;""),"●","")</x:f>
      </x:c>
      <x:c r="BN357" s="165" t="str">
        <x:f>IF(AND(BN$5&gt;=$C357,BN$5&lt;=$D357,$A357&lt;&gt;""),"●","")</x:f>
      </x:c>
      <x:c r="BO357" s="165" t="str">
        <x:f>IF(AND(BO$5&gt;=$C357,BO$5&lt;=$D357,$A357&lt;&gt;""),"●","")</x:f>
      </x:c>
      <x:c r="BP357" s="165" t="str">
        <x:f>IF(AND(BP$5&gt;=$C357,BP$5&lt;=$D357,$A357&lt;&gt;""),"●","")</x:f>
      </x:c>
      <x:c r="BQ357" s="165" t="str">
        <x:f>IF(AND(BQ$5&gt;=$C357,BQ$5&lt;=$D357,$A357&lt;&gt;""),"●","")</x:f>
      </x:c>
      <x:c r="BR357" s="165" t="str">
        <x:f>IF(AND(BR$5&gt;=$C357,BR$5&lt;=$D357,$A357&lt;&gt;""),"●","")</x:f>
      </x:c>
      <x:c r="BS357" s="165" t="str">
        <x:f>IF(AND(BS$5&gt;=$C357,BS$5&lt;=$D357,$A357&lt;&gt;""),"●","")</x:f>
      </x:c>
      <x:c r="BT357" s="165" t="str">
        <x:f>IF(AND(BT$5&gt;=$C357,BT$5&lt;=$D357,$A357&lt;&gt;""),"●","")</x:f>
      </x:c>
      <x:c r="BU357" s="165" t="str">
        <x:f>IF(AND(BU$5&gt;=$C357,BU$5&lt;=$D357,$A357&lt;&gt;""),"●","")</x:f>
      </x:c>
      <x:c r="BV357" s="165" t="str">
        <x:f>IF(AND(BV$5&gt;=$C357,BV$5&lt;=$D357,$A357&lt;&gt;""),"●","")</x:f>
      </x:c>
      <x:c r="BW357" s="165" t="str">
        <x:f>IF(AND(BW$5&gt;=$C357,BW$5&lt;=$D357,$A357&lt;&gt;""),"●","")</x:f>
      </x:c>
    </x:row>
    <x:row r="358">
      <x:c r="A358" s="159" t="str">
        <x:f>IF('รายการสัญญา'!A358="","",'รายการสัญญา'!A358)</x:f>
      </x:c>
      <x:c r="B358" s="159" t="str">
        <x:f>IF('รายการสัญญา'!A358="","",'รายการสัญญา'!C358)</x:f>
      </x:c>
      <x:c r="C358" s="162" t="str">
        <x:f>IF('รายการสัญญา'!A358="","",'รายการสัญญา'!E358)</x:f>
      </x:c>
      <x:c r="D358" s="162" t="str">
        <x:f>IF('รายการสัญญา'!A358="","",'รายการสัญญา'!G358)</x:f>
      </x:c>
      <x:c r="E358" s="159" t="str">
        <x:f>IF('รายการสัญญา'!A358="","",'รายการสัญญา'!K358)</x:f>
      </x:c>
      <x:c r="F358" s="165" t="str">
        <x:f>IF(AND(F$5&gt;=$C358,F$5&lt;=$D358,$A358&lt;&gt;""),"●","")</x:f>
      </x:c>
      <x:c r="G358" s="165" t="str">
        <x:f>IF(AND(G$5&gt;=$C358,G$5&lt;=$D358,$A358&lt;&gt;""),"●","")</x:f>
      </x:c>
      <x:c r="H358" s="165" t="str">
        <x:f>IF(AND(H$5&gt;=$C358,H$5&lt;=$D358,$A358&lt;&gt;""),"●","")</x:f>
      </x:c>
      <x:c r="I358" s="165" t="str">
        <x:f>IF(AND(I$5&gt;=$C358,I$5&lt;=$D358,$A358&lt;&gt;""),"●","")</x:f>
      </x:c>
      <x:c r="J358" s="165" t="str">
        <x:f>IF(AND(J$5&gt;=$C358,J$5&lt;=$D358,$A358&lt;&gt;""),"●","")</x:f>
      </x:c>
      <x:c r="K358" s="165" t="str">
        <x:f>IF(AND(K$5&gt;=$C358,K$5&lt;=$D358,$A358&lt;&gt;""),"●","")</x:f>
      </x:c>
      <x:c r="L358" s="165" t="str">
        <x:f>IF(AND(L$5&gt;=$C358,L$5&lt;=$D358,$A358&lt;&gt;""),"●","")</x:f>
      </x:c>
      <x:c r="M358" s="165" t="str">
        <x:f>IF(AND(M$5&gt;=$C358,M$5&lt;=$D358,$A358&lt;&gt;""),"●","")</x:f>
      </x:c>
      <x:c r="N358" s="165" t="str">
        <x:f>IF(AND(N$5&gt;=$C358,N$5&lt;=$D358,$A358&lt;&gt;""),"●","")</x:f>
      </x:c>
      <x:c r="O358" s="165" t="str">
        <x:f>IF(AND(O$5&gt;=$C358,O$5&lt;=$D358,$A358&lt;&gt;""),"●","")</x:f>
      </x:c>
      <x:c r="P358" s="165" t="str">
        <x:f>IF(AND(P$5&gt;=$C358,P$5&lt;=$D358,$A358&lt;&gt;""),"●","")</x:f>
      </x:c>
      <x:c r="Q358" s="165" t="str">
        <x:f>IF(AND(Q$5&gt;=$C358,Q$5&lt;=$D358,$A358&lt;&gt;""),"●","")</x:f>
      </x:c>
      <x:c r="R358" s="165" t="str">
        <x:f>IF(AND(R$5&gt;=$C358,R$5&lt;=$D358,$A358&lt;&gt;""),"●","")</x:f>
      </x:c>
      <x:c r="S358" s="165" t="str">
        <x:f>IF(AND(S$5&gt;=$C358,S$5&lt;=$D358,$A358&lt;&gt;""),"●","")</x:f>
      </x:c>
      <x:c r="T358" s="165" t="str">
        <x:f>IF(AND(T$5&gt;=$C358,T$5&lt;=$D358,$A358&lt;&gt;""),"●","")</x:f>
      </x:c>
      <x:c r="U358" s="165" t="str">
        <x:f>IF(AND(U$5&gt;=$C358,U$5&lt;=$D358,$A358&lt;&gt;""),"●","")</x:f>
      </x:c>
      <x:c r="V358" s="165" t="str">
        <x:f>IF(AND(V$5&gt;=$C358,V$5&lt;=$D358,$A358&lt;&gt;""),"●","")</x:f>
      </x:c>
      <x:c r="W358" s="165" t="str">
        <x:f>IF(AND(W$5&gt;=$C358,W$5&lt;=$D358,$A358&lt;&gt;""),"●","")</x:f>
      </x:c>
      <x:c r="X358" s="165" t="str">
        <x:f>IF(AND(X$5&gt;=$C358,X$5&lt;=$D358,$A358&lt;&gt;""),"●","")</x:f>
      </x:c>
      <x:c r="Y358" s="165" t="str">
        <x:f>IF(AND(Y$5&gt;=$C358,Y$5&lt;=$D358,$A358&lt;&gt;""),"●","")</x:f>
      </x:c>
      <x:c r="Z358" s="165" t="str">
        <x:f>IF(AND(Z$5&gt;=$C358,Z$5&lt;=$D358,$A358&lt;&gt;""),"●","")</x:f>
      </x:c>
      <x:c r="AA358" s="165" t="str">
        <x:f>IF(AND(AA$5&gt;=$C358,AA$5&lt;=$D358,$A358&lt;&gt;""),"●","")</x:f>
      </x:c>
      <x:c r="AB358" s="165" t="str">
        <x:f>IF(AND(AB$5&gt;=$C358,AB$5&lt;=$D358,$A358&lt;&gt;""),"●","")</x:f>
      </x:c>
      <x:c r="AC358" s="165" t="str">
        <x:f>IF(AND(AC$5&gt;=$C358,AC$5&lt;=$D358,$A358&lt;&gt;""),"●","")</x:f>
      </x:c>
      <x:c r="AD358" s="165" t="str">
        <x:f>IF(AND(AD$5&gt;=$C358,AD$5&lt;=$D358,$A358&lt;&gt;""),"●","")</x:f>
      </x:c>
      <x:c r="AE358" s="165" t="str">
        <x:f>IF(AND(AE$5&gt;=$C358,AE$5&lt;=$D358,$A358&lt;&gt;""),"●","")</x:f>
      </x:c>
      <x:c r="AF358" s="165" t="str">
        <x:f>IF(AND(AF$5&gt;=$C358,AF$5&lt;=$D358,$A358&lt;&gt;""),"●","")</x:f>
      </x:c>
      <x:c r="AG358" s="165" t="str">
        <x:f>IF(AND(AG$5&gt;=$C358,AG$5&lt;=$D358,$A358&lt;&gt;""),"●","")</x:f>
      </x:c>
      <x:c r="AH358" s="165" t="str">
        <x:f>IF(AND(AH$5&gt;=$C358,AH$5&lt;=$D358,$A358&lt;&gt;""),"●","")</x:f>
      </x:c>
      <x:c r="AI358" s="165" t="str">
        <x:f>IF(AND(AI$5&gt;=$C358,AI$5&lt;=$D358,$A358&lt;&gt;""),"●","")</x:f>
      </x:c>
      <x:c r="AJ358" s="165" t="str">
        <x:f>IF(AND(AJ$5&gt;=$C358,AJ$5&lt;=$D358,$A358&lt;&gt;""),"●","")</x:f>
      </x:c>
      <x:c r="AK358" s="165" t="str">
        <x:f>IF(AND(AK$5&gt;=$C358,AK$5&lt;=$D358,$A358&lt;&gt;""),"●","")</x:f>
      </x:c>
      <x:c r="AL358" s="165" t="str">
        <x:f>IF(AND(AL$5&gt;=$C358,AL$5&lt;=$D358,$A358&lt;&gt;""),"●","")</x:f>
      </x:c>
      <x:c r="AM358" s="165" t="str">
        <x:f>IF(AND(AM$5&gt;=$C358,AM$5&lt;=$D358,$A358&lt;&gt;""),"●","")</x:f>
      </x:c>
      <x:c r="AN358" s="165" t="str">
        <x:f>IF(AND(AN$5&gt;=$C358,AN$5&lt;=$D358,$A358&lt;&gt;""),"●","")</x:f>
      </x:c>
      <x:c r="AO358" s="165" t="str">
        <x:f>IF(AND(AO$5&gt;=$C358,AO$5&lt;=$D358,$A358&lt;&gt;""),"●","")</x:f>
      </x:c>
      <x:c r="AP358" s="165" t="str">
        <x:f>IF(AND(AP$5&gt;=$C358,AP$5&lt;=$D358,$A358&lt;&gt;""),"●","")</x:f>
      </x:c>
      <x:c r="AQ358" s="165" t="str">
        <x:f>IF(AND(AQ$5&gt;=$C358,AQ$5&lt;=$D358,$A358&lt;&gt;""),"●","")</x:f>
      </x:c>
      <x:c r="AR358" s="165" t="str">
        <x:f>IF(AND(AR$5&gt;=$C358,AR$5&lt;=$D358,$A358&lt;&gt;""),"●","")</x:f>
      </x:c>
      <x:c r="AS358" s="165" t="str">
        <x:f>IF(AND(AS$5&gt;=$C358,AS$5&lt;=$D358,$A358&lt;&gt;""),"●","")</x:f>
      </x:c>
      <x:c r="AT358" s="165" t="str">
        <x:f>IF(AND(AT$5&gt;=$C358,AT$5&lt;=$D358,$A358&lt;&gt;""),"●","")</x:f>
      </x:c>
      <x:c r="AU358" s="165" t="str">
        <x:f>IF(AND(AU$5&gt;=$C358,AU$5&lt;=$D358,$A358&lt;&gt;""),"●","")</x:f>
      </x:c>
      <x:c r="AV358" s="165" t="str">
        <x:f>IF(AND(AV$5&gt;=$C358,AV$5&lt;=$D358,$A358&lt;&gt;""),"●","")</x:f>
      </x:c>
      <x:c r="AW358" s="165" t="str">
        <x:f>IF(AND(AW$5&gt;=$C358,AW$5&lt;=$D358,$A358&lt;&gt;""),"●","")</x:f>
      </x:c>
      <x:c r="AX358" s="165" t="str">
        <x:f>IF(AND(AX$5&gt;=$C358,AX$5&lt;=$D358,$A358&lt;&gt;""),"●","")</x:f>
      </x:c>
      <x:c r="AY358" s="165" t="str">
        <x:f>IF(AND(AY$5&gt;=$C358,AY$5&lt;=$D358,$A358&lt;&gt;""),"●","")</x:f>
      </x:c>
      <x:c r="AZ358" s="165" t="str">
        <x:f>IF(AND(AZ$5&gt;=$C358,AZ$5&lt;=$D358,$A358&lt;&gt;""),"●","")</x:f>
      </x:c>
      <x:c r="BA358" s="165" t="str">
        <x:f>IF(AND(BA$5&gt;=$C358,BA$5&lt;=$D358,$A358&lt;&gt;""),"●","")</x:f>
      </x:c>
      <x:c r="BB358" s="165" t="str">
        <x:f>IF(AND(BB$5&gt;=$C358,BB$5&lt;=$D358,$A358&lt;&gt;""),"●","")</x:f>
      </x:c>
      <x:c r="BC358" s="165" t="str">
        <x:f>IF(AND(BC$5&gt;=$C358,BC$5&lt;=$D358,$A358&lt;&gt;""),"●","")</x:f>
      </x:c>
      <x:c r="BD358" s="165" t="str">
        <x:f>IF(AND(BD$5&gt;=$C358,BD$5&lt;=$D358,$A358&lt;&gt;""),"●","")</x:f>
      </x:c>
      <x:c r="BE358" s="165" t="str">
        <x:f>IF(AND(BE$5&gt;=$C358,BE$5&lt;=$D358,$A358&lt;&gt;""),"●","")</x:f>
      </x:c>
      <x:c r="BF358" s="165" t="str">
        <x:f>IF(AND(BF$5&gt;=$C358,BF$5&lt;=$D358,$A358&lt;&gt;""),"●","")</x:f>
      </x:c>
      <x:c r="BG358" s="165" t="str">
        <x:f>IF(AND(BG$5&gt;=$C358,BG$5&lt;=$D358,$A358&lt;&gt;""),"●","")</x:f>
      </x:c>
      <x:c r="BH358" s="165" t="str">
        <x:f>IF(AND(BH$5&gt;=$C358,BH$5&lt;=$D358,$A358&lt;&gt;""),"●","")</x:f>
      </x:c>
      <x:c r="BI358" s="165" t="str">
        <x:f>IF(AND(BI$5&gt;=$C358,BI$5&lt;=$D358,$A358&lt;&gt;""),"●","")</x:f>
      </x:c>
      <x:c r="BJ358" s="165" t="str">
        <x:f>IF(AND(BJ$5&gt;=$C358,BJ$5&lt;=$D358,$A358&lt;&gt;""),"●","")</x:f>
      </x:c>
      <x:c r="BK358" s="165" t="str">
        <x:f>IF(AND(BK$5&gt;=$C358,BK$5&lt;=$D358,$A358&lt;&gt;""),"●","")</x:f>
      </x:c>
      <x:c r="BL358" s="165" t="str">
        <x:f>IF(AND(BL$5&gt;=$C358,BL$5&lt;=$D358,$A358&lt;&gt;""),"●","")</x:f>
      </x:c>
      <x:c r="BM358" s="165" t="str">
        <x:f>IF(AND(BM$5&gt;=$C358,BM$5&lt;=$D358,$A358&lt;&gt;""),"●","")</x:f>
      </x:c>
      <x:c r="BN358" s="165" t="str">
        <x:f>IF(AND(BN$5&gt;=$C358,BN$5&lt;=$D358,$A358&lt;&gt;""),"●","")</x:f>
      </x:c>
      <x:c r="BO358" s="165" t="str">
        <x:f>IF(AND(BO$5&gt;=$C358,BO$5&lt;=$D358,$A358&lt;&gt;""),"●","")</x:f>
      </x:c>
      <x:c r="BP358" s="165" t="str">
        <x:f>IF(AND(BP$5&gt;=$C358,BP$5&lt;=$D358,$A358&lt;&gt;""),"●","")</x:f>
      </x:c>
      <x:c r="BQ358" s="165" t="str">
        <x:f>IF(AND(BQ$5&gt;=$C358,BQ$5&lt;=$D358,$A358&lt;&gt;""),"●","")</x:f>
      </x:c>
      <x:c r="BR358" s="165" t="str">
        <x:f>IF(AND(BR$5&gt;=$C358,BR$5&lt;=$D358,$A358&lt;&gt;""),"●","")</x:f>
      </x:c>
      <x:c r="BS358" s="165" t="str">
        <x:f>IF(AND(BS$5&gt;=$C358,BS$5&lt;=$D358,$A358&lt;&gt;""),"●","")</x:f>
      </x:c>
      <x:c r="BT358" s="165" t="str">
        <x:f>IF(AND(BT$5&gt;=$C358,BT$5&lt;=$D358,$A358&lt;&gt;""),"●","")</x:f>
      </x:c>
      <x:c r="BU358" s="165" t="str">
        <x:f>IF(AND(BU$5&gt;=$C358,BU$5&lt;=$D358,$A358&lt;&gt;""),"●","")</x:f>
      </x:c>
      <x:c r="BV358" s="165" t="str">
        <x:f>IF(AND(BV$5&gt;=$C358,BV$5&lt;=$D358,$A358&lt;&gt;""),"●","")</x:f>
      </x:c>
      <x:c r="BW358" s="165" t="str">
        <x:f>IF(AND(BW$5&gt;=$C358,BW$5&lt;=$D358,$A358&lt;&gt;""),"●","")</x:f>
      </x:c>
    </x:row>
    <x:row r="359">
      <x:c r="A359" s="159" t="str">
        <x:f>IF('รายการสัญญา'!A359="","",'รายการสัญญา'!A359)</x:f>
      </x:c>
      <x:c r="B359" s="159" t="str">
        <x:f>IF('รายการสัญญา'!A359="","",'รายการสัญญา'!C359)</x:f>
      </x:c>
      <x:c r="C359" s="162" t="str">
        <x:f>IF('รายการสัญญา'!A359="","",'รายการสัญญา'!E359)</x:f>
      </x:c>
      <x:c r="D359" s="162" t="str">
        <x:f>IF('รายการสัญญา'!A359="","",'รายการสัญญา'!G359)</x:f>
      </x:c>
      <x:c r="E359" s="159" t="str">
        <x:f>IF('รายการสัญญา'!A359="","",'รายการสัญญา'!K359)</x:f>
      </x:c>
      <x:c r="F359" s="165" t="str">
        <x:f>IF(AND(F$5&gt;=$C359,F$5&lt;=$D359,$A359&lt;&gt;""),"●","")</x:f>
      </x:c>
      <x:c r="G359" s="165" t="str">
        <x:f>IF(AND(G$5&gt;=$C359,G$5&lt;=$D359,$A359&lt;&gt;""),"●","")</x:f>
      </x:c>
      <x:c r="H359" s="165" t="str">
        <x:f>IF(AND(H$5&gt;=$C359,H$5&lt;=$D359,$A359&lt;&gt;""),"●","")</x:f>
      </x:c>
      <x:c r="I359" s="165" t="str">
        <x:f>IF(AND(I$5&gt;=$C359,I$5&lt;=$D359,$A359&lt;&gt;""),"●","")</x:f>
      </x:c>
      <x:c r="J359" s="165" t="str">
        <x:f>IF(AND(J$5&gt;=$C359,J$5&lt;=$D359,$A359&lt;&gt;""),"●","")</x:f>
      </x:c>
      <x:c r="K359" s="165" t="str">
        <x:f>IF(AND(K$5&gt;=$C359,K$5&lt;=$D359,$A359&lt;&gt;""),"●","")</x:f>
      </x:c>
      <x:c r="L359" s="165" t="str">
        <x:f>IF(AND(L$5&gt;=$C359,L$5&lt;=$D359,$A359&lt;&gt;""),"●","")</x:f>
      </x:c>
      <x:c r="M359" s="165" t="str">
        <x:f>IF(AND(M$5&gt;=$C359,M$5&lt;=$D359,$A359&lt;&gt;""),"●","")</x:f>
      </x:c>
      <x:c r="N359" s="165" t="str">
        <x:f>IF(AND(N$5&gt;=$C359,N$5&lt;=$D359,$A359&lt;&gt;""),"●","")</x:f>
      </x:c>
      <x:c r="O359" s="165" t="str">
        <x:f>IF(AND(O$5&gt;=$C359,O$5&lt;=$D359,$A359&lt;&gt;""),"●","")</x:f>
      </x:c>
      <x:c r="P359" s="165" t="str">
        <x:f>IF(AND(P$5&gt;=$C359,P$5&lt;=$D359,$A359&lt;&gt;""),"●","")</x:f>
      </x:c>
      <x:c r="Q359" s="165" t="str">
        <x:f>IF(AND(Q$5&gt;=$C359,Q$5&lt;=$D359,$A359&lt;&gt;""),"●","")</x:f>
      </x:c>
      <x:c r="R359" s="165" t="str">
        <x:f>IF(AND(R$5&gt;=$C359,R$5&lt;=$D359,$A359&lt;&gt;""),"●","")</x:f>
      </x:c>
      <x:c r="S359" s="165" t="str">
        <x:f>IF(AND(S$5&gt;=$C359,S$5&lt;=$D359,$A359&lt;&gt;""),"●","")</x:f>
      </x:c>
      <x:c r="T359" s="165" t="str">
        <x:f>IF(AND(T$5&gt;=$C359,T$5&lt;=$D359,$A359&lt;&gt;""),"●","")</x:f>
      </x:c>
      <x:c r="U359" s="165" t="str">
        <x:f>IF(AND(U$5&gt;=$C359,U$5&lt;=$D359,$A359&lt;&gt;""),"●","")</x:f>
      </x:c>
      <x:c r="V359" s="165" t="str">
        <x:f>IF(AND(V$5&gt;=$C359,V$5&lt;=$D359,$A359&lt;&gt;""),"●","")</x:f>
      </x:c>
      <x:c r="W359" s="165" t="str">
        <x:f>IF(AND(W$5&gt;=$C359,W$5&lt;=$D359,$A359&lt;&gt;""),"●","")</x:f>
      </x:c>
      <x:c r="X359" s="165" t="str">
        <x:f>IF(AND(X$5&gt;=$C359,X$5&lt;=$D359,$A359&lt;&gt;""),"●","")</x:f>
      </x:c>
      <x:c r="Y359" s="165" t="str">
        <x:f>IF(AND(Y$5&gt;=$C359,Y$5&lt;=$D359,$A359&lt;&gt;""),"●","")</x:f>
      </x:c>
      <x:c r="Z359" s="165" t="str">
        <x:f>IF(AND(Z$5&gt;=$C359,Z$5&lt;=$D359,$A359&lt;&gt;""),"●","")</x:f>
      </x:c>
      <x:c r="AA359" s="165" t="str">
        <x:f>IF(AND(AA$5&gt;=$C359,AA$5&lt;=$D359,$A359&lt;&gt;""),"●","")</x:f>
      </x:c>
      <x:c r="AB359" s="165" t="str">
        <x:f>IF(AND(AB$5&gt;=$C359,AB$5&lt;=$D359,$A359&lt;&gt;""),"●","")</x:f>
      </x:c>
      <x:c r="AC359" s="165" t="str">
        <x:f>IF(AND(AC$5&gt;=$C359,AC$5&lt;=$D359,$A359&lt;&gt;""),"●","")</x:f>
      </x:c>
      <x:c r="AD359" s="165" t="str">
        <x:f>IF(AND(AD$5&gt;=$C359,AD$5&lt;=$D359,$A359&lt;&gt;""),"●","")</x:f>
      </x:c>
      <x:c r="AE359" s="165" t="str">
        <x:f>IF(AND(AE$5&gt;=$C359,AE$5&lt;=$D359,$A359&lt;&gt;""),"●","")</x:f>
      </x:c>
      <x:c r="AF359" s="165" t="str">
        <x:f>IF(AND(AF$5&gt;=$C359,AF$5&lt;=$D359,$A359&lt;&gt;""),"●","")</x:f>
      </x:c>
      <x:c r="AG359" s="165" t="str">
        <x:f>IF(AND(AG$5&gt;=$C359,AG$5&lt;=$D359,$A359&lt;&gt;""),"●","")</x:f>
      </x:c>
      <x:c r="AH359" s="165" t="str">
        <x:f>IF(AND(AH$5&gt;=$C359,AH$5&lt;=$D359,$A359&lt;&gt;""),"●","")</x:f>
      </x:c>
      <x:c r="AI359" s="165" t="str">
        <x:f>IF(AND(AI$5&gt;=$C359,AI$5&lt;=$D359,$A359&lt;&gt;""),"●","")</x:f>
      </x:c>
      <x:c r="AJ359" s="165" t="str">
        <x:f>IF(AND(AJ$5&gt;=$C359,AJ$5&lt;=$D359,$A359&lt;&gt;""),"●","")</x:f>
      </x:c>
      <x:c r="AK359" s="165" t="str">
        <x:f>IF(AND(AK$5&gt;=$C359,AK$5&lt;=$D359,$A359&lt;&gt;""),"●","")</x:f>
      </x:c>
      <x:c r="AL359" s="165" t="str">
        <x:f>IF(AND(AL$5&gt;=$C359,AL$5&lt;=$D359,$A359&lt;&gt;""),"●","")</x:f>
      </x:c>
      <x:c r="AM359" s="165" t="str">
        <x:f>IF(AND(AM$5&gt;=$C359,AM$5&lt;=$D359,$A359&lt;&gt;""),"●","")</x:f>
      </x:c>
      <x:c r="AN359" s="165" t="str">
        <x:f>IF(AND(AN$5&gt;=$C359,AN$5&lt;=$D359,$A359&lt;&gt;""),"●","")</x:f>
      </x:c>
      <x:c r="AO359" s="165" t="str">
        <x:f>IF(AND(AO$5&gt;=$C359,AO$5&lt;=$D359,$A359&lt;&gt;""),"●","")</x:f>
      </x:c>
      <x:c r="AP359" s="165" t="str">
        <x:f>IF(AND(AP$5&gt;=$C359,AP$5&lt;=$D359,$A359&lt;&gt;""),"●","")</x:f>
      </x:c>
      <x:c r="AQ359" s="165" t="str">
        <x:f>IF(AND(AQ$5&gt;=$C359,AQ$5&lt;=$D359,$A359&lt;&gt;""),"●","")</x:f>
      </x:c>
      <x:c r="AR359" s="165" t="str">
        <x:f>IF(AND(AR$5&gt;=$C359,AR$5&lt;=$D359,$A359&lt;&gt;""),"●","")</x:f>
      </x:c>
      <x:c r="AS359" s="165" t="str">
        <x:f>IF(AND(AS$5&gt;=$C359,AS$5&lt;=$D359,$A359&lt;&gt;""),"●","")</x:f>
      </x:c>
      <x:c r="AT359" s="165" t="str">
        <x:f>IF(AND(AT$5&gt;=$C359,AT$5&lt;=$D359,$A359&lt;&gt;""),"●","")</x:f>
      </x:c>
      <x:c r="AU359" s="165" t="str">
        <x:f>IF(AND(AU$5&gt;=$C359,AU$5&lt;=$D359,$A359&lt;&gt;""),"●","")</x:f>
      </x:c>
      <x:c r="AV359" s="165" t="str">
        <x:f>IF(AND(AV$5&gt;=$C359,AV$5&lt;=$D359,$A359&lt;&gt;""),"●","")</x:f>
      </x:c>
      <x:c r="AW359" s="165" t="str">
        <x:f>IF(AND(AW$5&gt;=$C359,AW$5&lt;=$D359,$A359&lt;&gt;""),"●","")</x:f>
      </x:c>
      <x:c r="AX359" s="165" t="str">
        <x:f>IF(AND(AX$5&gt;=$C359,AX$5&lt;=$D359,$A359&lt;&gt;""),"●","")</x:f>
      </x:c>
      <x:c r="AY359" s="165" t="str">
        <x:f>IF(AND(AY$5&gt;=$C359,AY$5&lt;=$D359,$A359&lt;&gt;""),"●","")</x:f>
      </x:c>
      <x:c r="AZ359" s="165" t="str">
        <x:f>IF(AND(AZ$5&gt;=$C359,AZ$5&lt;=$D359,$A359&lt;&gt;""),"●","")</x:f>
      </x:c>
      <x:c r="BA359" s="165" t="str">
        <x:f>IF(AND(BA$5&gt;=$C359,BA$5&lt;=$D359,$A359&lt;&gt;""),"●","")</x:f>
      </x:c>
      <x:c r="BB359" s="165" t="str">
        <x:f>IF(AND(BB$5&gt;=$C359,BB$5&lt;=$D359,$A359&lt;&gt;""),"●","")</x:f>
      </x:c>
      <x:c r="BC359" s="165" t="str">
        <x:f>IF(AND(BC$5&gt;=$C359,BC$5&lt;=$D359,$A359&lt;&gt;""),"●","")</x:f>
      </x:c>
      <x:c r="BD359" s="165" t="str">
        <x:f>IF(AND(BD$5&gt;=$C359,BD$5&lt;=$D359,$A359&lt;&gt;""),"●","")</x:f>
      </x:c>
      <x:c r="BE359" s="165" t="str">
        <x:f>IF(AND(BE$5&gt;=$C359,BE$5&lt;=$D359,$A359&lt;&gt;""),"●","")</x:f>
      </x:c>
      <x:c r="BF359" s="165" t="str">
        <x:f>IF(AND(BF$5&gt;=$C359,BF$5&lt;=$D359,$A359&lt;&gt;""),"●","")</x:f>
      </x:c>
      <x:c r="BG359" s="165" t="str">
        <x:f>IF(AND(BG$5&gt;=$C359,BG$5&lt;=$D359,$A359&lt;&gt;""),"●","")</x:f>
      </x:c>
      <x:c r="BH359" s="165" t="str">
        <x:f>IF(AND(BH$5&gt;=$C359,BH$5&lt;=$D359,$A359&lt;&gt;""),"●","")</x:f>
      </x:c>
      <x:c r="BI359" s="165" t="str">
        <x:f>IF(AND(BI$5&gt;=$C359,BI$5&lt;=$D359,$A359&lt;&gt;""),"●","")</x:f>
      </x:c>
      <x:c r="BJ359" s="165" t="str">
        <x:f>IF(AND(BJ$5&gt;=$C359,BJ$5&lt;=$D359,$A359&lt;&gt;""),"●","")</x:f>
      </x:c>
      <x:c r="BK359" s="165" t="str">
        <x:f>IF(AND(BK$5&gt;=$C359,BK$5&lt;=$D359,$A359&lt;&gt;""),"●","")</x:f>
      </x:c>
      <x:c r="BL359" s="165" t="str">
        <x:f>IF(AND(BL$5&gt;=$C359,BL$5&lt;=$D359,$A359&lt;&gt;""),"●","")</x:f>
      </x:c>
      <x:c r="BM359" s="165" t="str">
        <x:f>IF(AND(BM$5&gt;=$C359,BM$5&lt;=$D359,$A359&lt;&gt;""),"●","")</x:f>
      </x:c>
      <x:c r="BN359" s="165" t="str">
        <x:f>IF(AND(BN$5&gt;=$C359,BN$5&lt;=$D359,$A359&lt;&gt;""),"●","")</x:f>
      </x:c>
      <x:c r="BO359" s="165" t="str">
        <x:f>IF(AND(BO$5&gt;=$C359,BO$5&lt;=$D359,$A359&lt;&gt;""),"●","")</x:f>
      </x:c>
      <x:c r="BP359" s="165" t="str">
        <x:f>IF(AND(BP$5&gt;=$C359,BP$5&lt;=$D359,$A359&lt;&gt;""),"●","")</x:f>
      </x:c>
      <x:c r="BQ359" s="165" t="str">
        <x:f>IF(AND(BQ$5&gt;=$C359,BQ$5&lt;=$D359,$A359&lt;&gt;""),"●","")</x:f>
      </x:c>
      <x:c r="BR359" s="165" t="str">
        <x:f>IF(AND(BR$5&gt;=$C359,BR$5&lt;=$D359,$A359&lt;&gt;""),"●","")</x:f>
      </x:c>
      <x:c r="BS359" s="165" t="str">
        <x:f>IF(AND(BS$5&gt;=$C359,BS$5&lt;=$D359,$A359&lt;&gt;""),"●","")</x:f>
      </x:c>
      <x:c r="BT359" s="165" t="str">
        <x:f>IF(AND(BT$5&gt;=$C359,BT$5&lt;=$D359,$A359&lt;&gt;""),"●","")</x:f>
      </x:c>
      <x:c r="BU359" s="165" t="str">
        <x:f>IF(AND(BU$5&gt;=$C359,BU$5&lt;=$D359,$A359&lt;&gt;""),"●","")</x:f>
      </x:c>
      <x:c r="BV359" s="165" t="str">
        <x:f>IF(AND(BV$5&gt;=$C359,BV$5&lt;=$D359,$A359&lt;&gt;""),"●","")</x:f>
      </x:c>
      <x:c r="BW359" s="165" t="str">
        <x:f>IF(AND(BW$5&gt;=$C359,BW$5&lt;=$D359,$A359&lt;&gt;""),"●","")</x:f>
      </x:c>
    </x:row>
    <x:row r="360">
      <x:c r="A360" s="159" t="str">
        <x:f>IF('รายการสัญญา'!A360="","",'รายการสัญญา'!A360)</x:f>
      </x:c>
      <x:c r="B360" s="159" t="str">
        <x:f>IF('รายการสัญญา'!A360="","",'รายการสัญญา'!C360)</x:f>
      </x:c>
      <x:c r="C360" s="162" t="str">
        <x:f>IF('รายการสัญญา'!A360="","",'รายการสัญญา'!E360)</x:f>
      </x:c>
      <x:c r="D360" s="162" t="str">
        <x:f>IF('รายการสัญญา'!A360="","",'รายการสัญญา'!G360)</x:f>
      </x:c>
      <x:c r="E360" s="159" t="str">
        <x:f>IF('รายการสัญญา'!A360="","",'รายการสัญญา'!K360)</x:f>
      </x:c>
      <x:c r="F360" s="165" t="str">
        <x:f>IF(AND(F$5&gt;=$C360,F$5&lt;=$D360,$A360&lt;&gt;""),"●","")</x:f>
      </x:c>
      <x:c r="G360" s="165" t="str">
        <x:f>IF(AND(G$5&gt;=$C360,G$5&lt;=$D360,$A360&lt;&gt;""),"●","")</x:f>
      </x:c>
      <x:c r="H360" s="165" t="str">
        <x:f>IF(AND(H$5&gt;=$C360,H$5&lt;=$D360,$A360&lt;&gt;""),"●","")</x:f>
      </x:c>
      <x:c r="I360" s="165" t="str">
        <x:f>IF(AND(I$5&gt;=$C360,I$5&lt;=$D360,$A360&lt;&gt;""),"●","")</x:f>
      </x:c>
      <x:c r="J360" s="165" t="str">
        <x:f>IF(AND(J$5&gt;=$C360,J$5&lt;=$D360,$A360&lt;&gt;""),"●","")</x:f>
      </x:c>
      <x:c r="K360" s="165" t="str">
        <x:f>IF(AND(K$5&gt;=$C360,K$5&lt;=$D360,$A360&lt;&gt;""),"●","")</x:f>
      </x:c>
      <x:c r="L360" s="165" t="str">
        <x:f>IF(AND(L$5&gt;=$C360,L$5&lt;=$D360,$A360&lt;&gt;""),"●","")</x:f>
      </x:c>
      <x:c r="M360" s="165" t="str">
        <x:f>IF(AND(M$5&gt;=$C360,M$5&lt;=$D360,$A360&lt;&gt;""),"●","")</x:f>
      </x:c>
      <x:c r="N360" s="165" t="str">
        <x:f>IF(AND(N$5&gt;=$C360,N$5&lt;=$D360,$A360&lt;&gt;""),"●","")</x:f>
      </x:c>
      <x:c r="O360" s="165" t="str">
        <x:f>IF(AND(O$5&gt;=$C360,O$5&lt;=$D360,$A360&lt;&gt;""),"●","")</x:f>
      </x:c>
      <x:c r="P360" s="165" t="str">
        <x:f>IF(AND(P$5&gt;=$C360,P$5&lt;=$D360,$A360&lt;&gt;""),"●","")</x:f>
      </x:c>
      <x:c r="Q360" s="165" t="str">
        <x:f>IF(AND(Q$5&gt;=$C360,Q$5&lt;=$D360,$A360&lt;&gt;""),"●","")</x:f>
      </x:c>
      <x:c r="R360" s="165" t="str">
        <x:f>IF(AND(R$5&gt;=$C360,R$5&lt;=$D360,$A360&lt;&gt;""),"●","")</x:f>
      </x:c>
      <x:c r="S360" s="165" t="str">
        <x:f>IF(AND(S$5&gt;=$C360,S$5&lt;=$D360,$A360&lt;&gt;""),"●","")</x:f>
      </x:c>
      <x:c r="T360" s="165" t="str">
        <x:f>IF(AND(T$5&gt;=$C360,T$5&lt;=$D360,$A360&lt;&gt;""),"●","")</x:f>
      </x:c>
      <x:c r="U360" s="165" t="str">
        <x:f>IF(AND(U$5&gt;=$C360,U$5&lt;=$D360,$A360&lt;&gt;""),"●","")</x:f>
      </x:c>
      <x:c r="V360" s="165" t="str">
        <x:f>IF(AND(V$5&gt;=$C360,V$5&lt;=$D360,$A360&lt;&gt;""),"●","")</x:f>
      </x:c>
      <x:c r="W360" s="165" t="str">
        <x:f>IF(AND(W$5&gt;=$C360,W$5&lt;=$D360,$A360&lt;&gt;""),"●","")</x:f>
      </x:c>
      <x:c r="X360" s="165" t="str">
        <x:f>IF(AND(X$5&gt;=$C360,X$5&lt;=$D360,$A360&lt;&gt;""),"●","")</x:f>
      </x:c>
      <x:c r="Y360" s="165" t="str">
        <x:f>IF(AND(Y$5&gt;=$C360,Y$5&lt;=$D360,$A360&lt;&gt;""),"●","")</x:f>
      </x:c>
      <x:c r="Z360" s="165" t="str">
        <x:f>IF(AND(Z$5&gt;=$C360,Z$5&lt;=$D360,$A360&lt;&gt;""),"●","")</x:f>
      </x:c>
      <x:c r="AA360" s="165" t="str">
        <x:f>IF(AND(AA$5&gt;=$C360,AA$5&lt;=$D360,$A360&lt;&gt;""),"●","")</x:f>
      </x:c>
      <x:c r="AB360" s="165" t="str">
        <x:f>IF(AND(AB$5&gt;=$C360,AB$5&lt;=$D360,$A360&lt;&gt;""),"●","")</x:f>
      </x:c>
      <x:c r="AC360" s="165" t="str">
        <x:f>IF(AND(AC$5&gt;=$C360,AC$5&lt;=$D360,$A360&lt;&gt;""),"●","")</x:f>
      </x:c>
      <x:c r="AD360" s="165" t="str">
        <x:f>IF(AND(AD$5&gt;=$C360,AD$5&lt;=$D360,$A360&lt;&gt;""),"●","")</x:f>
      </x:c>
      <x:c r="AE360" s="165" t="str">
        <x:f>IF(AND(AE$5&gt;=$C360,AE$5&lt;=$D360,$A360&lt;&gt;""),"●","")</x:f>
      </x:c>
      <x:c r="AF360" s="165" t="str">
        <x:f>IF(AND(AF$5&gt;=$C360,AF$5&lt;=$D360,$A360&lt;&gt;""),"●","")</x:f>
      </x:c>
      <x:c r="AG360" s="165" t="str">
        <x:f>IF(AND(AG$5&gt;=$C360,AG$5&lt;=$D360,$A360&lt;&gt;""),"●","")</x:f>
      </x:c>
      <x:c r="AH360" s="165" t="str">
        <x:f>IF(AND(AH$5&gt;=$C360,AH$5&lt;=$D360,$A360&lt;&gt;""),"●","")</x:f>
      </x:c>
      <x:c r="AI360" s="165" t="str">
        <x:f>IF(AND(AI$5&gt;=$C360,AI$5&lt;=$D360,$A360&lt;&gt;""),"●","")</x:f>
      </x:c>
      <x:c r="AJ360" s="165" t="str">
        <x:f>IF(AND(AJ$5&gt;=$C360,AJ$5&lt;=$D360,$A360&lt;&gt;""),"●","")</x:f>
      </x:c>
      <x:c r="AK360" s="165" t="str">
        <x:f>IF(AND(AK$5&gt;=$C360,AK$5&lt;=$D360,$A360&lt;&gt;""),"●","")</x:f>
      </x:c>
      <x:c r="AL360" s="165" t="str">
        <x:f>IF(AND(AL$5&gt;=$C360,AL$5&lt;=$D360,$A360&lt;&gt;""),"●","")</x:f>
      </x:c>
      <x:c r="AM360" s="165" t="str">
        <x:f>IF(AND(AM$5&gt;=$C360,AM$5&lt;=$D360,$A360&lt;&gt;""),"●","")</x:f>
      </x:c>
      <x:c r="AN360" s="165" t="str">
        <x:f>IF(AND(AN$5&gt;=$C360,AN$5&lt;=$D360,$A360&lt;&gt;""),"●","")</x:f>
      </x:c>
      <x:c r="AO360" s="165" t="str">
        <x:f>IF(AND(AO$5&gt;=$C360,AO$5&lt;=$D360,$A360&lt;&gt;""),"●","")</x:f>
      </x:c>
      <x:c r="AP360" s="165" t="str">
        <x:f>IF(AND(AP$5&gt;=$C360,AP$5&lt;=$D360,$A360&lt;&gt;""),"●","")</x:f>
      </x:c>
      <x:c r="AQ360" s="165" t="str">
        <x:f>IF(AND(AQ$5&gt;=$C360,AQ$5&lt;=$D360,$A360&lt;&gt;""),"●","")</x:f>
      </x:c>
      <x:c r="AR360" s="165" t="str">
        <x:f>IF(AND(AR$5&gt;=$C360,AR$5&lt;=$D360,$A360&lt;&gt;""),"●","")</x:f>
      </x:c>
      <x:c r="AS360" s="165" t="str">
        <x:f>IF(AND(AS$5&gt;=$C360,AS$5&lt;=$D360,$A360&lt;&gt;""),"●","")</x:f>
      </x:c>
      <x:c r="AT360" s="165" t="str">
        <x:f>IF(AND(AT$5&gt;=$C360,AT$5&lt;=$D360,$A360&lt;&gt;""),"●","")</x:f>
      </x:c>
      <x:c r="AU360" s="165" t="str">
        <x:f>IF(AND(AU$5&gt;=$C360,AU$5&lt;=$D360,$A360&lt;&gt;""),"●","")</x:f>
      </x:c>
      <x:c r="AV360" s="165" t="str">
        <x:f>IF(AND(AV$5&gt;=$C360,AV$5&lt;=$D360,$A360&lt;&gt;""),"●","")</x:f>
      </x:c>
      <x:c r="AW360" s="165" t="str">
        <x:f>IF(AND(AW$5&gt;=$C360,AW$5&lt;=$D360,$A360&lt;&gt;""),"●","")</x:f>
      </x:c>
      <x:c r="AX360" s="165" t="str">
        <x:f>IF(AND(AX$5&gt;=$C360,AX$5&lt;=$D360,$A360&lt;&gt;""),"●","")</x:f>
      </x:c>
      <x:c r="AY360" s="165" t="str">
        <x:f>IF(AND(AY$5&gt;=$C360,AY$5&lt;=$D360,$A360&lt;&gt;""),"●","")</x:f>
      </x:c>
      <x:c r="AZ360" s="165" t="str">
        <x:f>IF(AND(AZ$5&gt;=$C360,AZ$5&lt;=$D360,$A360&lt;&gt;""),"●","")</x:f>
      </x:c>
      <x:c r="BA360" s="165" t="str">
        <x:f>IF(AND(BA$5&gt;=$C360,BA$5&lt;=$D360,$A360&lt;&gt;""),"●","")</x:f>
      </x:c>
      <x:c r="BB360" s="165" t="str">
        <x:f>IF(AND(BB$5&gt;=$C360,BB$5&lt;=$D360,$A360&lt;&gt;""),"●","")</x:f>
      </x:c>
      <x:c r="BC360" s="165" t="str">
        <x:f>IF(AND(BC$5&gt;=$C360,BC$5&lt;=$D360,$A360&lt;&gt;""),"●","")</x:f>
      </x:c>
      <x:c r="BD360" s="165" t="str">
        <x:f>IF(AND(BD$5&gt;=$C360,BD$5&lt;=$D360,$A360&lt;&gt;""),"●","")</x:f>
      </x:c>
      <x:c r="BE360" s="165" t="str">
        <x:f>IF(AND(BE$5&gt;=$C360,BE$5&lt;=$D360,$A360&lt;&gt;""),"●","")</x:f>
      </x:c>
      <x:c r="BF360" s="165" t="str">
        <x:f>IF(AND(BF$5&gt;=$C360,BF$5&lt;=$D360,$A360&lt;&gt;""),"●","")</x:f>
      </x:c>
      <x:c r="BG360" s="165" t="str">
        <x:f>IF(AND(BG$5&gt;=$C360,BG$5&lt;=$D360,$A360&lt;&gt;""),"●","")</x:f>
      </x:c>
      <x:c r="BH360" s="165" t="str">
        <x:f>IF(AND(BH$5&gt;=$C360,BH$5&lt;=$D360,$A360&lt;&gt;""),"●","")</x:f>
      </x:c>
      <x:c r="BI360" s="165" t="str">
        <x:f>IF(AND(BI$5&gt;=$C360,BI$5&lt;=$D360,$A360&lt;&gt;""),"●","")</x:f>
      </x:c>
      <x:c r="BJ360" s="165" t="str">
        <x:f>IF(AND(BJ$5&gt;=$C360,BJ$5&lt;=$D360,$A360&lt;&gt;""),"●","")</x:f>
      </x:c>
      <x:c r="BK360" s="165" t="str">
        <x:f>IF(AND(BK$5&gt;=$C360,BK$5&lt;=$D360,$A360&lt;&gt;""),"●","")</x:f>
      </x:c>
      <x:c r="BL360" s="165" t="str">
        <x:f>IF(AND(BL$5&gt;=$C360,BL$5&lt;=$D360,$A360&lt;&gt;""),"●","")</x:f>
      </x:c>
      <x:c r="BM360" s="165" t="str">
        <x:f>IF(AND(BM$5&gt;=$C360,BM$5&lt;=$D360,$A360&lt;&gt;""),"●","")</x:f>
      </x:c>
      <x:c r="BN360" s="165" t="str">
        <x:f>IF(AND(BN$5&gt;=$C360,BN$5&lt;=$D360,$A360&lt;&gt;""),"●","")</x:f>
      </x:c>
      <x:c r="BO360" s="165" t="str">
        <x:f>IF(AND(BO$5&gt;=$C360,BO$5&lt;=$D360,$A360&lt;&gt;""),"●","")</x:f>
      </x:c>
      <x:c r="BP360" s="165" t="str">
        <x:f>IF(AND(BP$5&gt;=$C360,BP$5&lt;=$D360,$A360&lt;&gt;""),"●","")</x:f>
      </x:c>
      <x:c r="BQ360" s="165" t="str">
        <x:f>IF(AND(BQ$5&gt;=$C360,BQ$5&lt;=$D360,$A360&lt;&gt;""),"●","")</x:f>
      </x:c>
      <x:c r="BR360" s="165" t="str">
        <x:f>IF(AND(BR$5&gt;=$C360,BR$5&lt;=$D360,$A360&lt;&gt;""),"●","")</x:f>
      </x:c>
      <x:c r="BS360" s="165" t="str">
        <x:f>IF(AND(BS$5&gt;=$C360,BS$5&lt;=$D360,$A360&lt;&gt;""),"●","")</x:f>
      </x:c>
      <x:c r="BT360" s="165" t="str">
        <x:f>IF(AND(BT$5&gt;=$C360,BT$5&lt;=$D360,$A360&lt;&gt;""),"●","")</x:f>
      </x:c>
      <x:c r="BU360" s="165" t="str">
        <x:f>IF(AND(BU$5&gt;=$C360,BU$5&lt;=$D360,$A360&lt;&gt;""),"●","")</x:f>
      </x:c>
      <x:c r="BV360" s="165" t="str">
        <x:f>IF(AND(BV$5&gt;=$C360,BV$5&lt;=$D360,$A360&lt;&gt;""),"●","")</x:f>
      </x:c>
      <x:c r="BW360" s="165" t="str">
        <x:f>IF(AND(BW$5&gt;=$C360,BW$5&lt;=$D360,$A360&lt;&gt;""),"●","")</x:f>
      </x:c>
    </x:row>
    <x:row r="361">
      <x:c r="A361" s="159" t="str">
        <x:f>IF('รายการสัญญา'!A361="","",'รายการสัญญา'!A361)</x:f>
      </x:c>
      <x:c r="B361" s="159" t="str">
        <x:f>IF('รายการสัญญา'!A361="","",'รายการสัญญา'!C361)</x:f>
      </x:c>
      <x:c r="C361" s="162" t="str">
        <x:f>IF('รายการสัญญา'!A361="","",'รายการสัญญา'!E361)</x:f>
      </x:c>
      <x:c r="D361" s="162" t="str">
        <x:f>IF('รายการสัญญา'!A361="","",'รายการสัญญา'!G361)</x:f>
      </x:c>
      <x:c r="E361" s="159" t="str">
        <x:f>IF('รายการสัญญา'!A361="","",'รายการสัญญา'!K361)</x:f>
      </x:c>
      <x:c r="F361" s="165" t="str">
        <x:f>IF(AND(F$5&gt;=$C361,F$5&lt;=$D361,$A361&lt;&gt;""),"●","")</x:f>
      </x:c>
      <x:c r="G361" s="165" t="str">
        <x:f>IF(AND(G$5&gt;=$C361,G$5&lt;=$D361,$A361&lt;&gt;""),"●","")</x:f>
      </x:c>
      <x:c r="H361" s="165" t="str">
        <x:f>IF(AND(H$5&gt;=$C361,H$5&lt;=$D361,$A361&lt;&gt;""),"●","")</x:f>
      </x:c>
      <x:c r="I361" s="165" t="str">
        <x:f>IF(AND(I$5&gt;=$C361,I$5&lt;=$D361,$A361&lt;&gt;""),"●","")</x:f>
      </x:c>
      <x:c r="J361" s="165" t="str">
        <x:f>IF(AND(J$5&gt;=$C361,J$5&lt;=$D361,$A361&lt;&gt;""),"●","")</x:f>
      </x:c>
      <x:c r="K361" s="165" t="str">
        <x:f>IF(AND(K$5&gt;=$C361,K$5&lt;=$D361,$A361&lt;&gt;""),"●","")</x:f>
      </x:c>
      <x:c r="L361" s="165" t="str">
        <x:f>IF(AND(L$5&gt;=$C361,L$5&lt;=$D361,$A361&lt;&gt;""),"●","")</x:f>
      </x:c>
      <x:c r="M361" s="165" t="str">
        <x:f>IF(AND(M$5&gt;=$C361,M$5&lt;=$D361,$A361&lt;&gt;""),"●","")</x:f>
      </x:c>
      <x:c r="N361" s="165" t="str">
        <x:f>IF(AND(N$5&gt;=$C361,N$5&lt;=$D361,$A361&lt;&gt;""),"●","")</x:f>
      </x:c>
      <x:c r="O361" s="165" t="str">
        <x:f>IF(AND(O$5&gt;=$C361,O$5&lt;=$D361,$A361&lt;&gt;""),"●","")</x:f>
      </x:c>
      <x:c r="P361" s="165" t="str">
        <x:f>IF(AND(P$5&gt;=$C361,P$5&lt;=$D361,$A361&lt;&gt;""),"●","")</x:f>
      </x:c>
      <x:c r="Q361" s="165" t="str">
        <x:f>IF(AND(Q$5&gt;=$C361,Q$5&lt;=$D361,$A361&lt;&gt;""),"●","")</x:f>
      </x:c>
      <x:c r="R361" s="165" t="str">
        <x:f>IF(AND(R$5&gt;=$C361,R$5&lt;=$D361,$A361&lt;&gt;""),"●","")</x:f>
      </x:c>
      <x:c r="S361" s="165" t="str">
        <x:f>IF(AND(S$5&gt;=$C361,S$5&lt;=$D361,$A361&lt;&gt;""),"●","")</x:f>
      </x:c>
      <x:c r="T361" s="165" t="str">
        <x:f>IF(AND(T$5&gt;=$C361,T$5&lt;=$D361,$A361&lt;&gt;""),"●","")</x:f>
      </x:c>
      <x:c r="U361" s="165" t="str">
        <x:f>IF(AND(U$5&gt;=$C361,U$5&lt;=$D361,$A361&lt;&gt;""),"●","")</x:f>
      </x:c>
      <x:c r="V361" s="165" t="str">
        <x:f>IF(AND(V$5&gt;=$C361,V$5&lt;=$D361,$A361&lt;&gt;""),"●","")</x:f>
      </x:c>
      <x:c r="W361" s="165" t="str">
        <x:f>IF(AND(W$5&gt;=$C361,W$5&lt;=$D361,$A361&lt;&gt;""),"●","")</x:f>
      </x:c>
      <x:c r="X361" s="165" t="str">
        <x:f>IF(AND(X$5&gt;=$C361,X$5&lt;=$D361,$A361&lt;&gt;""),"●","")</x:f>
      </x:c>
      <x:c r="Y361" s="165" t="str">
        <x:f>IF(AND(Y$5&gt;=$C361,Y$5&lt;=$D361,$A361&lt;&gt;""),"●","")</x:f>
      </x:c>
      <x:c r="Z361" s="165" t="str">
        <x:f>IF(AND(Z$5&gt;=$C361,Z$5&lt;=$D361,$A361&lt;&gt;""),"●","")</x:f>
      </x:c>
      <x:c r="AA361" s="165" t="str">
        <x:f>IF(AND(AA$5&gt;=$C361,AA$5&lt;=$D361,$A361&lt;&gt;""),"●","")</x:f>
      </x:c>
      <x:c r="AB361" s="165" t="str">
        <x:f>IF(AND(AB$5&gt;=$C361,AB$5&lt;=$D361,$A361&lt;&gt;""),"●","")</x:f>
      </x:c>
      <x:c r="AC361" s="165" t="str">
        <x:f>IF(AND(AC$5&gt;=$C361,AC$5&lt;=$D361,$A361&lt;&gt;""),"●","")</x:f>
      </x:c>
      <x:c r="AD361" s="165" t="str">
        <x:f>IF(AND(AD$5&gt;=$C361,AD$5&lt;=$D361,$A361&lt;&gt;""),"●","")</x:f>
      </x:c>
      <x:c r="AE361" s="165" t="str">
        <x:f>IF(AND(AE$5&gt;=$C361,AE$5&lt;=$D361,$A361&lt;&gt;""),"●","")</x:f>
      </x:c>
      <x:c r="AF361" s="165" t="str">
        <x:f>IF(AND(AF$5&gt;=$C361,AF$5&lt;=$D361,$A361&lt;&gt;""),"●","")</x:f>
      </x:c>
      <x:c r="AG361" s="165" t="str">
        <x:f>IF(AND(AG$5&gt;=$C361,AG$5&lt;=$D361,$A361&lt;&gt;""),"●","")</x:f>
      </x:c>
      <x:c r="AH361" s="165" t="str">
        <x:f>IF(AND(AH$5&gt;=$C361,AH$5&lt;=$D361,$A361&lt;&gt;""),"●","")</x:f>
      </x:c>
      <x:c r="AI361" s="165" t="str">
        <x:f>IF(AND(AI$5&gt;=$C361,AI$5&lt;=$D361,$A361&lt;&gt;""),"●","")</x:f>
      </x:c>
      <x:c r="AJ361" s="165" t="str">
        <x:f>IF(AND(AJ$5&gt;=$C361,AJ$5&lt;=$D361,$A361&lt;&gt;""),"●","")</x:f>
      </x:c>
      <x:c r="AK361" s="165" t="str">
        <x:f>IF(AND(AK$5&gt;=$C361,AK$5&lt;=$D361,$A361&lt;&gt;""),"●","")</x:f>
      </x:c>
      <x:c r="AL361" s="165" t="str">
        <x:f>IF(AND(AL$5&gt;=$C361,AL$5&lt;=$D361,$A361&lt;&gt;""),"●","")</x:f>
      </x:c>
      <x:c r="AM361" s="165" t="str">
        <x:f>IF(AND(AM$5&gt;=$C361,AM$5&lt;=$D361,$A361&lt;&gt;""),"●","")</x:f>
      </x:c>
      <x:c r="AN361" s="165" t="str">
        <x:f>IF(AND(AN$5&gt;=$C361,AN$5&lt;=$D361,$A361&lt;&gt;""),"●","")</x:f>
      </x:c>
      <x:c r="AO361" s="165" t="str">
        <x:f>IF(AND(AO$5&gt;=$C361,AO$5&lt;=$D361,$A361&lt;&gt;""),"●","")</x:f>
      </x:c>
      <x:c r="AP361" s="165" t="str">
        <x:f>IF(AND(AP$5&gt;=$C361,AP$5&lt;=$D361,$A361&lt;&gt;""),"●","")</x:f>
      </x:c>
      <x:c r="AQ361" s="165" t="str">
        <x:f>IF(AND(AQ$5&gt;=$C361,AQ$5&lt;=$D361,$A361&lt;&gt;""),"●","")</x:f>
      </x:c>
      <x:c r="AR361" s="165" t="str">
        <x:f>IF(AND(AR$5&gt;=$C361,AR$5&lt;=$D361,$A361&lt;&gt;""),"●","")</x:f>
      </x:c>
      <x:c r="AS361" s="165" t="str">
        <x:f>IF(AND(AS$5&gt;=$C361,AS$5&lt;=$D361,$A361&lt;&gt;""),"●","")</x:f>
      </x:c>
      <x:c r="AT361" s="165" t="str">
        <x:f>IF(AND(AT$5&gt;=$C361,AT$5&lt;=$D361,$A361&lt;&gt;""),"●","")</x:f>
      </x:c>
      <x:c r="AU361" s="165" t="str">
        <x:f>IF(AND(AU$5&gt;=$C361,AU$5&lt;=$D361,$A361&lt;&gt;""),"●","")</x:f>
      </x:c>
      <x:c r="AV361" s="165" t="str">
        <x:f>IF(AND(AV$5&gt;=$C361,AV$5&lt;=$D361,$A361&lt;&gt;""),"●","")</x:f>
      </x:c>
      <x:c r="AW361" s="165" t="str">
        <x:f>IF(AND(AW$5&gt;=$C361,AW$5&lt;=$D361,$A361&lt;&gt;""),"●","")</x:f>
      </x:c>
      <x:c r="AX361" s="165" t="str">
        <x:f>IF(AND(AX$5&gt;=$C361,AX$5&lt;=$D361,$A361&lt;&gt;""),"●","")</x:f>
      </x:c>
      <x:c r="AY361" s="165" t="str">
        <x:f>IF(AND(AY$5&gt;=$C361,AY$5&lt;=$D361,$A361&lt;&gt;""),"●","")</x:f>
      </x:c>
      <x:c r="AZ361" s="165" t="str">
        <x:f>IF(AND(AZ$5&gt;=$C361,AZ$5&lt;=$D361,$A361&lt;&gt;""),"●","")</x:f>
      </x:c>
      <x:c r="BA361" s="165" t="str">
        <x:f>IF(AND(BA$5&gt;=$C361,BA$5&lt;=$D361,$A361&lt;&gt;""),"●","")</x:f>
      </x:c>
      <x:c r="BB361" s="165" t="str">
        <x:f>IF(AND(BB$5&gt;=$C361,BB$5&lt;=$D361,$A361&lt;&gt;""),"●","")</x:f>
      </x:c>
      <x:c r="BC361" s="165" t="str">
        <x:f>IF(AND(BC$5&gt;=$C361,BC$5&lt;=$D361,$A361&lt;&gt;""),"●","")</x:f>
      </x:c>
      <x:c r="BD361" s="165" t="str">
        <x:f>IF(AND(BD$5&gt;=$C361,BD$5&lt;=$D361,$A361&lt;&gt;""),"●","")</x:f>
      </x:c>
      <x:c r="BE361" s="165" t="str">
        <x:f>IF(AND(BE$5&gt;=$C361,BE$5&lt;=$D361,$A361&lt;&gt;""),"●","")</x:f>
      </x:c>
      <x:c r="BF361" s="165" t="str">
        <x:f>IF(AND(BF$5&gt;=$C361,BF$5&lt;=$D361,$A361&lt;&gt;""),"●","")</x:f>
      </x:c>
      <x:c r="BG361" s="165" t="str">
        <x:f>IF(AND(BG$5&gt;=$C361,BG$5&lt;=$D361,$A361&lt;&gt;""),"●","")</x:f>
      </x:c>
      <x:c r="BH361" s="165" t="str">
        <x:f>IF(AND(BH$5&gt;=$C361,BH$5&lt;=$D361,$A361&lt;&gt;""),"●","")</x:f>
      </x:c>
      <x:c r="BI361" s="165" t="str">
        <x:f>IF(AND(BI$5&gt;=$C361,BI$5&lt;=$D361,$A361&lt;&gt;""),"●","")</x:f>
      </x:c>
      <x:c r="BJ361" s="165" t="str">
        <x:f>IF(AND(BJ$5&gt;=$C361,BJ$5&lt;=$D361,$A361&lt;&gt;""),"●","")</x:f>
      </x:c>
      <x:c r="BK361" s="165" t="str">
        <x:f>IF(AND(BK$5&gt;=$C361,BK$5&lt;=$D361,$A361&lt;&gt;""),"●","")</x:f>
      </x:c>
      <x:c r="BL361" s="165" t="str">
        <x:f>IF(AND(BL$5&gt;=$C361,BL$5&lt;=$D361,$A361&lt;&gt;""),"●","")</x:f>
      </x:c>
      <x:c r="BM361" s="165" t="str">
        <x:f>IF(AND(BM$5&gt;=$C361,BM$5&lt;=$D361,$A361&lt;&gt;""),"●","")</x:f>
      </x:c>
      <x:c r="BN361" s="165" t="str">
        <x:f>IF(AND(BN$5&gt;=$C361,BN$5&lt;=$D361,$A361&lt;&gt;""),"●","")</x:f>
      </x:c>
      <x:c r="BO361" s="165" t="str">
        <x:f>IF(AND(BO$5&gt;=$C361,BO$5&lt;=$D361,$A361&lt;&gt;""),"●","")</x:f>
      </x:c>
      <x:c r="BP361" s="165" t="str">
        <x:f>IF(AND(BP$5&gt;=$C361,BP$5&lt;=$D361,$A361&lt;&gt;""),"●","")</x:f>
      </x:c>
      <x:c r="BQ361" s="165" t="str">
        <x:f>IF(AND(BQ$5&gt;=$C361,BQ$5&lt;=$D361,$A361&lt;&gt;""),"●","")</x:f>
      </x:c>
      <x:c r="BR361" s="165" t="str">
        <x:f>IF(AND(BR$5&gt;=$C361,BR$5&lt;=$D361,$A361&lt;&gt;""),"●","")</x:f>
      </x:c>
      <x:c r="BS361" s="165" t="str">
        <x:f>IF(AND(BS$5&gt;=$C361,BS$5&lt;=$D361,$A361&lt;&gt;""),"●","")</x:f>
      </x:c>
      <x:c r="BT361" s="165" t="str">
        <x:f>IF(AND(BT$5&gt;=$C361,BT$5&lt;=$D361,$A361&lt;&gt;""),"●","")</x:f>
      </x:c>
      <x:c r="BU361" s="165" t="str">
        <x:f>IF(AND(BU$5&gt;=$C361,BU$5&lt;=$D361,$A361&lt;&gt;""),"●","")</x:f>
      </x:c>
      <x:c r="BV361" s="165" t="str">
        <x:f>IF(AND(BV$5&gt;=$C361,BV$5&lt;=$D361,$A361&lt;&gt;""),"●","")</x:f>
      </x:c>
      <x:c r="BW361" s="165" t="str">
        <x:f>IF(AND(BW$5&gt;=$C361,BW$5&lt;=$D361,$A361&lt;&gt;""),"●","")</x:f>
      </x:c>
    </x:row>
    <x:row r="362">
      <x:c r="A362" s="159" t="str">
        <x:f>IF('รายการสัญญา'!A362="","",'รายการสัญญา'!A362)</x:f>
      </x:c>
      <x:c r="B362" s="159" t="str">
        <x:f>IF('รายการสัญญา'!A362="","",'รายการสัญญา'!C362)</x:f>
      </x:c>
      <x:c r="C362" s="162" t="str">
        <x:f>IF('รายการสัญญา'!A362="","",'รายการสัญญา'!E362)</x:f>
      </x:c>
      <x:c r="D362" s="162" t="str">
        <x:f>IF('รายการสัญญา'!A362="","",'รายการสัญญา'!G362)</x:f>
      </x:c>
      <x:c r="E362" s="159" t="str">
        <x:f>IF('รายการสัญญา'!A362="","",'รายการสัญญา'!K362)</x:f>
      </x:c>
      <x:c r="F362" s="165" t="str">
        <x:f>IF(AND(F$5&gt;=$C362,F$5&lt;=$D362,$A362&lt;&gt;""),"●","")</x:f>
      </x:c>
      <x:c r="G362" s="165" t="str">
        <x:f>IF(AND(G$5&gt;=$C362,G$5&lt;=$D362,$A362&lt;&gt;""),"●","")</x:f>
      </x:c>
      <x:c r="H362" s="165" t="str">
        <x:f>IF(AND(H$5&gt;=$C362,H$5&lt;=$D362,$A362&lt;&gt;""),"●","")</x:f>
      </x:c>
      <x:c r="I362" s="165" t="str">
        <x:f>IF(AND(I$5&gt;=$C362,I$5&lt;=$D362,$A362&lt;&gt;""),"●","")</x:f>
      </x:c>
      <x:c r="J362" s="165" t="str">
        <x:f>IF(AND(J$5&gt;=$C362,J$5&lt;=$D362,$A362&lt;&gt;""),"●","")</x:f>
      </x:c>
      <x:c r="K362" s="165" t="str">
        <x:f>IF(AND(K$5&gt;=$C362,K$5&lt;=$D362,$A362&lt;&gt;""),"●","")</x:f>
      </x:c>
      <x:c r="L362" s="165" t="str">
        <x:f>IF(AND(L$5&gt;=$C362,L$5&lt;=$D362,$A362&lt;&gt;""),"●","")</x:f>
      </x:c>
      <x:c r="M362" s="165" t="str">
        <x:f>IF(AND(M$5&gt;=$C362,M$5&lt;=$D362,$A362&lt;&gt;""),"●","")</x:f>
      </x:c>
      <x:c r="N362" s="165" t="str">
        <x:f>IF(AND(N$5&gt;=$C362,N$5&lt;=$D362,$A362&lt;&gt;""),"●","")</x:f>
      </x:c>
      <x:c r="O362" s="165" t="str">
        <x:f>IF(AND(O$5&gt;=$C362,O$5&lt;=$D362,$A362&lt;&gt;""),"●","")</x:f>
      </x:c>
      <x:c r="P362" s="165" t="str">
        <x:f>IF(AND(P$5&gt;=$C362,P$5&lt;=$D362,$A362&lt;&gt;""),"●","")</x:f>
      </x:c>
      <x:c r="Q362" s="165" t="str">
        <x:f>IF(AND(Q$5&gt;=$C362,Q$5&lt;=$D362,$A362&lt;&gt;""),"●","")</x:f>
      </x:c>
      <x:c r="R362" s="165" t="str">
        <x:f>IF(AND(R$5&gt;=$C362,R$5&lt;=$D362,$A362&lt;&gt;""),"●","")</x:f>
      </x:c>
      <x:c r="S362" s="165" t="str">
        <x:f>IF(AND(S$5&gt;=$C362,S$5&lt;=$D362,$A362&lt;&gt;""),"●","")</x:f>
      </x:c>
      <x:c r="T362" s="165" t="str">
        <x:f>IF(AND(T$5&gt;=$C362,T$5&lt;=$D362,$A362&lt;&gt;""),"●","")</x:f>
      </x:c>
      <x:c r="U362" s="165" t="str">
        <x:f>IF(AND(U$5&gt;=$C362,U$5&lt;=$D362,$A362&lt;&gt;""),"●","")</x:f>
      </x:c>
      <x:c r="V362" s="165" t="str">
        <x:f>IF(AND(V$5&gt;=$C362,V$5&lt;=$D362,$A362&lt;&gt;""),"●","")</x:f>
      </x:c>
      <x:c r="W362" s="165" t="str">
        <x:f>IF(AND(W$5&gt;=$C362,W$5&lt;=$D362,$A362&lt;&gt;""),"●","")</x:f>
      </x:c>
      <x:c r="X362" s="165" t="str">
        <x:f>IF(AND(X$5&gt;=$C362,X$5&lt;=$D362,$A362&lt;&gt;""),"●","")</x:f>
      </x:c>
      <x:c r="Y362" s="165" t="str">
        <x:f>IF(AND(Y$5&gt;=$C362,Y$5&lt;=$D362,$A362&lt;&gt;""),"●","")</x:f>
      </x:c>
      <x:c r="Z362" s="165" t="str">
        <x:f>IF(AND(Z$5&gt;=$C362,Z$5&lt;=$D362,$A362&lt;&gt;""),"●","")</x:f>
      </x:c>
      <x:c r="AA362" s="165" t="str">
        <x:f>IF(AND(AA$5&gt;=$C362,AA$5&lt;=$D362,$A362&lt;&gt;""),"●","")</x:f>
      </x:c>
      <x:c r="AB362" s="165" t="str">
        <x:f>IF(AND(AB$5&gt;=$C362,AB$5&lt;=$D362,$A362&lt;&gt;""),"●","")</x:f>
      </x:c>
      <x:c r="AC362" s="165" t="str">
        <x:f>IF(AND(AC$5&gt;=$C362,AC$5&lt;=$D362,$A362&lt;&gt;""),"●","")</x:f>
      </x:c>
      <x:c r="AD362" s="165" t="str">
        <x:f>IF(AND(AD$5&gt;=$C362,AD$5&lt;=$D362,$A362&lt;&gt;""),"●","")</x:f>
      </x:c>
      <x:c r="AE362" s="165" t="str">
        <x:f>IF(AND(AE$5&gt;=$C362,AE$5&lt;=$D362,$A362&lt;&gt;""),"●","")</x:f>
      </x:c>
      <x:c r="AF362" s="165" t="str">
        <x:f>IF(AND(AF$5&gt;=$C362,AF$5&lt;=$D362,$A362&lt;&gt;""),"●","")</x:f>
      </x:c>
      <x:c r="AG362" s="165" t="str">
        <x:f>IF(AND(AG$5&gt;=$C362,AG$5&lt;=$D362,$A362&lt;&gt;""),"●","")</x:f>
      </x:c>
      <x:c r="AH362" s="165" t="str">
        <x:f>IF(AND(AH$5&gt;=$C362,AH$5&lt;=$D362,$A362&lt;&gt;""),"●","")</x:f>
      </x:c>
      <x:c r="AI362" s="165" t="str">
        <x:f>IF(AND(AI$5&gt;=$C362,AI$5&lt;=$D362,$A362&lt;&gt;""),"●","")</x:f>
      </x:c>
      <x:c r="AJ362" s="165" t="str">
        <x:f>IF(AND(AJ$5&gt;=$C362,AJ$5&lt;=$D362,$A362&lt;&gt;""),"●","")</x:f>
      </x:c>
      <x:c r="AK362" s="165" t="str">
        <x:f>IF(AND(AK$5&gt;=$C362,AK$5&lt;=$D362,$A362&lt;&gt;""),"●","")</x:f>
      </x:c>
      <x:c r="AL362" s="165" t="str">
        <x:f>IF(AND(AL$5&gt;=$C362,AL$5&lt;=$D362,$A362&lt;&gt;""),"●","")</x:f>
      </x:c>
      <x:c r="AM362" s="165" t="str">
        <x:f>IF(AND(AM$5&gt;=$C362,AM$5&lt;=$D362,$A362&lt;&gt;""),"●","")</x:f>
      </x:c>
      <x:c r="AN362" s="165" t="str">
        <x:f>IF(AND(AN$5&gt;=$C362,AN$5&lt;=$D362,$A362&lt;&gt;""),"●","")</x:f>
      </x:c>
      <x:c r="AO362" s="165" t="str">
        <x:f>IF(AND(AO$5&gt;=$C362,AO$5&lt;=$D362,$A362&lt;&gt;""),"●","")</x:f>
      </x:c>
      <x:c r="AP362" s="165" t="str">
        <x:f>IF(AND(AP$5&gt;=$C362,AP$5&lt;=$D362,$A362&lt;&gt;""),"●","")</x:f>
      </x:c>
      <x:c r="AQ362" s="165" t="str">
        <x:f>IF(AND(AQ$5&gt;=$C362,AQ$5&lt;=$D362,$A362&lt;&gt;""),"●","")</x:f>
      </x:c>
      <x:c r="AR362" s="165" t="str">
        <x:f>IF(AND(AR$5&gt;=$C362,AR$5&lt;=$D362,$A362&lt;&gt;""),"●","")</x:f>
      </x:c>
      <x:c r="AS362" s="165" t="str">
        <x:f>IF(AND(AS$5&gt;=$C362,AS$5&lt;=$D362,$A362&lt;&gt;""),"●","")</x:f>
      </x:c>
      <x:c r="AT362" s="165" t="str">
        <x:f>IF(AND(AT$5&gt;=$C362,AT$5&lt;=$D362,$A362&lt;&gt;""),"●","")</x:f>
      </x:c>
      <x:c r="AU362" s="165" t="str">
        <x:f>IF(AND(AU$5&gt;=$C362,AU$5&lt;=$D362,$A362&lt;&gt;""),"●","")</x:f>
      </x:c>
      <x:c r="AV362" s="165" t="str">
        <x:f>IF(AND(AV$5&gt;=$C362,AV$5&lt;=$D362,$A362&lt;&gt;""),"●","")</x:f>
      </x:c>
      <x:c r="AW362" s="165" t="str">
        <x:f>IF(AND(AW$5&gt;=$C362,AW$5&lt;=$D362,$A362&lt;&gt;""),"●","")</x:f>
      </x:c>
      <x:c r="AX362" s="165" t="str">
        <x:f>IF(AND(AX$5&gt;=$C362,AX$5&lt;=$D362,$A362&lt;&gt;""),"●","")</x:f>
      </x:c>
      <x:c r="AY362" s="165" t="str">
        <x:f>IF(AND(AY$5&gt;=$C362,AY$5&lt;=$D362,$A362&lt;&gt;""),"●","")</x:f>
      </x:c>
      <x:c r="AZ362" s="165" t="str">
        <x:f>IF(AND(AZ$5&gt;=$C362,AZ$5&lt;=$D362,$A362&lt;&gt;""),"●","")</x:f>
      </x:c>
      <x:c r="BA362" s="165" t="str">
        <x:f>IF(AND(BA$5&gt;=$C362,BA$5&lt;=$D362,$A362&lt;&gt;""),"●","")</x:f>
      </x:c>
      <x:c r="BB362" s="165" t="str">
        <x:f>IF(AND(BB$5&gt;=$C362,BB$5&lt;=$D362,$A362&lt;&gt;""),"●","")</x:f>
      </x:c>
      <x:c r="BC362" s="165" t="str">
        <x:f>IF(AND(BC$5&gt;=$C362,BC$5&lt;=$D362,$A362&lt;&gt;""),"●","")</x:f>
      </x:c>
      <x:c r="BD362" s="165" t="str">
        <x:f>IF(AND(BD$5&gt;=$C362,BD$5&lt;=$D362,$A362&lt;&gt;""),"●","")</x:f>
      </x:c>
      <x:c r="BE362" s="165" t="str">
        <x:f>IF(AND(BE$5&gt;=$C362,BE$5&lt;=$D362,$A362&lt;&gt;""),"●","")</x:f>
      </x:c>
      <x:c r="BF362" s="165" t="str">
        <x:f>IF(AND(BF$5&gt;=$C362,BF$5&lt;=$D362,$A362&lt;&gt;""),"●","")</x:f>
      </x:c>
      <x:c r="BG362" s="165" t="str">
        <x:f>IF(AND(BG$5&gt;=$C362,BG$5&lt;=$D362,$A362&lt;&gt;""),"●","")</x:f>
      </x:c>
      <x:c r="BH362" s="165" t="str">
        <x:f>IF(AND(BH$5&gt;=$C362,BH$5&lt;=$D362,$A362&lt;&gt;""),"●","")</x:f>
      </x:c>
      <x:c r="BI362" s="165" t="str">
        <x:f>IF(AND(BI$5&gt;=$C362,BI$5&lt;=$D362,$A362&lt;&gt;""),"●","")</x:f>
      </x:c>
      <x:c r="BJ362" s="165" t="str">
        <x:f>IF(AND(BJ$5&gt;=$C362,BJ$5&lt;=$D362,$A362&lt;&gt;""),"●","")</x:f>
      </x:c>
      <x:c r="BK362" s="165" t="str">
        <x:f>IF(AND(BK$5&gt;=$C362,BK$5&lt;=$D362,$A362&lt;&gt;""),"●","")</x:f>
      </x:c>
      <x:c r="BL362" s="165" t="str">
        <x:f>IF(AND(BL$5&gt;=$C362,BL$5&lt;=$D362,$A362&lt;&gt;""),"●","")</x:f>
      </x:c>
      <x:c r="BM362" s="165" t="str">
        <x:f>IF(AND(BM$5&gt;=$C362,BM$5&lt;=$D362,$A362&lt;&gt;""),"●","")</x:f>
      </x:c>
      <x:c r="BN362" s="165" t="str">
        <x:f>IF(AND(BN$5&gt;=$C362,BN$5&lt;=$D362,$A362&lt;&gt;""),"●","")</x:f>
      </x:c>
      <x:c r="BO362" s="165" t="str">
        <x:f>IF(AND(BO$5&gt;=$C362,BO$5&lt;=$D362,$A362&lt;&gt;""),"●","")</x:f>
      </x:c>
      <x:c r="BP362" s="165" t="str">
        <x:f>IF(AND(BP$5&gt;=$C362,BP$5&lt;=$D362,$A362&lt;&gt;""),"●","")</x:f>
      </x:c>
      <x:c r="BQ362" s="165" t="str">
        <x:f>IF(AND(BQ$5&gt;=$C362,BQ$5&lt;=$D362,$A362&lt;&gt;""),"●","")</x:f>
      </x:c>
      <x:c r="BR362" s="165" t="str">
        <x:f>IF(AND(BR$5&gt;=$C362,BR$5&lt;=$D362,$A362&lt;&gt;""),"●","")</x:f>
      </x:c>
      <x:c r="BS362" s="165" t="str">
        <x:f>IF(AND(BS$5&gt;=$C362,BS$5&lt;=$D362,$A362&lt;&gt;""),"●","")</x:f>
      </x:c>
      <x:c r="BT362" s="165" t="str">
        <x:f>IF(AND(BT$5&gt;=$C362,BT$5&lt;=$D362,$A362&lt;&gt;""),"●","")</x:f>
      </x:c>
      <x:c r="BU362" s="165" t="str">
        <x:f>IF(AND(BU$5&gt;=$C362,BU$5&lt;=$D362,$A362&lt;&gt;""),"●","")</x:f>
      </x:c>
      <x:c r="BV362" s="165" t="str">
        <x:f>IF(AND(BV$5&gt;=$C362,BV$5&lt;=$D362,$A362&lt;&gt;""),"●","")</x:f>
      </x:c>
      <x:c r="BW362" s="165" t="str">
        <x:f>IF(AND(BW$5&gt;=$C362,BW$5&lt;=$D362,$A362&lt;&gt;""),"●","")</x:f>
      </x:c>
    </x:row>
    <x:row r="363">
      <x:c r="A363" s="159" t="str">
        <x:f>IF('รายการสัญญา'!A363="","",'รายการสัญญา'!A363)</x:f>
      </x:c>
      <x:c r="B363" s="159" t="str">
        <x:f>IF('รายการสัญญา'!A363="","",'รายการสัญญา'!C363)</x:f>
      </x:c>
      <x:c r="C363" s="162" t="str">
        <x:f>IF('รายการสัญญา'!A363="","",'รายการสัญญา'!E363)</x:f>
      </x:c>
      <x:c r="D363" s="162" t="str">
        <x:f>IF('รายการสัญญา'!A363="","",'รายการสัญญา'!G363)</x:f>
      </x:c>
      <x:c r="E363" s="159" t="str">
        <x:f>IF('รายการสัญญา'!A363="","",'รายการสัญญา'!K363)</x:f>
      </x:c>
      <x:c r="F363" s="165" t="str">
        <x:f>IF(AND(F$5&gt;=$C363,F$5&lt;=$D363,$A363&lt;&gt;""),"●","")</x:f>
      </x:c>
      <x:c r="G363" s="165" t="str">
        <x:f>IF(AND(G$5&gt;=$C363,G$5&lt;=$D363,$A363&lt;&gt;""),"●","")</x:f>
      </x:c>
      <x:c r="H363" s="165" t="str">
        <x:f>IF(AND(H$5&gt;=$C363,H$5&lt;=$D363,$A363&lt;&gt;""),"●","")</x:f>
      </x:c>
      <x:c r="I363" s="165" t="str">
        <x:f>IF(AND(I$5&gt;=$C363,I$5&lt;=$D363,$A363&lt;&gt;""),"●","")</x:f>
      </x:c>
      <x:c r="J363" s="165" t="str">
        <x:f>IF(AND(J$5&gt;=$C363,J$5&lt;=$D363,$A363&lt;&gt;""),"●","")</x:f>
      </x:c>
      <x:c r="K363" s="165" t="str">
        <x:f>IF(AND(K$5&gt;=$C363,K$5&lt;=$D363,$A363&lt;&gt;""),"●","")</x:f>
      </x:c>
      <x:c r="L363" s="165" t="str">
        <x:f>IF(AND(L$5&gt;=$C363,L$5&lt;=$D363,$A363&lt;&gt;""),"●","")</x:f>
      </x:c>
      <x:c r="M363" s="165" t="str">
        <x:f>IF(AND(M$5&gt;=$C363,M$5&lt;=$D363,$A363&lt;&gt;""),"●","")</x:f>
      </x:c>
      <x:c r="N363" s="165" t="str">
        <x:f>IF(AND(N$5&gt;=$C363,N$5&lt;=$D363,$A363&lt;&gt;""),"●","")</x:f>
      </x:c>
      <x:c r="O363" s="165" t="str">
        <x:f>IF(AND(O$5&gt;=$C363,O$5&lt;=$D363,$A363&lt;&gt;""),"●","")</x:f>
      </x:c>
      <x:c r="P363" s="165" t="str">
        <x:f>IF(AND(P$5&gt;=$C363,P$5&lt;=$D363,$A363&lt;&gt;""),"●","")</x:f>
      </x:c>
      <x:c r="Q363" s="165" t="str">
        <x:f>IF(AND(Q$5&gt;=$C363,Q$5&lt;=$D363,$A363&lt;&gt;""),"●","")</x:f>
      </x:c>
      <x:c r="R363" s="165" t="str">
        <x:f>IF(AND(R$5&gt;=$C363,R$5&lt;=$D363,$A363&lt;&gt;""),"●","")</x:f>
      </x:c>
      <x:c r="S363" s="165" t="str">
        <x:f>IF(AND(S$5&gt;=$C363,S$5&lt;=$D363,$A363&lt;&gt;""),"●","")</x:f>
      </x:c>
      <x:c r="T363" s="165" t="str">
        <x:f>IF(AND(T$5&gt;=$C363,T$5&lt;=$D363,$A363&lt;&gt;""),"●","")</x:f>
      </x:c>
      <x:c r="U363" s="165" t="str">
        <x:f>IF(AND(U$5&gt;=$C363,U$5&lt;=$D363,$A363&lt;&gt;""),"●","")</x:f>
      </x:c>
      <x:c r="V363" s="165" t="str">
        <x:f>IF(AND(V$5&gt;=$C363,V$5&lt;=$D363,$A363&lt;&gt;""),"●","")</x:f>
      </x:c>
      <x:c r="W363" s="165" t="str">
        <x:f>IF(AND(W$5&gt;=$C363,W$5&lt;=$D363,$A363&lt;&gt;""),"●","")</x:f>
      </x:c>
      <x:c r="X363" s="165" t="str">
        <x:f>IF(AND(X$5&gt;=$C363,X$5&lt;=$D363,$A363&lt;&gt;""),"●","")</x:f>
      </x:c>
      <x:c r="Y363" s="165" t="str">
        <x:f>IF(AND(Y$5&gt;=$C363,Y$5&lt;=$D363,$A363&lt;&gt;""),"●","")</x:f>
      </x:c>
      <x:c r="Z363" s="165" t="str">
        <x:f>IF(AND(Z$5&gt;=$C363,Z$5&lt;=$D363,$A363&lt;&gt;""),"●","")</x:f>
      </x:c>
      <x:c r="AA363" s="165" t="str">
        <x:f>IF(AND(AA$5&gt;=$C363,AA$5&lt;=$D363,$A363&lt;&gt;""),"●","")</x:f>
      </x:c>
      <x:c r="AB363" s="165" t="str">
        <x:f>IF(AND(AB$5&gt;=$C363,AB$5&lt;=$D363,$A363&lt;&gt;""),"●","")</x:f>
      </x:c>
      <x:c r="AC363" s="165" t="str">
        <x:f>IF(AND(AC$5&gt;=$C363,AC$5&lt;=$D363,$A363&lt;&gt;""),"●","")</x:f>
      </x:c>
      <x:c r="AD363" s="165" t="str">
        <x:f>IF(AND(AD$5&gt;=$C363,AD$5&lt;=$D363,$A363&lt;&gt;""),"●","")</x:f>
      </x:c>
      <x:c r="AE363" s="165" t="str">
        <x:f>IF(AND(AE$5&gt;=$C363,AE$5&lt;=$D363,$A363&lt;&gt;""),"●","")</x:f>
      </x:c>
      <x:c r="AF363" s="165" t="str">
        <x:f>IF(AND(AF$5&gt;=$C363,AF$5&lt;=$D363,$A363&lt;&gt;""),"●","")</x:f>
      </x:c>
      <x:c r="AG363" s="165" t="str">
        <x:f>IF(AND(AG$5&gt;=$C363,AG$5&lt;=$D363,$A363&lt;&gt;""),"●","")</x:f>
      </x:c>
      <x:c r="AH363" s="165" t="str">
        <x:f>IF(AND(AH$5&gt;=$C363,AH$5&lt;=$D363,$A363&lt;&gt;""),"●","")</x:f>
      </x:c>
      <x:c r="AI363" s="165" t="str">
        <x:f>IF(AND(AI$5&gt;=$C363,AI$5&lt;=$D363,$A363&lt;&gt;""),"●","")</x:f>
      </x:c>
      <x:c r="AJ363" s="165" t="str">
        <x:f>IF(AND(AJ$5&gt;=$C363,AJ$5&lt;=$D363,$A363&lt;&gt;""),"●","")</x:f>
      </x:c>
      <x:c r="AK363" s="165" t="str">
        <x:f>IF(AND(AK$5&gt;=$C363,AK$5&lt;=$D363,$A363&lt;&gt;""),"●","")</x:f>
      </x:c>
      <x:c r="AL363" s="165" t="str">
        <x:f>IF(AND(AL$5&gt;=$C363,AL$5&lt;=$D363,$A363&lt;&gt;""),"●","")</x:f>
      </x:c>
      <x:c r="AM363" s="165" t="str">
        <x:f>IF(AND(AM$5&gt;=$C363,AM$5&lt;=$D363,$A363&lt;&gt;""),"●","")</x:f>
      </x:c>
      <x:c r="AN363" s="165" t="str">
        <x:f>IF(AND(AN$5&gt;=$C363,AN$5&lt;=$D363,$A363&lt;&gt;""),"●","")</x:f>
      </x:c>
      <x:c r="AO363" s="165" t="str">
        <x:f>IF(AND(AO$5&gt;=$C363,AO$5&lt;=$D363,$A363&lt;&gt;""),"●","")</x:f>
      </x:c>
      <x:c r="AP363" s="165" t="str">
        <x:f>IF(AND(AP$5&gt;=$C363,AP$5&lt;=$D363,$A363&lt;&gt;""),"●","")</x:f>
      </x:c>
      <x:c r="AQ363" s="165" t="str">
        <x:f>IF(AND(AQ$5&gt;=$C363,AQ$5&lt;=$D363,$A363&lt;&gt;""),"●","")</x:f>
      </x:c>
      <x:c r="AR363" s="165" t="str">
        <x:f>IF(AND(AR$5&gt;=$C363,AR$5&lt;=$D363,$A363&lt;&gt;""),"●","")</x:f>
      </x:c>
      <x:c r="AS363" s="165" t="str">
        <x:f>IF(AND(AS$5&gt;=$C363,AS$5&lt;=$D363,$A363&lt;&gt;""),"●","")</x:f>
      </x:c>
      <x:c r="AT363" s="165" t="str">
        <x:f>IF(AND(AT$5&gt;=$C363,AT$5&lt;=$D363,$A363&lt;&gt;""),"●","")</x:f>
      </x:c>
      <x:c r="AU363" s="165" t="str">
        <x:f>IF(AND(AU$5&gt;=$C363,AU$5&lt;=$D363,$A363&lt;&gt;""),"●","")</x:f>
      </x:c>
      <x:c r="AV363" s="165" t="str">
        <x:f>IF(AND(AV$5&gt;=$C363,AV$5&lt;=$D363,$A363&lt;&gt;""),"●","")</x:f>
      </x:c>
      <x:c r="AW363" s="165" t="str">
        <x:f>IF(AND(AW$5&gt;=$C363,AW$5&lt;=$D363,$A363&lt;&gt;""),"●","")</x:f>
      </x:c>
      <x:c r="AX363" s="165" t="str">
        <x:f>IF(AND(AX$5&gt;=$C363,AX$5&lt;=$D363,$A363&lt;&gt;""),"●","")</x:f>
      </x:c>
      <x:c r="AY363" s="165" t="str">
        <x:f>IF(AND(AY$5&gt;=$C363,AY$5&lt;=$D363,$A363&lt;&gt;""),"●","")</x:f>
      </x:c>
      <x:c r="AZ363" s="165" t="str">
        <x:f>IF(AND(AZ$5&gt;=$C363,AZ$5&lt;=$D363,$A363&lt;&gt;""),"●","")</x:f>
      </x:c>
      <x:c r="BA363" s="165" t="str">
        <x:f>IF(AND(BA$5&gt;=$C363,BA$5&lt;=$D363,$A363&lt;&gt;""),"●","")</x:f>
      </x:c>
      <x:c r="BB363" s="165" t="str">
        <x:f>IF(AND(BB$5&gt;=$C363,BB$5&lt;=$D363,$A363&lt;&gt;""),"●","")</x:f>
      </x:c>
      <x:c r="BC363" s="165" t="str">
        <x:f>IF(AND(BC$5&gt;=$C363,BC$5&lt;=$D363,$A363&lt;&gt;""),"●","")</x:f>
      </x:c>
      <x:c r="BD363" s="165" t="str">
        <x:f>IF(AND(BD$5&gt;=$C363,BD$5&lt;=$D363,$A363&lt;&gt;""),"●","")</x:f>
      </x:c>
      <x:c r="BE363" s="165" t="str">
        <x:f>IF(AND(BE$5&gt;=$C363,BE$5&lt;=$D363,$A363&lt;&gt;""),"●","")</x:f>
      </x:c>
      <x:c r="BF363" s="165" t="str">
        <x:f>IF(AND(BF$5&gt;=$C363,BF$5&lt;=$D363,$A363&lt;&gt;""),"●","")</x:f>
      </x:c>
      <x:c r="BG363" s="165" t="str">
        <x:f>IF(AND(BG$5&gt;=$C363,BG$5&lt;=$D363,$A363&lt;&gt;""),"●","")</x:f>
      </x:c>
      <x:c r="BH363" s="165" t="str">
        <x:f>IF(AND(BH$5&gt;=$C363,BH$5&lt;=$D363,$A363&lt;&gt;""),"●","")</x:f>
      </x:c>
      <x:c r="BI363" s="165" t="str">
        <x:f>IF(AND(BI$5&gt;=$C363,BI$5&lt;=$D363,$A363&lt;&gt;""),"●","")</x:f>
      </x:c>
      <x:c r="BJ363" s="165" t="str">
        <x:f>IF(AND(BJ$5&gt;=$C363,BJ$5&lt;=$D363,$A363&lt;&gt;""),"●","")</x:f>
      </x:c>
      <x:c r="BK363" s="165" t="str">
        <x:f>IF(AND(BK$5&gt;=$C363,BK$5&lt;=$D363,$A363&lt;&gt;""),"●","")</x:f>
      </x:c>
      <x:c r="BL363" s="165" t="str">
        <x:f>IF(AND(BL$5&gt;=$C363,BL$5&lt;=$D363,$A363&lt;&gt;""),"●","")</x:f>
      </x:c>
      <x:c r="BM363" s="165" t="str">
        <x:f>IF(AND(BM$5&gt;=$C363,BM$5&lt;=$D363,$A363&lt;&gt;""),"●","")</x:f>
      </x:c>
      <x:c r="BN363" s="165" t="str">
        <x:f>IF(AND(BN$5&gt;=$C363,BN$5&lt;=$D363,$A363&lt;&gt;""),"●","")</x:f>
      </x:c>
      <x:c r="BO363" s="165" t="str">
        <x:f>IF(AND(BO$5&gt;=$C363,BO$5&lt;=$D363,$A363&lt;&gt;""),"●","")</x:f>
      </x:c>
      <x:c r="BP363" s="165" t="str">
        <x:f>IF(AND(BP$5&gt;=$C363,BP$5&lt;=$D363,$A363&lt;&gt;""),"●","")</x:f>
      </x:c>
      <x:c r="BQ363" s="165" t="str">
        <x:f>IF(AND(BQ$5&gt;=$C363,BQ$5&lt;=$D363,$A363&lt;&gt;""),"●","")</x:f>
      </x:c>
      <x:c r="BR363" s="165" t="str">
        <x:f>IF(AND(BR$5&gt;=$C363,BR$5&lt;=$D363,$A363&lt;&gt;""),"●","")</x:f>
      </x:c>
      <x:c r="BS363" s="165" t="str">
        <x:f>IF(AND(BS$5&gt;=$C363,BS$5&lt;=$D363,$A363&lt;&gt;""),"●","")</x:f>
      </x:c>
      <x:c r="BT363" s="165" t="str">
        <x:f>IF(AND(BT$5&gt;=$C363,BT$5&lt;=$D363,$A363&lt;&gt;""),"●","")</x:f>
      </x:c>
      <x:c r="BU363" s="165" t="str">
        <x:f>IF(AND(BU$5&gt;=$C363,BU$5&lt;=$D363,$A363&lt;&gt;""),"●","")</x:f>
      </x:c>
      <x:c r="BV363" s="165" t="str">
        <x:f>IF(AND(BV$5&gt;=$C363,BV$5&lt;=$D363,$A363&lt;&gt;""),"●","")</x:f>
      </x:c>
      <x:c r="BW363" s="165" t="str">
        <x:f>IF(AND(BW$5&gt;=$C363,BW$5&lt;=$D363,$A363&lt;&gt;""),"●","")</x:f>
      </x:c>
    </x:row>
    <x:row r="364">
      <x:c r="A364" s="159" t="str">
        <x:f>IF('รายการสัญญา'!A364="","",'รายการสัญญา'!A364)</x:f>
      </x:c>
      <x:c r="B364" s="159" t="str">
        <x:f>IF('รายการสัญญา'!A364="","",'รายการสัญญา'!C364)</x:f>
      </x:c>
      <x:c r="C364" s="162" t="str">
        <x:f>IF('รายการสัญญา'!A364="","",'รายการสัญญา'!E364)</x:f>
      </x:c>
      <x:c r="D364" s="162" t="str">
        <x:f>IF('รายการสัญญา'!A364="","",'รายการสัญญา'!G364)</x:f>
      </x:c>
      <x:c r="E364" s="159" t="str">
        <x:f>IF('รายการสัญญา'!A364="","",'รายการสัญญา'!K364)</x:f>
      </x:c>
      <x:c r="F364" s="165" t="str">
        <x:f>IF(AND(F$5&gt;=$C364,F$5&lt;=$D364,$A364&lt;&gt;""),"●","")</x:f>
      </x:c>
      <x:c r="G364" s="165" t="str">
        <x:f>IF(AND(G$5&gt;=$C364,G$5&lt;=$D364,$A364&lt;&gt;""),"●","")</x:f>
      </x:c>
      <x:c r="H364" s="165" t="str">
        <x:f>IF(AND(H$5&gt;=$C364,H$5&lt;=$D364,$A364&lt;&gt;""),"●","")</x:f>
      </x:c>
      <x:c r="I364" s="165" t="str">
        <x:f>IF(AND(I$5&gt;=$C364,I$5&lt;=$D364,$A364&lt;&gt;""),"●","")</x:f>
      </x:c>
      <x:c r="J364" s="165" t="str">
        <x:f>IF(AND(J$5&gt;=$C364,J$5&lt;=$D364,$A364&lt;&gt;""),"●","")</x:f>
      </x:c>
      <x:c r="K364" s="165" t="str">
        <x:f>IF(AND(K$5&gt;=$C364,K$5&lt;=$D364,$A364&lt;&gt;""),"●","")</x:f>
      </x:c>
      <x:c r="L364" s="165" t="str">
        <x:f>IF(AND(L$5&gt;=$C364,L$5&lt;=$D364,$A364&lt;&gt;""),"●","")</x:f>
      </x:c>
      <x:c r="M364" s="165" t="str">
        <x:f>IF(AND(M$5&gt;=$C364,M$5&lt;=$D364,$A364&lt;&gt;""),"●","")</x:f>
      </x:c>
      <x:c r="N364" s="165" t="str">
        <x:f>IF(AND(N$5&gt;=$C364,N$5&lt;=$D364,$A364&lt;&gt;""),"●","")</x:f>
      </x:c>
      <x:c r="O364" s="165" t="str">
        <x:f>IF(AND(O$5&gt;=$C364,O$5&lt;=$D364,$A364&lt;&gt;""),"●","")</x:f>
      </x:c>
      <x:c r="P364" s="165" t="str">
        <x:f>IF(AND(P$5&gt;=$C364,P$5&lt;=$D364,$A364&lt;&gt;""),"●","")</x:f>
      </x:c>
      <x:c r="Q364" s="165" t="str">
        <x:f>IF(AND(Q$5&gt;=$C364,Q$5&lt;=$D364,$A364&lt;&gt;""),"●","")</x:f>
      </x:c>
      <x:c r="R364" s="165" t="str">
        <x:f>IF(AND(R$5&gt;=$C364,R$5&lt;=$D364,$A364&lt;&gt;""),"●","")</x:f>
      </x:c>
      <x:c r="S364" s="165" t="str">
        <x:f>IF(AND(S$5&gt;=$C364,S$5&lt;=$D364,$A364&lt;&gt;""),"●","")</x:f>
      </x:c>
      <x:c r="T364" s="165" t="str">
        <x:f>IF(AND(T$5&gt;=$C364,T$5&lt;=$D364,$A364&lt;&gt;""),"●","")</x:f>
      </x:c>
      <x:c r="U364" s="165" t="str">
        <x:f>IF(AND(U$5&gt;=$C364,U$5&lt;=$D364,$A364&lt;&gt;""),"●","")</x:f>
      </x:c>
      <x:c r="V364" s="165" t="str">
        <x:f>IF(AND(V$5&gt;=$C364,V$5&lt;=$D364,$A364&lt;&gt;""),"●","")</x:f>
      </x:c>
      <x:c r="W364" s="165" t="str">
        <x:f>IF(AND(W$5&gt;=$C364,W$5&lt;=$D364,$A364&lt;&gt;""),"●","")</x:f>
      </x:c>
      <x:c r="X364" s="165" t="str">
        <x:f>IF(AND(X$5&gt;=$C364,X$5&lt;=$D364,$A364&lt;&gt;""),"●","")</x:f>
      </x:c>
      <x:c r="Y364" s="165" t="str">
        <x:f>IF(AND(Y$5&gt;=$C364,Y$5&lt;=$D364,$A364&lt;&gt;""),"●","")</x:f>
      </x:c>
      <x:c r="Z364" s="165" t="str">
        <x:f>IF(AND(Z$5&gt;=$C364,Z$5&lt;=$D364,$A364&lt;&gt;""),"●","")</x:f>
      </x:c>
      <x:c r="AA364" s="165" t="str">
        <x:f>IF(AND(AA$5&gt;=$C364,AA$5&lt;=$D364,$A364&lt;&gt;""),"●","")</x:f>
      </x:c>
      <x:c r="AB364" s="165" t="str">
        <x:f>IF(AND(AB$5&gt;=$C364,AB$5&lt;=$D364,$A364&lt;&gt;""),"●","")</x:f>
      </x:c>
      <x:c r="AC364" s="165" t="str">
        <x:f>IF(AND(AC$5&gt;=$C364,AC$5&lt;=$D364,$A364&lt;&gt;""),"●","")</x:f>
      </x:c>
      <x:c r="AD364" s="165" t="str">
        <x:f>IF(AND(AD$5&gt;=$C364,AD$5&lt;=$D364,$A364&lt;&gt;""),"●","")</x:f>
      </x:c>
      <x:c r="AE364" s="165" t="str">
        <x:f>IF(AND(AE$5&gt;=$C364,AE$5&lt;=$D364,$A364&lt;&gt;""),"●","")</x:f>
      </x:c>
      <x:c r="AF364" s="165" t="str">
        <x:f>IF(AND(AF$5&gt;=$C364,AF$5&lt;=$D364,$A364&lt;&gt;""),"●","")</x:f>
      </x:c>
      <x:c r="AG364" s="165" t="str">
        <x:f>IF(AND(AG$5&gt;=$C364,AG$5&lt;=$D364,$A364&lt;&gt;""),"●","")</x:f>
      </x:c>
      <x:c r="AH364" s="165" t="str">
        <x:f>IF(AND(AH$5&gt;=$C364,AH$5&lt;=$D364,$A364&lt;&gt;""),"●","")</x:f>
      </x:c>
      <x:c r="AI364" s="165" t="str">
        <x:f>IF(AND(AI$5&gt;=$C364,AI$5&lt;=$D364,$A364&lt;&gt;""),"●","")</x:f>
      </x:c>
      <x:c r="AJ364" s="165" t="str">
        <x:f>IF(AND(AJ$5&gt;=$C364,AJ$5&lt;=$D364,$A364&lt;&gt;""),"●","")</x:f>
      </x:c>
      <x:c r="AK364" s="165" t="str">
        <x:f>IF(AND(AK$5&gt;=$C364,AK$5&lt;=$D364,$A364&lt;&gt;""),"●","")</x:f>
      </x:c>
      <x:c r="AL364" s="165" t="str">
        <x:f>IF(AND(AL$5&gt;=$C364,AL$5&lt;=$D364,$A364&lt;&gt;""),"●","")</x:f>
      </x:c>
      <x:c r="AM364" s="165" t="str">
        <x:f>IF(AND(AM$5&gt;=$C364,AM$5&lt;=$D364,$A364&lt;&gt;""),"●","")</x:f>
      </x:c>
      <x:c r="AN364" s="165" t="str">
        <x:f>IF(AND(AN$5&gt;=$C364,AN$5&lt;=$D364,$A364&lt;&gt;""),"●","")</x:f>
      </x:c>
      <x:c r="AO364" s="165" t="str">
        <x:f>IF(AND(AO$5&gt;=$C364,AO$5&lt;=$D364,$A364&lt;&gt;""),"●","")</x:f>
      </x:c>
      <x:c r="AP364" s="165" t="str">
        <x:f>IF(AND(AP$5&gt;=$C364,AP$5&lt;=$D364,$A364&lt;&gt;""),"●","")</x:f>
      </x:c>
      <x:c r="AQ364" s="165" t="str">
        <x:f>IF(AND(AQ$5&gt;=$C364,AQ$5&lt;=$D364,$A364&lt;&gt;""),"●","")</x:f>
      </x:c>
      <x:c r="AR364" s="165" t="str">
        <x:f>IF(AND(AR$5&gt;=$C364,AR$5&lt;=$D364,$A364&lt;&gt;""),"●","")</x:f>
      </x:c>
      <x:c r="AS364" s="165" t="str">
        <x:f>IF(AND(AS$5&gt;=$C364,AS$5&lt;=$D364,$A364&lt;&gt;""),"●","")</x:f>
      </x:c>
      <x:c r="AT364" s="165" t="str">
        <x:f>IF(AND(AT$5&gt;=$C364,AT$5&lt;=$D364,$A364&lt;&gt;""),"●","")</x:f>
      </x:c>
      <x:c r="AU364" s="165" t="str">
        <x:f>IF(AND(AU$5&gt;=$C364,AU$5&lt;=$D364,$A364&lt;&gt;""),"●","")</x:f>
      </x:c>
      <x:c r="AV364" s="165" t="str">
        <x:f>IF(AND(AV$5&gt;=$C364,AV$5&lt;=$D364,$A364&lt;&gt;""),"●","")</x:f>
      </x:c>
      <x:c r="AW364" s="165" t="str">
        <x:f>IF(AND(AW$5&gt;=$C364,AW$5&lt;=$D364,$A364&lt;&gt;""),"●","")</x:f>
      </x:c>
      <x:c r="AX364" s="165" t="str">
        <x:f>IF(AND(AX$5&gt;=$C364,AX$5&lt;=$D364,$A364&lt;&gt;""),"●","")</x:f>
      </x:c>
      <x:c r="AY364" s="165" t="str">
        <x:f>IF(AND(AY$5&gt;=$C364,AY$5&lt;=$D364,$A364&lt;&gt;""),"●","")</x:f>
      </x:c>
      <x:c r="AZ364" s="165" t="str">
        <x:f>IF(AND(AZ$5&gt;=$C364,AZ$5&lt;=$D364,$A364&lt;&gt;""),"●","")</x:f>
      </x:c>
      <x:c r="BA364" s="165" t="str">
        <x:f>IF(AND(BA$5&gt;=$C364,BA$5&lt;=$D364,$A364&lt;&gt;""),"●","")</x:f>
      </x:c>
      <x:c r="BB364" s="165" t="str">
        <x:f>IF(AND(BB$5&gt;=$C364,BB$5&lt;=$D364,$A364&lt;&gt;""),"●","")</x:f>
      </x:c>
      <x:c r="BC364" s="165" t="str">
        <x:f>IF(AND(BC$5&gt;=$C364,BC$5&lt;=$D364,$A364&lt;&gt;""),"●","")</x:f>
      </x:c>
      <x:c r="BD364" s="165" t="str">
        <x:f>IF(AND(BD$5&gt;=$C364,BD$5&lt;=$D364,$A364&lt;&gt;""),"●","")</x:f>
      </x:c>
      <x:c r="BE364" s="165" t="str">
        <x:f>IF(AND(BE$5&gt;=$C364,BE$5&lt;=$D364,$A364&lt;&gt;""),"●","")</x:f>
      </x:c>
      <x:c r="BF364" s="165" t="str">
        <x:f>IF(AND(BF$5&gt;=$C364,BF$5&lt;=$D364,$A364&lt;&gt;""),"●","")</x:f>
      </x:c>
      <x:c r="BG364" s="165" t="str">
        <x:f>IF(AND(BG$5&gt;=$C364,BG$5&lt;=$D364,$A364&lt;&gt;""),"●","")</x:f>
      </x:c>
      <x:c r="BH364" s="165" t="str">
        <x:f>IF(AND(BH$5&gt;=$C364,BH$5&lt;=$D364,$A364&lt;&gt;""),"●","")</x:f>
      </x:c>
      <x:c r="BI364" s="165" t="str">
        <x:f>IF(AND(BI$5&gt;=$C364,BI$5&lt;=$D364,$A364&lt;&gt;""),"●","")</x:f>
      </x:c>
      <x:c r="BJ364" s="165" t="str">
        <x:f>IF(AND(BJ$5&gt;=$C364,BJ$5&lt;=$D364,$A364&lt;&gt;""),"●","")</x:f>
      </x:c>
      <x:c r="BK364" s="165" t="str">
        <x:f>IF(AND(BK$5&gt;=$C364,BK$5&lt;=$D364,$A364&lt;&gt;""),"●","")</x:f>
      </x:c>
      <x:c r="BL364" s="165" t="str">
        <x:f>IF(AND(BL$5&gt;=$C364,BL$5&lt;=$D364,$A364&lt;&gt;""),"●","")</x:f>
      </x:c>
      <x:c r="BM364" s="165" t="str">
        <x:f>IF(AND(BM$5&gt;=$C364,BM$5&lt;=$D364,$A364&lt;&gt;""),"●","")</x:f>
      </x:c>
      <x:c r="BN364" s="165" t="str">
        <x:f>IF(AND(BN$5&gt;=$C364,BN$5&lt;=$D364,$A364&lt;&gt;""),"●","")</x:f>
      </x:c>
      <x:c r="BO364" s="165" t="str">
        <x:f>IF(AND(BO$5&gt;=$C364,BO$5&lt;=$D364,$A364&lt;&gt;""),"●","")</x:f>
      </x:c>
      <x:c r="BP364" s="165" t="str">
        <x:f>IF(AND(BP$5&gt;=$C364,BP$5&lt;=$D364,$A364&lt;&gt;""),"●","")</x:f>
      </x:c>
      <x:c r="BQ364" s="165" t="str">
        <x:f>IF(AND(BQ$5&gt;=$C364,BQ$5&lt;=$D364,$A364&lt;&gt;""),"●","")</x:f>
      </x:c>
      <x:c r="BR364" s="165" t="str">
        <x:f>IF(AND(BR$5&gt;=$C364,BR$5&lt;=$D364,$A364&lt;&gt;""),"●","")</x:f>
      </x:c>
      <x:c r="BS364" s="165" t="str">
        <x:f>IF(AND(BS$5&gt;=$C364,BS$5&lt;=$D364,$A364&lt;&gt;""),"●","")</x:f>
      </x:c>
      <x:c r="BT364" s="165" t="str">
        <x:f>IF(AND(BT$5&gt;=$C364,BT$5&lt;=$D364,$A364&lt;&gt;""),"●","")</x:f>
      </x:c>
      <x:c r="BU364" s="165" t="str">
        <x:f>IF(AND(BU$5&gt;=$C364,BU$5&lt;=$D364,$A364&lt;&gt;""),"●","")</x:f>
      </x:c>
      <x:c r="BV364" s="165" t="str">
        <x:f>IF(AND(BV$5&gt;=$C364,BV$5&lt;=$D364,$A364&lt;&gt;""),"●","")</x:f>
      </x:c>
      <x:c r="BW364" s="165" t="str">
        <x:f>IF(AND(BW$5&gt;=$C364,BW$5&lt;=$D364,$A364&lt;&gt;""),"●","")</x:f>
      </x:c>
    </x:row>
    <x:row r="365">
      <x:c r="A365" s="159" t="str">
        <x:f>IF('รายการสัญญา'!A365="","",'รายการสัญญา'!A365)</x:f>
      </x:c>
      <x:c r="B365" s="159" t="str">
        <x:f>IF('รายการสัญญา'!A365="","",'รายการสัญญา'!C365)</x:f>
      </x:c>
      <x:c r="C365" s="162" t="str">
        <x:f>IF('รายการสัญญา'!A365="","",'รายการสัญญา'!E365)</x:f>
      </x:c>
      <x:c r="D365" s="162" t="str">
        <x:f>IF('รายการสัญญา'!A365="","",'รายการสัญญา'!G365)</x:f>
      </x:c>
      <x:c r="E365" s="159" t="str">
        <x:f>IF('รายการสัญญา'!A365="","",'รายการสัญญา'!K365)</x:f>
      </x:c>
      <x:c r="F365" s="165" t="str">
        <x:f>IF(AND(F$5&gt;=$C365,F$5&lt;=$D365,$A365&lt;&gt;""),"●","")</x:f>
      </x:c>
      <x:c r="G365" s="165" t="str">
        <x:f>IF(AND(G$5&gt;=$C365,G$5&lt;=$D365,$A365&lt;&gt;""),"●","")</x:f>
      </x:c>
      <x:c r="H365" s="165" t="str">
        <x:f>IF(AND(H$5&gt;=$C365,H$5&lt;=$D365,$A365&lt;&gt;""),"●","")</x:f>
      </x:c>
      <x:c r="I365" s="165" t="str">
        <x:f>IF(AND(I$5&gt;=$C365,I$5&lt;=$D365,$A365&lt;&gt;""),"●","")</x:f>
      </x:c>
      <x:c r="J365" s="165" t="str">
        <x:f>IF(AND(J$5&gt;=$C365,J$5&lt;=$D365,$A365&lt;&gt;""),"●","")</x:f>
      </x:c>
      <x:c r="K365" s="165" t="str">
        <x:f>IF(AND(K$5&gt;=$C365,K$5&lt;=$D365,$A365&lt;&gt;""),"●","")</x:f>
      </x:c>
      <x:c r="L365" s="165" t="str">
        <x:f>IF(AND(L$5&gt;=$C365,L$5&lt;=$D365,$A365&lt;&gt;""),"●","")</x:f>
      </x:c>
      <x:c r="M365" s="165" t="str">
        <x:f>IF(AND(M$5&gt;=$C365,M$5&lt;=$D365,$A365&lt;&gt;""),"●","")</x:f>
      </x:c>
      <x:c r="N365" s="165" t="str">
        <x:f>IF(AND(N$5&gt;=$C365,N$5&lt;=$D365,$A365&lt;&gt;""),"●","")</x:f>
      </x:c>
      <x:c r="O365" s="165" t="str">
        <x:f>IF(AND(O$5&gt;=$C365,O$5&lt;=$D365,$A365&lt;&gt;""),"●","")</x:f>
      </x:c>
      <x:c r="P365" s="165" t="str">
        <x:f>IF(AND(P$5&gt;=$C365,P$5&lt;=$D365,$A365&lt;&gt;""),"●","")</x:f>
      </x:c>
      <x:c r="Q365" s="165" t="str">
        <x:f>IF(AND(Q$5&gt;=$C365,Q$5&lt;=$D365,$A365&lt;&gt;""),"●","")</x:f>
      </x:c>
      <x:c r="R365" s="165" t="str">
        <x:f>IF(AND(R$5&gt;=$C365,R$5&lt;=$D365,$A365&lt;&gt;""),"●","")</x:f>
      </x:c>
      <x:c r="S365" s="165" t="str">
        <x:f>IF(AND(S$5&gt;=$C365,S$5&lt;=$D365,$A365&lt;&gt;""),"●","")</x:f>
      </x:c>
      <x:c r="T365" s="165" t="str">
        <x:f>IF(AND(T$5&gt;=$C365,T$5&lt;=$D365,$A365&lt;&gt;""),"●","")</x:f>
      </x:c>
      <x:c r="U365" s="165" t="str">
        <x:f>IF(AND(U$5&gt;=$C365,U$5&lt;=$D365,$A365&lt;&gt;""),"●","")</x:f>
      </x:c>
      <x:c r="V365" s="165" t="str">
        <x:f>IF(AND(V$5&gt;=$C365,V$5&lt;=$D365,$A365&lt;&gt;""),"●","")</x:f>
      </x:c>
      <x:c r="W365" s="165" t="str">
        <x:f>IF(AND(W$5&gt;=$C365,W$5&lt;=$D365,$A365&lt;&gt;""),"●","")</x:f>
      </x:c>
      <x:c r="X365" s="165" t="str">
        <x:f>IF(AND(X$5&gt;=$C365,X$5&lt;=$D365,$A365&lt;&gt;""),"●","")</x:f>
      </x:c>
      <x:c r="Y365" s="165" t="str">
        <x:f>IF(AND(Y$5&gt;=$C365,Y$5&lt;=$D365,$A365&lt;&gt;""),"●","")</x:f>
      </x:c>
      <x:c r="Z365" s="165" t="str">
        <x:f>IF(AND(Z$5&gt;=$C365,Z$5&lt;=$D365,$A365&lt;&gt;""),"●","")</x:f>
      </x:c>
      <x:c r="AA365" s="165" t="str">
        <x:f>IF(AND(AA$5&gt;=$C365,AA$5&lt;=$D365,$A365&lt;&gt;""),"●","")</x:f>
      </x:c>
      <x:c r="AB365" s="165" t="str">
        <x:f>IF(AND(AB$5&gt;=$C365,AB$5&lt;=$D365,$A365&lt;&gt;""),"●","")</x:f>
      </x:c>
      <x:c r="AC365" s="165" t="str">
        <x:f>IF(AND(AC$5&gt;=$C365,AC$5&lt;=$D365,$A365&lt;&gt;""),"●","")</x:f>
      </x:c>
      <x:c r="AD365" s="165" t="str">
        <x:f>IF(AND(AD$5&gt;=$C365,AD$5&lt;=$D365,$A365&lt;&gt;""),"●","")</x:f>
      </x:c>
      <x:c r="AE365" s="165" t="str">
        <x:f>IF(AND(AE$5&gt;=$C365,AE$5&lt;=$D365,$A365&lt;&gt;""),"●","")</x:f>
      </x:c>
      <x:c r="AF365" s="165" t="str">
        <x:f>IF(AND(AF$5&gt;=$C365,AF$5&lt;=$D365,$A365&lt;&gt;""),"●","")</x:f>
      </x:c>
      <x:c r="AG365" s="165" t="str">
        <x:f>IF(AND(AG$5&gt;=$C365,AG$5&lt;=$D365,$A365&lt;&gt;""),"●","")</x:f>
      </x:c>
      <x:c r="AH365" s="165" t="str">
        <x:f>IF(AND(AH$5&gt;=$C365,AH$5&lt;=$D365,$A365&lt;&gt;""),"●","")</x:f>
      </x:c>
      <x:c r="AI365" s="165" t="str">
        <x:f>IF(AND(AI$5&gt;=$C365,AI$5&lt;=$D365,$A365&lt;&gt;""),"●","")</x:f>
      </x:c>
      <x:c r="AJ365" s="165" t="str">
        <x:f>IF(AND(AJ$5&gt;=$C365,AJ$5&lt;=$D365,$A365&lt;&gt;""),"●","")</x:f>
      </x:c>
      <x:c r="AK365" s="165" t="str">
        <x:f>IF(AND(AK$5&gt;=$C365,AK$5&lt;=$D365,$A365&lt;&gt;""),"●","")</x:f>
      </x:c>
      <x:c r="AL365" s="165" t="str">
        <x:f>IF(AND(AL$5&gt;=$C365,AL$5&lt;=$D365,$A365&lt;&gt;""),"●","")</x:f>
      </x:c>
      <x:c r="AM365" s="165" t="str">
        <x:f>IF(AND(AM$5&gt;=$C365,AM$5&lt;=$D365,$A365&lt;&gt;""),"●","")</x:f>
      </x:c>
      <x:c r="AN365" s="165" t="str">
        <x:f>IF(AND(AN$5&gt;=$C365,AN$5&lt;=$D365,$A365&lt;&gt;""),"●","")</x:f>
      </x:c>
      <x:c r="AO365" s="165" t="str">
        <x:f>IF(AND(AO$5&gt;=$C365,AO$5&lt;=$D365,$A365&lt;&gt;""),"●","")</x:f>
      </x:c>
      <x:c r="AP365" s="165" t="str">
        <x:f>IF(AND(AP$5&gt;=$C365,AP$5&lt;=$D365,$A365&lt;&gt;""),"●","")</x:f>
      </x:c>
      <x:c r="AQ365" s="165" t="str">
        <x:f>IF(AND(AQ$5&gt;=$C365,AQ$5&lt;=$D365,$A365&lt;&gt;""),"●","")</x:f>
      </x:c>
      <x:c r="AR365" s="165" t="str">
        <x:f>IF(AND(AR$5&gt;=$C365,AR$5&lt;=$D365,$A365&lt;&gt;""),"●","")</x:f>
      </x:c>
      <x:c r="AS365" s="165" t="str">
        <x:f>IF(AND(AS$5&gt;=$C365,AS$5&lt;=$D365,$A365&lt;&gt;""),"●","")</x:f>
      </x:c>
      <x:c r="AT365" s="165" t="str">
        <x:f>IF(AND(AT$5&gt;=$C365,AT$5&lt;=$D365,$A365&lt;&gt;""),"●","")</x:f>
      </x:c>
      <x:c r="AU365" s="165" t="str">
        <x:f>IF(AND(AU$5&gt;=$C365,AU$5&lt;=$D365,$A365&lt;&gt;""),"●","")</x:f>
      </x:c>
      <x:c r="AV365" s="165" t="str">
        <x:f>IF(AND(AV$5&gt;=$C365,AV$5&lt;=$D365,$A365&lt;&gt;""),"●","")</x:f>
      </x:c>
      <x:c r="AW365" s="165" t="str">
        <x:f>IF(AND(AW$5&gt;=$C365,AW$5&lt;=$D365,$A365&lt;&gt;""),"●","")</x:f>
      </x:c>
      <x:c r="AX365" s="165" t="str">
        <x:f>IF(AND(AX$5&gt;=$C365,AX$5&lt;=$D365,$A365&lt;&gt;""),"●","")</x:f>
      </x:c>
      <x:c r="AY365" s="165" t="str">
        <x:f>IF(AND(AY$5&gt;=$C365,AY$5&lt;=$D365,$A365&lt;&gt;""),"●","")</x:f>
      </x:c>
      <x:c r="AZ365" s="165" t="str">
        <x:f>IF(AND(AZ$5&gt;=$C365,AZ$5&lt;=$D365,$A365&lt;&gt;""),"●","")</x:f>
      </x:c>
      <x:c r="BA365" s="165" t="str">
        <x:f>IF(AND(BA$5&gt;=$C365,BA$5&lt;=$D365,$A365&lt;&gt;""),"●","")</x:f>
      </x:c>
      <x:c r="BB365" s="165" t="str">
        <x:f>IF(AND(BB$5&gt;=$C365,BB$5&lt;=$D365,$A365&lt;&gt;""),"●","")</x:f>
      </x:c>
      <x:c r="BC365" s="165" t="str">
        <x:f>IF(AND(BC$5&gt;=$C365,BC$5&lt;=$D365,$A365&lt;&gt;""),"●","")</x:f>
      </x:c>
      <x:c r="BD365" s="165" t="str">
        <x:f>IF(AND(BD$5&gt;=$C365,BD$5&lt;=$D365,$A365&lt;&gt;""),"●","")</x:f>
      </x:c>
      <x:c r="BE365" s="165" t="str">
        <x:f>IF(AND(BE$5&gt;=$C365,BE$5&lt;=$D365,$A365&lt;&gt;""),"●","")</x:f>
      </x:c>
      <x:c r="BF365" s="165" t="str">
        <x:f>IF(AND(BF$5&gt;=$C365,BF$5&lt;=$D365,$A365&lt;&gt;""),"●","")</x:f>
      </x:c>
      <x:c r="BG365" s="165" t="str">
        <x:f>IF(AND(BG$5&gt;=$C365,BG$5&lt;=$D365,$A365&lt;&gt;""),"●","")</x:f>
      </x:c>
      <x:c r="BH365" s="165" t="str">
        <x:f>IF(AND(BH$5&gt;=$C365,BH$5&lt;=$D365,$A365&lt;&gt;""),"●","")</x:f>
      </x:c>
      <x:c r="BI365" s="165" t="str">
        <x:f>IF(AND(BI$5&gt;=$C365,BI$5&lt;=$D365,$A365&lt;&gt;""),"●","")</x:f>
      </x:c>
      <x:c r="BJ365" s="165" t="str">
        <x:f>IF(AND(BJ$5&gt;=$C365,BJ$5&lt;=$D365,$A365&lt;&gt;""),"●","")</x:f>
      </x:c>
      <x:c r="BK365" s="165" t="str">
        <x:f>IF(AND(BK$5&gt;=$C365,BK$5&lt;=$D365,$A365&lt;&gt;""),"●","")</x:f>
      </x:c>
      <x:c r="BL365" s="165" t="str">
        <x:f>IF(AND(BL$5&gt;=$C365,BL$5&lt;=$D365,$A365&lt;&gt;""),"●","")</x:f>
      </x:c>
      <x:c r="BM365" s="165" t="str">
        <x:f>IF(AND(BM$5&gt;=$C365,BM$5&lt;=$D365,$A365&lt;&gt;""),"●","")</x:f>
      </x:c>
      <x:c r="BN365" s="165" t="str">
        <x:f>IF(AND(BN$5&gt;=$C365,BN$5&lt;=$D365,$A365&lt;&gt;""),"●","")</x:f>
      </x:c>
      <x:c r="BO365" s="165" t="str">
        <x:f>IF(AND(BO$5&gt;=$C365,BO$5&lt;=$D365,$A365&lt;&gt;""),"●","")</x:f>
      </x:c>
      <x:c r="BP365" s="165" t="str">
        <x:f>IF(AND(BP$5&gt;=$C365,BP$5&lt;=$D365,$A365&lt;&gt;""),"●","")</x:f>
      </x:c>
      <x:c r="BQ365" s="165" t="str">
        <x:f>IF(AND(BQ$5&gt;=$C365,BQ$5&lt;=$D365,$A365&lt;&gt;""),"●","")</x:f>
      </x:c>
      <x:c r="BR365" s="165" t="str">
        <x:f>IF(AND(BR$5&gt;=$C365,BR$5&lt;=$D365,$A365&lt;&gt;""),"●","")</x:f>
      </x:c>
      <x:c r="BS365" s="165" t="str">
        <x:f>IF(AND(BS$5&gt;=$C365,BS$5&lt;=$D365,$A365&lt;&gt;""),"●","")</x:f>
      </x:c>
      <x:c r="BT365" s="165" t="str">
        <x:f>IF(AND(BT$5&gt;=$C365,BT$5&lt;=$D365,$A365&lt;&gt;""),"●","")</x:f>
      </x:c>
      <x:c r="BU365" s="165" t="str">
        <x:f>IF(AND(BU$5&gt;=$C365,BU$5&lt;=$D365,$A365&lt;&gt;""),"●","")</x:f>
      </x:c>
      <x:c r="BV365" s="165" t="str">
        <x:f>IF(AND(BV$5&gt;=$C365,BV$5&lt;=$D365,$A365&lt;&gt;""),"●","")</x:f>
      </x:c>
      <x:c r="BW365" s="165" t="str">
        <x:f>IF(AND(BW$5&gt;=$C365,BW$5&lt;=$D365,$A365&lt;&gt;""),"●","")</x:f>
      </x:c>
    </x:row>
    <x:row r="366">
      <x:c r="A366" s="159" t="str">
        <x:f>IF('รายการสัญญา'!A366="","",'รายการสัญญา'!A366)</x:f>
      </x:c>
      <x:c r="B366" s="159" t="str">
        <x:f>IF('รายการสัญญา'!A366="","",'รายการสัญญา'!C366)</x:f>
      </x:c>
      <x:c r="C366" s="162" t="str">
        <x:f>IF('รายการสัญญา'!A366="","",'รายการสัญญา'!E366)</x:f>
      </x:c>
      <x:c r="D366" s="162" t="str">
        <x:f>IF('รายการสัญญา'!A366="","",'รายการสัญญา'!G366)</x:f>
      </x:c>
      <x:c r="E366" s="159" t="str">
        <x:f>IF('รายการสัญญา'!A366="","",'รายการสัญญา'!K366)</x:f>
      </x:c>
      <x:c r="F366" s="165" t="str">
        <x:f>IF(AND(F$5&gt;=$C366,F$5&lt;=$D366,$A366&lt;&gt;""),"●","")</x:f>
      </x:c>
      <x:c r="G366" s="165" t="str">
        <x:f>IF(AND(G$5&gt;=$C366,G$5&lt;=$D366,$A366&lt;&gt;""),"●","")</x:f>
      </x:c>
      <x:c r="H366" s="165" t="str">
        <x:f>IF(AND(H$5&gt;=$C366,H$5&lt;=$D366,$A366&lt;&gt;""),"●","")</x:f>
      </x:c>
      <x:c r="I366" s="165" t="str">
        <x:f>IF(AND(I$5&gt;=$C366,I$5&lt;=$D366,$A366&lt;&gt;""),"●","")</x:f>
      </x:c>
      <x:c r="J366" s="165" t="str">
        <x:f>IF(AND(J$5&gt;=$C366,J$5&lt;=$D366,$A366&lt;&gt;""),"●","")</x:f>
      </x:c>
      <x:c r="K366" s="165" t="str">
        <x:f>IF(AND(K$5&gt;=$C366,K$5&lt;=$D366,$A366&lt;&gt;""),"●","")</x:f>
      </x:c>
      <x:c r="L366" s="165" t="str">
        <x:f>IF(AND(L$5&gt;=$C366,L$5&lt;=$D366,$A366&lt;&gt;""),"●","")</x:f>
      </x:c>
      <x:c r="M366" s="165" t="str">
        <x:f>IF(AND(M$5&gt;=$C366,M$5&lt;=$D366,$A366&lt;&gt;""),"●","")</x:f>
      </x:c>
      <x:c r="N366" s="165" t="str">
        <x:f>IF(AND(N$5&gt;=$C366,N$5&lt;=$D366,$A366&lt;&gt;""),"●","")</x:f>
      </x:c>
      <x:c r="O366" s="165" t="str">
        <x:f>IF(AND(O$5&gt;=$C366,O$5&lt;=$D366,$A366&lt;&gt;""),"●","")</x:f>
      </x:c>
      <x:c r="P366" s="165" t="str">
        <x:f>IF(AND(P$5&gt;=$C366,P$5&lt;=$D366,$A366&lt;&gt;""),"●","")</x:f>
      </x:c>
      <x:c r="Q366" s="165" t="str">
        <x:f>IF(AND(Q$5&gt;=$C366,Q$5&lt;=$D366,$A366&lt;&gt;""),"●","")</x:f>
      </x:c>
      <x:c r="R366" s="165" t="str">
        <x:f>IF(AND(R$5&gt;=$C366,R$5&lt;=$D366,$A366&lt;&gt;""),"●","")</x:f>
      </x:c>
      <x:c r="S366" s="165" t="str">
        <x:f>IF(AND(S$5&gt;=$C366,S$5&lt;=$D366,$A366&lt;&gt;""),"●","")</x:f>
      </x:c>
      <x:c r="T366" s="165" t="str">
        <x:f>IF(AND(T$5&gt;=$C366,T$5&lt;=$D366,$A366&lt;&gt;""),"●","")</x:f>
      </x:c>
      <x:c r="U366" s="165" t="str">
        <x:f>IF(AND(U$5&gt;=$C366,U$5&lt;=$D366,$A366&lt;&gt;""),"●","")</x:f>
      </x:c>
      <x:c r="V366" s="165" t="str">
        <x:f>IF(AND(V$5&gt;=$C366,V$5&lt;=$D366,$A366&lt;&gt;""),"●","")</x:f>
      </x:c>
      <x:c r="W366" s="165" t="str">
        <x:f>IF(AND(W$5&gt;=$C366,W$5&lt;=$D366,$A366&lt;&gt;""),"●","")</x:f>
      </x:c>
      <x:c r="X366" s="165" t="str">
        <x:f>IF(AND(X$5&gt;=$C366,X$5&lt;=$D366,$A366&lt;&gt;""),"●","")</x:f>
      </x:c>
      <x:c r="Y366" s="165" t="str">
        <x:f>IF(AND(Y$5&gt;=$C366,Y$5&lt;=$D366,$A366&lt;&gt;""),"●","")</x:f>
      </x:c>
      <x:c r="Z366" s="165" t="str">
        <x:f>IF(AND(Z$5&gt;=$C366,Z$5&lt;=$D366,$A366&lt;&gt;""),"●","")</x:f>
      </x:c>
      <x:c r="AA366" s="165" t="str">
        <x:f>IF(AND(AA$5&gt;=$C366,AA$5&lt;=$D366,$A366&lt;&gt;""),"●","")</x:f>
      </x:c>
      <x:c r="AB366" s="165" t="str">
        <x:f>IF(AND(AB$5&gt;=$C366,AB$5&lt;=$D366,$A366&lt;&gt;""),"●","")</x:f>
      </x:c>
      <x:c r="AC366" s="165" t="str">
        <x:f>IF(AND(AC$5&gt;=$C366,AC$5&lt;=$D366,$A366&lt;&gt;""),"●","")</x:f>
      </x:c>
      <x:c r="AD366" s="165" t="str">
        <x:f>IF(AND(AD$5&gt;=$C366,AD$5&lt;=$D366,$A366&lt;&gt;""),"●","")</x:f>
      </x:c>
      <x:c r="AE366" s="165" t="str">
        <x:f>IF(AND(AE$5&gt;=$C366,AE$5&lt;=$D366,$A366&lt;&gt;""),"●","")</x:f>
      </x:c>
      <x:c r="AF366" s="165" t="str">
        <x:f>IF(AND(AF$5&gt;=$C366,AF$5&lt;=$D366,$A366&lt;&gt;""),"●","")</x:f>
      </x:c>
      <x:c r="AG366" s="165" t="str">
        <x:f>IF(AND(AG$5&gt;=$C366,AG$5&lt;=$D366,$A366&lt;&gt;""),"●","")</x:f>
      </x:c>
      <x:c r="AH366" s="165" t="str">
        <x:f>IF(AND(AH$5&gt;=$C366,AH$5&lt;=$D366,$A366&lt;&gt;""),"●","")</x:f>
      </x:c>
      <x:c r="AI366" s="165" t="str">
        <x:f>IF(AND(AI$5&gt;=$C366,AI$5&lt;=$D366,$A366&lt;&gt;""),"●","")</x:f>
      </x:c>
      <x:c r="AJ366" s="165" t="str">
        <x:f>IF(AND(AJ$5&gt;=$C366,AJ$5&lt;=$D366,$A366&lt;&gt;""),"●","")</x:f>
      </x:c>
      <x:c r="AK366" s="165" t="str">
        <x:f>IF(AND(AK$5&gt;=$C366,AK$5&lt;=$D366,$A366&lt;&gt;""),"●","")</x:f>
      </x:c>
      <x:c r="AL366" s="165" t="str">
        <x:f>IF(AND(AL$5&gt;=$C366,AL$5&lt;=$D366,$A366&lt;&gt;""),"●","")</x:f>
      </x:c>
      <x:c r="AM366" s="165" t="str">
        <x:f>IF(AND(AM$5&gt;=$C366,AM$5&lt;=$D366,$A366&lt;&gt;""),"●","")</x:f>
      </x:c>
      <x:c r="AN366" s="165" t="str">
        <x:f>IF(AND(AN$5&gt;=$C366,AN$5&lt;=$D366,$A366&lt;&gt;""),"●","")</x:f>
      </x:c>
      <x:c r="AO366" s="165" t="str">
        <x:f>IF(AND(AO$5&gt;=$C366,AO$5&lt;=$D366,$A366&lt;&gt;""),"●","")</x:f>
      </x:c>
      <x:c r="AP366" s="165" t="str">
        <x:f>IF(AND(AP$5&gt;=$C366,AP$5&lt;=$D366,$A366&lt;&gt;""),"●","")</x:f>
      </x:c>
      <x:c r="AQ366" s="165" t="str">
        <x:f>IF(AND(AQ$5&gt;=$C366,AQ$5&lt;=$D366,$A366&lt;&gt;""),"●","")</x:f>
      </x:c>
      <x:c r="AR366" s="165" t="str">
        <x:f>IF(AND(AR$5&gt;=$C366,AR$5&lt;=$D366,$A366&lt;&gt;""),"●","")</x:f>
      </x:c>
      <x:c r="AS366" s="165" t="str">
        <x:f>IF(AND(AS$5&gt;=$C366,AS$5&lt;=$D366,$A366&lt;&gt;""),"●","")</x:f>
      </x:c>
      <x:c r="AT366" s="165" t="str">
        <x:f>IF(AND(AT$5&gt;=$C366,AT$5&lt;=$D366,$A366&lt;&gt;""),"●","")</x:f>
      </x:c>
      <x:c r="AU366" s="165" t="str">
        <x:f>IF(AND(AU$5&gt;=$C366,AU$5&lt;=$D366,$A366&lt;&gt;""),"●","")</x:f>
      </x:c>
      <x:c r="AV366" s="165" t="str">
        <x:f>IF(AND(AV$5&gt;=$C366,AV$5&lt;=$D366,$A366&lt;&gt;""),"●","")</x:f>
      </x:c>
      <x:c r="AW366" s="165" t="str">
        <x:f>IF(AND(AW$5&gt;=$C366,AW$5&lt;=$D366,$A366&lt;&gt;""),"●","")</x:f>
      </x:c>
      <x:c r="AX366" s="165" t="str">
        <x:f>IF(AND(AX$5&gt;=$C366,AX$5&lt;=$D366,$A366&lt;&gt;""),"●","")</x:f>
      </x:c>
      <x:c r="AY366" s="165" t="str">
        <x:f>IF(AND(AY$5&gt;=$C366,AY$5&lt;=$D366,$A366&lt;&gt;""),"●","")</x:f>
      </x:c>
      <x:c r="AZ366" s="165" t="str">
        <x:f>IF(AND(AZ$5&gt;=$C366,AZ$5&lt;=$D366,$A366&lt;&gt;""),"●","")</x:f>
      </x:c>
      <x:c r="BA366" s="165" t="str">
        <x:f>IF(AND(BA$5&gt;=$C366,BA$5&lt;=$D366,$A366&lt;&gt;""),"●","")</x:f>
      </x:c>
      <x:c r="BB366" s="165" t="str">
        <x:f>IF(AND(BB$5&gt;=$C366,BB$5&lt;=$D366,$A366&lt;&gt;""),"●","")</x:f>
      </x:c>
      <x:c r="BC366" s="165" t="str">
        <x:f>IF(AND(BC$5&gt;=$C366,BC$5&lt;=$D366,$A366&lt;&gt;""),"●","")</x:f>
      </x:c>
      <x:c r="BD366" s="165" t="str">
        <x:f>IF(AND(BD$5&gt;=$C366,BD$5&lt;=$D366,$A366&lt;&gt;""),"●","")</x:f>
      </x:c>
      <x:c r="BE366" s="165" t="str">
        <x:f>IF(AND(BE$5&gt;=$C366,BE$5&lt;=$D366,$A366&lt;&gt;""),"●","")</x:f>
      </x:c>
      <x:c r="BF366" s="165" t="str">
        <x:f>IF(AND(BF$5&gt;=$C366,BF$5&lt;=$D366,$A366&lt;&gt;""),"●","")</x:f>
      </x:c>
      <x:c r="BG366" s="165" t="str">
        <x:f>IF(AND(BG$5&gt;=$C366,BG$5&lt;=$D366,$A366&lt;&gt;""),"●","")</x:f>
      </x:c>
      <x:c r="BH366" s="165" t="str">
        <x:f>IF(AND(BH$5&gt;=$C366,BH$5&lt;=$D366,$A366&lt;&gt;""),"●","")</x:f>
      </x:c>
      <x:c r="BI366" s="165" t="str">
        <x:f>IF(AND(BI$5&gt;=$C366,BI$5&lt;=$D366,$A366&lt;&gt;""),"●","")</x:f>
      </x:c>
      <x:c r="BJ366" s="165" t="str">
        <x:f>IF(AND(BJ$5&gt;=$C366,BJ$5&lt;=$D366,$A366&lt;&gt;""),"●","")</x:f>
      </x:c>
      <x:c r="BK366" s="165" t="str">
        <x:f>IF(AND(BK$5&gt;=$C366,BK$5&lt;=$D366,$A366&lt;&gt;""),"●","")</x:f>
      </x:c>
      <x:c r="BL366" s="165" t="str">
        <x:f>IF(AND(BL$5&gt;=$C366,BL$5&lt;=$D366,$A366&lt;&gt;""),"●","")</x:f>
      </x:c>
      <x:c r="BM366" s="165" t="str">
        <x:f>IF(AND(BM$5&gt;=$C366,BM$5&lt;=$D366,$A366&lt;&gt;""),"●","")</x:f>
      </x:c>
      <x:c r="BN366" s="165" t="str">
        <x:f>IF(AND(BN$5&gt;=$C366,BN$5&lt;=$D366,$A366&lt;&gt;""),"●","")</x:f>
      </x:c>
      <x:c r="BO366" s="165" t="str">
        <x:f>IF(AND(BO$5&gt;=$C366,BO$5&lt;=$D366,$A366&lt;&gt;""),"●","")</x:f>
      </x:c>
      <x:c r="BP366" s="165" t="str">
        <x:f>IF(AND(BP$5&gt;=$C366,BP$5&lt;=$D366,$A366&lt;&gt;""),"●","")</x:f>
      </x:c>
      <x:c r="BQ366" s="165" t="str">
        <x:f>IF(AND(BQ$5&gt;=$C366,BQ$5&lt;=$D366,$A366&lt;&gt;""),"●","")</x:f>
      </x:c>
      <x:c r="BR366" s="165" t="str">
        <x:f>IF(AND(BR$5&gt;=$C366,BR$5&lt;=$D366,$A366&lt;&gt;""),"●","")</x:f>
      </x:c>
      <x:c r="BS366" s="165" t="str">
        <x:f>IF(AND(BS$5&gt;=$C366,BS$5&lt;=$D366,$A366&lt;&gt;""),"●","")</x:f>
      </x:c>
      <x:c r="BT366" s="165" t="str">
        <x:f>IF(AND(BT$5&gt;=$C366,BT$5&lt;=$D366,$A366&lt;&gt;""),"●","")</x:f>
      </x:c>
      <x:c r="BU366" s="165" t="str">
        <x:f>IF(AND(BU$5&gt;=$C366,BU$5&lt;=$D366,$A366&lt;&gt;""),"●","")</x:f>
      </x:c>
      <x:c r="BV366" s="165" t="str">
        <x:f>IF(AND(BV$5&gt;=$C366,BV$5&lt;=$D366,$A366&lt;&gt;""),"●","")</x:f>
      </x:c>
      <x:c r="BW366" s="165" t="str">
        <x:f>IF(AND(BW$5&gt;=$C366,BW$5&lt;=$D366,$A366&lt;&gt;""),"●","")</x:f>
      </x:c>
    </x:row>
    <x:row r="367">
      <x:c r="A367" s="159" t="str">
        <x:f>IF('รายการสัญญา'!A367="","",'รายการสัญญา'!A367)</x:f>
      </x:c>
      <x:c r="B367" s="159" t="str">
        <x:f>IF('รายการสัญญา'!A367="","",'รายการสัญญา'!C367)</x:f>
      </x:c>
      <x:c r="C367" s="162" t="str">
        <x:f>IF('รายการสัญญา'!A367="","",'รายการสัญญา'!E367)</x:f>
      </x:c>
      <x:c r="D367" s="162" t="str">
        <x:f>IF('รายการสัญญา'!A367="","",'รายการสัญญา'!G367)</x:f>
      </x:c>
      <x:c r="E367" s="159" t="str">
        <x:f>IF('รายการสัญญา'!A367="","",'รายการสัญญา'!K367)</x:f>
      </x:c>
      <x:c r="F367" s="165" t="str">
        <x:f>IF(AND(F$5&gt;=$C367,F$5&lt;=$D367,$A367&lt;&gt;""),"●","")</x:f>
      </x:c>
      <x:c r="G367" s="165" t="str">
        <x:f>IF(AND(G$5&gt;=$C367,G$5&lt;=$D367,$A367&lt;&gt;""),"●","")</x:f>
      </x:c>
      <x:c r="H367" s="165" t="str">
        <x:f>IF(AND(H$5&gt;=$C367,H$5&lt;=$D367,$A367&lt;&gt;""),"●","")</x:f>
      </x:c>
      <x:c r="I367" s="165" t="str">
        <x:f>IF(AND(I$5&gt;=$C367,I$5&lt;=$D367,$A367&lt;&gt;""),"●","")</x:f>
      </x:c>
      <x:c r="J367" s="165" t="str">
        <x:f>IF(AND(J$5&gt;=$C367,J$5&lt;=$D367,$A367&lt;&gt;""),"●","")</x:f>
      </x:c>
      <x:c r="K367" s="165" t="str">
        <x:f>IF(AND(K$5&gt;=$C367,K$5&lt;=$D367,$A367&lt;&gt;""),"●","")</x:f>
      </x:c>
      <x:c r="L367" s="165" t="str">
        <x:f>IF(AND(L$5&gt;=$C367,L$5&lt;=$D367,$A367&lt;&gt;""),"●","")</x:f>
      </x:c>
      <x:c r="M367" s="165" t="str">
        <x:f>IF(AND(M$5&gt;=$C367,M$5&lt;=$D367,$A367&lt;&gt;""),"●","")</x:f>
      </x:c>
      <x:c r="N367" s="165" t="str">
        <x:f>IF(AND(N$5&gt;=$C367,N$5&lt;=$D367,$A367&lt;&gt;""),"●","")</x:f>
      </x:c>
      <x:c r="O367" s="165" t="str">
        <x:f>IF(AND(O$5&gt;=$C367,O$5&lt;=$D367,$A367&lt;&gt;""),"●","")</x:f>
      </x:c>
      <x:c r="P367" s="165" t="str">
        <x:f>IF(AND(P$5&gt;=$C367,P$5&lt;=$D367,$A367&lt;&gt;""),"●","")</x:f>
      </x:c>
      <x:c r="Q367" s="165" t="str">
        <x:f>IF(AND(Q$5&gt;=$C367,Q$5&lt;=$D367,$A367&lt;&gt;""),"●","")</x:f>
      </x:c>
      <x:c r="R367" s="165" t="str">
        <x:f>IF(AND(R$5&gt;=$C367,R$5&lt;=$D367,$A367&lt;&gt;""),"●","")</x:f>
      </x:c>
      <x:c r="S367" s="165" t="str">
        <x:f>IF(AND(S$5&gt;=$C367,S$5&lt;=$D367,$A367&lt;&gt;""),"●","")</x:f>
      </x:c>
      <x:c r="T367" s="165" t="str">
        <x:f>IF(AND(T$5&gt;=$C367,T$5&lt;=$D367,$A367&lt;&gt;""),"●","")</x:f>
      </x:c>
      <x:c r="U367" s="165" t="str">
        <x:f>IF(AND(U$5&gt;=$C367,U$5&lt;=$D367,$A367&lt;&gt;""),"●","")</x:f>
      </x:c>
      <x:c r="V367" s="165" t="str">
        <x:f>IF(AND(V$5&gt;=$C367,V$5&lt;=$D367,$A367&lt;&gt;""),"●","")</x:f>
      </x:c>
      <x:c r="W367" s="165" t="str">
        <x:f>IF(AND(W$5&gt;=$C367,W$5&lt;=$D367,$A367&lt;&gt;""),"●","")</x:f>
      </x:c>
      <x:c r="X367" s="165" t="str">
        <x:f>IF(AND(X$5&gt;=$C367,X$5&lt;=$D367,$A367&lt;&gt;""),"●","")</x:f>
      </x:c>
      <x:c r="Y367" s="165" t="str">
        <x:f>IF(AND(Y$5&gt;=$C367,Y$5&lt;=$D367,$A367&lt;&gt;""),"●","")</x:f>
      </x:c>
      <x:c r="Z367" s="165" t="str">
        <x:f>IF(AND(Z$5&gt;=$C367,Z$5&lt;=$D367,$A367&lt;&gt;""),"●","")</x:f>
      </x:c>
      <x:c r="AA367" s="165" t="str">
        <x:f>IF(AND(AA$5&gt;=$C367,AA$5&lt;=$D367,$A367&lt;&gt;""),"●","")</x:f>
      </x:c>
      <x:c r="AB367" s="165" t="str">
        <x:f>IF(AND(AB$5&gt;=$C367,AB$5&lt;=$D367,$A367&lt;&gt;""),"●","")</x:f>
      </x:c>
      <x:c r="AC367" s="165" t="str">
        <x:f>IF(AND(AC$5&gt;=$C367,AC$5&lt;=$D367,$A367&lt;&gt;""),"●","")</x:f>
      </x:c>
      <x:c r="AD367" s="165" t="str">
        <x:f>IF(AND(AD$5&gt;=$C367,AD$5&lt;=$D367,$A367&lt;&gt;""),"●","")</x:f>
      </x:c>
      <x:c r="AE367" s="165" t="str">
        <x:f>IF(AND(AE$5&gt;=$C367,AE$5&lt;=$D367,$A367&lt;&gt;""),"●","")</x:f>
      </x:c>
      <x:c r="AF367" s="165" t="str">
        <x:f>IF(AND(AF$5&gt;=$C367,AF$5&lt;=$D367,$A367&lt;&gt;""),"●","")</x:f>
      </x:c>
      <x:c r="AG367" s="165" t="str">
        <x:f>IF(AND(AG$5&gt;=$C367,AG$5&lt;=$D367,$A367&lt;&gt;""),"●","")</x:f>
      </x:c>
      <x:c r="AH367" s="165" t="str">
        <x:f>IF(AND(AH$5&gt;=$C367,AH$5&lt;=$D367,$A367&lt;&gt;""),"●","")</x:f>
      </x:c>
      <x:c r="AI367" s="165" t="str">
        <x:f>IF(AND(AI$5&gt;=$C367,AI$5&lt;=$D367,$A367&lt;&gt;""),"●","")</x:f>
      </x:c>
      <x:c r="AJ367" s="165" t="str">
        <x:f>IF(AND(AJ$5&gt;=$C367,AJ$5&lt;=$D367,$A367&lt;&gt;""),"●","")</x:f>
      </x:c>
      <x:c r="AK367" s="165" t="str">
        <x:f>IF(AND(AK$5&gt;=$C367,AK$5&lt;=$D367,$A367&lt;&gt;""),"●","")</x:f>
      </x:c>
      <x:c r="AL367" s="165" t="str">
        <x:f>IF(AND(AL$5&gt;=$C367,AL$5&lt;=$D367,$A367&lt;&gt;""),"●","")</x:f>
      </x:c>
      <x:c r="AM367" s="165" t="str">
        <x:f>IF(AND(AM$5&gt;=$C367,AM$5&lt;=$D367,$A367&lt;&gt;""),"●","")</x:f>
      </x:c>
      <x:c r="AN367" s="165" t="str">
        <x:f>IF(AND(AN$5&gt;=$C367,AN$5&lt;=$D367,$A367&lt;&gt;""),"●","")</x:f>
      </x:c>
      <x:c r="AO367" s="165" t="str">
        <x:f>IF(AND(AO$5&gt;=$C367,AO$5&lt;=$D367,$A367&lt;&gt;""),"●","")</x:f>
      </x:c>
      <x:c r="AP367" s="165" t="str">
        <x:f>IF(AND(AP$5&gt;=$C367,AP$5&lt;=$D367,$A367&lt;&gt;""),"●","")</x:f>
      </x:c>
      <x:c r="AQ367" s="165" t="str">
        <x:f>IF(AND(AQ$5&gt;=$C367,AQ$5&lt;=$D367,$A367&lt;&gt;""),"●","")</x:f>
      </x:c>
      <x:c r="AR367" s="165" t="str">
        <x:f>IF(AND(AR$5&gt;=$C367,AR$5&lt;=$D367,$A367&lt;&gt;""),"●","")</x:f>
      </x:c>
      <x:c r="AS367" s="165" t="str">
        <x:f>IF(AND(AS$5&gt;=$C367,AS$5&lt;=$D367,$A367&lt;&gt;""),"●","")</x:f>
      </x:c>
      <x:c r="AT367" s="165" t="str">
        <x:f>IF(AND(AT$5&gt;=$C367,AT$5&lt;=$D367,$A367&lt;&gt;""),"●","")</x:f>
      </x:c>
      <x:c r="AU367" s="165" t="str">
        <x:f>IF(AND(AU$5&gt;=$C367,AU$5&lt;=$D367,$A367&lt;&gt;""),"●","")</x:f>
      </x:c>
      <x:c r="AV367" s="165" t="str">
        <x:f>IF(AND(AV$5&gt;=$C367,AV$5&lt;=$D367,$A367&lt;&gt;""),"●","")</x:f>
      </x:c>
      <x:c r="AW367" s="165" t="str">
        <x:f>IF(AND(AW$5&gt;=$C367,AW$5&lt;=$D367,$A367&lt;&gt;""),"●","")</x:f>
      </x:c>
      <x:c r="AX367" s="165" t="str">
        <x:f>IF(AND(AX$5&gt;=$C367,AX$5&lt;=$D367,$A367&lt;&gt;""),"●","")</x:f>
      </x:c>
      <x:c r="AY367" s="165" t="str">
        <x:f>IF(AND(AY$5&gt;=$C367,AY$5&lt;=$D367,$A367&lt;&gt;""),"●","")</x:f>
      </x:c>
      <x:c r="AZ367" s="165" t="str">
        <x:f>IF(AND(AZ$5&gt;=$C367,AZ$5&lt;=$D367,$A367&lt;&gt;""),"●","")</x:f>
      </x:c>
      <x:c r="BA367" s="165" t="str">
        <x:f>IF(AND(BA$5&gt;=$C367,BA$5&lt;=$D367,$A367&lt;&gt;""),"●","")</x:f>
      </x:c>
      <x:c r="BB367" s="165" t="str">
        <x:f>IF(AND(BB$5&gt;=$C367,BB$5&lt;=$D367,$A367&lt;&gt;""),"●","")</x:f>
      </x:c>
      <x:c r="BC367" s="165" t="str">
        <x:f>IF(AND(BC$5&gt;=$C367,BC$5&lt;=$D367,$A367&lt;&gt;""),"●","")</x:f>
      </x:c>
      <x:c r="BD367" s="165" t="str">
        <x:f>IF(AND(BD$5&gt;=$C367,BD$5&lt;=$D367,$A367&lt;&gt;""),"●","")</x:f>
      </x:c>
      <x:c r="BE367" s="165" t="str">
        <x:f>IF(AND(BE$5&gt;=$C367,BE$5&lt;=$D367,$A367&lt;&gt;""),"●","")</x:f>
      </x:c>
      <x:c r="BF367" s="165" t="str">
        <x:f>IF(AND(BF$5&gt;=$C367,BF$5&lt;=$D367,$A367&lt;&gt;""),"●","")</x:f>
      </x:c>
      <x:c r="BG367" s="165" t="str">
        <x:f>IF(AND(BG$5&gt;=$C367,BG$5&lt;=$D367,$A367&lt;&gt;""),"●","")</x:f>
      </x:c>
      <x:c r="BH367" s="165" t="str">
        <x:f>IF(AND(BH$5&gt;=$C367,BH$5&lt;=$D367,$A367&lt;&gt;""),"●","")</x:f>
      </x:c>
      <x:c r="BI367" s="165" t="str">
        <x:f>IF(AND(BI$5&gt;=$C367,BI$5&lt;=$D367,$A367&lt;&gt;""),"●","")</x:f>
      </x:c>
      <x:c r="BJ367" s="165" t="str">
        <x:f>IF(AND(BJ$5&gt;=$C367,BJ$5&lt;=$D367,$A367&lt;&gt;""),"●","")</x:f>
      </x:c>
      <x:c r="BK367" s="165" t="str">
        <x:f>IF(AND(BK$5&gt;=$C367,BK$5&lt;=$D367,$A367&lt;&gt;""),"●","")</x:f>
      </x:c>
      <x:c r="BL367" s="165" t="str">
        <x:f>IF(AND(BL$5&gt;=$C367,BL$5&lt;=$D367,$A367&lt;&gt;""),"●","")</x:f>
      </x:c>
      <x:c r="BM367" s="165" t="str">
        <x:f>IF(AND(BM$5&gt;=$C367,BM$5&lt;=$D367,$A367&lt;&gt;""),"●","")</x:f>
      </x:c>
      <x:c r="BN367" s="165" t="str">
        <x:f>IF(AND(BN$5&gt;=$C367,BN$5&lt;=$D367,$A367&lt;&gt;""),"●","")</x:f>
      </x:c>
      <x:c r="BO367" s="165" t="str">
        <x:f>IF(AND(BO$5&gt;=$C367,BO$5&lt;=$D367,$A367&lt;&gt;""),"●","")</x:f>
      </x:c>
      <x:c r="BP367" s="165" t="str">
        <x:f>IF(AND(BP$5&gt;=$C367,BP$5&lt;=$D367,$A367&lt;&gt;""),"●","")</x:f>
      </x:c>
      <x:c r="BQ367" s="165" t="str">
        <x:f>IF(AND(BQ$5&gt;=$C367,BQ$5&lt;=$D367,$A367&lt;&gt;""),"●","")</x:f>
      </x:c>
      <x:c r="BR367" s="165" t="str">
        <x:f>IF(AND(BR$5&gt;=$C367,BR$5&lt;=$D367,$A367&lt;&gt;""),"●","")</x:f>
      </x:c>
      <x:c r="BS367" s="165" t="str">
        <x:f>IF(AND(BS$5&gt;=$C367,BS$5&lt;=$D367,$A367&lt;&gt;""),"●","")</x:f>
      </x:c>
      <x:c r="BT367" s="165" t="str">
        <x:f>IF(AND(BT$5&gt;=$C367,BT$5&lt;=$D367,$A367&lt;&gt;""),"●","")</x:f>
      </x:c>
      <x:c r="BU367" s="165" t="str">
        <x:f>IF(AND(BU$5&gt;=$C367,BU$5&lt;=$D367,$A367&lt;&gt;""),"●","")</x:f>
      </x:c>
      <x:c r="BV367" s="165" t="str">
        <x:f>IF(AND(BV$5&gt;=$C367,BV$5&lt;=$D367,$A367&lt;&gt;""),"●","")</x:f>
      </x:c>
      <x:c r="BW367" s="165" t="str">
        <x:f>IF(AND(BW$5&gt;=$C367,BW$5&lt;=$D367,$A367&lt;&gt;""),"●","")</x:f>
      </x:c>
    </x:row>
    <x:row r="368">
      <x:c r="A368" s="159" t="str">
        <x:f>IF('รายการสัญญา'!A368="","",'รายการสัญญา'!A368)</x:f>
      </x:c>
      <x:c r="B368" s="159" t="str">
        <x:f>IF('รายการสัญญา'!A368="","",'รายการสัญญา'!C368)</x:f>
      </x:c>
      <x:c r="C368" s="162" t="str">
        <x:f>IF('รายการสัญญา'!A368="","",'รายการสัญญา'!E368)</x:f>
      </x:c>
      <x:c r="D368" s="162" t="str">
        <x:f>IF('รายการสัญญา'!A368="","",'รายการสัญญา'!G368)</x:f>
      </x:c>
      <x:c r="E368" s="159" t="str">
        <x:f>IF('รายการสัญญา'!A368="","",'รายการสัญญา'!K368)</x:f>
      </x:c>
      <x:c r="F368" s="165" t="str">
        <x:f>IF(AND(F$5&gt;=$C368,F$5&lt;=$D368,$A368&lt;&gt;""),"●","")</x:f>
      </x:c>
      <x:c r="G368" s="165" t="str">
        <x:f>IF(AND(G$5&gt;=$C368,G$5&lt;=$D368,$A368&lt;&gt;""),"●","")</x:f>
      </x:c>
      <x:c r="H368" s="165" t="str">
        <x:f>IF(AND(H$5&gt;=$C368,H$5&lt;=$D368,$A368&lt;&gt;""),"●","")</x:f>
      </x:c>
      <x:c r="I368" s="165" t="str">
        <x:f>IF(AND(I$5&gt;=$C368,I$5&lt;=$D368,$A368&lt;&gt;""),"●","")</x:f>
      </x:c>
      <x:c r="J368" s="165" t="str">
        <x:f>IF(AND(J$5&gt;=$C368,J$5&lt;=$D368,$A368&lt;&gt;""),"●","")</x:f>
      </x:c>
      <x:c r="K368" s="165" t="str">
        <x:f>IF(AND(K$5&gt;=$C368,K$5&lt;=$D368,$A368&lt;&gt;""),"●","")</x:f>
      </x:c>
      <x:c r="L368" s="165" t="str">
        <x:f>IF(AND(L$5&gt;=$C368,L$5&lt;=$D368,$A368&lt;&gt;""),"●","")</x:f>
      </x:c>
      <x:c r="M368" s="165" t="str">
        <x:f>IF(AND(M$5&gt;=$C368,M$5&lt;=$D368,$A368&lt;&gt;""),"●","")</x:f>
      </x:c>
      <x:c r="N368" s="165" t="str">
        <x:f>IF(AND(N$5&gt;=$C368,N$5&lt;=$D368,$A368&lt;&gt;""),"●","")</x:f>
      </x:c>
      <x:c r="O368" s="165" t="str">
        <x:f>IF(AND(O$5&gt;=$C368,O$5&lt;=$D368,$A368&lt;&gt;""),"●","")</x:f>
      </x:c>
      <x:c r="P368" s="165" t="str">
        <x:f>IF(AND(P$5&gt;=$C368,P$5&lt;=$D368,$A368&lt;&gt;""),"●","")</x:f>
      </x:c>
      <x:c r="Q368" s="165" t="str">
        <x:f>IF(AND(Q$5&gt;=$C368,Q$5&lt;=$D368,$A368&lt;&gt;""),"●","")</x:f>
      </x:c>
      <x:c r="R368" s="165" t="str">
        <x:f>IF(AND(R$5&gt;=$C368,R$5&lt;=$D368,$A368&lt;&gt;""),"●","")</x:f>
      </x:c>
      <x:c r="S368" s="165" t="str">
        <x:f>IF(AND(S$5&gt;=$C368,S$5&lt;=$D368,$A368&lt;&gt;""),"●","")</x:f>
      </x:c>
      <x:c r="T368" s="165" t="str">
        <x:f>IF(AND(T$5&gt;=$C368,T$5&lt;=$D368,$A368&lt;&gt;""),"●","")</x:f>
      </x:c>
      <x:c r="U368" s="165" t="str">
        <x:f>IF(AND(U$5&gt;=$C368,U$5&lt;=$D368,$A368&lt;&gt;""),"●","")</x:f>
      </x:c>
      <x:c r="V368" s="165" t="str">
        <x:f>IF(AND(V$5&gt;=$C368,V$5&lt;=$D368,$A368&lt;&gt;""),"●","")</x:f>
      </x:c>
      <x:c r="W368" s="165" t="str">
        <x:f>IF(AND(W$5&gt;=$C368,W$5&lt;=$D368,$A368&lt;&gt;""),"●","")</x:f>
      </x:c>
      <x:c r="X368" s="165" t="str">
        <x:f>IF(AND(X$5&gt;=$C368,X$5&lt;=$D368,$A368&lt;&gt;""),"●","")</x:f>
      </x:c>
      <x:c r="Y368" s="165" t="str">
        <x:f>IF(AND(Y$5&gt;=$C368,Y$5&lt;=$D368,$A368&lt;&gt;""),"●","")</x:f>
      </x:c>
      <x:c r="Z368" s="165" t="str">
        <x:f>IF(AND(Z$5&gt;=$C368,Z$5&lt;=$D368,$A368&lt;&gt;""),"●","")</x:f>
      </x:c>
      <x:c r="AA368" s="165" t="str">
        <x:f>IF(AND(AA$5&gt;=$C368,AA$5&lt;=$D368,$A368&lt;&gt;""),"●","")</x:f>
      </x:c>
      <x:c r="AB368" s="165" t="str">
        <x:f>IF(AND(AB$5&gt;=$C368,AB$5&lt;=$D368,$A368&lt;&gt;""),"●","")</x:f>
      </x:c>
      <x:c r="AC368" s="165" t="str">
        <x:f>IF(AND(AC$5&gt;=$C368,AC$5&lt;=$D368,$A368&lt;&gt;""),"●","")</x:f>
      </x:c>
      <x:c r="AD368" s="165" t="str">
        <x:f>IF(AND(AD$5&gt;=$C368,AD$5&lt;=$D368,$A368&lt;&gt;""),"●","")</x:f>
      </x:c>
      <x:c r="AE368" s="165" t="str">
        <x:f>IF(AND(AE$5&gt;=$C368,AE$5&lt;=$D368,$A368&lt;&gt;""),"●","")</x:f>
      </x:c>
      <x:c r="AF368" s="165" t="str">
        <x:f>IF(AND(AF$5&gt;=$C368,AF$5&lt;=$D368,$A368&lt;&gt;""),"●","")</x:f>
      </x:c>
      <x:c r="AG368" s="165" t="str">
        <x:f>IF(AND(AG$5&gt;=$C368,AG$5&lt;=$D368,$A368&lt;&gt;""),"●","")</x:f>
      </x:c>
      <x:c r="AH368" s="165" t="str">
        <x:f>IF(AND(AH$5&gt;=$C368,AH$5&lt;=$D368,$A368&lt;&gt;""),"●","")</x:f>
      </x:c>
      <x:c r="AI368" s="165" t="str">
        <x:f>IF(AND(AI$5&gt;=$C368,AI$5&lt;=$D368,$A368&lt;&gt;""),"●","")</x:f>
      </x:c>
      <x:c r="AJ368" s="165" t="str">
        <x:f>IF(AND(AJ$5&gt;=$C368,AJ$5&lt;=$D368,$A368&lt;&gt;""),"●","")</x:f>
      </x:c>
      <x:c r="AK368" s="165" t="str">
        <x:f>IF(AND(AK$5&gt;=$C368,AK$5&lt;=$D368,$A368&lt;&gt;""),"●","")</x:f>
      </x:c>
      <x:c r="AL368" s="165" t="str">
        <x:f>IF(AND(AL$5&gt;=$C368,AL$5&lt;=$D368,$A368&lt;&gt;""),"●","")</x:f>
      </x:c>
      <x:c r="AM368" s="165" t="str">
        <x:f>IF(AND(AM$5&gt;=$C368,AM$5&lt;=$D368,$A368&lt;&gt;""),"●","")</x:f>
      </x:c>
      <x:c r="AN368" s="165" t="str">
        <x:f>IF(AND(AN$5&gt;=$C368,AN$5&lt;=$D368,$A368&lt;&gt;""),"●","")</x:f>
      </x:c>
      <x:c r="AO368" s="165" t="str">
        <x:f>IF(AND(AO$5&gt;=$C368,AO$5&lt;=$D368,$A368&lt;&gt;""),"●","")</x:f>
      </x:c>
      <x:c r="AP368" s="165" t="str">
        <x:f>IF(AND(AP$5&gt;=$C368,AP$5&lt;=$D368,$A368&lt;&gt;""),"●","")</x:f>
      </x:c>
      <x:c r="AQ368" s="165" t="str">
        <x:f>IF(AND(AQ$5&gt;=$C368,AQ$5&lt;=$D368,$A368&lt;&gt;""),"●","")</x:f>
      </x:c>
      <x:c r="AR368" s="165" t="str">
        <x:f>IF(AND(AR$5&gt;=$C368,AR$5&lt;=$D368,$A368&lt;&gt;""),"●","")</x:f>
      </x:c>
      <x:c r="AS368" s="165" t="str">
        <x:f>IF(AND(AS$5&gt;=$C368,AS$5&lt;=$D368,$A368&lt;&gt;""),"●","")</x:f>
      </x:c>
      <x:c r="AT368" s="165" t="str">
        <x:f>IF(AND(AT$5&gt;=$C368,AT$5&lt;=$D368,$A368&lt;&gt;""),"●","")</x:f>
      </x:c>
      <x:c r="AU368" s="165" t="str">
        <x:f>IF(AND(AU$5&gt;=$C368,AU$5&lt;=$D368,$A368&lt;&gt;""),"●","")</x:f>
      </x:c>
      <x:c r="AV368" s="165" t="str">
        <x:f>IF(AND(AV$5&gt;=$C368,AV$5&lt;=$D368,$A368&lt;&gt;""),"●","")</x:f>
      </x:c>
      <x:c r="AW368" s="165" t="str">
        <x:f>IF(AND(AW$5&gt;=$C368,AW$5&lt;=$D368,$A368&lt;&gt;""),"●","")</x:f>
      </x:c>
      <x:c r="AX368" s="165" t="str">
        <x:f>IF(AND(AX$5&gt;=$C368,AX$5&lt;=$D368,$A368&lt;&gt;""),"●","")</x:f>
      </x:c>
      <x:c r="AY368" s="165" t="str">
        <x:f>IF(AND(AY$5&gt;=$C368,AY$5&lt;=$D368,$A368&lt;&gt;""),"●","")</x:f>
      </x:c>
      <x:c r="AZ368" s="165" t="str">
        <x:f>IF(AND(AZ$5&gt;=$C368,AZ$5&lt;=$D368,$A368&lt;&gt;""),"●","")</x:f>
      </x:c>
      <x:c r="BA368" s="165" t="str">
        <x:f>IF(AND(BA$5&gt;=$C368,BA$5&lt;=$D368,$A368&lt;&gt;""),"●","")</x:f>
      </x:c>
      <x:c r="BB368" s="165" t="str">
        <x:f>IF(AND(BB$5&gt;=$C368,BB$5&lt;=$D368,$A368&lt;&gt;""),"●","")</x:f>
      </x:c>
      <x:c r="BC368" s="165" t="str">
        <x:f>IF(AND(BC$5&gt;=$C368,BC$5&lt;=$D368,$A368&lt;&gt;""),"●","")</x:f>
      </x:c>
      <x:c r="BD368" s="165" t="str">
        <x:f>IF(AND(BD$5&gt;=$C368,BD$5&lt;=$D368,$A368&lt;&gt;""),"●","")</x:f>
      </x:c>
      <x:c r="BE368" s="165" t="str">
        <x:f>IF(AND(BE$5&gt;=$C368,BE$5&lt;=$D368,$A368&lt;&gt;""),"●","")</x:f>
      </x:c>
      <x:c r="BF368" s="165" t="str">
        <x:f>IF(AND(BF$5&gt;=$C368,BF$5&lt;=$D368,$A368&lt;&gt;""),"●","")</x:f>
      </x:c>
      <x:c r="BG368" s="165" t="str">
        <x:f>IF(AND(BG$5&gt;=$C368,BG$5&lt;=$D368,$A368&lt;&gt;""),"●","")</x:f>
      </x:c>
      <x:c r="BH368" s="165" t="str">
        <x:f>IF(AND(BH$5&gt;=$C368,BH$5&lt;=$D368,$A368&lt;&gt;""),"●","")</x:f>
      </x:c>
      <x:c r="BI368" s="165" t="str">
        <x:f>IF(AND(BI$5&gt;=$C368,BI$5&lt;=$D368,$A368&lt;&gt;""),"●","")</x:f>
      </x:c>
      <x:c r="BJ368" s="165" t="str">
        <x:f>IF(AND(BJ$5&gt;=$C368,BJ$5&lt;=$D368,$A368&lt;&gt;""),"●","")</x:f>
      </x:c>
      <x:c r="BK368" s="165" t="str">
        <x:f>IF(AND(BK$5&gt;=$C368,BK$5&lt;=$D368,$A368&lt;&gt;""),"●","")</x:f>
      </x:c>
      <x:c r="BL368" s="165" t="str">
        <x:f>IF(AND(BL$5&gt;=$C368,BL$5&lt;=$D368,$A368&lt;&gt;""),"●","")</x:f>
      </x:c>
      <x:c r="BM368" s="165" t="str">
        <x:f>IF(AND(BM$5&gt;=$C368,BM$5&lt;=$D368,$A368&lt;&gt;""),"●","")</x:f>
      </x:c>
      <x:c r="BN368" s="165" t="str">
        <x:f>IF(AND(BN$5&gt;=$C368,BN$5&lt;=$D368,$A368&lt;&gt;""),"●","")</x:f>
      </x:c>
      <x:c r="BO368" s="165" t="str">
        <x:f>IF(AND(BO$5&gt;=$C368,BO$5&lt;=$D368,$A368&lt;&gt;""),"●","")</x:f>
      </x:c>
      <x:c r="BP368" s="165" t="str">
        <x:f>IF(AND(BP$5&gt;=$C368,BP$5&lt;=$D368,$A368&lt;&gt;""),"●","")</x:f>
      </x:c>
      <x:c r="BQ368" s="165" t="str">
        <x:f>IF(AND(BQ$5&gt;=$C368,BQ$5&lt;=$D368,$A368&lt;&gt;""),"●","")</x:f>
      </x:c>
      <x:c r="BR368" s="165" t="str">
        <x:f>IF(AND(BR$5&gt;=$C368,BR$5&lt;=$D368,$A368&lt;&gt;""),"●","")</x:f>
      </x:c>
      <x:c r="BS368" s="165" t="str">
        <x:f>IF(AND(BS$5&gt;=$C368,BS$5&lt;=$D368,$A368&lt;&gt;""),"●","")</x:f>
      </x:c>
      <x:c r="BT368" s="165" t="str">
        <x:f>IF(AND(BT$5&gt;=$C368,BT$5&lt;=$D368,$A368&lt;&gt;""),"●","")</x:f>
      </x:c>
      <x:c r="BU368" s="165" t="str">
        <x:f>IF(AND(BU$5&gt;=$C368,BU$5&lt;=$D368,$A368&lt;&gt;""),"●","")</x:f>
      </x:c>
      <x:c r="BV368" s="165" t="str">
        <x:f>IF(AND(BV$5&gt;=$C368,BV$5&lt;=$D368,$A368&lt;&gt;""),"●","")</x:f>
      </x:c>
      <x:c r="BW368" s="165" t="str">
        <x:f>IF(AND(BW$5&gt;=$C368,BW$5&lt;=$D368,$A368&lt;&gt;""),"●","")</x:f>
      </x:c>
    </x:row>
    <x:row r="369">
      <x:c r="A369" s="159" t="str">
        <x:f>IF('รายการสัญญา'!A369="","",'รายการสัญญา'!A369)</x:f>
      </x:c>
      <x:c r="B369" s="159" t="str">
        <x:f>IF('รายการสัญญา'!A369="","",'รายการสัญญา'!C369)</x:f>
      </x:c>
      <x:c r="C369" s="162" t="str">
        <x:f>IF('รายการสัญญา'!A369="","",'รายการสัญญา'!E369)</x:f>
      </x:c>
      <x:c r="D369" s="162" t="str">
        <x:f>IF('รายการสัญญา'!A369="","",'รายการสัญญา'!G369)</x:f>
      </x:c>
      <x:c r="E369" s="159" t="str">
        <x:f>IF('รายการสัญญา'!A369="","",'รายการสัญญา'!K369)</x:f>
      </x:c>
      <x:c r="F369" s="165" t="str">
        <x:f>IF(AND(F$5&gt;=$C369,F$5&lt;=$D369,$A369&lt;&gt;""),"●","")</x:f>
      </x:c>
      <x:c r="G369" s="165" t="str">
        <x:f>IF(AND(G$5&gt;=$C369,G$5&lt;=$D369,$A369&lt;&gt;""),"●","")</x:f>
      </x:c>
      <x:c r="H369" s="165" t="str">
        <x:f>IF(AND(H$5&gt;=$C369,H$5&lt;=$D369,$A369&lt;&gt;""),"●","")</x:f>
      </x:c>
      <x:c r="I369" s="165" t="str">
        <x:f>IF(AND(I$5&gt;=$C369,I$5&lt;=$D369,$A369&lt;&gt;""),"●","")</x:f>
      </x:c>
      <x:c r="J369" s="165" t="str">
        <x:f>IF(AND(J$5&gt;=$C369,J$5&lt;=$D369,$A369&lt;&gt;""),"●","")</x:f>
      </x:c>
      <x:c r="K369" s="165" t="str">
        <x:f>IF(AND(K$5&gt;=$C369,K$5&lt;=$D369,$A369&lt;&gt;""),"●","")</x:f>
      </x:c>
      <x:c r="L369" s="165" t="str">
        <x:f>IF(AND(L$5&gt;=$C369,L$5&lt;=$D369,$A369&lt;&gt;""),"●","")</x:f>
      </x:c>
      <x:c r="M369" s="165" t="str">
        <x:f>IF(AND(M$5&gt;=$C369,M$5&lt;=$D369,$A369&lt;&gt;""),"●","")</x:f>
      </x:c>
      <x:c r="N369" s="165" t="str">
        <x:f>IF(AND(N$5&gt;=$C369,N$5&lt;=$D369,$A369&lt;&gt;""),"●","")</x:f>
      </x:c>
      <x:c r="O369" s="165" t="str">
        <x:f>IF(AND(O$5&gt;=$C369,O$5&lt;=$D369,$A369&lt;&gt;""),"●","")</x:f>
      </x:c>
      <x:c r="P369" s="165" t="str">
        <x:f>IF(AND(P$5&gt;=$C369,P$5&lt;=$D369,$A369&lt;&gt;""),"●","")</x:f>
      </x:c>
      <x:c r="Q369" s="165" t="str">
        <x:f>IF(AND(Q$5&gt;=$C369,Q$5&lt;=$D369,$A369&lt;&gt;""),"●","")</x:f>
      </x:c>
      <x:c r="R369" s="165" t="str">
        <x:f>IF(AND(R$5&gt;=$C369,R$5&lt;=$D369,$A369&lt;&gt;""),"●","")</x:f>
      </x:c>
      <x:c r="S369" s="165" t="str">
        <x:f>IF(AND(S$5&gt;=$C369,S$5&lt;=$D369,$A369&lt;&gt;""),"●","")</x:f>
      </x:c>
      <x:c r="T369" s="165" t="str">
        <x:f>IF(AND(T$5&gt;=$C369,T$5&lt;=$D369,$A369&lt;&gt;""),"●","")</x:f>
      </x:c>
      <x:c r="U369" s="165" t="str">
        <x:f>IF(AND(U$5&gt;=$C369,U$5&lt;=$D369,$A369&lt;&gt;""),"●","")</x:f>
      </x:c>
      <x:c r="V369" s="165" t="str">
        <x:f>IF(AND(V$5&gt;=$C369,V$5&lt;=$D369,$A369&lt;&gt;""),"●","")</x:f>
      </x:c>
      <x:c r="W369" s="165" t="str">
        <x:f>IF(AND(W$5&gt;=$C369,W$5&lt;=$D369,$A369&lt;&gt;""),"●","")</x:f>
      </x:c>
      <x:c r="X369" s="165" t="str">
        <x:f>IF(AND(X$5&gt;=$C369,X$5&lt;=$D369,$A369&lt;&gt;""),"●","")</x:f>
      </x:c>
      <x:c r="Y369" s="165" t="str">
        <x:f>IF(AND(Y$5&gt;=$C369,Y$5&lt;=$D369,$A369&lt;&gt;""),"●","")</x:f>
      </x:c>
      <x:c r="Z369" s="165" t="str">
        <x:f>IF(AND(Z$5&gt;=$C369,Z$5&lt;=$D369,$A369&lt;&gt;""),"●","")</x:f>
      </x:c>
      <x:c r="AA369" s="165" t="str">
        <x:f>IF(AND(AA$5&gt;=$C369,AA$5&lt;=$D369,$A369&lt;&gt;""),"●","")</x:f>
      </x:c>
      <x:c r="AB369" s="165" t="str">
        <x:f>IF(AND(AB$5&gt;=$C369,AB$5&lt;=$D369,$A369&lt;&gt;""),"●","")</x:f>
      </x:c>
      <x:c r="AC369" s="165" t="str">
        <x:f>IF(AND(AC$5&gt;=$C369,AC$5&lt;=$D369,$A369&lt;&gt;""),"●","")</x:f>
      </x:c>
      <x:c r="AD369" s="165" t="str">
        <x:f>IF(AND(AD$5&gt;=$C369,AD$5&lt;=$D369,$A369&lt;&gt;""),"●","")</x:f>
      </x:c>
      <x:c r="AE369" s="165" t="str">
        <x:f>IF(AND(AE$5&gt;=$C369,AE$5&lt;=$D369,$A369&lt;&gt;""),"●","")</x:f>
      </x:c>
      <x:c r="AF369" s="165" t="str">
        <x:f>IF(AND(AF$5&gt;=$C369,AF$5&lt;=$D369,$A369&lt;&gt;""),"●","")</x:f>
      </x:c>
      <x:c r="AG369" s="165" t="str">
        <x:f>IF(AND(AG$5&gt;=$C369,AG$5&lt;=$D369,$A369&lt;&gt;""),"●","")</x:f>
      </x:c>
      <x:c r="AH369" s="165" t="str">
        <x:f>IF(AND(AH$5&gt;=$C369,AH$5&lt;=$D369,$A369&lt;&gt;""),"●","")</x:f>
      </x:c>
      <x:c r="AI369" s="165" t="str">
        <x:f>IF(AND(AI$5&gt;=$C369,AI$5&lt;=$D369,$A369&lt;&gt;""),"●","")</x:f>
      </x:c>
      <x:c r="AJ369" s="165" t="str">
        <x:f>IF(AND(AJ$5&gt;=$C369,AJ$5&lt;=$D369,$A369&lt;&gt;""),"●","")</x:f>
      </x:c>
      <x:c r="AK369" s="165" t="str">
        <x:f>IF(AND(AK$5&gt;=$C369,AK$5&lt;=$D369,$A369&lt;&gt;""),"●","")</x:f>
      </x:c>
      <x:c r="AL369" s="165" t="str">
        <x:f>IF(AND(AL$5&gt;=$C369,AL$5&lt;=$D369,$A369&lt;&gt;""),"●","")</x:f>
      </x:c>
      <x:c r="AM369" s="165" t="str">
        <x:f>IF(AND(AM$5&gt;=$C369,AM$5&lt;=$D369,$A369&lt;&gt;""),"●","")</x:f>
      </x:c>
      <x:c r="AN369" s="165" t="str">
        <x:f>IF(AND(AN$5&gt;=$C369,AN$5&lt;=$D369,$A369&lt;&gt;""),"●","")</x:f>
      </x:c>
      <x:c r="AO369" s="165" t="str">
        <x:f>IF(AND(AO$5&gt;=$C369,AO$5&lt;=$D369,$A369&lt;&gt;""),"●","")</x:f>
      </x:c>
      <x:c r="AP369" s="165" t="str">
        <x:f>IF(AND(AP$5&gt;=$C369,AP$5&lt;=$D369,$A369&lt;&gt;""),"●","")</x:f>
      </x:c>
      <x:c r="AQ369" s="165" t="str">
        <x:f>IF(AND(AQ$5&gt;=$C369,AQ$5&lt;=$D369,$A369&lt;&gt;""),"●","")</x:f>
      </x:c>
      <x:c r="AR369" s="165" t="str">
        <x:f>IF(AND(AR$5&gt;=$C369,AR$5&lt;=$D369,$A369&lt;&gt;""),"●","")</x:f>
      </x:c>
      <x:c r="AS369" s="165" t="str">
        <x:f>IF(AND(AS$5&gt;=$C369,AS$5&lt;=$D369,$A369&lt;&gt;""),"●","")</x:f>
      </x:c>
      <x:c r="AT369" s="165" t="str">
        <x:f>IF(AND(AT$5&gt;=$C369,AT$5&lt;=$D369,$A369&lt;&gt;""),"●","")</x:f>
      </x:c>
      <x:c r="AU369" s="165" t="str">
        <x:f>IF(AND(AU$5&gt;=$C369,AU$5&lt;=$D369,$A369&lt;&gt;""),"●","")</x:f>
      </x:c>
      <x:c r="AV369" s="165" t="str">
        <x:f>IF(AND(AV$5&gt;=$C369,AV$5&lt;=$D369,$A369&lt;&gt;""),"●","")</x:f>
      </x:c>
      <x:c r="AW369" s="165" t="str">
        <x:f>IF(AND(AW$5&gt;=$C369,AW$5&lt;=$D369,$A369&lt;&gt;""),"●","")</x:f>
      </x:c>
      <x:c r="AX369" s="165" t="str">
        <x:f>IF(AND(AX$5&gt;=$C369,AX$5&lt;=$D369,$A369&lt;&gt;""),"●","")</x:f>
      </x:c>
      <x:c r="AY369" s="165" t="str">
        <x:f>IF(AND(AY$5&gt;=$C369,AY$5&lt;=$D369,$A369&lt;&gt;""),"●","")</x:f>
      </x:c>
      <x:c r="AZ369" s="165" t="str">
        <x:f>IF(AND(AZ$5&gt;=$C369,AZ$5&lt;=$D369,$A369&lt;&gt;""),"●","")</x:f>
      </x:c>
      <x:c r="BA369" s="165" t="str">
        <x:f>IF(AND(BA$5&gt;=$C369,BA$5&lt;=$D369,$A369&lt;&gt;""),"●","")</x:f>
      </x:c>
      <x:c r="BB369" s="165" t="str">
        <x:f>IF(AND(BB$5&gt;=$C369,BB$5&lt;=$D369,$A369&lt;&gt;""),"●","")</x:f>
      </x:c>
      <x:c r="BC369" s="165" t="str">
        <x:f>IF(AND(BC$5&gt;=$C369,BC$5&lt;=$D369,$A369&lt;&gt;""),"●","")</x:f>
      </x:c>
      <x:c r="BD369" s="165" t="str">
        <x:f>IF(AND(BD$5&gt;=$C369,BD$5&lt;=$D369,$A369&lt;&gt;""),"●","")</x:f>
      </x:c>
      <x:c r="BE369" s="165" t="str">
        <x:f>IF(AND(BE$5&gt;=$C369,BE$5&lt;=$D369,$A369&lt;&gt;""),"●","")</x:f>
      </x:c>
      <x:c r="BF369" s="165" t="str">
        <x:f>IF(AND(BF$5&gt;=$C369,BF$5&lt;=$D369,$A369&lt;&gt;""),"●","")</x:f>
      </x:c>
      <x:c r="BG369" s="165" t="str">
        <x:f>IF(AND(BG$5&gt;=$C369,BG$5&lt;=$D369,$A369&lt;&gt;""),"●","")</x:f>
      </x:c>
      <x:c r="BH369" s="165" t="str">
        <x:f>IF(AND(BH$5&gt;=$C369,BH$5&lt;=$D369,$A369&lt;&gt;""),"●","")</x:f>
      </x:c>
      <x:c r="BI369" s="165" t="str">
        <x:f>IF(AND(BI$5&gt;=$C369,BI$5&lt;=$D369,$A369&lt;&gt;""),"●","")</x:f>
      </x:c>
      <x:c r="BJ369" s="165" t="str">
        <x:f>IF(AND(BJ$5&gt;=$C369,BJ$5&lt;=$D369,$A369&lt;&gt;""),"●","")</x:f>
      </x:c>
      <x:c r="BK369" s="165" t="str">
        <x:f>IF(AND(BK$5&gt;=$C369,BK$5&lt;=$D369,$A369&lt;&gt;""),"●","")</x:f>
      </x:c>
      <x:c r="BL369" s="165" t="str">
        <x:f>IF(AND(BL$5&gt;=$C369,BL$5&lt;=$D369,$A369&lt;&gt;""),"●","")</x:f>
      </x:c>
      <x:c r="BM369" s="165" t="str">
        <x:f>IF(AND(BM$5&gt;=$C369,BM$5&lt;=$D369,$A369&lt;&gt;""),"●","")</x:f>
      </x:c>
      <x:c r="BN369" s="165" t="str">
        <x:f>IF(AND(BN$5&gt;=$C369,BN$5&lt;=$D369,$A369&lt;&gt;""),"●","")</x:f>
      </x:c>
      <x:c r="BO369" s="165" t="str">
        <x:f>IF(AND(BO$5&gt;=$C369,BO$5&lt;=$D369,$A369&lt;&gt;""),"●","")</x:f>
      </x:c>
      <x:c r="BP369" s="165" t="str">
        <x:f>IF(AND(BP$5&gt;=$C369,BP$5&lt;=$D369,$A369&lt;&gt;""),"●","")</x:f>
      </x:c>
      <x:c r="BQ369" s="165" t="str">
        <x:f>IF(AND(BQ$5&gt;=$C369,BQ$5&lt;=$D369,$A369&lt;&gt;""),"●","")</x:f>
      </x:c>
      <x:c r="BR369" s="165" t="str">
        <x:f>IF(AND(BR$5&gt;=$C369,BR$5&lt;=$D369,$A369&lt;&gt;""),"●","")</x:f>
      </x:c>
      <x:c r="BS369" s="165" t="str">
        <x:f>IF(AND(BS$5&gt;=$C369,BS$5&lt;=$D369,$A369&lt;&gt;""),"●","")</x:f>
      </x:c>
      <x:c r="BT369" s="165" t="str">
        <x:f>IF(AND(BT$5&gt;=$C369,BT$5&lt;=$D369,$A369&lt;&gt;""),"●","")</x:f>
      </x:c>
      <x:c r="BU369" s="165" t="str">
        <x:f>IF(AND(BU$5&gt;=$C369,BU$5&lt;=$D369,$A369&lt;&gt;""),"●","")</x:f>
      </x:c>
      <x:c r="BV369" s="165" t="str">
        <x:f>IF(AND(BV$5&gt;=$C369,BV$5&lt;=$D369,$A369&lt;&gt;""),"●","")</x:f>
      </x:c>
      <x:c r="BW369" s="165" t="str">
        <x:f>IF(AND(BW$5&gt;=$C369,BW$5&lt;=$D369,$A369&lt;&gt;""),"●","")</x:f>
      </x:c>
    </x:row>
    <x:row r="370">
      <x:c r="A370" s="159" t="str">
        <x:f>IF('รายการสัญญา'!A370="","",'รายการสัญญา'!A370)</x:f>
      </x:c>
      <x:c r="B370" s="159" t="str">
        <x:f>IF('รายการสัญญา'!A370="","",'รายการสัญญา'!C370)</x:f>
      </x:c>
      <x:c r="C370" s="162" t="str">
        <x:f>IF('รายการสัญญา'!A370="","",'รายการสัญญา'!E370)</x:f>
      </x:c>
      <x:c r="D370" s="162" t="str">
        <x:f>IF('รายการสัญญา'!A370="","",'รายการสัญญา'!G370)</x:f>
      </x:c>
      <x:c r="E370" s="159" t="str">
        <x:f>IF('รายการสัญญา'!A370="","",'รายการสัญญา'!K370)</x:f>
      </x:c>
      <x:c r="F370" s="165" t="str">
        <x:f>IF(AND(F$5&gt;=$C370,F$5&lt;=$D370,$A370&lt;&gt;""),"●","")</x:f>
      </x:c>
      <x:c r="G370" s="165" t="str">
        <x:f>IF(AND(G$5&gt;=$C370,G$5&lt;=$D370,$A370&lt;&gt;""),"●","")</x:f>
      </x:c>
      <x:c r="H370" s="165" t="str">
        <x:f>IF(AND(H$5&gt;=$C370,H$5&lt;=$D370,$A370&lt;&gt;""),"●","")</x:f>
      </x:c>
      <x:c r="I370" s="165" t="str">
        <x:f>IF(AND(I$5&gt;=$C370,I$5&lt;=$D370,$A370&lt;&gt;""),"●","")</x:f>
      </x:c>
      <x:c r="J370" s="165" t="str">
        <x:f>IF(AND(J$5&gt;=$C370,J$5&lt;=$D370,$A370&lt;&gt;""),"●","")</x:f>
      </x:c>
      <x:c r="K370" s="165" t="str">
        <x:f>IF(AND(K$5&gt;=$C370,K$5&lt;=$D370,$A370&lt;&gt;""),"●","")</x:f>
      </x:c>
      <x:c r="L370" s="165" t="str">
        <x:f>IF(AND(L$5&gt;=$C370,L$5&lt;=$D370,$A370&lt;&gt;""),"●","")</x:f>
      </x:c>
      <x:c r="M370" s="165" t="str">
        <x:f>IF(AND(M$5&gt;=$C370,M$5&lt;=$D370,$A370&lt;&gt;""),"●","")</x:f>
      </x:c>
      <x:c r="N370" s="165" t="str">
        <x:f>IF(AND(N$5&gt;=$C370,N$5&lt;=$D370,$A370&lt;&gt;""),"●","")</x:f>
      </x:c>
      <x:c r="O370" s="165" t="str">
        <x:f>IF(AND(O$5&gt;=$C370,O$5&lt;=$D370,$A370&lt;&gt;""),"●","")</x:f>
      </x:c>
      <x:c r="P370" s="165" t="str">
        <x:f>IF(AND(P$5&gt;=$C370,P$5&lt;=$D370,$A370&lt;&gt;""),"●","")</x:f>
      </x:c>
      <x:c r="Q370" s="165" t="str">
        <x:f>IF(AND(Q$5&gt;=$C370,Q$5&lt;=$D370,$A370&lt;&gt;""),"●","")</x:f>
      </x:c>
      <x:c r="R370" s="165" t="str">
        <x:f>IF(AND(R$5&gt;=$C370,R$5&lt;=$D370,$A370&lt;&gt;""),"●","")</x:f>
      </x:c>
      <x:c r="S370" s="165" t="str">
        <x:f>IF(AND(S$5&gt;=$C370,S$5&lt;=$D370,$A370&lt;&gt;""),"●","")</x:f>
      </x:c>
      <x:c r="T370" s="165" t="str">
        <x:f>IF(AND(T$5&gt;=$C370,T$5&lt;=$D370,$A370&lt;&gt;""),"●","")</x:f>
      </x:c>
      <x:c r="U370" s="165" t="str">
        <x:f>IF(AND(U$5&gt;=$C370,U$5&lt;=$D370,$A370&lt;&gt;""),"●","")</x:f>
      </x:c>
      <x:c r="V370" s="165" t="str">
        <x:f>IF(AND(V$5&gt;=$C370,V$5&lt;=$D370,$A370&lt;&gt;""),"●","")</x:f>
      </x:c>
      <x:c r="W370" s="165" t="str">
        <x:f>IF(AND(W$5&gt;=$C370,W$5&lt;=$D370,$A370&lt;&gt;""),"●","")</x:f>
      </x:c>
      <x:c r="X370" s="165" t="str">
        <x:f>IF(AND(X$5&gt;=$C370,X$5&lt;=$D370,$A370&lt;&gt;""),"●","")</x:f>
      </x:c>
      <x:c r="Y370" s="165" t="str">
        <x:f>IF(AND(Y$5&gt;=$C370,Y$5&lt;=$D370,$A370&lt;&gt;""),"●","")</x:f>
      </x:c>
      <x:c r="Z370" s="165" t="str">
        <x:f>IF(AND(Z$5&gt;=$C370,Z$5&lt;=$D370,$A370&lt;&gt;""),"●","")</x:f>
      </x:c>
      <x:c r="AA370" s="165" t="str">
        <x:f>IF(AND(AA$5&gt;=$C370,AA$5&lt;=$D370,$A370&lt;&gt;""),"●","")</x:f>
      </x:c>
      <x:c r="AB370" s="165" t="str">
        <x:f>IF(AND(AB$5&gt;=$C370,AB$5&lt;=$D370,$A370&lt;&gt;""),"●","")</x:f>
      </x:c>
      <x:c r="AC370" s="165" t="str">
        <x:f>IF(AND(AC$5&gt;=$C370,AC$5&lt;=$D370,$A370&lt;&gt;""),"●","")</x:f>
      </x:c>
      <x:c r="AD370" s="165" t="str">
        <x:f>IF(AND(AD$5&gt;=$C370,AD$5&lt;=$D370,$A370&lt;&gt;""),"●","")</x:f>
      </x:c>
      <x:c r="AE370" s="165" t="str">
        <x:f>IF(AND(AE$5&gt;=$C370,AE$5&lt;=$D370,$A370&lt;&gt;""),"●","")</x:f>
      </x:c>
      <x:c r="AF370" s="165" t="str">
        <x:f>IF(AND(AF$5&gt;=$C370,AF$5&lt;=$D370,$A370&lt;&gt;""),"●","")</x:f>
      </x:c>
      <x:c r="AG370" s="165" t="str">
        <x:f>IF(AND(AG$5&gt;=$C370,AG$5&lt;=$D370,$A370&lt;&gt;""),"●","")</x:f>
      </x:c>
      <x:c r="AH370" s="165" t="str">
        <x:f>IF(AND(AH$5&gt;=$C370,AH$5&lt;=$D370,$A370&lt;&gt;""),"●","")</x:f>
      </x:c>
      <x:c r="AI370" s="165" t="str">
        <x:f>IF(AND(AI$5&gt;=$C370,AI$5&lt;=$D370,$A370&lt;&gt;""),"●","")</x:f>
      </x:c>
      <x:c r="AJ370" s="165" t="str">
        <x:f>IF(AND(AJ$5&gt;=$C370,AJ$5&lt;=$D370,$A370&lt;&gt;""),"●","")</x:f>
      </x:c>
      <x:c r="AK370" s="165" t="str">
        <x:f>IF(AND(AK$5&gt;=$C370,AK$5&lt;=$D370,$A370&lt;&gt;""),"●","")</x:f>
      </x:c>
      <x:c r="AL370" s="165" t="str">
        <x:f>IF(AND(AL$5&gt;=$C370,AL$5&lt;=$D370,$A370&lt;&gt;""),"●","")</x:f>
      </x:c>
      <x:c r="AM370" s="165" t="str">
        <x:f>IF(AND(AM$5&gt;=$C370,AM$5&lt;=$D370,$A370&lt;&gt;""),"●","")</x:f>
      </x:c>
      <x:c r="AN370" s="165" t="str">
        <x:f>IF(AND(AN$5&gt;=$C370,AN$5&lt;=$D370,$A370&lt;&gt;""),"●","")</x:f>
      </x:c>
      <x:c r="AO370" s="165" t="str">
        <x:f>IF(AND(AO$5&gt;=$C370,AO$5&lt;=$D370,$A370&lt;&gt;""),"●","")</x:f>
      </x:c>
      <x:c r="AP370" s="165" t="str">
        <x:f>IF(AND(AP$5&gt;=$C370,AP$5&lt;=$D370,$A370&lt;&gt;""),"●","")</x:f>
      </x:c>
      <x:c r="AQ370" s="165" t="str">
        <x:f>IF(AND(AQ$5&gt;=$C370,AQ$5&lt;=$D370,$A370&lt;&gt;""),"●","")</x:f>
      </x:c>
      <x:c r="AR370" s="165" t="str">
        <x:f>IF(AND(AR$5&gt;=$C370,AR$5&lt;=$D370,$A370&lt;&gt;""),"●","")</x:f>
      </x:c>
      <x:c r="AS370" s="165" t="str">
        <x:f>IF(AND(AS$5&gt;=$C370,AS$5&lt;=$D370,$A370&lt;&gt;""),"●","")</x:f>
      </x:c>
      <x:c r="AT370" s="165" t="str">
        <x:f>IF(AND(AT$5&gt;=$C370,AT$5&lt;=$D370,$A370&lt;&gt;""),"●","")</x:f>
      </x:c>
      <x:c r="AU370" s="165" t="str">
        <x:f>IF(AND(AU$5&gt;=$C370,AU$5&lt;=$D370,$A370&lt;&gt;""),"●","")</x:f>
      </x:c>
      <x:c r="AV370" s="165" t="str">
        <x:f>IF(AND(AV$5&gt;=$C370,AV$5&lt;=$D370,$A370&lt;&gt;""),"●","")</x:f>
      </x:c>
      <x:c r="AW370" s="165" t="str">
        <x:f>IF(AND(AW$5&gt;=$C370,AW$5&lt;=$D370,$A370&lt;&gt;""),"●","")</x:f>
      </x:c>
      <x:c r="AX370" s="165" t="str">
        <x:f>IF(AND(AX$5&gt;=$C370,AX$5&lt;=$D370,$A370&lt;&gt;""),"●","")</x:f>
      </x:c>
      <x:c r="AY370" s="165" t="str">
        <x:f>IF(AND(AY$5&gt;=$C370,AY$5&lt;=$D370,$A370&lt;&gt;""),"●","")</x:f>
      </x:c>
      <x:c r="AZ370" s="165" t="str">
        <x:f>IF(AND(AZ$5&gt;=$C370,AZ$5&lt;=$D370,$A370&lt;&gt;""),"●","")</x:f>
      </x:c>
      <x:c r="BA370" s="165" t="str">
        <x:f>IF(AND(BA$5&gt;=$C370,BA$5&lt;=$D370,$A370&lt;&gt;""),"●","")</x:f>
      </x:c>
      <x:c r="BB370" s="165" t="str">
        <x:f>IF(AND(BB$5&gt;=$C370,BB$5&lt;=$D370,$A370&lt;&gt;""),"●","")</x:f>
      </x:c>
      <x:c r="BC370" s="165" t="str">
        <x:f>IF(AND(BC$5&gt;=$C370,BC$5&lt;=$D370,$A370&lt;&gt;""),"●","")</x:f>
      </x:c>
      <x:c r="BD370" s="165" t="str">
        <x:f>IF(AND(BD$5&gt;=$C370,BD$5&lt;=$D370,$A370&lt;&gt;""),"●","")</x:f>
      </x:c>
      <x:c r="BE370" s="165" t="str">
        <x:f>IF(AND(BE$5&gt;=$C370,BE$5&lt;=$D370,$A370&lt;&gt;""),"●","")</x:f>
      </x:c>
      <x:c r="BF370" s="165" t="str">
        <x:f>IF(AND(BF$5&gt;=$C370,BF$5&lt;=$D370,$A370&lt;&gt;""),"●","")</x:f>
      </x:c>
      <x:c r="BG370" s="165" t="str">
        <x:f>IF(AND(BG$5&gt;=$C370,BG$5&lt;=$D370,$A370&lt;&gt;""),"●","")</x:f>
      </x:c>
      <x:c r="BH370" s="165" t="str">
        <x:f>IF(AND(BH$5&gt;=$C370,BH$5&lt;=$D370,$A370&lt;&gt;""),"●","")</x:f>
      </x:c>
      <x:c r="BI370" s="165" t="str">
        <x:f>IF(AND(BI$5&gt;=$C370,BI$5&lt;=$D370,$A370&lt;&gt;""),"●","")</x:f>
      </x:c>
      <x:c r="BJ370" s="165" t="str">
        <x:f>IF(AND(BJ$5&gt;=$C370,BJ$5&lt;=$D370,$A370&lt;&gt;""),"●","")</x:f>
      </x:c>
      <x:c r="BK370" s="165" t="str">
        <x:f>IF(AND(BK$5&gt;=$C370,BK$5&lt;=$D370,$A370&lt;&gt;""),"●","")</x:f>
      </x:c>
      <x:c r="BL370" s="165" t="str">
        <x:f>IF(AND(BL$5&gt;=$C370,BL$5&lt;=$D370,$A370&lt;&gt;""),"●","")</x:f>
      </x:c>
      <x:c r="BM370" s="165" t="str">
        <x:f>IF(AND(BM$5&gt;=$C370,BM$5&lt;=$D370,$A370&lt;&gt;""),"●","")</x:f>
      </x:c>
      <x:c r="BN370" s="165" t="str">
        <x:f>IF(AND(BN$5&gt;=$C370,BN$5&lt;=$D370,$A370&lt;&gt;""),"●","")</x:f>
      </x:c>
      <x:c r="BO370" s="165" t="str">
        <x:f>IF(AND(BO$5&gt;=$C370,BO$5&lt;=$D370,$A370&lt;&gt;""),"●","")</x:f>
      </x:c>
      <x:c r="BP370" s="165" t="str">
        <x:f>IF(AND(BP$5&gt;=$C370,BP$5&lt;=$D370,$A370&lt;&gt;""),"●","")</x:f>
      </x:c>
      <x:c r="BQ370" s="165" t="str">
        <x:f>IF(AND(BQ$5&gt;=$C370,BQ$5&lt;=$D370,$A370&lt;&gt;""),"●","")</x:f>
      </x:c>
      <x:c r="BR370" s="165" t="str">
        <x:f>IF(AND(BR$5&gt;=$C370,BR$5&lt;=$D370,$A370&lt;&gt;""),"●","")</x:f>
      </x:c>
      <x:c r="BS370" s="165" t="str">
        <x:f>IF(AND(BS$5&gt;=$C370,BS$5&lt;=$D370,$A370&lt;&gt;""),"●","")</x:f>
      </x:c>
      <x:c r="BT370" s="165" t="str">
        <x:f>IF(AND(BT$5&gt;=$C370,BT$5&lt;=$D370,$A370&lt;&gt;""),"●","")</x:f>
      </x:c>
      <x:c r="BU370" s="165" t="str">
        <x:f>IF(AND(BU$5&gt;=$C370,BU$5&lt;=$D370,$A370&lt;&gt;""),"●","")</x:f>
      </x:c>
      <x:c r="BV370" s="165" t="str">
        <x:f>IF(AND(BV$5&gt;=$C370,BV$5&lt;=$D370,$A370&lt;&gt;""),"●","")</x:f>
      </x:c>
      <x:c r="BW370" s="165" t="str">
        <x:f>IF(AND(BW$5&gt;=$C370,BW$5&lt;=$D370,$A370&lt;&gt;""),"●","")</x:f>
      </x:c>
    </x:row>
    <x:row r="371">
      <x:c r="A371" s="159" t="str">
        <x:f>IF('รายการสัญญา'!A371="","",'รายการสัญญา'!A371)</x:f>
      </x:c>
      <x:c r="B371" s="159" t="str">
        <x:f>IF('รายการสัญญา'!A371="","",'รายการสัญญา'!C371)</x:f>
      </x:c>
      <x:c r="C371" s="162" t="str">
        <x:f>IF('รายการสัญญา'!A371="","",'รายการสัญญา'!E371)</x:f>
      </x:c>
      <x:c r="D371" s="162" t="str">
        <x:f>IF('รายการสัญญา'!A371="","",'รายการสัญญา'!G371)</x:f>
      </x:c>
      <x:c r="E371" s="159" t="str">
        <x:f>IF('รายการสัญญา'!A371="","",'รายการสัญญา'!K371)</x:f>
      </x:c>
      <x:c r="F371" s="165" t="str">
        <x:f>IF(AND(F$5&gt;=$C371,F$5&lt;=$D371,$A371&lt;&gt;""),"●","")</x:f>
      </x:c>
      <x:c r="G371" s="165" t="str">
        <x:f>IF(AND(G$5&gt;=$C371,G$5&lt;=$D371,$A371&lt;&gt;""),"●","")</x:f>
      </x:c>
      <x:c r="H371" s="165" t="str">
        <x:f>IF(AND(H$5&gt;=$C371,H$5&lt;=$D371,$A371&lt;&gt;""),"●","")</x:f>
      </x:c>
      <x:c r="I371" s="165" t="str">
        <x:f>IF(AND(I$5&gt;=$C371,I$5&lt;=$D371,$A371&lt;&gt;""),"●","")</x:f>
      </x:c>
      <x:c r="J371" s="165" t="str">
        <x:f>IF(AND(J$5&gt;=$C371,J$5&lt;=$D371,$A371&lt;&gt;""),"●","")</x:f>
      </x:c>
      <x:c r="K371" s="165" t="str">
        <x:f>IF(AND(K$5&gt;=$C371,K$5&lt;=$D371,$A371&lt;&gt;""),"●","")</x:f>
      </x:c>
      <x:c r="L371" s="165" t="str">
        <x:f>IF(AND(L$5&gt;=$C371,L$5&lt;=$D371,$A371&lt;&gt;""),"●","")</x:f>
      </x:c>
      <x:c r="M371" s="165" t="str">
        <x:f>IF(AND(M$5&gt;=$C371,M$5&lt;=$D371,$A371&lt;&gt;""),"●","")</x:f>
      </x:c>
      <x:c r="N371" s="165" t="str">
        <x:f>IF(AND(N$5&gt;=$C371,N$5&lt;=$D371,$A371&lt;&gt;""),"●","")</x:f>
      </x:c>
      <x:c r="O371" s="165" t="str">
        <x:f>IF(AND(O$5&gt;=$C371,O$5&lt;=$D371,$A371&lt;&gt;""),"●","")</x:f>
      </x:c>
      <x:c r="P371" s="165" t="str">
        <x:f>IF(AND(P$5&gt;=$C371,P$5&lt;=$D371,$A371&lt;&gt;""),"●","")</x:f>
      </x:c>
      <x:c r="Q371" s="165" t="str">
        <x:f>IF(AND(Q$5&gt;=$C371,Q$5&lt;=$D371,$A371&lt;&gt;""),"●","")</x:f>
      </x:c>
      <x:c r="R371" s="165" t="str">
        <x:f>IF(AND(R$5&gt;=$C371,R$5&lt;=$D371,$A371&lt;&gt;""),"●","")</x:f>
      </x:c>
      <x:c r="S371" s="165" t="str">
        <x:f>IF(AND(S$5&gt;=$C371,S$5&lt;=$D371,$A371&lt;&gt;""),"●","")</x:f>
      </x:c>
      <x:c r="T371" s="165" t="str">
        <x:f>IF(AND(T$5&gt;=$C371,T$5&lt;=$D371,$A371&lt;&gt;""),"●","")</x:f>
      </x:c>
      <x:c r="U371" s="165" t="str">
        <x:f>IF(AND(U$5&gt;=$C371,U$5&lt;=$D371,$A371&lt;&gt;""),"●","")</x:f>
      </x:c>
      <x:c r="V371" s="165" t="str">
        <x:f>IF(AND(V$5&gt;=$C371,V$5&lt;=$D371,$A371&lt;&gt;""),"●","")</x:f>
      </x:c>
      <x:c r="W371" s="165" t="str">
        <x:f>IF(AND(W$5&gt;=$C371,W$5&lt;=$D371,$A371&lt;&gt;""),"●","")</x:f>
      </x:c>
      <x:c r="X371" s="165" t="str">
        <x:f>IF(AND(X$5&gt;=$C371,X$5&lt;=$D371,$A371&lt;&gt;""),"●","")</x:f>
      </x:c>
      <x:c r="Y371" s="165" t="str">
        <x:f>IF(AND(Y$5&gt;=$C371,Y$5&lt;=$D371,$A371&lt;&gt;""),"●","")</x:f>
      </x:c>
      <x:c r="Z371" s="165" t="str">
        <x:f>IF(AND(Z$5&gt;=$C371,Z$5&lt;=$D371,$A371&lt;&gt;""),"●","")</x:f>
      </x:c>
      <x:c r="AA371" s="165" t="str">
        <x:f>IF(AND(AA$5&gt;=$C371,AA$5&lt;=$D371,$A371&lt;&gt;""),"●","")</x:f>
      </x:c>
      <x:c r="AB371" s="165" t="str">
        <x:f>IF(AND(AB$5&gt;=$C371,AB$5&lt;=$D371,$A371&lt;&gt;""),"●","")</x:f>
      </x:c>
      <x:c r="AC371" s="165" t="str">
        <x:f>IF(AND(AC$5&gt;=$C371,AC$5&lt;=$D371,$A371&lt;&gt;""),"●","")</x:f>
      </x:c>
      <x:c r="AD371" s="165" t="str">
        <x:f>IF(AND(AD$5&gt;=$C371,AD$5&lt;=$D371,$A371&lt;&gt;""),"●","")</x:f>
      </x:c>
      <x:c r="AE371" s="165" t="str">
        <x:f>IF(AND(AE$5&gt;=$C371,AE$5&lt;=$D371,$A371&lt;&gt;""),"●","")</x:f>
      </x:c>
      <x:c r="AF371" s="165" t="str">
        <x:f>IF(AND(AF$5&gt;=$C371,AF$5&lt;=$D371,$A371&lt;&gt;""),"●","")</x:f>
      </x:c>
      <x:c r="AG371" s="165" t="str">
        <x:f>IF(AND(AG$5&gt;=$C371,AG$5&lt;=$D371,$A371&lt;&gt;""),"●","")</x:f>
      </x:c>
      <x:c r="AH371" s="165" t="str">
        <x:f>IF(AND(AH$5&gt;=$C371,AH$5&lt;=$D371,$A371&lt;&gt;""),"●","")</x:f>
      </x:c>
      <x:c r="AI371" s="165" t="str">
        <x:f>IF(AND(AI$5&gt;=$C371,AI$5&lt;=$D371,$A371&lt;&gt;""),"●","")</x:f>
      </x:c>
      <x:c r="AJ371" s="165" t="str">
        <x:f>IF(AND(AJ$5&gt;=$C371,AJ$5&lt;=$D371,$A371&lt;&gt;""),"●","")</x:f>
      </x:c>
      <x:c r="AK371" s="165" t="str">
        <x:f>IF(AND(AK$5&gt;=$C371,AK$5&lt;=$D371,$A371&lt;&gt;""),"●","")</x:f>
      </x:c>
      <x:c r="AL371" s="165" t="str">
        <x:f>IF(AND(AL$5&gt;=$C371,AL$5&lt;=$D371,$A371&lt;&gt;""),"●","")</x:f>
      </x:c>
      <x:c r="AM371" s="165" t="str">
        <x:f>IF(AND(AM$5&gt;=$C371,AM$5&lt;=$D371,$A371&lt;&gt;""),"●","")</x:f>
      </x:c>
      <x:c r="AN371" s="165" t="str">
        <x:f>IF(AND(AN$5&gt;=$C371,AN$5&lt;=$D371,$A371&lt;&gt;""),"●","")</x:f>
      </x:c>
      <x:c r="AO371" s="165" t="str">
        <x:f>IF(AND(AO$5&gt;=$C371,AO$5&lt;=$D371,$A371&lt;&gt;""),"●","")</x:f>
      </x:c>
      <x:c r="AP371" s="165" t="str">
        <x:f>IF(AND(AP$5&gt;=$C371,AP$5&lt;=$D371,$A371&lt;&gt;""),"●","")</x:f>
      </x:c>
      <x:c r="AQ371" s="165" t="str">
        <x:f>IF(AND(AQ$5&gt;=$C371,AQ$5&lt;=$D371,$A371&lt;&gt;""),"●","")</x:f>
      </x:c>
      <x:c r="AR371" s="165" t="str">
        <x:f>IF(AND(AR$5&gt;=$C371,AR$5&lt;=$D371,$A371&lt;&gt;""),"●","")</x:f>
      </x:c>
      <x:c r="AS371" s="165" t="str">
        <x:f>IF(AND(AS$5&gt;=$C371,AS$5&lt;=$D371,$A371&lt;&gt;""),"●","")</x:f>
      </x:c>
      <x:c r="AT371" s="165" t="str">
        <x:f>IF(AND(AT$5&gt;=$C371,AT$5&lt;=$D371,$A371&lt;&gt;""),"●","")</x:f>
      </x:c>
      <x:c r="AU371" s="165" t="str">
        <x:f>IF(AND(AU$5&gt;=$C371,AU$5&lt;=$D371,$A371&lt;&gt;""),"●","")</x:f>
      </x:c>
      <x:c r="AV371" s="165" t="str">
        <x:f>IF(AND(AV$5&gt;=$C371,AV$5&lt;=$D371,$A371&lt;&gt;""),"●","")</x:f>
      </x:c>
      <x:c r="AW371" s="165" t="str">
        <x:f>IF(AND(AW$5&gt;=$C371,AW$5&lt;=$D371,$A371&lt;&gt;""),"●","")</x:f>
      </x:c>
      <x:c r="AX371" s="165" t="str">
        <x:f>IF(AND(AX$5&gt;=$C371,AX$5&lt;=$D371,$A371&lt;&gt;""),"●","")</x:f>
      </x:c>
      <x:c r="AY371" s="165" t="str">
        <x:f>IF(AND(AY$5&gt;=$C371,AY$5&lt;=$D371,$A371&lt;&gt;""),"●","")</x:f>
      </x:c>
      <x:c r="AZ371" s="165" t="str">
        <x:f>IF(AND(AZ$5&gt;=$C371,AZ$5&lt;=$D371,$A371&lt;&gt;""),"●","")</x:f>
      </x:c>
      <x:c r="BA371" s="165" t="str">
        <x:f>IF(AND(BA$5&gt;=$C371,BA$5&lt;=$D371,$A371&lt;&gt;""),"●","")</x:f>
      </x:c>
      <x:c r="BB371" s="165" t="str">
        <x:f>IF(AND(BB$5&gt;=$C371,BB$5&lt;=$D371,$A371&lt;&gt;""),"●","")</x:f>
      </x:c>
      <x:c r="BC371" s="165" t="str">
        <x:f>IF(AND(BC$5&gt;=$C371,BC$5&lt;=$D371,$A371&lt;&gt;""),"●","")</x:f>
      </x:c>
      <x:c r="BD371" s="165" t="str">
        <x:f>IF(AND(BD$5&gt;=$C371,BD$5&lt;=$D371,$A371&lt;&gt;""),"●","")</x:f>
      </x:c>
      <x:c r="BE371" s="165" t="str">
        <x:f>IF(AND(BE$5&gt;=$C371,BE$5&lt;=$D371,$A371&lt;&gt;""),"●","")</x:f>
      </x:c>
      <x:c r="BF371" s="165" t="str">
        <x:f>IF(AND(BF$5&gt;=$C371,BF$5&lt;=$D371,$A371&lt;&gt;""),"●","")</x:f>
      </x:c>
      <x:c r="BG371" s="165" t="str">
        <x:f>IF(AND(BG$5&gt;=$C371,BG$5&lt;=$D371,$A371&lt;&gt;""),"●","")</x:f>
      </x:c>
      <x:c r="BH371" s="165" t="str">
        <x:f>IF(AND(BH$5&gt;=$C371,BH$5&lt;=$D371,$A371&lt;&gt;""),"●","")</x:f>
      </x:c>
      <x:c r="BI371" s="165" t="str">
        <x:f>IF(AND(BI$5&gt;=$C371,BI$5&lt;=$D371,$A371&lt;&gt;""),"●","")</x:f>
      </x:c>
      <x:c r="BJ371" s="165" t="str">
        <x:f>IF(AND(BJ$5&gt;=$C371,BJ$5&lt;=$D371,$A371&lt;&gt;""),"●","")</x:f>
      </x:c>
      <x:c r="BK371" s="165" t="str">
        <x:f>IF(AND(BK$5&gt;=$C371,BK$5&lt;=$D371,$A371&lt;&gt;""),"●","")</x:f>
      </x:c>
      <x:c r="BL371" s="165" t="str">
        <x:f>IF(AND(BL$5&gt;=$C371,BL$5&lt;=$D371,$A371&lt;&gt;""),"●","")</x:f>
      </x:c>
      <x:c r="BM371" s="165" t="str">
        <x:f>IF(AND(BM$5&gt;=$C371,BM$5&lt;=$D371,$A371&lt;&gt;""),"●","")</x:f>
      </x:c>
      <x:c r="BN371" s="165" t="str">
        <x:f>IF(AND(BN$5&gt;=$C371,BN$5&lt;=$D371,$A371&lt;&gt;""),"●","")</x:f>
      </x:c>
      <x:c r="BO371" s="165" t="str">
        <x:f>IF(AND(BO$5&gt;=$C371,BO$5&lt;=$D371,$A371&lt;&gt;""),"●","")</x:f>
      </x:c>
      <x:c r="BP371" s="165" t="str">
        <x:f>IF(AND(BP$5&gt;=$C371,BP$5&lt;=$D371,$A371&lt;&gt;""),"●","")</x:f>
      </x:c>
      <x:c r="BQ371" s="165" t="str">
        <x:f>IF(AND(BQ$5&gt;=$C371,BQ$5&lt;=$D371,$A371&lt;&gt;""),"●","")</x:f>
      </x:c>
      <x:c r="BR371" s="165" t="str">
        <x:f>IF(AND(BR$5&gt;=$C371,BR$5&lt;=$D371,$A371&lt;&gt;""),"●","")</x:f>
      </x:c>
      <x:c r="BS371" s="165" t="str">
        <x:f>IF(AND(BS$5&gt;=$C371,BS$5&lt;=$D371,$A371&lt;&gt;""),"●","")</x:f>
      </x:c>
      <x:c r="BT371" s="165" t="str">
        <x:f>IF(AND(BT$5&gt;=$C371,BT$5&lt;=$D371,$A371&lt;&gt;""),"●","")</x:f>
      </x:c>
      <x:c r="BU371" s="165" t="str">
        <x:f>IF(AND(BU$5&gt;=$C371,BU$5&lt;=$D371,$A371&lt;&gt;""),"●","")</x:f>
      </x:c>
      <x:c r="BV371" s="165" t="str">
        <x:f>IF(AND(BV$5&gt;=$C371,BV$5&lt;=$D371,$A371&lt;&gt;""),"●","")</x:f>
      </x:c>
      <x:c r="BW371" s="165" t="str">
        <x:f>IF(AND(BW$5&gt;=$C371,BW$5&lt;=$D371,$A371&lt;&gt;""),"●","")</x:f>
      </x:c>
    </x:row>
    <x:row r="372">
      <x:c r="A372" s="159" t="str">
        <x:f>IF('รายการสัญญา'!A372="","",'รายการสัญญา'!A372)</x:f>
      </x:c>
      <x:c r="B372" s="159" t="str">
        <x:f>IF('รายการสัญญา'!A372="","",'รายการสัญญา'!C372)</x:f>
      </x:c>
      <x:c r="C372" s="162" t="str">
        <x:f>IF('รายการสัญญา'!A372="","",'รายการสัญญา'!E372)</x:f>
      </x:c>
      <x:c r="D372" s="162" t="str">
        <x:f>IF('รายการสัญญา'!A372="","",'รายการสัญญา'!G372)</x:f>
      </x:c>
      <x:c r="E372" s="159" t="str">
        <x:f>IF('รายการสัญญา'!A372="","",'รายการสัญญา'!K372)</x:f>
      </x:c>
      <x:c r="F372" s="165" t="str">
        <x:f>IF(AND(F$5&gt;=$C372,F$5&lt;=$D372,$A372&lt;&gt;""),"●","")</x:f>
      </x:c>
      <x:c r="G372" s="165" t="str">
        <x:f>IF(AND(G$5&gt;=$C372,G$5&lt;=$D372,$A372&lt;&gt;""),"●","")</x:f>
      </x:c>
      <x:c r="H372" s="165" t="str">
        <x:f>IF(AND(H$5&gt;=$C372,H$5&lt;=$D372,$A372&lt;&gt;""),"●","")</x:f>
      </x:c>
      <x:c r="I372" s="165" t="str">
        <x:f>IF(AND(I$5&gt;=$C372,I$5&lt;=$D372,$A372&lt;&gt;""),"●","")</x:f>
      </x:c>
      <x:c r="J372" s="165" t="str">
        <x:f>IF(AND(J$5&gt;=$C372,J$5&lt;=$D372,$A372&lt;&gt;""),"●","")</x:f>
      </x:c>
      <x:c r="K372" s="165" t="str">
        <x:f>IF(AND(K$5&gt;=$C372,K$5&lt;=$D372,$A372&lt;&gt;""),"●","")</x:f>
      </x:c>
      <x:c r="L372" s="165" t="str">
        <x:f>IF(AND(L$5&gt;=$C372,L$5&lt;=$D372,$A372&lt;&gt;""),"●","")</x:f>
      </x:c>
      <x:c r="M372" s="165" t="str">
        <x:f>IF(AND(M$5&gt;=$C372,M$5&lt;=$D372,$A372&lt;&gt;""),"●","")</x:f>
      </x:c>
      <x:c r="N372" s="165" t="str">
        <x:f>IF(AND(N$5&gt;=$C372,N$5&lt;=$D372,$A372&lt;&gt;""),"●","")</x:f>
      </x:c>
      <x:c r="O372" s="165" t="str">
        <x:f>IF(AND(O$5&gt;=$C372,O$5&lt;=$D372,$A372&lt;&gt;""),"●","")</x:f>
      </x:c>
      <x:c r="P372" s="165" t="str">
        <x:f>IF(AND(P$5&gt;=$C372,P$5&lt;=$D372,$A372&lt;&gt;""),"●","")</x:f>
      </x:c>
      <x:c r="Q372" s="165" t="str">
        <x:f>IF(AND(Q$5&gt;=$C372,Q$5&lt;=$D372,$A372&lt;&gt;""),"●","")</x:f>
      </x:c>
      <x:c r="R372" s="165" t="str">
        <x:f>IF(AND(R$5&gt;=$C372,R$5&lt;=$D372,$A372&lt;&gt;""),"●","")</x:f>
      </x:c>
      <x:c r="S372" s="165" t="str">
        <x:f>IF(AND(S$5&gt;=$C372,S$5&lt;=$D372,$A372&lt;&gt;""),"●","")</x:f>
      </x:c>
      <x:c r="T372" s="165" t="str">
        <x:f>IF(AND(T$5&gt;=$C372,T$5&lt;=$D372,$A372&lt;&gt;""),"●","")</x:f>
      </x:c>
      <x:c r="U372" s="165" t="str">
        <x:f>IF(AND(U$5&gt;=$C372,U$5&lt;=$D372,$A372&lt;&gt;""),"●","")</x:f>
      </x:c>
      <x:c r="V372" s="165" t="str">
        <x:f>IF(AND(V$5&gt;=$C372,V$5&lt;=$D372,$A372&lt;&gt;""),"●","")</x:f>
      </x:c>
      <x:c r="W372" s="165" t="str">
        <x:f>IF(AND(W$5&gt;=$C372,W$5&lt;=$D372,$A372&lt;&gt;""),"●","")</x:f>
      </x:c>
      <x:c r="X372" s="165" t="str">
        <x:f>IF(AND(X$5&gt;=$C372,X$5&lt;=$D372,$A372&lt;&gt;""),"●","")</x:f>
      </x:c>
      <x:c r="Y372" s="165" t="str">
        <x:f>IF(AND(Y$5&gt;=$C372,Y$5&lt;=$D372,$A372&lt;&gt;""),"●","")</x:f>
      </x:c>
      <x:c r="Z372" s="165" t="str">
        <x:f>IF(AND(Z$5&gt;=$C372,Z$5&lt;=$D372,$A372&lt;&gt;""),"●","")</x:f>
      </x:c>
      <x:c r="AA372" s="165" t="str">
        <x:f>IF(AND(AA$5&gt;=$C372,AA$5&lt;=$D372,$A372&lt;&gt;""),"●","")</x:f>
      </x:c>
      <x:c r="AB372" s="165" t="str">
        <x:f>IF(AND(AB$5&gt;=$C372,AB$5&lt;=$D372,$A372&lt;&gt;""),"●","")</x:f>
      </x:c>
      <x:c r="AC372" s="165" t="str">
        <x:f>IF(AND(AC$5&gt;=$C372,AC$5&lt;=$D372,$A372&lt;&gt;""),"●","")</x:f>
      </x:c>
      <x:c r="AD372" s="165" t="str">
        <x:f>IF(AND(AD$5&gt;=$C372,AD$5&lt;=$D372,$A372&lt;&gt;""),"●","")</x:f>
      </x:c>
      <x:c r="AE372" s="165" t="str">
        <x:f>IF(AND(AE$5&gt;=$C372,AE$5&lt;=$D372,$A372&lt;&gt;""),"●","")</x:f>
      </x:c>
      <x:c r="AF372" s="165" t="str">
        <x:f>IF(AND(AF$5&gt;=$C372,AF$5&lt;=$D372,$A372&lt;&gt;""),"●","")</x:f>
      </x:c>
      <x:c r="AG372" s="165" t="str">
        <x:f>IF(AND(AG$5&gt;=$C372,AG$5&lt;=$D372,$A372&lt;&gt;""),"●","")</x:f>
      </x:c>
      <x:c r="AH372" s="165" t="str">
        <x:f>IF(AND(AH$5&gt;=$C372,AH$5&lt;=$D372,$A372&lt;&gt;""),"●","")</x:f>
      </x:c>
      <x:c r="AI372" s="165" t="str">
        <x:f>IF(AND(AI$5&gt;=$C372,AI$5&lt;=$D372,$A372&lt;&gt;""),"●","")</x:f>
      </x:c>
      <x:c r="AJ372" s="165" t="str">
        <x:f>IF(AND(AJ$5&gt;=$C372,AJ$5&lt;=$D372,$A372&lt;&gt;""),"●","")</x:f>
      </x:c>
      <x:c r="AK372" s="165" t="str">
        <x:f>IF(AND(AK$5&gt;=$C372,AK$5&lt;=$D372,$A372&lt;&gt;""),"●","")</x:f>
      </x:c>
      <x:c r="AL372" s="165" t="str">
        <x:f>IF(AND(AL$5&gt;=$C372,AL$5&lt;=$D372,$A372&lt;&gt;""),"●","")</x:f>
      </x:c>
      <x:c r="AM372" s="165" t="str">
        <x:f>IF(AND(AM$5&gt;=$C372,AM$5&lt;=$D372,$A372&lt;&gt;""),"●","")</x:f>
      </x:c>
      <x:c r="AN372" s="165" t="str">
        <x:f>IF(AND(AN$5&gt;=$C372,AN$5&lt;=$D372,$A372&lt;&gt;""),"●","")</x:f>
      </x:c>
      <x:c r="AO372" s="165" t="str">
        <x:f>IF(AND(AO$5&gt;=$C372,AO$5&lt;=$D372,$A372&lt;&gt;""),"●","")</x:f>
      </x:c>
      <x:c r="AP372" s="165" t="str">
        <x:f>IF(AND(AP$5&gt;=$C372,AP$5&lt;=$D372,$A372&lt;&gt;""),"●","")</x:f>
      </x:c>
      <x:c r="AQ372" s="165" t="str">
        <x:f>IF(AND(AQ$5&gt;=$C372,AQ$5&lt;=$D372,$A372&lt;&gt;""),"●","")</x:f>
      </x:c>
      <x:c r="AR372" s="165" t="str">
        <x:f>IF(AND(AR$5&gt;=$C372,AR$5&lt;=$D372,$A372&lt;&gt;""),"●","")</x:f>
      </x:c>
      <x:c r="AS372" s="165" t="str">
        <x:f>IF(AND(AS$5&gt;=$C372,AS$5&lt;=$D372,$A372&lt;&gt;""),"●","")</x:f>
      </x:c>
      <x:c r="AT372" s="165" t="str">
        <x:f>IF(AND(AT$5&gt;=$C372,AT$5&lt;=$D372,$A372&lt;&gt;""),"●","")</x:f>
      </x:c>
      <x:c r="AU372" s="165" t="str">
        <x:f>IF(AND(AU$5&gt;=$C372,AU$5&lt;=$D372,$A372&lt;&gt;""),"●","")</x:f>
      </x:c>
      <x:c r="AV372" s="165" t="str">
        <x:f>IF(AND(AV$5&gt;=$C372,AV$5&lt;=$D372,$A372&lt;&gt;""),"●","")</x:f>
      </x:c>
      <x:c r="AW372" s="165" t="str">
        <x:f>IF(AND(AW$5&gt;=$C372,AW$5&lt;=$D372,$A372&lt;&gt;""),"●","")</x:f>
      </x:c>
      <x:c r="AX372" s="165" t="str">
        <x:f>IF(AND(AX$5&gt;=$C372,AX$5&lt;=$D372,$A372&lt;&gt;""),"●","")</x:f>
      </x:c>
      <x:c r="AY372" s="165" t="str">
        <x:f>IF(AND(AY$5&gt;=$C372,AY$5&lt;=$D372,$A372&lt;&gt;""),"●","")</x:f>
      </x:c>
      <x:c r="AZ372" s="165" t="str">
        <x:f>IF(AND(AZ$5&gt;=$C372,AZ$5&lt;=$D372,$A372&lt;&gt;""),"●","")</x:f>
      </x:c>
      <x:c r="BA372" s="165" t="str">
        <x:f>IF(AND(BA$5&gt;=$C372,BA$5&lt;=$D372,$A372&lt;&gt;""),"●","")</x:f>
      </x:c>
      <x:c r="BB372" s="165" t="str">
        <x:f>IF(AND(BB$5&gt;=$C372,BB$5&lt;=$D372,$A372&lt;&gt;""),"●","")</x:f>
      </x:c>
      <x:c r="BC372" s="165" t="str">
        <x:f>IF(AND(BC$5&gt;=$C372,BC$5&lt;=$D372,$A372&lt;&gt;""),"●","")</x:f>
      </x:c>
      <x:c r="BD372" s="165" t="str">
        <x:f>IF(AND(BD$5&gt;=$C372,BD$5&lt;=$D372,$A372&lt;&gt;""),"●","")</x:f>
      </x:c>
      <x:c r="BE372" s="165" t="str">
        <x:f>IF(AND(BE$5&gt;=$C372,BE$5&lt;=$D372,$A372&lt;&gt;""),"●","")</x:f>
      </x:c>
      <x:c r="BF372" s="165" t="str">
        <x:f>IF(AND(BF$5&gt;=$C372,BF$5&lt;=$D372,$A372&lt;&gt;""),"●","")</x:f>
      </x:c>
      <x:c r="BG372" s="165" t="str">
        <x:f>IF(AND(BG$5&gt;=$C372,BG$5&lt;=$D372,$A372&lt;&gt;""),"●","")</x:f>
      </x:c>
      <x:c r="BH372" s="165" t="str">
        <x:f>IF(AND(BH$5&gt;=$C372,BH$5&lt;=$D372,$A372&lt;&gt;""),"●","")</x:f>
      </x:c>
      <x:c r="BI372" s="165" t="str">
        <x:f>IF(AND(BI$5&gt;=$C372,BI$5&lt;=$D372,$A372&lt;&gt;""),"●","")</x:f>
      </x:c>
      <x:c r="BJ372" s="165" t="str">
        <x:f>IF(AND(BJ$5&gt;=$C372,BJ$5&lt;=$D372,$A372&lt;&gt;""),"●","")</x:f>
      </x:c>
      <x:c r="BK372" s="165" t="str">
        <x:f>IF(AND(BK$5&gt;=$C372,BK$5&lt;=$D372,$A372&lt;&gt;""),"●","")</x:f>
      </x:c>
      <x:c r="BL372" s="165" t="str">
        <x:f>IF(AND(BL$5&gt;=$C372,BL$5&lt;=$D372,$A372&lt;&gt;""),"●","")</x:f>
      </x:c>
      <x:c r="BM372" s="165" t="str">
        <x:f>IF(AND(BM$5&gt;=$C372,BM$5&lt;=$D372,$A372&lt;&gt;""),"●","")</x:f>
      </x:c>
      <x:c r="BN372" s="165" t="str">
        <x:f>IF(AND(BN$5&gt;=$C372,BN$5&lt;=$D372,$A372&lt;&gt;""),"●","")</x:f>
      </x:c>
      <x:c r="BO372" s="165" t="str">
        <x:f>IF(AND(BO$5&gt;=$C372,BO$5&lt;=$D372,$A372&lt;&gt;""),"●","")</x:f>
      </x:c>
      <x:c r="BP372" s="165" t="str">
        <x:f>IF(AND(BP$5&gt;=$C372,BP$5&lt;=$D372,$A372&lt;&gt;""),"●","")</x:f>
      </x:c>
      <x:c r="BQ372" s="165" t="str">
        <x:f>IF(AND(BQ$5&gt;=$C372,BQ$5&lt;=$D372,$A372&lt;&gt;""),"●","")</x:f>
      </x:c>
      <x:c r="BR372" s="165" t="str">
        <x:f>IF(AND(BR$5&gt;=$C372,BR$5&lt;=$D372,$A372&lt;&gt;""),"●","")</x:f>
      </x:c>
      <x:c r="BS372" s="165" t="str">
        <x:f>IF(AND(BS$5&gt;=$C372,BS$5&lt;=$D372,$A372&lt;&gt;""),"●","")</x:f>
      </x:c>
      <x:c r="BT372" s="165" t="str">
        <x:f>IF(AND(BT$5&gt;=$C372,BT$5&lt;=$D372,$A372&lt;&gt;""),"●","")</x:f>
      </x:c>
      <x:c r="BU372" s="165" t="str">
        <x:f>IF(AND(BU$5&gt;=$C372,BU$5&lt;=$D372,$A372&lt;&gt;""),"●","")</x:f>
      </x:c>
      <x:c r="BV372" s="165" t="str">
        <x:f>IF(AND(BV$5&gt;=$C372,BV$5&lt;=$D372,$A372&lt;&gt;""),"●","")</x:f>
      </x:c>
      <x:c r="BW372" s="165" t="str">
        <x:f>IF(AND(BW$5&gt;=$C372,BW$5&lt;=$D372,$A372&lt;&gt;""),"●","")</x:f>
      </x:c>
    </x:row>
    <x:row r="373">
      <x:c r="A373" s="159" t="str">
        <x:f>IF('รายการสัญญา'!A373="","",'รายการสัญญา'!A373)</x:f>
      </x:c>
      <x:c r="B373" s="159" t="str">
        <x:f>IF('รายการสัญญา'!A373="","",'รายการสัญญา'!C373)</x:f>
      </x:c>
      <x:c r="C373" s="162" t="str">
        <x:f>IF('รายการสัญญา'!A373="","",'รายการสัญญา'!E373)</x:f>
      </x:c>
      <x:c r="D373" s="162" t="str">
        <x:f>IF('รายการสัญญา'!A373="","",'รายการสัญญา'!G373)</x:f>
      </x:c>
      <x:c r="E373" s="159" t="str">
        <x:f>IF('รายการสัญญา'!A373="","",'รายการสัญญา'!K373)</x:f>
      </x:c>
      <x:c r="F373" s="165" t="str">
        <x:f>IF(AND(F$5&gt;=$C373,F$5&lt;=$D373,$A373&lt;&gt;""),"●","")</x:f>
      </x:c>
      <x:c r="G373" s="165" t="str">
        <x:f>IF(AND(G$5&gt;=$C373,G$5&lt;=$D373,$A373&lt;&gt;""),"●","")</x:f>
      </x:c>
      <x:c r="H373" s="165" t="str">
        <x:f>IF(AND(H$5&gt;=$C373,H$5&lt;=$D373,$A373&lt;&gt;""),"●","")</x:f>
      </x:c>
      <x:c r="I373" s="165" t="str">
        <x:f>IF(AND(I$5&gt;=$C373,I$5&lt;=$D373,$A373&lt;&gt;""),"●","")</x:f>
      </x:c>
      <x:c r="J373" s="165" t="str">
        <x:f>IF(AND(J$5&gt;=$C373,J$5&lt;=$D373,$A373&lt;&gt;""),"●","")</x:f>
      </x:c>
      <x:c r="K373" s="165" t="str">
        <x:f>IF(AND(K$5&gt;=$C373,K$5&lt;=$D373,$A373&lt;&gt;""),"●","")</x:f>
      </x:c>
      <x:c r="L373" s="165" t="str">
        <x:f>IF(AND(L$5&gt;=$C373,L$5&lt;=$D373,$A373&lt;&gt;""),"●","")</x:f>
      </x:c>
      <x:c r="M373" s="165" t="str">
        <x:f>IF(AND(M$5&gt;=$C373,M$5&lt;=$D373,$A373&lt;&gt;""),"●","")</x:f>
      </x:c>
      <x:c r="N373" s="165" t="str">
        <x:f>IF(AND(N$5&gt;=$C373,N$5&lt;=$D373,$A373&lt;&gt;""),"●","")</x:f>
      </x:c>
      <x:c r="O373" s="165" t="str">
        <x:f>IF(AND(O$5&gt;=$C373,O$5&lt;=$D373,$A373&lt;&gt;""),"●","")</x:f>
      </x:c>
      <x:c r="P373" s="165" t="str">
        <x:f>IF(AND(P$5&gt;=$C373,P$5&lt;=$D373,$A373&lt;&gt;""),"●","")</x:f>
      </x:c>
      <x:c r="Q373" s="165" t="str">
        <x:f>IF(AND(Q$5&gt;=$C373,Q$5&lt;=$D373,$A373&lt;&gt;""),"●","")</x:f>
      </x:c>
      <x:c r="R373" s="165" t="str">
        <x:f>IF(AND(R$5&gt;=$C373,R$5&lt;=$D373,$A373&lt;&gt;""),"●","")</x:f>
      </x:c>
      <x:c r="S373" s="165" t="str">
        <x:f>IF(AND(S$5&gt;=$C373,S$5&lt;=$D373,$A373&lt;&gt;""),"●","")</x:f>
      </x:c>
      <x:c r="T373" s="165" t="str">
        <x:f>IF(AND(T$5&gt;=$C373,T$5&lt;=$D373,$A373&lt;&gt;""),"●","")</x:f>
      </x:c>
      <x:c r="U373" s="165" t="str">
        <x:f>IF(AND(U$5&gt;=$C373,U$5&lt;=$D373,$A373&lt;&gt;""),"●","")</x:f>
      </x:c>
      <x:c r="V373" s="165" t="str">
        <x:f>IF(AND(V$5&gt;=$C373,V$5&lt;=$D373,$A373&lt;&gt;""),"●","")</x:f>
      </x:c>
      <x:c r="W373" s="165" t="str">
        <x:f>IF(AND(W$5&gt;=$C373,W$5&lt;=$D373,$A373&lt;&gt;""),"●","")</x:f>
      </x:c>
      <x:c r="X373" s="165" t="str">
        <x:f>IF(AND(X$5&gt;=$C373,X$5&lt;=$D373,$A373&lt;&gt;""),"●","")</x:f>
      </x:c>
      <x:c r="Y373" s="165" t="str">
        <x:f>IF(AND(Y$5&gt;=$C373,Y$5&lt;=$D373,$A373&lt;&gt;""),"●","")</x:f>
      </x:c>
      <x:c r="Z373" s="165" t="str">
        <x:f>IF(AND(Z$5&gt;=$C373,Z$5&lt;=$D373,$A373&lt;&gt;""),"●","")</x:f>
      </x:c>
      <x:c r="AA373" s="165" t="str">
        <x:f>IF(AND(AA$5&gt;=$C373,AA$5&lt;=$D373,$A373&lt;&gt;""),"●","")</x:f>
      </x:c>
      <x:c r="AB373" s="165" t="str">
        <x:f>IF(AND(AB$5&gt;=$C373,AB$5&lt;=$D373,$A373&lt;&gt;""),"●","")</x:f>
      </x:c>
      <x:c r="AC373" s="165" t="str">
        <x:f>IF(AND(AC$5&gt;=$C373,AC$5&lt;=$D373,$A373&lt;&gt;""),"●","")</x:f>
      </x:c>
      <x:c r="AD373" s="165" t="str">
        <x:f>IF(AND(AD$5&gt;=$C373,AD$5&lt;=$D373,$A373&lt;&gt;""),"●","")</x:f>
      </x:c>
      <x:c r="AE373" s="165" t="str">
        <x:f>IF(AND(AE$5&gt;=$C373,AE$5&lt;=$D373,$A373&lt;&gt;""),"●","")</x:f>
      </x:c>
      <x:c r="AF373" s="165" t="str">
        <x:f>IF(AND(AF$5&gt;=$C373,AF$5&lt;=$D373,$A373&lt;&gt;""),"●","")</x:f>
      </x:c>
      <x:c r="AG373" s="165" t="str">
        <x:f>IF(AND(AG$5&gt;=$C373,AG$5&lt;=$D373,$A373&lt;&gt;""),"●","")</x:f>
      </x:c>
      <x:c r="AH373" s="165" t="str">
        <x:f>IF(AND(AH$5&gt;=$C373,AH$5&lt;=$D373,$A373&lt;&gt;""),"●","")</x:f>
      </x:c>
      <x:c r="AI373" s="165" t="str">
        <x:f>IF(AND(AI$5&gt;=$C373,AI$5&lt;=$D373,$A373&lt;&gt;""),"●","")</x:f>
      </x:c>
      <x:c r="AJ373" s="165" t="str">
        <x:f>IF(AND(AJ$5&gt;=$C373,AJ$5&lt;=$D373,$A373&lt;&gt;""),"●","")</x:f>
      </x:c>
      <x:c r="AK373" s="165" t="str">
        <x:f>IF(AND(AK$5&gt;=$C373,AK$5&lt;=$D373,$A373&lt;&gt;""),"●","")</x:f>
      </x:c>
      <x:c r="AL373" s="165" t="str">
        <x:f>IF(AND(AL$5&gt;=$C373,AL$5&lt;=$D373,$A373&lt;&gt;""),"●","")</x:f>
      </x:c>
      <x:c r="AM373" s="165" t="str">
        <x:f>IF(AND(AM$5&gt;=$C373,AM$5&lt;=$D373,$A373&lt;&gt;""),"●","")</x:f>
      </x:c>
      <x:c r="AN373" s="165" t="str">
        <x:f>IF(AND(AN$5&gt;=$C373,AN$5&lt;=$D373,$A373&lt;&gt;""),"●","")</x:f>
      </x:c>
      <x:c r="AO373" s="165" t="str">
        <x:f>IF(AND(AO$5&gt;=$C373,AO$5&lt;=$D373,$A373&lt;&gt;""),"●","")</x:f>
      </x:c>
      <x:c r="AP373" s="165" t="str">
        <x:f>IF(AND(AP$5&gt;=$C373,AP$5&lt;=$D373,$A373&lt;&gt;""),"●","")</x:f>
      </x:c>
      <x:c r="AQ373" s="165" t="str">
        <x:f>IF(AND(AQ$5&gt;=$C373,AQ$5&lt;=$D373,$A373&lt;&gt;""),"●","")</x:f>
      </x:c>
      <x:c r="AR373" s="165" t="str">
        <x:f>IF(AND(AR$5&gt;=$C373,AR$5&lt;=$D373,$A373&lt;&gt;""),"●","")</x:f>
      </x:c>
      <x:c r="AS373" s="165" t="str">
        <x:f>IF(AND(AS$5&gt;=$C373,AS$5&lt;=$D373,$A373&lt;&gt;""),"●","")</x:f>
      </x:c>
      <x:c r="AT373" s="165" t="str">
        <x:f>IF(AND(AT$5&gt;=$C373,AT$5&lt;=$D373,$A373&lt;&gt;""),"●","")</x:f>
      </x:c>
      <x:c r="AU373" s="165" t="str">
        <x:f>IF(AND(AU$5&gt;=$C373,AU$5&lt;=$D373,$A373&lt;&gt;""),"●","")</x:f>
      </x:c>
      <x:c r="AV373" s="165" t="str">
        <x:f>IF(AND(AV$5&gt;=$C373,AV$5&lt;=$D373,$A373&lt;&gt;""),"●","")</x:f>
      </x:c>
      <x:c r="AW373" s="165" t="str">
        <x:f>IF(AND(AW$5&gt;=$C373,AW$5&lt;=$D373,$A373&lt;&gt;""),"●","")</x:f>
      </x:c>
      <x:c r="AX373" s="165" t="str">
        <x:f>IF(AND(AX$5&gt;=$C373,AX$5&lt;=$D373,$A373&lt;&gt;""),"●","")</x:f>
      </x:c>
      <x:c r="AY373" s="165" t="str">
        <x:f>IF(AND(AY$5&gt;=$C373,AY$5&lt;=$D373,$A373&lt;&gt;""),"●","")</x:f>
      </x:c>
      <x:c r="AZ373" s="165" t="str">
        <x:f>IF(AND(AZ$5&gt;=$C373,AZ$5&lt;=$D373,$A373&lt;&gt;""),"●","")</x:f>
      </x:c>
      <x:c r="BA373" s="165" t="str">
        <x:f>IF(AND(BA$5&gt;=$C373,BA$5&lt;=$D373,$A373&lt;&gt;""),"●","")</x:f>
      </x:c>
      <x:c r="BB373" s="165" t="str">
        <x:f>IF(AND(BB$5&gt;=$C373,BB$5&lt;=$D373,$A373&lt;&gt;""),"●","")</x:f>
      </x:c>
      <x:c r="BC373" s="165" t="str">
        <x:f>IF(AND(BC$5&gt;=$C373,BC$5&lt;=$D373,$A373&lt;&gt;""),"●","")</x:f>
      </x:c>
      <x:c r="BD373" s="165" t="str">
        <x:f>IF(AND(BD$5&gt;=$C373,BD$5&lt;=$D373,$A373&lt;&gt;""),"●","")</x:f>
      </x:c>
      <x:c r="BE373" s="165" t="str">
        <x:f>IF(AND(BE$5&gt;=$C373,BE$5&lt;=$D373,$A373&lt;&gt;""),"●","")</x:f>
      </x:c>
      <x:c r="BF373" s="165" t="str">
        <x:f>IF(AND(BF$5&gt;=$C373,BF$5&lt;=$D373,$A373&lt;&gt;""),"●","")</x:f>
      </x:c>
      <x:c r="BG373" s="165" t="str">
        <x:f>IF(AND(BG$5&gt;=$C373,BG$5&lt;=$D373,$A373&lt;&gt;""),"●","")</x:f>
      </x:c>
      <x:c r="BH373" s="165" t="str">
        <x:f>IF(AND(BH$5&gt;=$C373,BH$5&lt;=$D373,$A373&lt;&gt;""),"●","")</x:f>
      </x:c>
      <x:c r="BI373" s="165" t="str">
        <x:f>IF(AND(BI$5&gt;=$C373,BI$5&lt;=$D373,$A373&lt;&gt;""),"●","")</x:f>
      </x:c>
      <x:c r="BJ373" s="165" t="str">
        <x:f>IF(AND(BJ$5&gt;=$C373,BJ$5&lt;=$D373,$A373&lt;&gt;""),"●","")</x:f>
      </x:c>
      <x:c r="BK373" s="165" t="str">
        <x:f>IF(AND(BK$5&gt;=$C373,BK$5&lt;=$D373,$A373&lt;&gt;""),"●","")</x:f>
      </x:c>
      <x:c r="BL373" s="165" t="str">
        <x:f>IF(AND(BL$5&gt;=$C373,BL$5&lt;=$D373,$A373&lt;&gt;""),"●","")</x:f>
      </x:c>
      <x:c r="BM373" s="165" t="str">
        <x:f>IF(AND(BM$5&gt;=$C373,BM$5&lt;=$D373,$A373&lt;&gt;""),"●","")</x:f>
      </x:c>
      <x:c r="BN373" s="165" t="str">
        <x:f>IF(AND(BN$5&gt;=$C373,BN$5&lt;=$D373,$A373&lt;&gt;""),"●","")</x:f>
      </x:c>
      <x:c r="BO373" s="165" t="str">
        <x:f>IF(AND(BO$5&gt;=$C373,BO$5&lt;=$D373,$A373&lt;&gt;""),"●","")</x:f>
      </x:c>
      <x:c r="BP373" s="165" t="str">
        <x:f>IF(AND(BP$5&gt;=$C373,BP$5&lt;=$D373,$A373&lt;&gt;""),"●","")</x:f>
      </x:c>
      <x:c r="BQ373" s="165" t="str">
        <x:f>IF(AND(BQ$5&gt;=$C373,BQ$5&lt;=$D373,$A373&lt;&gt;""),"●","")</x:f>
      </x:c>
      <x:c r="BR373" s="165" t="str">
        <x:f>IF(AND(BR$5&gt;=$C373,BR$5&lt;=$D373,$A373&lt;&gt;""),"●","")</x:f>
      </x:c>
      <x:c r="BS373" s="165" t="str">
        <x:f>IF(AND(BS$5&gt;=$C373,BS$5&lt;=$D373,$A373&lt;&gt;""),"●","")</x:f>
      </x:c>
      <x:c r="BT373" s="165" t="str">
        <x:f>IF(AND(BT$5&gt;=$C373,BT$5&lt;=$D373,$A373&lt;&gt;""),"●","")</x:f>
      </x:c>
      <x:c r="BU373" s="165" t="str">
        <x:f>IF(AND(BU$5&gt;=$C373,BU$5&lt;=$D373,$A373&lt;&gt;""),"●","")</x:f>
      </x:c>
      <x:c r="BV373" s="165" t="str">
        <x:f>IF(AND(BV$5&gt;=$C373,BV$5&lt;=$D373,$A373&lt;&gt;""),"●","")</x:f>
      </x:c>
      <x:c r="BW373" s="165" t="str">
        <x:f>IF(AND(BW$5&gt;=$C373,BW$5&lt;=$D373,$A373&lt;&gt;""),"●","")</x:f>
      </x:c>
    </x:row>
    <x:row r="374">
      <x:c r="A374" s="159" t="str">
        <x:f>IF('รายการสัญญา'!A374="","",'รายการสัญญา'!A374)</x:f>
      </x:c>
      <x:c r="B374" s="159" t="str">
        <x:f>IF('รายการสัญญา'!A374="","",'รายการสัญญา'!C374)</x:f>
      </x:c>
      <x:c r="C374" s="162" t="str">
        <x:f>IF('รายการสัญญา'!A374="","",'รายการสัญญา'!E374)</x:f>
      </x:c>
      <x:c r="D374" s="162" t="str">
        <x:f>IF('รายการสัญญา'!A374="","",'รายการสัญญา'!G374)</x:f>
      </x:c>
      <x:c r="E374" s="159" t="str">
        <x:f>IF('รายการสัญญา'!A374="","",'รายการสัญญา'!K374)</x:f>
      </x:c>
      <x:c r="F374" s="165" t="str">
        <x:f>IF(AND(F$5&gt;=$C374,F$5&lt;=$D374,$A374&lt;&gt;""),"●","")</x:f>
      </x:c>
      <x:c r="G374" s="165" t="str">
        <x:f>IF(AND(G$5&gt;=$C374,G$5&lt;=$D374,$A374&lt;&gt;""),"●","")</x:f>
      </x:c>
      <x:c r="H374" s="165" t="str">
        <x:f>IF(AND(H$5&gt;=$C374,H$5&lt;=$D374,$A374&lt;&gt;""),"●","")</x:f>
      </x:c>
      <x:c r="I374" s="165" t="str">
        <x:f>IF(AND(I$5&gt;=$C374,I$5&lt;=$D374,$A374&lt;&gt;""),"●","")</x:f>
      </x:c>
      <x:c r="J374" s="165" t="str">
        <x:f>IF(AND(J$5&gt;=$C374,J$5&lt;=$D374,$A374&lt;&gt;""),"●","")</x:f>
      </x:c>
      <x:c r="K374" s="165" t="str">
        <x:f>IF(AND(K$5&gt;=$C374,K$5&lt;=$D374,$A374&lt;&gt;""),"●","")</x:f>
      </x:c>
      <x:c r="L374" s="165" t="str">
        <x:f>IF(AND(L$5&gt;=$C374,L$5&lt;=$D374,$A374&lt;&gt;""),"●","")</x:f>
      </x:c>
      <x:c r="M374" s="165" t="str">
        <x:f>IF(AND(M$5&gt;=$C374,M$5&lt;=$D374,$A374&lt;&gt;""),"●","")</x:f>
      </x:c>
      <x:c r="N374" s="165" t="str">
        <x:f>IF(AND(N$5&gt;=$C374,N$5&lt;=$D374,$A374&lt;&gt;""),"●","")</x:f>
      </x:c>
      <x:c r="O374" s="165" t="str">
        <x:f>IF(AND(O$5&gt;=$C374,O$5&lt;=$D374,$A374&lt;&gt;""),"●","")</x:f>
      </x:c>
      <x:c r="P374" s="165" t="str">
        <x:f>IF(AND(P$5&gt;=$C374,P$5&lt;=$D374,$A374&lt;&gt;""),"●","")</x:f>
      </x:c>
      <x:c r="Q374" s="165" t="str">
        <x:f>IF(AND(Q$5&gt;=$C374,Q$5&lt;=$D374,$A374&lt;&gt;""),"●","")</x:f>
      </x:c>
      <x:c r="R374" s="165" t="str">
        <x:f>IF(AND(R$5&gt;=$C374,R$5&lt;=$D374,$A374&lt;&gt;""),"●","")</x:f>
      </x:c>
      <x:c r="S374" s="165" t="str">
        <x:f>IF(AND(S$5&gt;=$C374,S$5&lt;=$D374,$A374&lt;&gt;""),"●","")</x:f>
      </x:c>
      <x:c r="T374" s="165" t="str">
        <x:f>IF(AND(T$5&gt;=$C374,T$5&lt;=$D374,$A374&lt;&gt;""),"●","")</x:f>
      </x:c>
      <x:c r="U374" s="165" t="str">
        <x:f>IF(AND(U$5&gt;=$C374,U$5&lt;=$D374,$A374&lt;&gt;""),"●","")</x:f>
      </x:c>
      <x:c r="V374" s="165" t="str">
        <x:f>IF(AND(V$5&gt;=$C374,V$5&lt;=$D374,$A374&lt;&gt;""),"●","")</x:f>
      </x:c>
      <x:c r="W374" s="165" t="str">
        <x:f>IF(AND(W$5&gt;=$C374,W$5&lt;=$D374,$A374&lt;&gt;""),"●","")</x:f>
      </x:c>
      <x:c r="X374" s="165" t="str">
        <x:f>IF(AND(X$5&gt;=$C374,X$5&lt;=$D374,$A374&lt;&gt;""),"●","")</x:f>
      </x:c>
      <x:c r="Y374" s="165" t="str">
        <x:f>IF(AND(Y$5&gt;=$C374,Y$5&lt;=$D374,$A374&lt;&gt;""),"●","")</x:f>
      </x:c>
      <x:c r="Z374" s="165" t="str">
        <x:f>IF(AND(Z$5&gt;=$C374,Z$5&lt;=$D374,$A374&lt;&gt;""),"●","")</x:f>
      </x:c>
      <x:c r="AA374" s="165" t="str">
        <x:f>IF(AND(AA$5&gt;=$C374,AA$5&lt;=$D374,$A374&lt;&gt;""),"●","")</x:f>
      </x:c>
      <x:c r="AB374" s="165" t="str">
        <x:f>IF(AND(AB$5&gt;=$C374,AB$5&lt;=$D374,$A374&lt;&gt;""),"●","")</x:f>
      </x:c>
      <x:c r="AC374" s="165" t="str">
        <x:f>IF(AND(AC$5&gt;=$C374,AC$5&lt;=$D374,$A374&lt;&gt;""),"●","")</x:f>
      </x:c>
      <x:c r="AD374" s="165" t="str">
        <x:f>IF(AND(AD$5&gt;=$C374,AD$5&lt;=$D374,$A374&lt;&gt;""),"●","")</x:f>
      </x:c>
      <x:c r="AE374" s="165" t="str">
        <x:f>IF(AND(AE$5&gt;=$C374,AE$5&lt;=$D374,$A374&lt;&gt;""),"●","")</x:f>
      </x:c>
      <x:c r="AF374" s="165" t="str">
        <x:f>IF(AND(AF$5&gt;=$C374,AF$5&lt;=$D374,$A374&lt;&gt;""),"●","")</x:f>
      </x:c>
      <x:c r="AG374" s="165" t="str">
        <x:f>IF(AND(AG$5&gt;=$C374,AG$5&lt;=$D374,$A374&lt;&gt;""),"●","")</x:f>
      </x:c>
      <x:c r="AH374" s="165" t="str">
        <x:f>IF(AND(AH$5&gt;=$C374,AH$5&lt;=$D374,$A374&lt;&gt;""),"●","")</x:f>
      </x:c>
      <x:c r="AI374" s="165" t="str">
        <x:f>IF(AND(AI$5&gt;=$C374,AI$5&lt;=$D374,$A374&lt;&gt;""),"●","")</x:f>
      </x:c>
      <x:c r="AJ374" s="165" t="str">
        <x:f>IF(AND(AJ$5&gt;=$C374,AJ$5&lt;=$D374,$A374&lt;&gt;""),"●","")</x:f>
      </x:c>
      <x:c r="AK374" s="165" t="str">
        <x:f>IF(AND(AK$5&gt;=$C374,AK$5&lt;=$D374,$A374&lt;&gt;""),"●","")</x:f>
      </x:c>
      <x:c r="AL374" s="165" t="str">
        <x:f>IF(AND(AL$5&gt;=$C374,AL$5&lt;=$D374,$A374&lt;&gt;""),"●","")</x:f>
      </x:c>
      <x:c r="AM374" s="165" t="str">
        <x:f>IF(AND(AM$5&gt;=$C374,AM$5&lt;=$D374,$A374&lt;&gt;""),"●","")</x:f>
      </x:c>
      <x:c r="AN374" s="165" t="str">
        <x:f>IF(AND(AN$5&gt;=$C374,AN$5&lt;=$D374,$A374&lt;&gt;""),"●","")</x:f>
      </x:c>
      <x:c r="AO374" s="165" t="str">
        <x:f>IF(AND(AO$5&gt;=$C374,AO$5&lt;=$D374,$A374&lt;&gt;""),"●","")</x:f>
      </x:c>
      <x:c r="AP374" s="165" t="str">
        <x:f>IF(AND(AP$5&gt;=$C374,AP$5&lt;=$D374,$A374&lt;&gt;""),"●","")</x:f>
      </x:c>
      <x:c r="AQ374" s="165" t="str">
        <x:f>IF(AND(AQ$5&gt;=$C374,AQ$5&lt;=$D374,$A374&lt;&gt;""),"●","")</x:f>
      </x:c>
      <x:c r="AR374" s="165" t="str">
        <x:f>IF(AND(AR$5&gt;=$C374,AR$5&lt;=$D374,$A374&lt;&gt;""),"●","")</x:f>
      </x:c>
      <x:c r="AS374" s="165" t="str">
        <x:f>IF(AND(AS$5&gt;=$C374,AS$5&lt;=$D374,$A374&lt;&gt;""),"●","")</x:f>
      </x:c>
      <x:c r="AT374" s="165" t="str">
        <x:f>IF(AND(AT$5&gt;=$C374,AT$5&lt;=$D374,$A374&lt;&gt;""),"●","")</x:f>
      </x:c>
      <x:c r="AU374" s="165" t="str">
        <x:f>IF(AND(AU$5&gt;=$C374,AU$5&lt;=$D374,$A374&lt;&gt;""),"●","")</x:f>
      </x:c>
      <x:c r="AV374" s="165" t="str">
        <x:f>IF(AND(AV$5&gt;=$C374,AV$5&lt;=$D374,$A374&lt;&gt;""),"●","")</x:f>
      </x:c>
      <x:c r="AW374" s="165" t="str">
        <x:f>IF(AND(AW$5&gt;=$C374,AW$5&lt;=$D374,$A374&lt;&gt;""),"●","")</x:f>
      </x:c>
      <x:c r="AX374" s="165" t="str">
        <x:f>IF(AND(AX$5&gt;=$C374,AX$5&lt;=$D374,$A374&lt;&gt;""),"●","")</x:f>
      </x:c>
      <x:c r="AY374" s="165" t="str">
        <x:f>IF(AND(AY$5&gt;=$C374,AY$5&lt;=$D374,$A374&lt;&gt;""),"●","")</x:f>
      </x:c>
      <x:c r="AZ374" s="165" t="str">
        <x:f>IF(AND(AZ$5&gt;=$C374,AZ$5&lt;=$D374,$A374&lt;&gt;""),"●","")</x:f>
      </x:c>
      <x:c r="BA374" s="165" t="str">
        <x:f>IF(AND(BA$5&gt;=$C374,BA$5&lt;=$D374,$A374&lt;&gt;""),"●","")</x:f>
      </x:c>
      <x:c r="BB374" s="165" t="str">
        <x:f>IF(AND(BB$5&gt;=$C374,BB$5&lt;=$D374,$A374&lt;&gt;""),"●","")</x:f>
      </x:c>
      <x:c r="BC374" s="165" t="str">
        <x:f>IF(AND(BC$5&gt;=$C374,BC$5&lt;=$D374,$A374&lt;&gt;""),"●","")</x:f>
      </x:c>
      <x:c r="BD374" s="165" t="str">
        <x:f>IF(AND(BD$5&gt;=$C374,BD$5&lt;=$D374,$A374&lt;&gt;""),"●","")</x:f>
      </x:c>
      <x:c r="BE374" s="165" t="str">
        <x:f>IF(AND(BE$5&gt;=$C374,BE$5&lt;=$D374,$A374&lt;&gt;""),"●","")</x:f>
      </x:c>
      <x:c r="BF374" s="165" t="str">
        <x:f>IF(AND(BF$5&gt;=$C374,BF$5&lt;=$D374,$A374&lt;&gt;""),"●","")</x:f>
      </x:c>
      <x:c r="BG374" s="165" t="str">
        <x:f>IF(AND(BG$5&gt;=$C374,BG$5&lt;=$D374,$A374&lt;&gt;""),"●","")</x:f>
      </x:c>
      <x:c r="BH374" s="165" t="str">
        <x:f>IF(AND(BH$5&gt;=$C374,BH$5&lt;=$D374,$A374&lt;&gt;""),"●","")</x:f>
      </x:c>
      <x:c r="BI374" s="165" t="str">
        <x:f>IF(AND(BI$5&gt;=$C374,BI$5&lt;=$D374,$A374&lt;&gt;""),"●","")</x:f>
      </x:c>
      <x:c r="BJ374" s="165" t="str">
        <x:f>IF(AND(BJ$5&gt;=$C374,BJ$5&lt;=$D374,$A374&lt;&gt;""),"●","")</x:f>
      </x:c>
      <x:c r="BK374" s="165" t="str">
        <x:f>IF(AND(BK$5&gt;=$C374,BK$5&lt;=$D374,$A374&lt;&gt;""),"●","")</x:f>
      </x:c>
      <x:c r="BL374" s="165" t="str">
        <x:f>IF(AND(BL$5&gt;=$C374,BL$5&lt;=$D374,$A374&lt;&gt;""),"●","")</x:f>
      </x:c>
      <x:c r="BM374" s="165" t="str">
        <x:f>IF(AND(BM$5&gt;=$C374,BM$5&lt;=$D374,$A374&lt;&gt;""),"●","")</x:f>
      </x:c>
      <x:c r="BN374" s="165" t="str">
        <x:f>IF(AND(BN$5&gt;=$C374,BN$5&lt;=$D374,$A374&lt;&gt;""),"●","")</x:f>
      </x:c>
      <x:c r="BO374" s="165" t="str">
        <x:f>IF(AND(BO$5&gt;=$C374,BO$5&lt;=$D374,$A374&lt;&gt;""),"●","")</x:f>
      </x:c>
      <x:c r="BP374" s="165" t="str">
        <x:f>IF(AND(BP$5&gt;=$C374,BP$5&lt;=$D374,$A374&lt;&gt;""),"●","")</x:f>
      </x:c>
      <x:c r="BQ374" s="165" t="str">
        <x:f>IF(AND(BQ$5&gt;=$C374,BQ$5&lt;=$D374,$A374&lt;&gt;""),"●","")</x:f>
      </x:c>
      <x:c r="BR374" s="165" t="str">
        <x:f>IF(AND(BR$5&gt;=$C374,BR$5&lt;=$D374,$A374&lt;&gt;""),"●","")</x:f>
      </x:c>
      <x:c r="BS374" s="165" t="str">
        <x:f>IF(AND(BS$5&gt;=$C374,BS$5&lt;=$D374,$A374&lt;&gt;""),"●","")</x:f>
      </x:c>
      <x:c r="BT374" s="165" t="str">
        <x:f>IF(AND(BT$5&gt;=$C374,BT$5&lt;=$D374,$A374&lt;&gt;""),"●","")</x:f>
      </x:c>
      <x:c r="BU374" s="165" t="str">
        <x:f>IF(AND(BU$5&gt;=$C374,BU$5&lt;=$D374,$A374&lt;&gt;""),"●","")</x:f>
      </x:c>
      <x:c r="BV374" s="165" t="str">
        <x:f>IF(AND(BV$5&gt;=$C374,BV$5&lt;=$D374,$A374&lt;&gt;""),"●","")</x:f>
      </x:c>
      <x:c r="BW374" s="165" t="str">
        <x:f>IF(AND(BW$5&gt;=$C374,BW$5&lt;=$D374,$A374&lt;&gt;""),"●","")</x:f>
      </x:c>
    </x:row>
    <x:row r="375">
      <x:c r="A375" s="159" t="str">
        <x:f>IF('รายการสัญญา'!A375="","",'รายการสัญญา'!A375)</x:f>
      </x:c>
      <x:c r="B375" s="159" t="str">
        <x:f>IF('รายการสัญญา'!A375="","",'รายการสัญญา'!C375)</x:f>
      </x:c>
      <x:c r="C375" s="162" t="str">
        <x:f>IF('รายการสัญญา'!A375="","",'รายการสัญญา'!E375)</x:f>
      </x:c>
      <x:c r="D375" s="162" t="str">
        <x:f>IF('รายการสัญญา'!A375="","",'รายการสัญญา'!G375)</x:f>
      </x:c>
      <x:c r="E375" s="159" t="str">
        <x:f>IF('รายการสัญญา'!A375="","",'รายการสัญญา'!K375)</x:f>
      </x:c>
      <x:c r="F375" s="165" t="str">
        <x:f>IF(AND(F$5&gt;=$C375,F$5&lt;=$D375,$A375&lt;&gt;""),"●","")</x:f>
      </x:c>
      <x:c r="G375" s="165" t="str">
        <x:f>IF(AND(G$5&gt;=$C375,G$5&lt;=$D375,$A375&lt;&gt;""),"●","")</x:f>
      </x:c>
      <x:c r="H375" s="165" t="str">
        <x:f>IF(AND(H$5&gt;=$C375,H$5&lt;=$D375,$A375&lt;&gt;""),"●","")</x:f>
      </x:c>
      <x:c r="I375" s="165" t="str">
        <x:f>IF(AND(I$5&gt;=$C375,I$5&lt;=$D375,$A375&lt;&gt;""),"●","")</x:f>
      </x:c>
      <x:c r="J375" s="165" t="str">
        <x:f>IF(AND(J$5&gt;=$C375,J$5&lt;=$D375,$A375&lt;&gt;""),"●","")</x:f>
      </x:c>
      <x:c r="K375" s="165" t="str">
        <x:f>IF(AND(K$5&gt;=$C375,K$5&lt;=$D375,$A375&lt;&gt;""),"●","")</x:f>
      </x:c>
      <x:c r="L375" s="165" t="str">
        <x:f>IF(AND(L$5&gt;=$C375,L$5&lt;=$D375,$A375&lt;&gt;""),"●","")</x:f>
      </x:c>
      <x:c r="M375" s="165" t="str">
        <x:f>IF(AND(M$5&gt;=$C375,M$5&lt;=$D375,$A375&lt;&gt;""),"●","")</x:f>
      </x:c>
      <x:c r="N375" s="165" t="str">
        <x:f>IF(AND(N$5&gt;=$C375,N$5&lt;=$D375,$A375&lt;&gt;""),"●","")</x:f>
      </x:c>
      <x:c r="O375" s="165" t="str">
        <x:f>IF(AND(O$5&gt;=$C375,O$5&lt;=$D375,$A375&lt;&gt;""),"●","")</x:f>
      </x:c>
      <x:c r="P375" s="165" t="str">
        <x:f>IF(AND(P$5&gt;=$C375,P$5&lt;=$D375,$A375&lt;&gt;""),"●","")</x:f>
      </x:c>
      <x:c r="Q375" s="165" t="str">
        <x:f>IF(AND(Q$5&gt;=$C375,Q$5&lt;=$D375,$A375&lt;&gt;""),"●","")</x:f>
      </x:c>
      <x:c r="R375" s="165" t="str">
        <x:f>IF(AND(R$5&gt;=$C375,R$5&lt;=$D375,$A375&lt;&gt;""),"●","")</x:f>
      </x:c>
      <x:c r="S375" s="165" t="str">
        <x:f>IF(AND(S$5&gt;=$C375,S$5&lt;=$D375,$A375&lt;&gt;""),"●","")</x:f>
      </x:c>
      <x:c r="T375" s="165" t="str">
        <x:f>IF(AND(T$5&gt;=$C375,T$5&lt;=$D375,$A375&lt;&gt;""),"●","")</x:f>
      </x:c>
      <x:c r="U375" s="165" t="str">
        <x:f>IF(AND(U$5&gt;=$C375,U$5&lt;=$D375,$A375&lt;&gt;""),"●","")</x:f>
      </x:c>
      <x:c r="V375" s="165" t="str">
        <x:f>IF(AND(V$5&gt;=$C375,V$5&lt;=$D375,$A375&lt;&gt;""),"●","")</x:f>
      </x:c>
      <x:c r="W375" s="165" t="str">
        <x:f>IF(AND(W$5&gt;=$C375,W$5&lt;=$D375,$A375&lt;&gt;""),"●","")</x:f>
      </x:c>
      <x:c r="X375" s="165" t="str">
        <x:f>IF(AND(X$5&gt;=$C375,X$5&lt;=$D375,$A375&lt;&gt;""),"●","")</x:f>
      </x:c>
      <x:c r="Y375" s="165" t="str">
        <x:f>IF(AND(Y$5&gt;=$C375,Y$5&lt;=$D375,$A375&lt;&gt;""),"●","")</x:f>
      </x:c>
      <x:c r="Z375" s="165" t="str">
        <x:f>IF(AND(Z$5&gt;=$C375,Z$5&lt;=$D375,$A375&lt;&gt;""),"●","")</x:f>
      </x:c>
      <x:c r="AA375" s="165" t="str">
        <x:f>IF(AND(AA$5&gt;=$C375,AA$5&lt;=$D375,$A375&lt;&gt;""),"●","")</x:f>
      </x:c>
      <x:c r="AB375" s="165" t="str">
        <x:f>IF(AND(AB$5&gt;=$C375,AB$5&lt;=$D375,$A375&lt;&gt;""),"●","")</x:f>
      </x:c>
      <x:c r="AC375" s="165" t="str">
        <x:f>IF(AND(AC$5&gt;=$C375,AC$5&lt;=$D375,$A375&lt;&gt;""),"●","")</x:f>
      </x:c>
      <x:c r="AD375" s="165" t="str">
        <x:f>IF(AND(AD$5&gt;=$C375,AD$5&lt;=$D375,$A375&lt;&gt;""),"●","")</x:f>
      </x:c>
      <x:c r="AE375" s="165" t="str">
        <x:f>IF(AND(AE$5&gt;=$C375,AE$5&lt;=$D375,$A375&lt;&gt;""),"●","")</x:f>
      </x:c>
      <x:c r="AF375" s="165" t="str">
        <x:f>IF(AND(AF$5&gt;=$C375,AF$5&lt;=$D375,$A375&lt;&gt;""),"●","")</x:f>
      </x:c>
      <x:c r="AG375" s="165" t="str">
        <x:f>IF(AND(AG$5&gt;=$C375,AG$5&lt;=$D375,$A375&lt;&gt;""),"●","")</x:f>
      </x:c>
      <x:c r="AH375" s="165" t="str">
        <x:f>IF(AND(AH$5&gt;=$C375,AH$5&lt;=$D375,$A375&lt;&gt;""),"●","")</x:f>
      </x:c>
      <x:c r="AI375" s="165" t="str">
        <x:f>IF(AND(AI$5&gt;=$C375,AI$5&lt;=$D375,$A375&lt;&gt;""),"●","")</x:f>
      </x:c>
      <x:c r="AJ375" s="165" t="str">
        <x:f>IF(AND(AJ$5&gt;=$C375,AJ$5&lt;=$D375,$A375&lt;&gt;""),"●","")</x:f>
      </x:c>
      <x:c r="AK375" s="165" t="str">
        <x:f>IF(AND(AK$5&gt;=$C375,AK$5&lt;=$D375,$A375&lt;&gt;""),"●","")</x:f>
      </x:c>
      <x:c r="AL375" s="165" t="str">
        <x:f>IF(AND(AL$5&gt;=$C375,AL$5&lt;=$D375,$A375&lt;&gt;""),"●","")</x:f>
      </x:c>
      <x:c r="AM375" s="165" t="str">
        <x:f>IF(AND(AM$5&gt;=$C375,AM$5&lt;=$D375,$A375&lt;&gt;""),"●","")</x:f>
      </x:c>
      <x:c r="AN375" s="165" t="str">
        <x:f>IF(AND(AN$5&gt;=$C375,AN$5&lt;=$D375,$A375&lt;&gt;""),"●","")</x:f>
      </x:c>
      <x:c r="AO375" s="165" t="str">
        <x:f>IF(AND(AO$5&gt;=$C375,AO$5&lt;=$D375,$A375&lt;&gt;""),"●","")</x:f>
      </x:c>
      <x:c r="AP375" s="165" t="str">
        <x:f>IF(AND(AP$5&gt;=$C375,AP$5&lt;=$D375,$A375&lt;&gt;""),"●","")</x:f>
      </x:c>
      <x:c r="AQ375" s="165" t="str">
        <x:f>IF(AND(AQ$5&gt;=$C375,AQ$5&lt;=$D375,$A375&lt;&gt;""),"●","")</x:f>
      </x:c>
      <x:c r="AR375" s="165" t="str">
        <x:f>IF(AND(AR$5&gt;=$C375,AR$5&lt;=$D375,$A375&lt;&gt;""),"●","")</x:f>
      </x:c>
      <x:c r="AS375" s="165" t="str">
        <x:f>IF(AND(AS$5&gt;=$C375,AS$5&lt;=$D375,$A375&lt;&gt;""),"●","")</x:f>
      </x:c>
      <x:c r="AT375" s="165" t="str">
        <x:f>IF(AND(AT$5&gt;=$C375,AT$5&lt;=$D375,$A375&lt;&gt;""),"●","")</x:f>
      </x:c>
      <x:c r="AU375" s="165" t="str">
        <x:f>IF(AND(AU$5&gt;=$C375,AU$5&lt;=$D375,$A375&lt;&gt;""),"●","")</x:f>
      </x:c>
      <x:c r="AV375" s="165" t="str">
        <x:f>IF(AND(AV$5&gt;=$C375,AV$5&lt;=$D375,$A375&lt;&gt;""),"●","")</x:f>
      </x:c>
      <x:c r="AW375" s="165" t="str">
        <x:f>IF(AND(AW$5&gt;=$C375,AW$5&lt;=$D375,$A375&lt;&gt;""),"●","")</x:f>
      </x:c>
      <x:c r="AX375" s="165" t="str">
        <x:f>IF(AND(AX$5&gt;=$C375,AX$5&lt;=$D375,$A375&lt;&gt;""),"●","")</x:f>
      </x:c>
      <x:c r="AY375" s="165" t="str">
        <x:f>IF(AND(AY$5&gt;=$C375,AY$5&lt;=$D375,$A375&lt;&gt;""),"●","")</x:f>
      </x:c>
      <x:c r="AZ375" s="165" t="str">
        <x:f>IF(AND(AZ$5&gt;=$C375,AZ$5&lt;=$D375,$A375&lt;&gt;""),"●","")</x:f>
      </x:c>
      <x:c r="BA375" s="165" t="str">
        <x:f>IF(AND(BA$5&gt;=$C375,BA$5&lt;=$D375,$A375&lt;&gt;""),"●","")</x:f>
      </x:c>
      <x:c r="BB375" s="165" t="str">
        <x:f>IF(AND(BB$5&gt;=$C375,BB$5&lt;=$D375,$A375&lt;&gt;""),"●","")</x:f>
      </x:c>
      <x:c r="BC375" s="165" t="str">
        <x:f>IF(AND(BC$5&gt;=$C375,BC$5&lt;=$D375,$A375&lt;&gt;""),"●","")</x:f>
      </x:c>
      <x:c r="BD375" s="165" t="str">
        <x:f>IF(AND(BD$5&gt;=$C375,BD$5&lt;=$D375,$A375&lt;&gt;""),"●","")</x:f>
      </x:c>
      <x:c r="BE375" s="165" t="str">
        <x:f>IF(AND(BE$5&gt;=$C375,BE$5&lt;=$D375,$A375&lt;&gt;""),"●","")</x:f>
      </x:c>
      <x:c r="BF375" s="165" t="str">
        <x:f>IF(AND(BF$5&gt;=$C375,BF$5&lt;=$D375,$A375&lt;&gt;""),"●","")</x:f>
      </x:c>
      <x:c r="BG375" s="165" t="str">
        <x:f>IF(AND(BG$5&gt;=$C375,BG$5&lt;=$D375,$A375&lt;&gt;""),"●","")</x:f>
      </x:c>
      <x:c r="BH375" s="165" t="str">
        <x:f>IF(AND(BH$5&gt;=$C375,BH$5&lt;=$D375,$A375&lt;&gt;""),"●","")</x:f>
      </x:c>
      <x:c r="BI375" s="165" t="str">
        <x:f>IF(AND(BI$5&gt;=$C375,BI$5&lt;=$D375,$A375&lt;&gt;""),"●","")</x:f>
      </x:c>
      <x:c r="BJ375" s="165" t="str">
        <x:f>IF(AND(BJ$5&gt;=$C375,BJ$5&lt;=$D375,$A375&lt;&gt;""),"●","")</x:f>
      </x:c>
      <x:c r="BK375" s="165" t="str">
        <x:f>IF(AND(BK$5&gt;=$C375,BK$5&lt;=$D375,$A375&lt;&gt;""),"●","")</x:f>
      </x:c>
      <x:c r="BL375" s="165" t="str">
        <x:f>IF(AND(BL$5&gt;=$C375,BL$5&lt;=$D375,$A375&lt;&gt;""),"●","")</x:f>
      </x:c>
      <x:c r="BM375" s="165" t="str">
        <x:f>IF(AND(BM$5&gt;=$C375,BM$5&lt;=$D375,$A375&lt;&gt;""),"●","")</x:f>
      </x:c>
      <x:c r="BN375" s="165" t="str">
        <x:f>IF(AND(BN$5&gt;=$C375,BN$5&lt;=$D375,$A375&lt;&gt;""),"●","")</x:f>
      </x:c>
      <x:c r="BO375" s="165" t="str">
        <x:f>IF(AND(BO$5&gt;=$C375,BO$5&lt;=$D375,$A375&lt;&gt;""),"●","")</x:f>
      </x:c>
      <x:c r="BP375" s="165" t="str">
        <x:f>IF(AND(BP$5&gt;=$C375,BP$5&lt;=$D375,$A375&lt;&gt;""),"●","")</x:f>
      </x:c>
      <x:c r="BQ375" s="165" t="str">
        <x:f>IF(AND(BQ$5&gt;=$C375,BQ$5&lt;=$D375,$A375&lt;&gt;""),"●","")</x:f>
      </x:c>
      <x:c r="BR375" s="165" t="str">
        <x:f>IF(AND(BR$5&gt;=$C375,BR$5&lt;=$D375,$A375&lt;&gt;""),"●","")</x:f>
      </x:c>
      <x:c r="BS375" s="165" t="str">
        <x:f>IF(AND(BS$5&gt;=$C375,BS$5&lt;=$D375,$A375&lt;&gt;""),"●","")</x:f>
      </x:c>
      <x:c r="BT375" s="165" t="str">
        <x:f>IF(AND(BT$5&gt;=$C375,BT$5&lt;=$D375,$A375&lt;&gt;""),"●","")</x:f>
      </x:c>
      <x:c r="BU375" s="165" t="str">
        <x:f>IF(AND(BU$5&gt;=$C375,BU$5&lt;=$D375,$A375&lt;&gt;""),"●","")</x:f>
      </x:c>
      <x:c r="BV375" s="165" t="str">
        <x:f>IF(AND(BV$5&gt;=$C375,BV$5&lt;=$D375,$A375&lt;&gt;""),"●","")</x:f>
      </x:c>
      <x:c r="BW375" s="165" t="str">
        <x:f>IF(AND(BW$5&gt;=$C375,BW$5&lt;=$D375,$A375&lt;&gt;""),"●","")</x:f>
      </x:c>
    </x:row>
    <x:row r="376">
      <x:c r="A376" s="159" t="str">
        <x:f>IF('รายการสัญญา'!A376="","",'รายการสัญญา'!A376)</x:f>
      </x:c>
      <x:c r="B376" s="159" t="str">
        <x:f>IF('รายการสัญญา'!A376="","",'รายการสัญญา'!C376)</x:f>
      </x:c>
      <x:c r="C376" s="162" t="str">
        <x:f>IF('รายการสัญญา'!A376="","",'รายการสัญญา'!E376)</x:f>
      </x:c>
      <x:c r="D376" s="162" t="str">
        <x:f>IF('รายการสัญญา'!A376="","",'รายการสัญญา'!G376)</x:f>
      </x:c>
      <x:c r="E376" s="159" t="str">
        <x:f>IF('รายการสัญญา'!A376="","",'รายการสัญญา'!K376)</x:f>
      </x:c>
      <x:c r="F376" s="165" t="str">
        <x:f>IF(AND(F$5&gt;=$C376,F$5&lt;=$D376,$A376&lt;&gt;""),"●","")</x:f>
      </x:c>
      <x:c r="G376" s="165" t="str">
        <x:f>IF(AND(G$5&gt;=$C376,G$5&lt;=$D376,$A376&lt;&gt;""),"●","")</x:f>
      </x:c>
      <x:c r="H376" s="165" t="str">
        <x:f>IF(AND(H$5&gt;=$C376,H$5&lt;=$D376,$A376&lt;&gt;""),"●","")</x:f>
      </x:c>
      <x:c r="I376" s="165" t="str">
        <x:f>IF(AND(I$5&gt;=$C376,I$5&lt;=$D376,$A376&lt;&gt;""),"●","")</x:f>
      </x:c>
      <x:c r="J376" s="165" t="str">
        <x:f>IF(AND(J$5&gt;=$C376,J$5&lt;=$D376,$A376&lt;&gt;""),"●","")</x:f>
      </x:c>
      <x:c r="K376" s="165" t="str">
        <x:f>IF(AND(K$5&gt;=$C376,K$5&lt;=$D376,$A376&lt;&gt;""),"●","")</x:f>
      </x:c>
      <x:c r="L376" s="165" t="str">
        <x:f>IF(AND(L$5&gt;=$C376,L$5&lt;=$D376,$A376&lt;&gt;""),"●","")</x:f>
      </x:c>
      <x:c r="M376" s="165" t="str">
        <x:f>IF(AND(M$5&gt;=$C376,M$5&lt;=$D376,$A376&lt;&gt;""),"●","")</x:f>
      </x:c>
      <x:c r="N376" s="165" t="str">
        <x:f>IF(AND(N$5&gt;=$C376,N$5&lt;=$D376,$A376&lt;&gt;""),"●","")</x:f>
      </x:c>
      <x:c r="O376" s="165" t="str">
        <x:f>IF(AND(O$5&gt;=$C376,O$5&lt;=$D376,$A376&lt;&gt;""),"●","")</x:f>
      </x:c>
      <x:c r="P376" s="165" t="str">
        <x:f>IF(AND(P$5&gt;=$C376,P$5&lt;=$D376,$A376&lt;&gt;""),"●","")</x:f>
      </x:c>
      <x:c r="Q376" s="165" t="str">
        <x:f>IF(AND(Q$5&gt;=$C376,Q$5&lt;=$D376,$A376&lt;&gt;""),"●","")</x:f>
      </x:c>
      <x:c r="R376" s="165" t="str">
        <x:f>IF(AND(R$5&gt;=$C376,R$5&lt;=$D376,$A376&lt;&gt;""),"●","")</x:f>
      </x:c>
      <x:c r="S376" s="165" t="str">
        <x:f>IF(AND(S$5&gt;=$C376,S$5&lt;=$D376,$A376&lt;&gt;""),"●","")</x:f>
      </x:c>
      <x:c r="T376" s="165" t="str">
        <x:f>IF(AND(T$5&gt;=$C376,T$5&lt;=$D376,$A376&lt;&gt;""),"●","")</x:f>
      </x:c>
      <x:c r="U376" s="165" t="str">
        <x:f>IF(AND(U$5&gt;=$C376,U$5&lt;=$D376,$A376&lt;&gt;""),"●","")</x:f>
      </x:c>
      <x:c r="V376" s="165" t="str">
        <x:f>IF(AND(V$5&gt;=$C376,V$5&lt;=$D376,$A376&lt;&gt;""),"●","")</x:f>
      </x:c>
      <x:c r="W376" s="165" t="str">
        <x:f>IF(AND(W$5&gt;=$C376,W$5&lt;=$D376,$A376&lt;&gt;""),"●","")</x:f>
      </x:c>
      <x:c r="X376" s="165" t="str">
        <x:f>IF(AND(X$5&gt;=$C376,X$5&lt;=$D376,$A376&lt;&gt;""),"●","")</x:f>
      </x:c>
      <x:c r="Y376" s="165" t="str">
        <x:f>IF(AND(Y$5&gt;=$C376,Y$5&lt;=$D376,$A376&lt;&gt;""),"●","")</x:f>
      </x:c>
      <x:c r="Z376" s="165" t="str">
        <x:f>IF(AND(Z$5&gt;=$C376,Z$5&lt;=$D376,$A376&lt;&gt;""),"●","")</x:f>
      </x:c>
      <x:c r="AA376" s="165" t="str">
        <x:f>IF(AND(AA$5&gt;=$C376,AA$5&lt;=$D376,$A376&lt;&gt;""),"●","")</x:f>
      </x:c>
      <x:c r="AB376" s="165" t="str">
        <x:f>IF(AND(AB$5&gt;=$C376,AB$5&lt;=$D376,$A376&lt;&gt;""),"●","")</x:f>
      </x:c>
      <x:c r="AC376" s="165" t="str">
        <x:f>IF(AND(AC$5&gt;=$C376,AC$5&lt;=$D376,$A376&lt;&gt;""),"●","")</x:f>
      </x:c>
      <x:c r="AD376" s="165" t="str">
        <x:f>IF(AND(AD$5&gt;=$C376,AD$5&lt;=$D376,$A376&lt;&gt;""),"●","")</x:f>
      </x:c>
      <x:c r="AE376" s="165" t="str">
        <x:f>IF(AND(AE$5&gt;=$C376,AE$5&lt;=$D376,$A376&lt;&gt;""),"●","")</x:f>
      </x:c>
      <x:c r="AF376" s="165" t="str">
        <x:f>IF(AND(AF$5&gt;=$C376,AF$5&lt;=$D376,$A376&lt;&gt;""),"●","")</x:f>
      </x:c>
      <x:c r="AG376" s="165" t="str">
        <x:f>IF(AND(AG$5&gt;=$C376,AG$5&lt;=$D376,$A376&lt;&gt;""),"●","")</x:f>
      </x:c>
      <x:c r="AH376" s="165" t="str">
        <x:f>IF(AND(AH$5&gt;=$C376,AH$5&lt;=$D376,$A376&lt;&gt;""),"●","")</x:f>
      </x:c>
      <x:c r="AI376" s="165" t="str">
        <x:f>IF(AND(AI$5&gt;=$C376,AI$5&lt;=$D376,$A376&lt;&gt;""),"●","")</x:f>
      </x:c>
      <x:c r="AJ376" s="165" t="str">
        <x:f>IF(AND(AJ$5&gt;=$C376,AJ$5&lt;=$D376,$A376&lt;&gt;""),"●","")</x:f>
      </x:c>
      <x:c r="AK376" s="165" t="str">
        <x:f>IF(AND(AK$5&gt;=$C376,AK$5&lt;=$D376,$A376&lt;&gt;""),"●","")</x:f>
      </x:c>
      <x:c r="AL376" s="165" t="str">
        <x:f>IF(AND(AL$5&gt;=$C376,AL$5&lt;=$D376,$A376&lt;&gt;""),"●","")</x:f>
      </x:c>
      <x:c r="AM376" s="165" t="str">
        <x:f>IF(AND(AM$5&gt;=$C376,AM$5&lt;=$D376,$A376&lt;&gt;""),"●","")</x:f>
      </x:c>
      <x:c r="AN376" s="165" t="str">
        <x:f>IF(AND(AN$5&gt;=$C376,AN$5&lt;=$D376,$A376&lt;&gt;""),"●","")</x:f>
      </x:c>
      <x:c r="AO376" s="165" t="str">
        <x:f>IF(AND(AO$5&gt;=$C376,AO$5&lt;=$D376,$A376&lt;&gt;""),"●","")</x:f>
      </x:c>
      <x:c r="AP376" s="165" t="str">
        <x:f>IF(AND(AP$5&gt;=$C376,AP$5&lt;=$D376,$A376&lt;&gt;""),"●","")</x:f>
      </x:c>
      <x:c r="AQ376" s="165" t="str">
        <x:f>IF(AND(AQ$5&gt;=$C376,AQ$5&lt;=$D376,$A376&lt;&gt;""),"●","")</x:f>
      </x:c>
      <x:c r="AR376" s="165" t="str">
        <x:f>IF(AND(AR$5&gt;=$C376,AR$5&lt;=$D376,$A376&lt;&gt;""),"●","")</x:f>
      </x:c>
      <x:c r="AS376" s="165" t="str">
        <x:f>IF(AND(AS$5&gt;=$C376,AS$5&lt;=$D376,$A376&lt;&gt;""),"●","")</x:f>
      </x:c>
      <x:c r="AT376" s="165" t="str">
        <x:f>IF(AND(AT$5&gt;=$C376,AT$5&lt;=$D376,$A376&lt;&gt;""),"●","")</x:f>
      </x:c>
      <x:c r="AU376" s="165" t="str">
        <x:f>IF(AND(AU$5&gt;=$C376,AU$5&lt;=$D376,$A376&lt;&gt;""),"●","")</x:f>
      </x:c>
      <x:c r="AV376" s="165" t="str">
        <x:f>IF(AND(AV$5&gt;=$C376,AV$5&lt;=$D376,$A376&lt;&gt;""),"●","")</x:f>
      </x:c>
      <x:c r="AW376" s="165" t="str">
        <x:f>IF(AND(AW$5&gt;=$C376,AW$5&lt;=$D376,$A376&lt;&gt;""),"●","")</x:f>
      </x:c>
      <x:c r="AX376" s="165" t="str">
        <x:f>IF(AND(AX$5&gt;=$C376,AX$5&lt;=$D376,$A376&lt;&gt;""),"●","")</x:f>
      </x:c>
      <x:c r="AY376" s="165" t="str">
        <x:f>IF(AND(AY$5&gt;=$C376,AY$5&lt;=$D376,$A376&lt;&gt;""),"●","")</x:f>
      </x:c>
      <x:c r="AZ376" s="165" t="str">
        <x:f>IF(AND(AZ$5&gt;=$C376,AZ$5&lt;=$D376,$A376&lt;&gt;""),"●","")</x:f>
      </x:c>
      <x:c r="BA376" s="165" t="str">
        <x:f>IF(AND(BA$5&gt;=$C376,BA$5&lt;=$D376,$A376&lt;&gt;""),"●","")</x:f>
      </x:c>
      <x:c r="BB376" s="165" t="str">
        <x:f>IF(AND(BB$5&gt;=$C376,BB$5&lt;=$D376,$A376&lt;&gt;""),"●","")</x:f>
      </x:c>
      <x:c r="BC376" s="165" t="str">
        <x:f>IF(AND(BC$5&gt;=$C376,BC$5&lt;=$D376,$A376&lt;&gt;""),"●","")</x:f>
      </x:c>
      <x:c r="BD376" s="165" t="str">
        <x:f>IF(AND(BD$5&gt;=$C376,BD$5&lt;=$D376,$A376&lt;&gt;""),"●","")</x:f>
      </x:c>
      <x:c r="BE376" s="165" t="str">
        <x:f>IF(AND(BE$5&gt;=$C376,BE$5&lt;=$D376,$A376&lt;&gt;""),"●","")</x:f>
      </x:c>
      <x:c r="BF376" s="165" t="str">
        <x:f>IF(AND(BF$5&gt;=$C376,BF$5&lt;=$D376,$A376&lt;&gt;""),"●","")</x:f>
      </x:c>
      <x:c r="BG376" s="165" t="str">
        <x:f>IF(AND(BG$5&gt;=$C376,BG$5&lt;=$D376,$A376&lt;&gt;""),"●","")</x:f>
      </x:c>
      <x:c r="BH376" s="165" t="str">
        <x:f>IF(AND(BH$5&gt;=$C376,BH$5&lt;=$D376,$A376&lt;&gt;""),"●","")</x:f>
      </x:c>
      <x:c r="BI376" s="165" t="str">
        <x:f>IF(AND(BI$5&gt;=$C376,BI$5&lt;=$D376,$A376&lt;&gt;""),"●","")</x:f>
      </x:c>
      <x:c r="BJ376" s="165" t="str">
        <x:f>IF(AND(BJ$5&gt;=$C376,BJ$5&lt;=$D376,$A376&lt;&gt;""),"●","")</x:f>
      </x:c>
      <x:c r="BK376" s="165" t="str">
        <x:f>IF(AND(BK$5&gt;=$C376,BK$5&lt;=$D376,$A376&lt;&gt;""),"●","")</x:f>
      </x:c>
      <x:c r="BL376" s="165" t="str">
        <x:f>IF(AND(BL$5&gt;=$C376,BL$5&lt;=$D376,$A376&lt;&gt;""),"●","")</x:f>
      </x:c>
      <x:c r="BM376" s="165" t="str">
        <x:f>IF(AND(BM$5&gt;=$C376,BM$5&lt;=$D376,$A376&lt;&gt;""),"●","")</x:f>
      </x:c>
      <x:c r="BN376" s="165" t="str">
        <x:f>IF(AND(BN$5&gt;=$C376,BN$5&lt;=$D376,$A376&lt;&gt;""),"●","")</x:f>
      </x:c>
      <x:c r="BO376" s="165" t="str">
        <x:f>IF(AND(BO$5&gt;=$C376,BO$5&lt;=$D376,$A376&lt;&gt;""),"●","")</x:f>
      </x:c>
      <x:c r="BP376" s="165" t="str">
        <x:f>IF(AND(BP$5&gt;=$C376,BP$5&lt;=$D376,$A376&lt;&gt;""),"●","")</x:f>
      </x:c>
      <x:c r="BQ376" s="165" t="str">
        <x:f>IF(AND(BQ$5&gt;=$C376,BQ$5&lt;=$D376,$A376&lt;&gt;""),"●","")</x:f>
      </x:c>
      <x:c r="BR376" s="165" t="str">
        <x:f>IF(AND(BR$5&gt;=$C376,BR$5&lt;=$D376,$A376&lt;&gt;""),"●","")</x:f>
      </x:c>
      <x:c r="BS376" s="165" t="str">
        <x:f>IF(AND(BS$5&gt;=$C376,BS$5&lt;=$D376,$A376&lt;&gt;""),"●","")</x:f>
      </x:c>
      <x:c r="BT376" s="165" t="str">
        <x:f>IF(AND(BT$5&gt;=$C376,BT$5&lt;=$D376,$A376&lt;&gt;""),"●","")</x:f>
      </x:c>
      <x:c r="BU376" s="165" t="str">
        <x:f>IF(AND(BU$5&gt;=$C376,BU$5&lt;=$D376,$A376&lt;&gt;""),"●","")</x:f>
      </x:c>
      <x:c r="BV376" s="165" t="str">
        <x:f>IF(AND(BV$5&gt;=$C376,BV$5&lt;=$D376,$A376&lt;&gt;""),"●","")</x:f>
      </x:c>
      <x:c r="BW376" s="165" t="str">
        <x:f>IF(AND(BW$5&gt;=$C376,BW$5&lt;=$D376,$A376&lt;&gt;""),"●","")</x:f>
      </x:c>
    </x:row>
    <x:row r="377">
      <x:c r="A377" s="159" t="str">
        <x:f>IF('รายการสัญญา'!A377="","",'รายการสัญญา'!A377)</x:f>
      </x:c>
      <x:c r="B377" s="159" t="str">
        <x:f>IF('รายการสัญญา'!A377="","",'รายการสัญญา'!C377)</x:f>
      </x:c>
      <x:c r="C377" s="162" t="str">
        <x:f>IF('รายการสัญญา'!A377="","",'รายการสัญญา'!E377)</x:f>
      </x:c>
      <x:c r="D377" s="162" t="str">
        <x:f>IF('รายการสัญญา'!A377="","",'รายการสัญญา'!G377)</x:f>
      </x:c>
      <x:c r="E377" s="159" t="str">
        <x:f>IF('รายการสัญญา'!A377="","",'รายการสัญญา'!K377)</x:f>
      </x:c>
      <x:c r="F377" s="165" t="str">
        <x:f>IF(AND(F$5&gt;=$C377,F$5&lt;=$D377,$A377&lt;&gt;""),"●","")</x:f>
      </x:c>
      <x:c r="G377" s="165" t="str">
        <x:f>IF(AND(G$5&gt;=$C377,G$5&lt;=$D377,$A377&lt;&gt;""),"●","")</x:f>
      </x:c>
      <x:c r="H377" s="165" t="str">
        <x:f>IF(AND(H$5&gt;=$C377,H$5&lt;=$D377,$A377&lt;&gt;""),"●","")</x:f>
      </x:c>
      <x:c r="I377" s="165" t="str">
        <x:f>IF(AND(I$5&gt;=$C377,I$5&lt;=$D377,$A377&lt;&gt;""),"●","")</x:f>
      </x:c>
      <x:c r="J377" s="165" t="str">
        <x:f>IF(AND(J$5&gt;=$C377,J$5&lt;=$D377,$A377&lt;&gt;""),"●","")</x:f>
      </x:c>
      <x:c r="K377" s="165" t="str">
        <x:f>IF(AND(K$5&gt;=$C377,K$5&lt;=$D377,$A377&lt;&gt;""),"●","")</x:f>
      </x:c>
      <x:c r="L377" s="165" t="str">
        <x:f>IF(AND(L$5&gt;=$C377,L$5&lt;=$D377,$A377&lt;&gt;""),"●","")</x:f>
      </x:c>
      <x:c r="M377" s="165" t="str">
        <x:f>IF(AND(M$5&gt;=$C377,M$5&lt;=$D377,$A377&lt;&gt;""),"●","")</x:f>
      </x:c>
      <x:c r="N377" s="165" t="str">
        <x:f>IF(AND(N$5&gt;=$C377,N$5&lt;=$D377,$A377&lt;&gt;""),"●","")</x:f>
      </x:c>
      <x:c r="O377" s="165" t="str">
        <x:f>IF(AND(O$5&gt;=$C377,O$5&lt;=$D377,$A377&lt;&gt;""),"●","")</x:f>
      </x:c>
      <x:c r="P377" s="165" t="str">
        <x:f>IF(AND(P$5&gt;=$C377,P$5&lt;=$D377,$A377&lt;&gt;""),"●","")</x:f>
      </x:c>
      <x:c r="Q377" s="165" t="str">
        <x:f>IF(AND(Q$5&gt;=$C377,Q$5&lt;=$D377,$A377&lt;&gt;""),"●","")</x:f>
      </x:c>
      <x:c r="R377" s="165" t="str">
        <x:f>IF(AND(R$5&gt;=$C377,R$5&lt;=$D377,$A377&lt;&gt;""),"●","")</x:f>
      </x:c>
      <x:c r="S377" s="165" t="str">
        <x:f>IF(AND(S$5&gt;=$C377,S$5&lt;=$D377,$A377&lt;&gt;""),"●","")</x:f>
      </x:c>
      <x:c r="T377" s="165" t="str">
        <x:f>IF(AND(T$5&gt;=$C377,T$5&lt;=$D377,$A377&lt;&gt;""),"●","")</x:f>
      </x:c>
      <x:c r="U377" s="165" t="str">
        <x:f>IF(AND(U$5&gt;=$C377,U$5&lt;=$D377,$A377&lt;&gt;""),"●","")</x:f>
      </x:c>
      <x:c r="V377" s="165" t="str">
        <x:f>IF(AND(V$5&gt;=$C377,V$5&lt;=$D377,$A377&lt;&gt;""),"●","")</x:f>
      </x:c>
      <x:c r="W377" s="165" t="str">
        <x:f>IF(AND(W$5&gt;=$C377,W$5&lt;=$D377,$A377&lt;&gt;""),"●","")</x:f>
      </x:c>
      <x:c r="X377" s="165" t="str">
        <x:f>IF(AND(X$5&gt;=$C377,X$5&lt;=$D377,$A377&lt;&gt;""),"●","")</x:f>
      </x:c>
      <x:c r="Y377" s="165" t="str">
        <x:f>IF(AND(Y$5&gt;=$C377,Y$5&lt;=$D377,$A377&lt;&gt;""),"●","")</x:f>
      </x:c>
      <x:c r="Z377" s="165" t="str">
        <x:f>IF(AND(Z$5&gt;=$C377,Z$5&lt;=$D377,$A377&lt;&gt;""),"●","")</x:f>
      </x:c>
      <x:c r="AA377" s="165" t="str">
        <x:f>IF(AND(AA$5&gt;=$C377,AA$5&lt;=$D377,$A377&lt;&gt;""),"●","")</x:f>
      </x:c>
      <x:c r="AB377" s="165" t="str">
        <x:f>IF(AND(AB$5&gt;=$C377,AB$5&lt;=$D377,$A377&lt;&gt;""),"●","")</x:f>
      </x:c>
      <x:c r="AC377" s="165" t="str">
        <x:f>IF(AND(AC$5&gt;=$C377,AC$5&lt;=$D377,$A377&lt;&gt;""),"●","")</x:f>
      </x:c>
      <x:c r="AD377" s="165" t="str">
        <x:f>IF(AND(AD$5&gt;=$C377,AD$5&lt;=$D377,$A377&lt;&gt;""),"●","")</x:f>
      </x:c>
      <x:c r="AE377" s="165" t="str">
        <x:f>IF(AND(AE$5&gt;=$C377,AE$5&lt;=$D377,$A377&lt;&gt;""),"●","")</x:f>
      </x:c>
      <x:c r="AF377" s="165" t="str">
        <x:f>IF(AND(AF$5&gt;=$C377,AF$5&lt;=$D377,$A377&lt;&gt;""),"●","")</x:f>
      </x:c>
      <x:c r="AG377" s="165" t="str">
        <x:f>IF(AND(AG$5&gt;=$C377,AG$5&lt;=$D377,$A377&lt;&gt;""),"●","")</x:f>
      </x:c>
      <x:c r="AH377" s="165" t="str">
        <x:f>IF(AND(AH$5&gt;=$C377,AH$5&lt;=$D377,$A377&lt;&gt;""),"●","")</x:f>
      </x:c>
      <x:c r="AI377" s="165" t="str">
        <x:f>IF(AND(AI$5&gt;=$C377,AI$5&lt;=$D377,$A377&lt;&gt;""),"●","")</x:f>
      </x:c>
      <x:c r="AJ377" s="165" t="str">
        <x:f>IF(AND(AJ$5&gt;=$C377,AJ$5&lt;=$D377,$A377&lt;&gt;""),"●","")</x:f>
      </x:c>
      <x:c r="AK377" s="165" t="str">
        <x:f>IF(AND(AK$5&gt;=$C377,AK$5&lt;=$D377,$A377&lt;&gt;""),"●","")</x:f>
      </x:c>
      <x:c r="AL377" s="165" t="str">
        <x:f>IF(AND(AL$5&gt;=$C377,AL$5&lt;=$D377,$A377&lt;&gt;""),"●","")</x:f>
      </x:c>
      <x:c r="AM377" s="165" t="str">
        <x:f>IF(AND(AM$5&gt;=$C377,AM$5&lt;=$D377,$A377&lt;&gt;""),"●","")</x:f>
      </x:c>
      <x:c r="AN377" s="165" t="str">
        <x:f>IF(AND(AN$5&gt;=$C377,AN$5&lt;=$D377,$A377&lt;&gt;""),"●","")</x:f>
      </x:c>
      <x:c r="AO377" s="165" t="str">
        <x:f>IF(AND(AO$5&gt;=$C377,AO$5&lt;=$D377,$A377&lt;&gt;""),"●","")</x:f>
      </x:c>
      <x:c r="AP377" s="165" t="str">
        <x:f>IF(AND(AP$5&gt;=$C377,AP$5&lt;=$D377,$A377&lt;&gt;""),"●","")</x:f>
      </x:c>
      <x:c r="AQ377" s="165" t="str">
        <x:f>IF(AND(AQ$5&gt;=$C377,AQ$5&lt;=$D377,$A377&lt;&gt;""),"●","")</x:f>
      </x:c>
      <x:c r="AR377" s="165" t="str">
        <x:f>IF(AND(AR$5&gt;=$C377,AR$5&lt;=$D377,$A377&lt;&gt;""),"●","")</x:f>
      </x:c>
      <x:c r="AS377" s="165" t="str">
        <x:f>IF(AND(AS$5&gt;=$C377,AS$5&lt;=$D377,$A377&lt;&gt;""),"●","")</x:f>
      </x:c>
      <x:c r="AT377" s="165" t="str">
        <x:f>IF(AND(AT$5&gt;=$C377,AT$5&lt;=$D377,$A377&lt;&gt;""),"●","")</x:f>
      </x:c>
      <x:c r="AU377" s="165" t="str">
        <x:f>IF(AND(AU$5&gt;=$C377,AU$5&lt;=$D377,$A377&lt;&gt;""),"●","")</x:f>
      </x:c>
      <x:c r="AV377" s="165" t="str">
        <x:f>IF(AND(AV$5&gt;=$C377,AV$5&lt;=$D377,$A377&lt;&gt;""),"●","")</x:f>
      </x:c>
      <x:c r="AW377" s="165" t="str">
        <x:f>IF(AND(AW$5&gt;=$C377,AW$5&lt;=$D377,$A377&lt;&gt;""),"●","")</x:f>
      </x:c>
      <x:c r="AX377" s="165" t="str">
        <x:f>IF(AND(AX$5&gt;=$C377,AX$5&lt;=$D377,$A377&lt;&gt;""),"●","")</x:f>
      </x:c>
      <x:c r="AY377" s="165" t="str">
        <x:f>IF(AND(AY$5&gt;=$C377,AY$5&lt;=$D377,$A377&lt;&gt;""),"●","")</x:f>
      </x:c>
      <x:c r="AZ377" s="165" t="str">
        <x:f>IF(AND(AZ$5&gt;=$C377,AZ$5&lt;=$D377,$A377&lt;&gt;""),"●","")</x:f>
      </x:c>
      <x:c r="BA377" s="165" t="str">
        <x:f>IF(AND(BA$5&gt;=$C377,BA$5&lt;=$D377,$A377&lt;&gt;""),"●","")</x:f>
      </x:c>
      <x:c r="BB377" s="165" t="str">
        <x:f>IF(AND(BB$5&gt;=$C377,BB$5&lt;=$D377,$A377&lt;&gt;""),"●","")</x:f>
      </x:c>
      <x:c r="BC377" s="165" t="str">
        <x:f>IF(AND(BC$5&gt;=$C377,BC$5&lt;=$D377,$A377&lt;&gt;""),"●","")</x:f>
      </x:c>
      <x:c r="BD377" s="165" t="str">
        <x:f>IF(AND(BD$5&gt;=$C377,BD$5&lt;=$D377,$A377&lt;&gt;""),"●","")</x:f>
      </x:c>
      <x:c r="BE377" s="165" t="str">
        <x:f>IF(AND(BE$5&gt;=$C377,BE$5&lt;=$D377,$A377&lt;&gt;""),"●","")</x:f>
      </x:c>
      <x:c r="BF377" s="165" t="str">
        <x:f>IF(AND(BF$5&gt;=$C377,BF$5&lt;=$D377,$A377&lt;&gt;""),"●","")</x:f>
      </x:c>
      <x:c r="BG377" s="165" t="str">
        <x:f>IF(AND(BG$5&gt;=$C377,BG$5&lt;=$D377,$A377&lt;&gt;""),"●","")</x:f>
      </x:c>
      <x:c r="BH377" s="165" t="str">
        <x:f>IF(AND(BH$5&gt;=$C377,BH$5&lt;=$D377,$A377&lt;&gt;""),"●","")</x:f>
      </x:c>
      <x:c r="BI377" s="165" t="str">
        <x:f>IF(AND(BI$5&gt;=$C377,BI$5&lt;=$D377,$A377&lt;&gt;""),"●","")</x:f>
      </x:c>
      <x:c r="BJ377" s="165" t="str">
        <x:f>IF(AND(BJ$5&gt;=$C377,BJ$5&lt;=$D377,$A377&lt;&gt;""),"●","")</x:f>
      </x:c>
      <x:c r="BK377" s="165" t="str">
        <x:f>IF(AND(BK$5&gt;=$C377,BK$5&lt;=$D377,$A377&lt;&gt;""),"●","")</x:f>
      </x:c>
      <x:c r="BL377" s="165" t="str">
        <x:f>IF(AND(BL$5&gt;=$C377,BL$5&lt;=$D377,$A377&lt;&gt;""),"●","")</x:f>
      </x:c>
      <x:c r="BM377" s="165" t="str">
        <x:f>IF(AND(BM$5&gt;=$C377,BM$5&lt;=$D377,$A377&lt;&gt;""),"●","")</x:f>
      </x:c>
      <x:c r="BN377" s="165" t="str">
        <x:f>IF(AND(BN$5&gt;=$C377,BN$5&lt;=$D377,$A377&lt;&gt;""),"●","")</x:f>
      </x:c>
      <x:c r="BO377" s="165" t="str">
        <x:f>IF(AND(BO$5&gt;=$C377,BO$5&lt;=$D377,$A377&lt;&gt;""),"●","")</x:f>
      </x:c>
      <x:c r="BP377" s="165" t="str">
        <x:f>IF(AND(BP$5&gt;=$C377,BP$5&lt;=$D377,$A377&lt;&gt;""),"●","")</x:f>
      </x:c>
      <x:c r="BQ377" s="165" t="str">
        <x:f>IF(AND(BQ$5&gt;=$C377,BQ$5&lt;=$D377,$A377&lt;&gt;""),"●","")</x:f>
      </x:c>
      <x:c r="BR377" s="165" t="str">
        <x:f>IF(AND(BR$5&gt;=$C377,BR$5&lt;=$D377,$A377&lt;&gt;""),"●","")</x:f>
      </x:c>
      <x:c r="BS377" s="165" t="str">
        <x:f>IF(AND(BS$5&gt;=$C377,BS$5&lt;=$D377,$A377&lt;&gt;""),"●","")</x:f>
      </x:c>
      <x:c r="BT377" s="165" t="str">
        <x:f>IF(AND(BT$5&gt;=$C377,BT$5&lt;=$D377,$A377&lt;&gt;""),"●","")</x:f>
      </x:c>
      <x:c r="BU377" s="165" t="str">
        <x:f>IF(AND(BU$5&gt;=$C377,BU$5&lt;=$D377,$A377&lt;&gt;""),"●","")</x:f>
      </x:c>
      <x:c r="BV377" s="165" t="str">
        <x:f>IF(AND(BV$5&gt;=$C377,BV$5&lt;=$D377,$A377&lt;&gt;""),"●","")</x:f>
      </x:c>
      <x:c r="BW377" s="165" t="str">
        <x:f>IF(AND(BW$5&gt;=$C377,BW$5&lt;=$D377,$A377&lt;&gt;""),"●","")</x:f>
      </x:c>
    </x:row>
    <x:row r="378">
      <x:c r="A378" s="159" t="str">
        <x:f>IF('รายการสัญญา'!A378="","",'รายการสัญญา'!A378)</x:f>
      </x:c>
      <x:c r="B378" s="159" t="str">
        <x:f>IF('รายการสัญญา'!A378="","",'รายการสัญญา'!C378)</x:f>
      </x:c>
      <x:c r="C378" s="162" t="str">
        <x:f>IF('รายการสัญญา'!A378="","",'รายการสัญญา'!E378)</x:f>
      </x:c>
      <x:c r="D378" s="162" t="str">
        <x:f>IF('รายการสัญญา'!A378="","",'รายการสัญญา'!G378)</x:f>
      </x:c>
      <x:c r="E378" s="159" t="str">
        <x:f>IF('รายการสัญญา'!A378="","",'รายการสัญญา'!K378)</x:f>
      </x:c>
      <x:c r="F378" s="165" t="str">
        <x:f>IF(AND(F$5&gt;=$C378,F$5&lt;=$D378,$A378&lt;&gt;""),"●","")</x:f>
      </x:c>
      <x:c r="G378" s="165" t="str">
        <x:f>IF(AND(G$5&gt;=$C378,G$5&lt;=$D378,$A378&lt;&gt;""),"●","")</x:f>
      </x:c>
      <x:c r="H378" s="165" t="str">
        <x:f>IF(AND(H$5&gt;=$C378,H$5&lt;=$D378,$A378&lt;&gt;""),"●","")</x:f>
      </x:c>
      <x:c r="I378" s="165" t="str">
        <x:f>IF(AND(I$5&gt;=$C378,I$5&lt;=$D378,$A378&lt;&gt;""),"●","")</x:f>
      </x:c>
      <x:c r="J378" s="165" t="str">
        <x:f>IF(AND(J$5&gt;=$C378,J$5&lt;=$D378,$A378&lt;&gt;""),"●","")</x:f>
      </x:c>
      <x:c r="K378" s="165" t="str">
        <x:f>IF(AND(K$5&gt;=$C378,K$5&lt;=$D378,$A378&lt;&gt;""),"●","")</x:f>
      </x:c>
      <x:c r="L378" s="165" t="str">
        <x:f>IF(AND(L$5&gt;=$C378,L$5&lt;=$D378,$A378&lt;&gt;""),"●","")</x:f>
      </x:c>
      <x:c r="M378" s="165" t="str">
        <x:f>IF(AND(M$5&gt;=$C378,M$5&lt;=$D378,$A378&lt;&gt;""),"●","")</x:f>
      </x:c>
      <x:c r="N378" s="165" t="str">
        <x:f>IF(AND(N$5&gt;=$C378,N$5&lt;=$D378,$A378&lt;&gt;""),"●","")</x:f>
      </x:c>
      <x:c r="O378" s="165" t="str">
        <x:f>IF(AND(O$5&gt;=$C378,O$5&lt;=$D378,$A378&lt;&gt;""),"●","")</x:f>
      </x:c>
      <x:c r="P378" s="165" t="str">
        <x:f>IF(AND(P$5&gt;=$C378,P$5&lt;=$D378,$A378&lt;&gt;""),"●","")</x:f>
      </x:c>
      <x:c r="Q378" s="165" t="str">
        <x:f>IF(AND(Q$5&gt;=$C378,Q$5&lt;=$D378,$A378&lt;&gt;""),"●","")</x:f>
      </x:c>
      <x:c r="R378" s="165" t="str">
        <x:f>IF(AND(R$5&gt;=$C378,R$5&lt;=$D378,$A378&lt;&gt;""),"●","")</x:f>
      </x:c>
      <x:c r="S378" s="165" t="str">
        <x:f>IF(AND(S$5&gt;=$C378,S$5&lt;=$D378,$A378&lt;&gt;""),"●","")</x:f>
      </x:c>
      <x:c r="T378" s="165" t="str">
        <x:f>IF(AND(T$5&gt;=$C378,T$5&lt;=$D378,$A378&lt;&gt;""),"●","")</x:f>
      </x:c>
      <x:c r="U378" s="165" t="str">
        <x:f>IF(AND(U$5&gt;=$C378,U$5&lt;=$D378,$A378&lt;&gt;""),"●","")</x:f>
      </x:c>
      <x:c r="V378" s="165" t="str">
        <x:f>IF(AND(V$5&gt;=$C378,V$5&lt;=$D378,$A378&lt;&gt;""),"●","")</x:f>
      </x:c>
      <x:c r="W378" s="165" t="str">
        <x:f>IF(AND(W$5&gt;=$C378,W$5&lt;=$D378,$A378&lt;&gt;""),"●","")</x:f>
      </x:c>
      <x:c r="X378" s="165" t="str">
        <x:f>IF(AND(X$5&gt;=$C378,X$5&lt;=$D378,$A378&lt;&gt;""),"●","")</x:f>
      </x:c>
      <x:c r="Y378" s="165" t="str">
        <x:f>IF(AND(Y$5&gt;=$C378,Y$5&lt;=$D378,$A378&lt;&gt;""),"●","")</x:f>
      </x:c>
      <x:c r="Z378" s="165" t="str">
        <x:f>IF(AND(Z$5&gt;=$C378,Z$5&lt;=$D378,$A378&lt;&gt;""),"●","")</x:f>
      </x:c>
      <x:c r="AA378" s="165" t="str">
        <x:f>IF(AND(AA$5&gt;=$C378,AA$5&lt;=$D378,$A378&lt;&gt;""),"●","")</x:f>
      </x:c>
      <x:c r="AB378" s="165" t="str">
        <x:f>IF(AND(AB$5&gt;=$C378,AB$5&lt;=$D378,$A378&lt;&gt;""),"●","")</x:f>
      </x:c>
      <x:c r="AC378" s="165" t="str">
        <x:f>IF(AND(AC$5&gt;=$C378,AC$5&lt;=$D378,$A378&lt;&gt;""),"●","")</x:f>
      </x:c>
      <x:c r="AD378" s="165" t="str">
        <x:f>IF(AND(AD$5&gt;=$C378,AD$5&lt;=$D378,$A378&lt;&gt;""),"●","")</x:f>
      </x:c>
      <x:c r="AE378" s="165" t="str">
        <x:f>IF(AND(AE$5&gt;=$C378,AE$5&lt;=$D378,$A378&lt;&gt;""),"●","")</x:f>
      </x:c>
      <x:c r="AF378" s="165" t="str">
        <x:f>IF(AND(AF$5&gt;=$C378,AF$5&lt;=$D378,$A378&lt;&gt;""),"●","")</x:f>
      </x:c>
      <x:c r="AG378" s="165" t="str">
        <x:f>IF(AND(AG$5&gt;=$C378,AG$5&lt;=$D378,$A378&lt;&gt;""),"●","")</x:f>
      </x:c>
      <x:c r="AH378" s="165" t="str">
        <x:f>IF(AND(AH$5&gt;=$C378,AH$5&lt;=$D378,$A378&lt;&gt;""),"●","")</x:f>
      </x:c>
      <x:c r="AI378" s="165" t="str">
        <x:f>IF(AND(AI$5&gt;=$C378,AI$5&lt;=$D378,$A378&lt;&gt;""),"●","")</x:f>
      </x:c>
      <x:c r="AJ378" s="165" t="str">
        <x:f>IF(AND(AJ$5&gt;=$C378,AJ$5&lt;=$D378,$A378&lt;&gt;""),"●","")</x:f>
      </x:c>
      <x:c r="AK378" s="165" t="str">
        <x:f>IF(AND(AK$5&gt;=$C378,AK$5&lt;=$D378,$A378&lt;&gt;""),"●","")</x:f>
      </x:c>
      <x:c r="AL378" s="165" t="str">
        <x:f>IF(AND(AL$5&gt;=$C378,AL$5&lt;=$D378,$A378&lt;&gt;""),"●","")</x:f>
      </x:c>
      <x:c r="AM378" s="165" t="str">
        <x:f>IF(AND(AM$5&gt;=$C378,AM$5&lt;=$D378,$A378&lt;&gt;""),"●","")</x:f>
      </x:c>
      <x:c r="AN378" s="165" t="str">
        <x:f>IF(AND(AN$5&gt;=$C378,AN$5&lt;=$D378,$A378&lt;&gt;""),"●","")</x:f>
      </x:c>
      <x:c r="AO378" s="165" t="str">
        <x:f>IF(AND(AO$5&gt;=$C378,AO$5&lt;=$D378,$A378&lt;&gt;""),"●","")</x:f>
      </x:c>
      <x:c r="AP378" s="165" t="str">
        <x:f>IF(AND(AP$5&gt;=$C378,AP$5&lt;=$D378,$A378&lt;&gt;""),"●","")</x:f>
      </x:c>
      <x:c r="AQ378" s="165" t="str">
        <x:f>IF(AND(AQ$5&gt;=$C378,AQ$5&lt;=$D378,$A378&lt;&gt;""),"●","")</x:f>
      </x:c>
      <x:c r="AR378" s="165" t="str">
        <x:f>IF(AND(AR$5&gt;=$C378,AR$5&lt;=$D378,$A378&lt;&gt;""),"●","")</x:f>
      </x:c>
      <x:c r="AS378" s="165" t="str">
        <x:f>IF(AND(AS$5&gt;=$C378,AS$5&lt;=$D378,$A378&lt;&gt;""),"●","")</x:f>
      </x:c>
      <x:c r="AT378" s="165" t="str">
        <x:f>IF(AND(AT$5&gt;=$C378,AT$5&lt;=$D378,$A378&lt;&gt;""),"●","")</x:f>
      </x:c>
      <x:c r="AU378" s="165" t="str">
        <x:f>IF(AND(AU$5&gt;=$C378,AU$5&lt;=$D378,$A378&lt;&gt;""),"●","")</x:f>
      </x:c>
      <x:c r="AV378" s="165" t="str">
        <x:f>IF(AND(AV$5&gt;=$C378,AV$5&lt;=$D378,$A378&lt;&gt;""),"●","")</x:f>
      </x:c>
      <x:c r="AW378" s="165" t="str">
        <x:f>IF(AND(AW$5&gt;=$C378,AW$5&lt;=$D378,$A378&lt;&gt;""),"●","")</x:f>
      </x:c>
      <x:c r="AX378" s="165" t="str">
        <x:f>IF(AND(AX$5&gt;=$C378,AX$5&lt;=$D378,$A378&lt;&gt;""),"●","")</x:f>
      </x:c>
      <x:c r="AY378" s="165" t="str">
        <x:f>IF(AND(AY$5&gt;=$C378,AY$5&lt;=$D378,$A378&lt;&gt;""),"●","")</x:f>
      </x:c>
      <x:c r="AZ378" s="165" t="str">
        <x:f>IF(AND(AZ$5&gt;=$C378,AZ$5&lt;=$D378,$A378&lt;&gt;""),"●","")</x:f>
      </x:c>
      <x:c r="BA378" s="165" t="str">
        <x:f>IF(AND(BA$5&gt;=$C378,BA$5&lt;=$D378,$A378&lt;&gt;""),"●","")</x:f>
      </x:c>
      <x:c r="BB378" s="165" t="str">
        <x:f>IF(AND(BB$5&gt;=$C378,BB$5&lt;=$D378,$A378&lt;&gt;""),"●","")</x:f>
      </x:c>
      <x:c r="BC378" s="165" t="str">
        <x:f>IF(AND(BC$5&gt;=$C378,BC$5&lt;=$D378,$A378&lt;&gt;""),"●","")</x:f>
      </x:c>
      <x:c r="BD378" s="165" t="str">
        <x:f>IF(AND(BD$5&gt;=$C378,BD$5&lt;=$D378,$A378&lt;&gt;""),"●","")</x:f>
      </x:c>
      <x:c r="BE378" s="165" t="str">
        <x:f>IF(AND(BE$5&gt;=$C378,BE$5&lt;=$D378,$A378&lt;&gt;""),"●","")</x:f>
      </x:c>
      <x:c r="BF378" s="165" t="str">
        <x:f>IF(AND(BF$5&gt;=$C378,BF$5&lt;=$D378,$A378&lt;&gt;""),"●","")</x:f>
      </x:c>
      <x:c r="BG378" s="165" t="str">
        <x:f>IF(AND(BG$5&gt;=$C378,BG$5&lt;=$D378,$A378&lt;&gt;""),"●","")</x:f>
      </x:c>
      <x:c r="BH378" s="165" t="str">
        <x:f>IF(AND(BH$5&gt;=$C378,BH$5&lt;=$D378,$A378&lt;&gt;""),"●","")</x:f>
      </x:c>
      <x:c r="BI378" s="165" t="str">
        <x:f>IF(AND(BI$5&gt;=$C378,BI$5&lt;=$D378,$A378&lt;&gt;""),"●","")</x:f>
      </x:c>
      <x:c r="BJ378" s="165" t="str">
        <x:f>IF(AND(BJ$5&gt;=$C378,BJ$5&lt;=$D378,$A378&lt;&gt;""),"●","")</x:f>
      </x:c>
      <x:c r="BK378" s="165" t="str">
        <x:f>IF(AND(BK$5&gt;=$C378,BK$5&lt;=$D378,$A378&lt;&gt;""),"●","")</x:f>
      </x:c>
      <x:c r="BL378" s="165" t="str">
        <x:f>IF(AND(BL$5&gt;=$C378,BL$5&lt;=$D378,$A378&lt;&gt;""),"●","")</x:f>
      </x:c>
      <x:c r="BM378" s="165" t="str">
        <x:f>IF(AND(BM$5&gt;=$C378,BM$5&lt;=$D378,$A378&lt;&gt;""),"●","")</x:f>
      </x:c>
      <x:c r="BN378" s="165" t="str">
        <x:f>IF(AND(BN$5&gt;=$C378,BN$5&lt;=$D378,$A378&lt;&gt;""),"●","")</x:f>
      </x:c>
      <x:c r="BO378" s="165" t="str">
        <x:f>IF(AND(BO$5&gt;=$C378,BO$5&lt;=$D378,$A378&lt;&gt;""),"●","")</x:f>
      </x:c>
      <x:c r="BP378" s="165" t="str">
        <x:f>IF(AND(BP$5&gt;=$C378,BP$5&lt;=$D378,$A378&lt;&gt;""),"●","")</x:f>
      </x:c>
      <x:c r="BQ378" s="165" t="str">
        <x:f>IF(AND(BQ$5&gt;=$C378,BQ$5&lt;=$D378,$A378&lt;&gt;""),"●","")</x:f>
      </x:c>
      <x:c r="BR378" s="165" t="str">
        <x:f>IF(AND(BR$5&gt;=$C378,BR$5&lt;=$D378,$A378&lt;&gt;""),"●","")</x:f>
      </x:c>
      <x:c r="BS378" s="165" t="str">
        <x:f>IF(AND(BS$5&gt;=$C378,BS$5&lt;=$D378,$A378&lt;&gt;""),"●","")</x:f>
      </x:c>
      <x:c r="BT378" s="165" t="str">
        <x:f>IF(AND(BT$5&gt;=$C378,BT$5&lt;=$D378,$A378&lt;&gt;""),"●","")</x:f>
      </x:c>
      <x:c r="BU378" s="165" t="str">
        <x:f>IF(AND(BU$5&gt;=$C378,BU$5&lt;=$D378,$A378&lt;&gt;""),"●","")</x:f>
      </x:c>
      <x:c r="BV378" s="165" t="str">
        <x:f>IF(AND(BV$5&gt;=$C378,BV$5&lt;=$D378,$A378&lt;&gt;""),"●","")</x:f>
      </x:c>
      <x:c r="BW378" s="165" t="str">
        <x:f>IF(AND(BW$5&gt;=$C378,BW$5&lt;=$D378,$A378&lt;&gt;""),"●","")</x:f>
      </x:c>
    </x:row>
    <x:row r="379">
      <x:c r="A379" s="159" t="str">
        <x:f>IF('รายการสัญญา'!A379="","",'รายการสัญญา'!A379)</x:f>
      </x:c>
      <x:c r="B379" s="159" t="str">
        <x:f>IF('รายการสัญญา'!A379="","",'รายการสัญญา'!C379)</x:f>
      </x:c>
      <x:c r="C379" s="162" t="str">
        <x:f>IF('รายการสัญญา'!A379="","",'รายการสัญญา'!E379)</x:f>
      </x:c>
      <x:c r="D379" s="162" t="str">
        <x:f>IF('รายการสัญญา'!A379="","",'รายการสัญญา'!G379)</x:f>
      </x:c>
      <x:c r="E379" s="159" t="str">
        <x:f>IF('รายการสัญญา'!A379="","",'รายการสัญญา'!K379)</x:f>
      </x:c>
      <x:c r="F379" s="165" t="str">
        <x:f>IF(AND(F$5&gt;=$C379,F$5&lt;=$D379,$A379&lt;&gt;""),"●","")</x:f>
      </x:c>
      <x:c r="G379" s="165" t="str">
        <x:f>IF(AND(G$5&gt;=$C379,G$5&lt;=$D379,$A379&lt;&gt;""),"●","")</x:f>
      </x:c>
      <x:c r="H379" s="165" t="str">
        <x:f>IF(AND(H$5&gt;=$C379,H$5&lt;=$D379,$A379&lt;&gt;""),"●","")</x:f>
      </x:c>
      <x:c r="I379" s="165" t="str">
        <x:f>IF(AND(I$5&gt;=$C379,I$5&lt;=$D379,$A379&lt;&gt;""),"●","")</x:f>
      </x:c>
      <x:c r="J379" s="165" t="str">
        <x:f>IF(AND(J$5&gt;=$C379,J$5&lt;=$D379,$A379&lt;&gt;""),"●","")</x:f>
      </x:c>
      <x:c r="K379" s="165" t="str">
        <x:f>IF(AND(K$5&gt;=$C379,K$5&lt;=$D379,$A379&lt;&gt;""),"●","")</x:f>
      </x:c>
      <x:c r="L379" s="165" t="str">
        <x:f>IF(AND(L$5&gt;=$C379,L$5&lt;=$D379,$A379&lt;&gt;""),"●","")</x:f>
      </x:c>
      <x:c r="M379" s="165" t="str">
        <x:f>IF(AND(M$5&gt;=$C379,M$5&lt;=$D379,$A379&lt;&gt;""),"●","")</x:f>
      </x:c>
      <x:c r="N379" s="165" t="str">
        <x:f>IF(AND(N$5&gt;=$C379,N$5&lt;=$D379,$A379&lt;&gt;""),"●","")</x:f>
      </x:c>
      <x:c r="O379" s="165" t="str">
        <x:f>IF(AND(O$5&gt;=$C379,O$5&lt;=$D379,$A379&lt;&gt;""),"●","")</x:f>
      </x:c>
      <x:c r="P379" s="165" t="str">
        <x:f>IF(AND(P$5&gt;=$C379,P$5&lt;=$D379,$A379&lt;&gt;""),"●","")</x:f>
      </x:c>
      <x:c r="Q379" s="165" t="str">
        <x:f>IF(AND(Q$5&gt;=$C379,Q$5&lt;=$D379,$A379&lt;&gt;""),"●","")</x:f>
      </x:c>
      <x:c r="R379" s="165" t="str">
        <x:f>IF(AND(R$5&gt;=$C379,R$5&lt;=$D379,$A379&lt;&gt;""),"●","")</x:f>
      </x:c>
      <x:c r="S379" s="165" t="str">
        <x:f>IF(AND(S$5&gt;=$C379,S$5&lt;=$D379,$A379&lt;&gt;""),"●","")</x:f>
      </x:c>
      <x:c r="T379" s="165" t="str">
        <x:f>IF(AND(T$5&gt;=$C379,T$5&lt;=$D379,$A379&lt;&gt;""),"●","")</x:f>
      </x:c>
      <x:c r="U379" s="165" t="str">
        <x:f>IF(AND(U$5&gt;=$C379,U$5&lt;=$D379,$A379&lt;&gt;""),"●","")</x:f>
      </x:c>
      <x:c r="V379" s="165" t="str">
        <x:f>IF(AND(V$5&gt;=$C379,V$5&lt;=$D379,$A379&lt;&gt;""),"●","")</x:f>
      </x:c>
      <x:c r="W379" s="165" t="str">
        <x:f>IF(AND(W$5&gt;=$C379,W$5&lt;=$D379,$A379&lt;&gt;""),"●","")</x:f>
      </x:c>
      <x:c r="X379" s="165" t="str">
        <x:f>IF(AND(X$5&gt;=$C379,X$5&lt;=$D379,$A379&lt;&gt;""),"●","")</x:f>
      </x:c>
      <x:c r="Y379" s="165" t="str">
        <x:f>IF(AND(Y$5&gt;=$C379,Y$5&lt;=$D379,$A379&lt;&gt;""),"●","")</x:f>
      </x:c>
      <x:c r="Z379" s="165" t="str">
        <x:f>IF(AND(Z$5&gt;=$C379,Z$5&lt;=$D379,$A379&lt;&gt;""),"●","")</x:f>
      </x:c>
      <x:c r="AA379" s="165" t="str">
        <x:f>IF(AND(AA$5&gt;=$C379,AA$5&lt;=$D379,$A379&lt;&gt;""),"●","")</x:f>
      </x:c>
      <x:c r="AB379" s="165" t="str">
        <x:f>IF(AND(AB$5&gt;=$C379,AB$5&lt;=$D379,$A379&lt;&gt;""),"●","")</x:f>
      </x:c>
      <x:c r="AC379" s="165" t="str">
        <x:f>IF(AND(AC$5&gt;=$C379,AC$5&lt;=$D379,$A379&lt;&gt;""),"●","")</x:f>
      </x:c>
      <x:c r="AD379" s="165" t="str">
        <x:f>IF(AND(AD$5&gt;=$C379,AD$5&lt;=$D379,$A379&lt;&gt;""),"●","")</x:f>
      </x:c>
      <x:c r="AE379" s="165" t="str">
        <x:f>IF(AND(AE$5&gt;=$C379,AE$5&lt;=$D379,$A379&lt;&gt;""),"●","")</x:f>
      </x:c>
      <x:c r="AF379" s="165" t="str">
        <x:f>IF(AND(AF$5&gt;=$C379,AF$5&lt;=$D379,$A379&lt;&gt;""),"●","")</x:f>
      </x:c>
      <x:c r="AG379" s="165" t="str">
        <x:f>IF(AND(AG$5&gt;=$C379,AG$5&lt;=$D379,$A379&lt;&gt;""),"●","")</x:f>
      </x:c>
      <x:c r="AH379" s="165" t="str">
        <x:f>IF(AND(AH$5&gt;=$C379,AH$5&lt;=$D379,$A379&lt;&gt;""),"●","")</x:f>
      </x:c>
      <x:c r="AI379" s="165" t="str">
        <x:f>IF(AND(AI$5&gt;=$C379,AI$5&lt;=$D379,$A379&lt;&gt;""),"●","")</x:f>
      </x:c>
      <x:c r="AJ379" s="165" t="str">
        <x:f>IF(AND(AJ$5&gt;=$C379,AJ$5&lt;=$D379,$A379&lt;&gt;""),"●","")</x:f>
      </x:c>
      <x:c r="AK379" s="165" t="str">
        <x:f>IF(AND(AK$5&gt;=$C379,AK$5&lt;=$D379,$A379&lt;&gt;""),"●","")</x:f>
      </x:c>
      <x:c r="AL379" s="165" t="str">
        <x:f>IF(AND(AL$5&gt;=$C379,AL$5&lt;=$D379,$A379&lt;&gt;""),"●","")</x:f>
      </x:c>
      <x:c r="AM379" s="165" t="str">
        <x:f>IF(AND(AM$5&gt;=$C379,AM$5&lt;=$D379,$A379&lt;&gt;""),"●","")</x:f>
      </x:c>
      <x:c r="AN379" s="165" t="str">
        <x:f>IF(AND(AN$5&gt;=$C379,AN$5&lt;=$D379,$A379&lt;&gt;""),"●","")</x:f>
      </x:c>
      <x:c r="AO379" s="165" t="str">
        <x:f>IF(AND(AO$5&gt;=$C379,AO$5&lt;=$D379,$A379&lt;&gt;""),"●","")</x:f>
      </x:c>
      <x:c r="AP379" s="165" t="str">
        <x:f>IF(AND(AP$5&gt;=$C379,AP$5&lt;=$D379,$A379&lt;&gt;""),"●","")</x:f>
      </x:c>
      <x:c r="AQ379" s="165" t="str">
        <x:f>IF(AND(AQ$5&gt;=$C379,AQ$5&lt;=$D379,$A379&lt;&gt;""),"●","")</x:f>
      </x:c>
      <x:c r="AR379" s="165" t="str">
        <x:f>IF(AND(AR$5&gt;=$C379,AR$5&lt;=$D379,$A379&lt;&gt;""),"●","")</x:f>
      </x:c>
      <x:c r="AS379" s="165" t="str">
        <x:f>IF(AND(AS$5&gt;=$C379,AS$5&lt;=$D379,$A379&lt;&gt;""),"●","")</x:f>
      </x:c>
      <x:c r="AT379" s="165" t="str">
        <x:f>IF(AND(AT$5&gt;=$C379,AT$5&lt;=$D379,$A379&lt;&gt;""),"●","")</x:f>
      </x:c>
      <x:c r="AU379" s="165" t="str">
        <x:f>IF(AND(AU$5&gt;=$C379,AU$5&lt;=$D379,$A379&lt;&gt;""),"●","")</x:f>
      </x:c>
      <x:c r="AV379" s="165" t="str">
        <x:f>IF(AND(AV$5&gt;=$C379,AV$5&lt;=$D379,$A379&lt;&gt;""),"●","")</x:f>
      </x:c>
      <x:c r="AW379" s="165" t="str">
        <x:f>IF(AND(AW$5&gt;=$C379,AW$5&lt;=$D379,$A379&lt;&gt;""),"●","")</x:f>
      </x:c>
      <x:c r="AX379" s="165" t="str">
        <x:f>IF(AND(AX$5&gt;=$C379,AX$5&lt;=$D379,$A379&lt;&gt;""),"●","")</x:f>
      </x:c>
      <x:c r="AY379" s="165" t="str">
        <x:f>IF(AND(AY$5&gt;=$C379,AY$5&lt;=$D379,$A379&lt;&gt;""),"●","")</x:f>
      </x:c>
      <x:c r="AZ379" s="165" t="str">
        <x:f>IF(AND(AZ$5&gt;=$C379,AZ$5&lt;=$D379,$A379&lt;&gt;""),"●","")</x:f>
      </x:c>
      <x:c r="BA379" s="165" t="str">
        <x:f>IF(AND(BA$5&gt;=$C379,BA$5&lt;=$D379,$A379&lt;&gt;""),"●","")</x:f>
      </x:c>
      <x:c r="BB379" s="165" t="str">
        <x:f>IF(AND(BB$5&gt;=$C379,BB$5&lt;=$D379,$A379&lt;&gt;""),"●","")</x:f>
      </x:c>
      <x:c r="BC379" s="165" t="str">
        <x:f>IF(AND(BC$5&gt;=$C379,BC$5&lt;=$D379,$A379&lt;&gt;""),"●","")</x:f>
      </x:c>
      <x:c r="BD379" s="165" t="str">
        <x:f>IF(AND(BD$5&gt;=$C379,BD$5&lt;=$D379,$A379&lt;&gt;""),"●","")</x:f>
      </x:c>
      <x:c r="BE379" s="165" t="str">
        <x:f>IF(AND(BE$5&gt;=$C379,BE$5&lt;=$D379,$A379&lt;&gt;""),"●","")</x:f>
      </x:c>
      <x:c r="BF379" s="165" t="str">
        <x:f>IF(AND(BF$5&gt;=$C379,BF$5&lt;=$D379,$A379&lt;&gt;""),"●","")</x:f>
      </x:c>
      <x:c r="BG379" s="165" t="str">
        <x:f>IF(AND(BG$5&gt;=$C379,BG$5&lt;=$D379,$A379&lt;&gt;""),"●","")</x:f>
      </x:c>
      <x:c r="BH379" s="165" t="str">
        <x:f>IF(AND(BH$5&gt;=$C379,BH$5&lt;=$D379,$A379&lt;&gt;""),"●","")</x:f>
      </x:c>
      <x:c r="BI379" s="165" t="str">
        <x:f>IF(AND(BI$5&gt;=$C379,BI$5&lt;=$D379,$A379&lt;&gt;""),"●","")</x:f>
      </x:c>
      <x:c r="BJ379" s="165" t="str">
        <x:f>IF(AND(BJ$5&gt;=$C379,BJ$5&lt;=$D379,$A379&lt;&gt;""),"●","")</x:f>
      </x:c>
      <x:c r="BK379" s="165" t="str">
        <x:f>IF(AND(BK$5&gt;=$C379,BK$5&lt;=$D379,$A379&lt;&gt;""),"●","")</x:f>
      </x:c>
      <x:c r="BL379" s="165" t="str">
        <x:f>IF(AND(BL$5&gt;=$C379,BL$5&lt;=$D379,$A379&lt;&gt;""),"●","")</x:f>
      </x:c>
      <x:c r="BM379" s="165" t="str">
        <x:f>IF(AND(BM$5&gt;=$C379,BM$5&lt;=$D379,$A379&lt;&gt;""),"●","")</x:f>
      </x:c>
      <x:c r="BN379" s="165" t="str">
        <x:f>IF(AND(BN$5&gt;=$C379,BN$5&lt;=$D379,$A379&lt;&gt;""),"●","")</x:f>
      </x:c>
      <x:c r="BO379" s="165" t="str">
        <x:f>IF(AND(BO$5&gt;=$C379,BO$5&lt;=$D379,$A379&lt;&gt;""),"●","")</x:f>
      </x:c>
      <x:c r="BP379" s="165" t="str">
        <x:f>IF(AND(BP$5&gt;=$C379,BP$5&lt;=$D379,$A379&lt;&gt;""),"●","")</x:f>
      </x:c>
      <x:c r="BQ379" s="165" t="str">
        <x:f>IF(AND(BQ$5&gt;=$C379,BQ$5&lt;=$D379,$A379&lt;&gt;""),"●","")</x:f>
      </x:c>
      <x:c r="BR379" s="165" t="str">
        <x:f>IF(AND(BR$5&gt;=$C379,BR$5&lt;=$D379,$A379&lt;&gt;""),"●","")</x:f>
      </x:c>
      <x:c r="BS379" s="165" t="str">
        <x:f>IF(AND(BS$5&gt;=$C379,BS$5&lt;=$D379,$A379&lt;&gt;""),"●","")</x:f>
      </x:c>
      <x:c r="BT379" s="165" t="str">
        <x:f>IF(AND(BT$5&gt;=$C379,BT$5&lt;=$D379,$A379&lt;&gt;""),"●","")</x:f>
      </x:c>
      <x:c r="BU379" s="165" t="str">
        <x:f>IF(AND(BU$5&gt;=$C379,BU$5&lt;=$D379,$A379&lt;&gt;""),"●","")</x:f>
      </x:c>
      <x:c r="BV379" s="165" t="str">
        <x:f>IF(AND(BV$5&gt;=$C379,BV$5&lt;=$D379,$A379&lt;&gt;""),"●","")</x:f>
      </x:c>
      <x:c r="BW379" s="165" t="str">
        <x:f>IF(AND(BW$5&gt;=$C379,BW$5&lt;=$D379,$A379&lt;&gt;""),"●","")</x:f>
      </x:c>
    </x:row>
    <x:row r="380">
      <x:c r="A380" s="159" t="str">
        <x:f>IF('รายการสัญญา'!A380="","",'รายการสัญญา'!A380)</x:f>
      </x:c>
      <x:c r="B380" s="159" t="str">
        <x:f>IF('รายการสัญญา'!A380="","",'รายการสัญญา'!C380)</x:f>
      </x:c>
      <x:c r="C380" s="162" t="str">
        <x:f>IF('รายการสัญญา'!A380="","",'รายการสัญญา'!E380)</x:f>
      </x:c>
      <x:c r="D380" s="162" t="str">
        <x:f>IF('รายการสัญญา'!A380="","",'รายการสัญญา'!G380)</x:f>
      </x:c>
      <x:c r="E380" s="159" t="str">
        <x:f>IF('รายการสัญญา'!A380="","",'รายการสัญญา'!K380)</x:f>
      </x:c>
      <x:c r="F380" s="165" t="str">
        <x:f>IF(AND(F$5&gt;=$C380,F$5&lt;=$D380,$A380&lt;&gt;""),"●","")</x:f>
      </x:c>
      <x:c r="G380" s="165" t="str">
        <x:f>IF(AND(G$5&gt;=$C380,G$5&lt;=$D380,$A380&lt;&gt;""),"●","")</x:f>
      </x:c>
      <x:c r="H380" s="165" t="str">
        <x:f>IF(AND(H$5&gt;=$C380,H$5&lt;=$D380,$A380&lt;&gt;""),"●","")</x:f>
      </x:c>
      <x:c r="I380" s="165" t="str">
        <x:f>IF(AND(I$5&gt;=$C380,I$5&lt;=$D380,$A380&lt;&gt;""),"●","")</x:f>
      </x:c>
      <x:c r="J380" s="165" t="str">
        <x:f>IF(AND(J$5&gt;=$C380,J$5&lt;=$D380,$A380&lt;&gt;""),"●","")</x:f>
      </x:c>
      <x:c r="K380" s="165" t="str">
        <x:f>IF(AND(K$5&gt;=$C380,K$5&lt;=$D380,$A380&lt;&gt;""),"●","")</x:f>
      </x:c>
      <x:c r="L380" s="165" t="str">
        <x:f>IF(AND(L$5&gt;=$C380,L$5&lt;=$D380,$A380&lt;&gt;""),"●","")</x:f>
      </x:c>
      <x:c r="M380" s="165" t="str">
        <x:f>IF(AND(M$5&gt;=$C380,M$5&lt;=$D380,$A380&lt;&gt;""),"●","")</x:f>
      </x:c>
      <x:c r="N380" s="165" t="str">
        <x:f>IF(AND(N$5&gt;=$C380,N$5&lt;=$D380,$A380&lt;&gt;""),"●","")</x:f>
      </x:c>
      <x:c r="O380" s="165" t="str">
        <x:f>IF(AND(O$5&gt;=$C380,O$5&lt;=$D380,$A380&lt;&gt;""),"●","")</x:f>
      </x:c>
      <x:c r="P380" s="165" t="str">
        <x:f>IF(AND(P$5&gt;=$C380,P$5&lt;=$D380,$A380&lt;&gt;""),"●","")</x:f>
      </x:c>
      <x:c r="Q380" s="165" t="str">
        <x:f>IF(AND(Q$5&gt;=$C380,Q$5&lt;=$D380,$A380&lt;&gt;""),"●","")</x:f>
      </x:c>
      <x:c r="R380" s="165" t="str">
        <x:f>IF(AND(R$5&gt;=$C380,R$5&lt;=$D380,$A380&lt;&gt;""),"●","")</x:f>
      </x:c>
      <x:c r="S380" s="165" t="str">
        <x:f>IF(AND(S$5&gt;=$C380,S$5&lt;=$D380,$A380&lt;&gt;""),"●","")</x:f>
      </x:c>
      <x:c r="T380" s="165" t="str">
        <x:f>IF(AND(T$5&gt;=$C380,T$5&lt;=$D380,$A380&lt;&gt;""),"●","")</x:f>
      </x:c>
      <x:c r="U380" s="165" t="str">
        <x:f>IF(AND(U$5&gt;=$C380,U$5&lt;=$D380,$A380&lt;&gt;""),"●","")</x:f>
      </x:c>
      <x:c r="V380" s="165" t="str">
        <x:f>IF(AND(V$5&gt;=$C380,V$5&lt;=$D380,$A380&lt;&gt;""),"●","")</x:f>
      </x:c>
      <x:c r="W380" s="165" t="str">
        <x:f>IF(AND(W$5&gt;=$C380,W$5&lt;=$D380,$A380&lt;&gt;""),"●","")</x:f>
      </x:c>
      <x:c r="X380" s="165" t="str">
        <x:f>IF(AND(X$5&gt;=$C380,X$5&lt;=$D380,$A380&lt;&gt;""),"●","")</x:f>
      </x:c>
      <x:c r="Y380" s="165" t="str">
        <x:f>IF(AND(Y$5&gt;=$C380,Y$5&lt;=$D380,$A380&lt;&gt;""),"●","")</x:f>
      </x:c>
      <x:c r="Z380" s="165" t="str">
        <x:f>IF(AND(Z$5&gt;=$C380,Z$5&lt;=$D380,$A380&lt;&gt;""),"●","")</x:f>
      </x:c>
      <x:c r="AA380" s="165" t="str">
        <x:f>IF(AND(AA$5&gt;=$C380,AA$5&lt;=$D380,$A380&lt;&gt;""),"●","")</x:f>
      </x:c>
      <x:c r="AB380" s="165" t="str">
        <x:f>IF(AND(AB$5&gt;=$C380,AB$5&lt;=$D380,$A380&lt;&gt;""),"●","")</x:f>
      </x:c>
      <x:c r="AC380" s="165" t="str">
        <x:f>IF(AND(AC$5&gt;=$C380,AC$5&lt;=$D380,$A380&lt;&gt;""),"●","")</x:f>
      </x:c>
      <x:c r="AD380" s="165" t="str">
        <x:f>IF(AND(AD$5&gt;=$C380,AD$5&lt;=$D380,$A380&lt;&gt;""),"●","")</x:f>
      </x:c>
      <x:c r="AE380" s="165" t="str">
        <x:f>IF(AND(AE$5&gt;=$C380,AE$5&lt;=$D380,$A380&lt;&gt;""),"●","")</x:f>
      </x:c>
      <x:c r="AF380" s="165" t="str">
        <x:f>IF(AND(AF$5&gt;=$C380,AF$5&lt;=$D380,$A380&lt;&gt;""),"●","")</x:f>
      </x:c>
      <x:c r="AG380" s="165" t="str">
        <x:f>IF(AND(AG$5&gt;=$C380,AG$5&lt;=$D380,$A380&lt;&gt;""),"●","")</x:f>
      </x:c>
      <x:c r="AH380" s="165" t="str">
        <x:f>IF(AND(AH$5&gt;=$C380,AH$5&lt;=$D380,$A380&lt;&gt;""),"●","")</x:f>
      </x:c>
      <x:c r="AI380" s="165" t="str">
        <x:f>IF(AND(AI$5&gt;=$C380,AI$5&lt;=$D380,$A380&lt;&gt;""),"●","")</x:f>
      </x:c>
      <x:c r="AJ380" s="165" t="str">
        <x:f>IF(AND(AJ$5&gt;=$C380,AJ$5&lt;=$D380,$A380&lt;&gt;""),"●","")</x:f>
      </x:c>
      <x:c r="AK380" s="165" t="str">
        <x:f>IF(AND(AK$5&gt;=$C380,AK$5&lt;=$D380,$A380&lt;&gt;""),"●","")</x:f>
      </x:c>
      <x:c r="AL380" s="165" t="str">
        <x:f>IF(AND(AL$5&gt;=$C380,AL$5&lt;=$D380,$A380&lt;&gt;""),"●","")</x:f>
      </x:c>
      <x:c r="AM380" s="165" t="str">
        <x:f>IF(AND(AM$5&gt;=$C380,AM$5&lt;=$D380,$A380&lt;&gt;""),"●","")</x:f>
      </x:c>
      <x:c r="AN380" s="165" t="str">
        <x:f>IF(AND(AN$5&gt;=$C380,AN$5&lt;=$D380,$A380&lt;&gt;""),"●","")</x:f>
      </x:c>
      <x:c r="AO380" s="165" t="str">
        <x:f>IF(AND(AO$5&gt;=$C380,AO$5&lt;=$D380,$A380&lt;&gt;""),"●","")</x:f>
      </x:c>
      <x:c r="AP380" s="165" t="str">
        <x:f>IF(AND(AP$5&gt;=$C380,AP$5&lt;=$D380,$A380&lt;&gt;""),"●","")</x:f>
      </x:c>
      <x:c r="AQ380" s="165" t="str">
        <x:f>IF(AND(AQ$5&gt;=$C380,AQ$5&lt;=$D380,$A380&lt;&gt;""),"●","")</x:f>
      </x:c>
      <x:c r="AR380" s="165" t="str">
        <x:f>IF(AND(AR$5&gt;=$C380,AR$5&lt;=$D380,$A380&lt;&gt;""),"●","")</x:f>
      </x:c>
      <x:c r="AS380" s="165" t="str">
        <x:f>IF(AND(AS$5&gt;=$C380,AS$5&lt;=$D380,$A380&lt;&gt;""),"●","")</x:f>
      </x:c>
      <x:c r="AT380" s="165" t="str">
        <x:f>IF(AND(AT$5&gt;=$C380,AT$5&lt;=$D380,$A380&lt;&gt;""),"●","")</x:f>
      </x:c>
      <x:c r="AU380" s="165" t="str">
        <x:f>IF(AND(AU$5&gt;=$C380,AU$5&lt;=$D380,$A380&lt;&gt;""),"●","")</x:f>
      </x:c>
      <x:c r="AV380" s="165" t="str">
        <x:f>IF(AND(AV$5&gt;=$C380,AV$5&lt;=$D380,$A380&lt;&gt;""),"●","")</x:f>
      </x:c>
      <x:c r="AW380" s="165" t="str">
        <x:f>IF(AND(AW$5&gt;=$C380,AW$5&lt;=$D380,$A380&lt;&gt;""),"●","")</x:f>
      </x:c>
      <x:c r="AX380" s="165" t="str">
        <x:f>IF(AND(AX$5&gt;=$C380,AX$5&lt;=$D380,$A380&lt;&gt;""),"●","")</x:f>
      </x:c>
      <x:c r="AY380" s="165" t="str">
        <x:f>IF(AND(AY$5&gt;=$C380,AY$5&lt;=$D380,$A380&lt;&gt;""),"●","")</x:f>
      </x:c>
      <x:c r="AZ380" s="165" t="str">
        <x:f>IF(AND(AZ$5&gt;=$C380,AZ$5&lt;=$D380,$A380&lt;&gt;""),"●","")</x:f>
      </x:c>
      <x:c r="BA380" s="165" t="str">
        <x:f>IF(AND(BA$5&gt;=$C380,BA$5&lt;=$D380,$A380&lt;&gt;""),"●","")</x:f>
      </x:c>
      <x:c r="BB380" s="165" t="str">
        <x:f>IF(AND(BB$5&gt;=$C380,BB$5&lt;=$D380,$A380&lt;&gt;""),"●","")</x:f>
      </x:c>
      <x:c r="BC380" s="165" t="str">
        <x:f>IF(AND(BC$5&gt;=$C380,BC$5&lt;=$D380,$A380&lt;&gt;""),"●","")</x:f>
      </x:c>
      <x:c r="BD380" s="165" t="str">
        <x:f>IF(AND(BD$5&gt;=$C380,BD$5&lt;=$D380,$A380&lt;&gt;""),"●","")</x:f>
      </x:c>
      <x:c r="BE380" s="165" t="str">
        <x:f>IF(AND(BE$5&gt;=$C380,BE$5&lt;=$D380,$A380&lt;&gt;""),"●","")</x:f>
      </x:c>
      <x:c r="BF380" s="165" t="str">
        <x:f>IF(AND(BF$5&gt;=$C380,BF$5&lt;=$D380,$A380&lt;&gt;""),"●","")</x:f>
      </x:c>
      <x:c r="BG380" s="165" t="str">
        <x:f>IF(AND(BG$5&gt;=$C380,BG$5&lt;=$D380,$A380&lt;&gt;""),"●","")</x:f>
      </x:c>
      <x:c r="BH380" s="165" t="str">
        <x:f>IF(AND(BH$5&gt;=$C380,BH$5&lt;=$D380,$A380&lt;&gt;""),"●","")</x:f>
      </x:c>
      <x:c r="BI380" s="165" t="str">
        <x:f>IF(AND(BI$5&gt;=$C380,BI$5&lt;=$D380,$A380&lt;&gt;""),"●","")</x:f>
      </x:c>
      <x:c r="BJ380" s="165" t="str">
        <x:f>IF(AND(BJ$5&gt;=$C380,BJ$5&lt;=$D380,$A380&lt;&gt;""),"●","")</x:f>
      </x:c>
      <x:c r="BK380" s="165" t="str">
        <x:f>IF(AND(BK$5&gt;=$C380,BK$5&lt;=$D380,$A380&lt;&gt;""),"●","")</x:f>
      </x:c>
      <x:c r="BL380" s="165" t="str">
        <x:f>IF(AND(BL$5&gt;=$C380,BL$5&lt;=$D380,$A380&lt;&gt;""),"●","")</x:f>
      </x:c>
      <x:c r="BM380" s="165" t="str">
        <x:f>IF(AND(BM$5&gt;=$C380,BM$5&lt;=$D380,$A380&lt;&gt;""),"●","")</x:f>
      </x:c>
      <x:c r="BN380" s="165" t="str">
        <x:f>IF(AND(BN$5&gt;=$C380,BN$5&lt;=$D380,$A380&lt;&gt;""),"●","")</x:f>
      </x:c>
      <x:c r="BO380" s="165" t="str">
        <x:f>IF(AND(BO$5&gt;=$C380,BO$5&lt;=$D380,$A380&lt;&gt;""),"●","")</x:f>
      </x:c>
      <x:c r="BP380" s="165" t="str">
        <x:f>IF(AND(BP$5&gt;=$C380,BP$5&lt;=$D380,$A380&lt;&gt;""),"●","")</x:f>
      </x:c>
      <x:c r="BQ380" s="165" t="str">
        <x:f>IF(AND(BQ$5&gt;=$C380,BQ$5&lt;=$D380,$A380&lt;&gt;""),"●","")</x:f>
      </x:c>
      <x:c r="BR380" s="165" t="str">
        <x:f>IF(AND(BR$5&gt;=$C380,BR$5&lt;=$D380,$A380&lt;&gt;""),"●","")</x:f>
      </x:c>
      <x:c r="BS380" s="165" t="str">
        <x:f>IF(AND(BS$5&gt;=$C380,BS$5&lt;=$D380,$A380&lt;&gt;""),"●","")</x:f>
      </x:c>
      <x:c r="BT380" s="165" t="str">
        <x:f>IF(AND(BT$5&gt;=$C380,BT$5&lt;=$D380,$A380&lt;&gt;""),"●","")</x:f>
      </x:c>
      <x:c r="BU380" s="165" t="str">
        <x:f>IF(AND(BU$5&gt;=$C380,BU$5&lt;=$D380,$A380&lt;&gt;""),"●","")</x:f>
      </x:c>
      <x:c r="BV380" s="165" t="str">
        <x:f>IF(AND(BV$5&gt;=$C380,BV$5&lt;=$D380,$A380&lt;&gt;""),"●","")</x:f>
      </x:c>
      <x:c r="BW380" s="165" t="str">
        <x:f>IF(AND(BW$5&gt;=$C380,BW$5&lt;=$D380,$A380&lt;&gt;""),"●","")</x:f>
      </x:c>
    </x:row>
    <x:row r="381">
      <x:c r="A381" s="159" t="str">
        <x:f>IF('รายการสัญญา'!A381="","",'รายการสัญญา'!A381)</x:f>
      </x:c>
      <x:c r="B381" s="159" t="str">
        <x:f>IF('รายการสัญญา'!A381="","",'รายการสัญญา'!C381)</x:f>
      </x:c>
      <x:c r="C381" s="162" t="str">
        <x:f>IF('รายการสัญญา'!A381="","",'รายการสัญญา'!E381)</x:f>
      </x:c>
      <x:c r="D381" s="162" t="str">
        <x:f>IF('รายการสัญญา'!A381="","",'รายการสัญญา'!G381)</x:f>
      </x:c>
      <x:c r="E381" s="159" t="str">
        <x:f>IF('รายการสัญญา'!A381="","",'รายการสัญญา'!K381)</x:f>
      </x:c>
      <x:c r="F381" s="165" t="str">
        <x:f>IF(AND(F$5&gt;=$C381,F$5&lt;=$D381,$A381&lt;&gt;""),"●","")</x:f>
      </x:c>
      <x:c r="G381" s="165" t="str">
        <x:f>IF(AND(G$5&gt;=$C381,G$5&lt;=$D381,$A381&lt;&gt;""),"●","")</x:f>
      </x:c>
      <x:c r="H381" s="165" t="str">
        <x:f>IF(AND(H$5&gt;=$C381,H$5&lt;=$D381,$A381&lt;&gt;""),"●","")</x:f>
      </x:c>
      <x:c r="I381" s="165" t="str">
        <x:f>IF(AND(I$5&gt;=$C381,I$5&lt;=$D381,$A381&lt;&gt;""),"●","")</x:f>
      </x:c>
      <x:c r="J381" s="165" t="str">
        <x:f>IF(AND(J$5&gt;=$C381,J$5&lt;=$D381,$A381&lt;&gt;""),"●","")</x:f>
      </x:c>
      <x:c r="K381" s="165" t="str">
        <x:f>IF(AND(K$5&gt;=$C381,K$5&lt;=$D381,$A381&lt;&gt;""),"●","")</x:f>
      </x:c>
      <x:c r="L381" s="165" t="str">
        <x:f>IF(AND(L$5&gt;=$C381,L$5&lt;=$D381,$A381&lt;&gt;""),"●","")</x:f>
      </x:c>
      <x:c r="M381" s="165" t="str">
        <x:f>IF(AND(M$5&gt;=$C381,M$5&lt;=$D381,$A381&lt;&gt;""),"●","")</x:f>
      </x:c>
      <x:c r="N381" s="165" t="str">
        <x:f>IF(AND(N$5&gt;=$C381,N$5&lt;=$D381,$A381&lt;&gt;""),"●","")</x:f>
      </x:c>
      <x:c r="O381" s="165" t="str">
        <x:f>IF(AND(O$5&gt;=$C381,O$5&lt;=$D381,$A381&lt;&gt;""),"●","")</x:f>
      </x:c>
      <x:c r="P381" s="165" t="str">
        <x:f>IF(AND(P$5&gt;=$C381,P$5&lt;=$D381,$A381&lt;&gt;""),"●","")</x:f>
      </x:c>
      <x:c r="Q381" s="165" t="str">
        <x:f>IF(AND(Q$5&gt;=$C381,Q$5&lt;=$D381,$A381&lt;&gt;""),"●","")</x:f>
      </x:c>
      <x:c r="R381" s="165" t="str">
        <x:f>IF(AND(R$5&gt;=$C381,R$5&lt;=$D381,$A381&lt;&gt;""),"●","")</x:f>
      </x:c>
      <x:c r="S381" s="165" t="str">
        <x:f>IF(AND(S$5&gt;=$C381,S$5&lt;=$D381,$A381&lt;&gt;""),"●","")</x:f>
      </x:c>
      <x:c r="T381" s="165" t="str">
        <x:f>IF(AND(T$5&gt;=$C381,T$5&lt;=$D381,$A381&lt;&gt;""),"●","")</x:f>
      </x:c>
      <x:c r="U381" s="165" t="str">
        <x:f>IF(AND(U$5&gt;=$C381,U$5&lt;=$D381,$A381&lt;&gt;""),"●","")</x:f>
      </x:c>
      <x:c r="V381" s="165" t="str">
        <x:f>IF(AND(V$5&gt;=$C381,V$5&lt;=$D381,$A381&lt;&gt;""),"●","")</x:f>
      </x:c>
      <x:c r="W381" s="165" t="str">
        <x:f>IF(AND(W$5&gt;=$C381,W$5&lt;=$D381,$A381&lt;&gt;""),"●","")</x:f>
      </x:c>
      <x:c r="X381" s="165" t="str">
        <x:f>IF(AND(X$5&gt;=$C381,X$5&lt;=$D381,$A381&lt;&gt;""),"●","")</x:f>
      </x:c>
      <x:c r="Y381" s="165" t="str">
        <x:f>IF(AND(Y$5&gt;=$C381,Y$5&lt;=$D381,$A381&lt;&gt;""),"●","")</x:f>
      </x:c>
      <x:c r="Z381" s="165" t="str">
        <x:f>IF(AND(Z$5&gt;=$C381,Z$5&lt;=$D381,$A381&lt;&gt;""),"●","")</x:f>
      </x:c>
      <x:c r="AA381" s="165" t="str">
        <x:f>IF(AND(AA$5&gt;=$C381,AA$5&lt;=$D381,$A381&lt;&gt;""),"●","")</x:f>
      </x:c>
      <x:c r="AB381" s="165" t="str">
        <x:f>IF(AND(AB$5&gt;=$C381,AB$5&lt;=$D381,$A381&lt;&gt;""),"●","")</x:f>
      </x:c>
      <x:c r="AC381" s="165" t="str">
        <x:f>IF(AND(AC$5&gt;=$C381,AC$5&lt;=$D381,$A381&lt;&gt;""),"●","")</x:f>
      </x:c>
      <x:c r="AD381" s="165" t="str">
        <x:f>IF(AND(AD$5&gt;=$C381,AD$5&lt;=$D381,$A381&lt;&gt;""),"●","")</x:f>
      </x:c>
      <x:c r="AE381" s="165" t="str">
        <x:f>IF(AND(AE$5&gt;=$C381,AE$5&lt;=$D381,$A381&lt;&gt;""),"●","")</x:f>
      </x:c>
      <x:c r="AF381" s="165" t="str">
        <x:f>IF(AND(AF$5&gt;=$C381,AF$5&lt;=$D381,$A381&lt;&gt;""),"●","")</x:f>
      </x:c>
      <x:c r="AG381" s="165" t="str">
        <x:f>IF(AND(AG$5&gt;=$C381,AG$5&lt;=$D381,$A381&lt;&gt;""),"●","")</x:f>
      </x:c>
      <x:c r="AH381" s="165" t="str">
        <x:f>IF(AND(AH$5&gt;=$C381,AH$5&lt;=$D381,$A381&lt;&gt;""),"●","")</x:f>
      </x:c>
      <x:c r="AI381" s="165" t="str">
        <x:f>IF(AND(AI$5&gt;=$C381,AI$5&lt;=$D381,$A381&lt;&gt;""),"●","")</x:f>
      </x:c>
      <x:c r="AJ381" s="165" t="str">
        <x:f>IF(AND(AJ$5&gt;=$C381,AJ$5&lt;=$D381,$A381&lt;&gt;""),"●","")</x:f>
      </x:c>
      <x:c r="AK381" s="165" t="str">
        <x:f>IF(AND(AK$5&gt;=$C381,AK$5&lt;=$D381,$A381&lt;&gt;""),"●","")</x:f>
      </x:c>
      <x:c r="AL381" s="165" t="str">
        <x:f>IF(AND(AL$5&gt;=$C381,AL$5&lt;=$D381,$A381&lt;&gt;""),"●","")</x:f>
      </x:c>
      <x:c r="AM381" s="165" t="str">
        <x:f>IF(AND(AM$5&gt;=$C381,AM$5&lt;=$D381,$A381&lt;&gt;""),"●","")</x:f>
      </x:c>
      <x:c r="AN381" s="165" t="str">
        <x:f>IF(AND(AN$5&gt;=$C381,AN$5&lt;=$D381,$A381&lt;&gt;""),"●","")</x:f>
      </x:c>
      <x:c r="AO381" s="165" t="str">
        <x:f>IF(AND(AO$5&gt;=$C381,AO$5&lt;=$D381,$A381&lt;&gt;""),"●","")</x:f>
      </x:c>
      <x:c r="AP381" s="165" t="str">
        <x:f>IF(AND(AP$5&gt;=$C381,AP$5&lt;=$D381,$A381&lt;&gt;""),"●","")</x:f>
      </x:c>
      <x:c r="AQ381" s="165" t="str">
        <x:f>IF(AND(AQ$5&gt;=$C381,AQ$5&lt;=$D381,$A381&lt;&gt;""),"●","")</x:f>
      </x:c>
      <x:c r="AR381" s="165" t="str">
        <x:f>IF(AND(AR$5&gt;=$C381,AR$5&lt;=$D381,$A381&lt;&gt;""),"●","")</x:f>
      </x:c>
      <x:c r="AS381" s="165" t="str">
        <x:f>IF(AND(AS$5&gt;=$C381,AS$5&lt;=$D381,$A381&lt;&gt;""),"●","")</x:f>
      </x:c>
      <x:c r="AT381" s="165" t="str">
        <x:f>IF(AND(AT$5&gt;=$C381,AT$5&lt;=$D381,$A381&lt;&gt;""),"●","")</x:f>
      </x:c>
      <x:c r="AU381" s="165" t="str">
        <x:f>IF(AND(AU$5&gt;=$C381,AU$5&lt;=$D381,$A381&lt;&gt;""),"●","")</x:f>
      </x:c>
      <x:c r="AV381" s="165" t="str">
        <x:f>IF(AND(AV$5&gt;=$C381,AV$5&lt;=$D381,$A381&lt;&gt;""),"●","")</x:f>
      </x:c>
      <x:c r="AW381" s="165" t="str">
        <x:f>IF(AND(AW$5&gt;=$C381,AW$5&lt;=$D381,$A381&lt;&gt;""),"●","")</x:f>
      </x:c>
      <x:c r="AX381" s="165" t="str">
        <x:f>IF(AND(AX$5&gt;=$C381,AX$5&lt;=$D381,$A381&lt;&gt;""),"●","")</x:f>
      </x:c>
      <x:c r="AY381" s="165" t="str">
        <x:f>IF(AND(AY$5&gt;=$C381,AY$5&lt;=$D381,$A381&lt;&gt;""),"●","")</x:f>
      </x:c>
      <x:c r="AZ381" s="165" t="str">
        <x:f>IF(AND(AZ$5&gt;=$C381,AZ$5&lt;=$D381,$A381&lt;&gt;""),"●","")</x:f>
      </x:c>
      <x:c r="BA381" s="165" t="str">
        <x:f>IF(AND(BA$5&gt;=$C381,BA$5&lt;=$D381,$A381&lt;&gt;""),"●","")</x:f>
      </x:c>
      <x:c r="BB381" s="165" t="str">
        <x:f>IF(AND(BB$5&gt;=$C381,BB$5&lt;=$D381,$A381&lt;&gt;""),"●","")</x:f>
      </x:c>
      <x:c r="BC381" s="165" t="str">
        <x:f>IF(AND(BC$5&gt;=$C381,BC$5&lt;=$D381,$A381&lt;&gt;""),"●","")</x:f>
      </x:c>
      <x:c r="BD381" s="165" t="str">
        <x:f>IF(AND(BD$5&gt;=$C381,BD$5&lt;=$D381,$A381&lt;&gt;""),"●","")</x:f>
      </x:c>
      <x:c r="BE381" s="165" t="str">
        <x:f>IF(AND(BE$5&gt;=$C381,BE$5&lt;=$D381,$A381&lt;&gt;""),"●","")</x:f>
      </x:c>
      <x:c r="BF381" s="165" t="str">
        <x:f>IF(AND(BF$5&gt;=$C381,BF$5&lt;=$D381,$A381&lt;&gt;""),"●","")</x:f>
      </x:c>
      <x:c r="BG381" s="165" t="str">
        <x:f>IF(AND(BG$5&gt;=$C381,BG$5&lt;=$D381,$A381&lt;&gt;""),"●","")</x:f>
      </x:c>
      <x:c r="BH381" s="165" t="str">
        <x:f>IF(AND(BH$5&gt;=$C381,BH$5&lt;=$D381,$A381&lt;&gt;""),"●","")</x:f>
      </x:c>
      <x:c r="BI381" s="165" t="str">
        <x:f>IF(AND(BI$5&gt;=$C381,BI$5&lt;=$D381,$A381&lt;&gt;""),"●","")</x:f>
      </x:c>
      <x:c r="BJ381" s="165" t="str">
        <x:f>IF(AND(BJ$5&gt;=$C381,BJ$5&lt;=$D381,$A381&lt;&gt;""),"●","")</x:f>
      </x:c>
      <x:c r="BK381" s="165" t="str">
        <x:f>IF(AND(BK$5&gt;=$C381,BK$5&lt;=$D381,$A381&lt;&gt;""),"●","")</x:f>
      </x:c>
      <x:c r="BL381" s="165" t="str">
        <x:f>IF(AND(BL$5&gt;=$C381,BL$5&lt;=$D381,$A381&lt;&gt;""),"●","")</x:f>
      </x:c>
      <x:c r="BM381" s="165" t="str">
        <x:f>IF(AND(BM$5&gt;=$C381,BM$5&lt;=$D381,$A381&lt;&gt;""),"●","")</x:f>
      </x:c>
      <x:c r="BN381" s="165" t="str">
        <x:f>IF(AND(BN$5&gt;=$C381,BN$5&lt;=$D381,$A381&lt;&gt;""),"●","")</x:f>
      </x:c>
      <x:c r="BO381" s="165" t="str">
        <x:f>IF(AND(BO$5&gt;=$C381,BO$5&lt;=$D381,$A381&lt;&gt;""),"●","")</x:f>
      </x:c>
      <x:c r="BP381" s="165" t="str">
        <x:f>IF(AND(BP$5&gt;=$C381,BP$5&lt;=$D381,$A381&lt;&gt;""),"●","")</x:f>
      </x:c>
      <x:c r="BQ381" s="165" t="str">
        <x:f>IF(AND(BQ$5&gt;=$C381,BQ$5&lt;=$D381,$A381&lt;&gt;""),"●","")</x:f>
      </x:c>
      <x:c r="BR381" s="165" t="str">
        <x:f>IF(AND(BR$5&gt;=$C381,BR$5&lt;=$D381,$A381&lt;&gt;""),"●","")</x:f>
      </x:c>
      <x:c r="BS381" s="165" t="str">
        <x:f>IF(AND(BS$5&gt;=$C381,BS$5&lt;=$D381,$A381&lt;&gt;""),"●","")</x:f>
      </x:c>
      <x:c r="BT381" s="165" t="str">
        <x:f>IF(AND(BT$5&gt;=$C381,BT$5&lt;=$D381,$A381&lt;&gt;""),"●","")</x:f>
      </x:c>
      <x:c r="BU381" s="165" t="str">
        <x:f>IF(AND(BU$5&gt;=$C381,BU$5&lt;=$D381,$A381&lt;&gt;""),"●","")</x:f>
      </x:c>
      <x:c r="BV381" s="165" t="str">
        <x:f>IF(AND(BV$5&gt;=$C381,BV$5&lt;=$D381,$A381&lt;&gt;""),"●","")</x:f>
      </x:c>
      <x:c r="BW381" s="165" t="str">
        <x:f>IF(AND(BW$5&gt;=$C381,BW$5&lt;=$D381,$A381&lt;&gt;""),"●","")</x:f>
      </x:c>
    </x:row>
    <x:row r="382">
      <x:c r="A382" s="159" t="str">
        <x:f>IF('รายการสัญญา'!A382="","",'รายการสัญญา'!A382)</x:f>
      </x:c>
      <x:c r="B382" s="159" t="str">
        <x:f>IF('รายการสัญญา'!A382="","",'รายการสัญญา'!C382)</x:f>
      </x:c>
      <x:c r="C382" s="162" t="str">
        <x:f>IF('รายการสัญญา'!A382="","",'รายการสัญญา'!E382)</x:f>
      </x:c>
      <x:c r="D382" s="162" t="str">
        <x:f>IF('รายการสัญญา'!A382="","",'รายการสัญญา'!G382)</x:f>
      </x:c>
      <x:c r="E382" s="159" t="str">
        <x:f>IF('รายการสัญญา'!A382="","",'รายการสัญญา'!K382)</x:f>
      </x:c>
      <x:c r="F382" s="165" t="str">
        <x:f>IF(AND(F$5&gt;=$C382,F$5&lt;=$D382,$A382&lt;&gt;""),"●","")</x:f>
      </x:c>
      <x:c r="G382" s="165" t="str">
        <x:f>IF(AND(G$5&gt;=$C382,G$5&lt;=$D382,$A382&lt;&gt;""),"●","")</x:f>
      </x:c>
      <x:c r="H382" s="165" t="str">
        <x:f>IF(AND(H$5&gt;=$C382,H$5&lt;=$D382,$A382&lt;&gt;""),"●","")</x:f>
      </x:c>
      <x:c r="I382" s="165" t="str">
        <x:f>IF(AND(I$5&gt;=$C382,I$5&lt;=$D382,$A382&lt;&gt;""),"●","")</x:f>
      </x:c>
      <x:c r="J382" s="165" t="str">
        <x:f>IF(AND(J$5&gt;=$C382,J$5&lt;=$D382,$A382&lt;&gt;""),"●","")</x:f>
      </x:c>
      <x:c r="K382" s="165" t="str">
        <x:f>IF(AND(K$5&gt;=$C382,K$5&lt;=$D382,$A382&lt;&gt;""),"●","")</x:f>
      </x:c>
      <x:c r="L382" s="165" t="str">
        <x:f>IF(AND(L$5&gt;=$C382,L$5&lt;=$D382,$A382&lt;&gt;""),"●","")</x:f>
      </x:c>
      <x:c r="M382" s="165" t="str">
        <x:f>IF(AND(M$5&gt;=$C382,M$5&lt;=$D382,$A382&lt;&gt;""),"●","")</x:f>
      </x:c>
      <x:c r="N382" s="165" t="str">
        <x:f>IF(AND(N$5&gt;=$C382,N$5&lt;=$D382,$A382&lt;&gt;""),"●","")</x:f>
      </x:c>
      <x:c r="O382" s="165" t="str">
        <x:f>IF(AND(O$5&gt;=$C382,O$5&lt;=$D382,$A382&lt;&gt;""),"●","")</x:f>
      </x:c>
      <x:c r="P382" s="165" t="str">
        <x:f>IF(AND(P$5&gt;=$C382,P$5&lt;=$D382,$A382&lt;&gt;""),"●","")</x:f>
      </x:c>
      <x:c r="Q382" s="165" t="str">
        <x:f>IF(AND(Q$5&gt;=$C382,Q$5&lt;=$D382,$A382&lt;&gt;""),"●","")</x:f>
      </x:c>
      <x:c r="R382" s="165" t="str">
        <x:f>IF(AND(R$5&gt;=$C382,R$5&lt;=$D382,$A382&lt;&gt;""),"●","")</x:f>
      </x:c>
      <x:c r="S382" s="165" t="str">
        <x:f>IF(AND(S$5&gt;=$C382,S$5&lt;=$D382,$A382&lt;&gt;""),"●","")</x:f>
      </x:c>
      <x:c r="T382" s="165" t="str">
        <x:f>IF(AND(T$5&gt;=$C382,T$5&lt;=$D382,$A382&lt;&gt;""),"●","")</x:f>
      </x:c>
      <x:c r="U382" s="165" t="str">
        <x:f>IF(AND(U$5&gt;=$C382,U$5&lt;=$D382,$A382&lt;&gt;""),"●","")</x:f>
      </x:c>
      <x:c r="V382" s="165" t="str">
        <x:f>IF(AND(V$5&gt;=$C382,V$5&lt;=$D382,$A382&lt;&gt;""),"●","")</x:f>
      </x:c>
      <x:c r="W382" s="165" t="str">
        <x:f>IF(AND(W$5&gt;=$C382,W$5&lt;=$D382,$A382&lt;&gt;""),"●","")</x:f>
      </x:c>
      <x:c r="X382" s="165" t="str">
        <x:f>IF(AND(X$5&gt;=$C382,X$5&lt;=$D382,$A382&lt;&gt;""),"●","")</x:f>
      </x:c>
      <x:c r="Y382" s="165" t="str">
        <x:f>IF(AND(Y$5&gt;=$C382,Y$5&lt;=$D382,$A382&lt;&gt;""),"●","")</x:f>
      </x:c>
      <x:c r="Z382" s="165" t="str">
        <x:f>IF(AND(Z$5&gt;=$C382,Z$5&lt;=$D382,$A382&lt;&gt;""),"●","")</x:f>
      </x:c>
      <x:c r="AA382" s="165" t="str">
        <x:f>IF(AND(AA$5&gt;=$C382,AA$5&lt;=$D382,$A382&lt;&gt;""),"●","")</x:f>
      </x:c>
      <x:c r="AB382" s="165" t="str">
        <x:f>IF(AND(AB$5&gt;=$C382,AB$5&lt;=$D382,$A382&lt;&gt;""),"●","")</x:f>
      </x:c>
      <x:c r="AC382" s="165" t="str">
        <x:f>IF(AND(AC$5&gt;=$C382,AC$5&lt;=$D382,$A382&lt;&gt;""),"●","")</x:f>
      </x:c>
      <x:c r="AD382" s="165" t="str">
        <x:f>IF(AND(AD$5&gt;=$C382,AD$5&lt;=$D382,$A382&lt;&gt;""),"●","")</x:f>
      </x:c>
      <x:c r="AE382" s="165" t="str">
        <x:f>IF(AND(AE$5&gt;=$C382,AE$5&lt;=$D382,$A382&lt;&gt;""),"●","")</x:f>
      </x:c>
      <x:c r="AF382" s="165" t="str">
        <x:f>IF(AND(AF$5&gt;=$C382,AF$5&lt;=$D382,$A382&lt;&gt;""),"●","")</x:f>
      </x:c>
      <x:c r="AG382" s="165" t="str">
        <x:f>IF(AND(AG$5&gt;=$C382,AG$5&lt;=$D382,$A382&lt;&gt;""),"●","")</x:f>
      </x:c>
      <x:c r="AH382" s="165" t="str">
        <x:f>IF(AND(AH$5&gt;=$C382,AH$5&lt;=$D382,$A382&lt;&gt;""),"●","")</x:f>
      </x:c>
      <x:c r="AI382" s="165" t="str">
        <x:f>IF(AND(AI$5&gt;=$C382,AI$5&lt;=$D382,$A382&lt;&gt;""),"●","")</x:f>
      </x:c>
      <x:c r="AJ382" s="165" t="str">
        <x:f>IF(AND(AJ$5&gt;=$C382,AJ$5&lt;=$D382,$A382&lt;&gt;""),"●","")</x:f>
      </x:c>
      <x:c r="AK382" s="165" t="str">
        <x:f>IF(AND(AK$5&gt;=$C382,AK$5&lt;=$D382,$A382&lt;&gt;""),"●","")</x:f>
      </x:c>
      <x:c r="AL382" s="165" t="str">
        <x:f>IF(AND(AL$5&gt;=$C382,AL$5&lt;=$D382,$A382&lt;&gt;""),"●","")</x:f>
      </x:c>
      <x:c r="AM382" s="165" t="str">
        <x:f>IF(AND(AM$5&gt;=$C382,AM$5&lt;=$D382,$A382&lt;&gt;""),"●","")</x:f>
      </x:c>
      <x:c r="AN382" s="165" t="str">
        <x:f>IF(AND(AN$5&gt;=$C382,AN$5&lt;=$D382,$A382&lt;&gt;""),"●","")</x:f>
      </x:c>
      <x:c r="AO382" s="165" t="str">
        <x:f>IF(AND(AO$5&gt;=$C382,AO$5&lt;=$D382,$A382&lt;&gt;""),"●","")</x:f>
      </x:c>
      <x:c r="AP382" s="165" t="str">
        <x:f>IF(AND(AP$5&gt;=$C382,AP$5&lt;=$D382,$A382&lt;&gt;""),"●","")</x:f>
      </x:c>
      <x:c r="AQ382" s="165" t="str">
        <x:f>IF(AND(AQ$5&gt;=$C382,AQ$5&lt;=$D382,$A382&lt;&gt;""),"●","")</x:f>
      </x:c>
      <x:c r="AR382" s="165" t="str">
        <x:f>IF(AND(AR$5&gt;=$C382,AR$5&lt;=$D382,$A382&lt;&gt;""),"●","")</x:f>
      </x:c>
      <x:c r="AS382" s="165" t="str">
        <x:f>IF(AND(AS$5&gt;=$C382,AS$5&lt;=$D382,$A382&lt;&gt;""),"●","")</x:f>
      </x:c>
      <x:c r="AT382" s="165" t="str">
        <x:f>IF(AND(AT$5&gt;=$C382,AT$5&lt;=$D382,$A382&lt;&gt;""),"●","")</x:f>
      </x:c>
      <x:c r="AU382" s="165" t="str">
        <x:f>IF(AND(AU$5&gt;=$C382,AU$5&lt;=$D382,$A382&lt;&gt;""),"●","")</x:f>
      </x:c>
      <x:c r="AV382" s="165" t="str">
        <x:f>IF(AND(AV$5&gt;=$C382,AV$5&lt;=$D382,$A382&lt;&gt;""),"●","")</x:f>
      </x:c>
      <x:c r="AW382" s="165" t="str">
        <x:f>IF(AND(AW$5&gt;=$C382,AW$5&lt;=$D382,$A382&lt;&gt;""),"●","")</x:f>
      </x:c>
      <x:c r="AX382" s="165" t="str">
        <x:f>IF(AND(AX$5&gt;=$C382,AX$5&lt;=$D382,$A382&lt;&gt;""),"●","")</x:f>
      </x:c>
      <x:c r="AY382" s="165" t="str">
        <x:f>IF(AND(AY$5&gt;=$C382,AY$5&lt;=$D382,$A382&lt;&gt;""),"●","")</x:f>
      </x:c>
      <x:c r="AZ382" s="165" t="str">
        <x:f>IF(AND(AZ$5&gt;=$C382,AZ$5&lt;=$D382,$A382&lt;&gt;""),"●","")</x:f>
      </x:c>
      <x:c r="BA382" s="165" t="str">
        <x:f>IF(AND(BA$5&gt;=$C382,BA$5&lt;=$D382,$A382&lt;&gt;""),"●","")</x:f>
      </x:c>
      <x:c r="BB382" s="165" t="str">
        <x:f>IF(AND(BB$5&gt;=$C382,BB$5&lt;=$D382,$A382&lt;&gt;""),"●","")</x:f>
      </x:c>
      <x:c r="BC382" s="165" t="str">
        <x:f>IF(AND(BC$5&gt;=$C382,BC$5&lt;=$D382,$A382&lt;&gt;""),"●","")</x:f>
      </x:c>
      <x:c r="BD382" s="165" t="str">
        <x:f>IF(AND(BD$5&gt;=$C382,BD$5&lt;=$D382,$A382&lt;&gt;""),"●","")</x:f>
      </x:c>
      <x:c r="BE382" s="165" t="str">
        <x:f>IF(AND(BE$5&gt;=$C382,BE$5&lt;=$D382,$A382&lt;&gt;""),"●","")</x:f>
      </x:c>
      <x:c r="BF382" s="165" t="str">
        <x:f>IF(AND(BF$5&gt;=$C382,BF$5&lt;=$D382,$A382&lt;&gt;""),"●","")</x:f>
      </x:c>
      <x:c r="BG382" s="165" t="str">
        <x:f>IF(AND(BG$5&gt;=$C382,BG$5&lt;=$D382,$A382&lt;&gt;""),"●","")</x:f>
      </x:c>
      <x:c r="BH382" s="165" t="str">
        <x:f>IF(AND(BH$5&gt;=$C382,BH$5&lt;=$D382,$A382&lt;&gt;""),"●","")</x:f>
      </x:c>
      <x:c r="BI382" s="165" t="str">
        <x:f>IF(AND(BI$5&gt;=$C382,BI$5&lt;=$D382,$A382&lt;&gt;""),"●","")</x:f>
      </x:c>
      <x:c r="BJ382" s="165" t="str">
        <x:f>IF(AND(BJ$5&gt;=$C382,BJ$5&lt;=$D382,$A382&lt;&gt;""),"●","")</x:f>
      </x:c>
      <x:c r="BK382" s="165" t="str">
        <x:f>IF(AND(BK$5&gt;=$C382,BK$5&lt;=$D382,$A382&lt;&gt;""),"●","")</x:f>
      </x:c>
      <x:c r="BL382" s="165" t="str">
        <x:f>IF(AND(BL$5&gt;=$C382,BL$5&lt;=$D382,$A382&lt;&gt;""),"●","")</x:f>
      </x:c>
      <x:c r="BM382" s="165" t="str">
        <x:f>IF(AND(BM$5&gt;=$C382,BM$5&lt;=$D382,$A382&lt;&gt;""),"●","")</x:f>
      </x:c>
      <x:c r="BN382" s="165" t="str">
        <x:f>IF(AND(BN$5&gt;=$C382,BN$5&lt;=$D382,$A382&lt;&gt;""),"●","")</x:f>
      </x:c>
      <x:c r="BO382" s="165" t="str">
        <x:f>IF(AND(BO$5&gt;=$C382,BO$5&lt;=$D382,$A382&lt;&gt;""),"●","")</x:f>
      </x:c>
      <x:c r="BP382" s="165" t="str">
        <x:f>IF(AND(BP$5&gt;=$C382,BP$5&lt;=$D382,$A382&lt;&gt;""),"●","")</x:f>
      </x:c>
      <x:c r="BQ382" s="165" t="str">
        <x:f>IF(AND(BQ$5&gt;=$C382,BQ$5&lt;=$D382,$A382&lt;&gt;""),"●","")</x:f>
      </x:c>
      <x:c r="BR382" s="165" t="str">
        <x:f>IF(AND(BR$5&gt;=$C382,BR$5&lt;=$D382,$A382&lt;&gt;""),"●","")</x:f>
      </x:c>
      <x:c r="BS382" s="165" t="str">
        <x:f>IF(AND(BS$5&gt;=$C382,BS$5&lt;=$D382,$A382&lt;&gt;""),"●","")</x:f>
      </x:c>
      <x:c r="BT382" s="165" t="str">
        <x:f>IF(AND(BT$5&gt;=$C382,BT$5&lt;=$D382,$A382&lt;&gt;""),"●","")</x:f>
      </x:c>
      <x:c r="BU382" s="165" t="str">
        <x:f>IF(AND(BU$5&gt;=$C382,BU$5&lt;=$D382,$A382&lt;&gt;""),"●","")</x:f>
      </x:c>
      <x:c r="BV382" s="165" t="str">
        <x:f>IF(AND(BV$5&gt;=$C382,BV$5&lt;=$D382,$A382&lt;&gt;""),"●","")</x:f>
      </x:c>
      <x:c r="BW382" s="165" t="str">
        <x:f>IF(AND(BW$5&gt;=$C382,BW$5&lt;=$D382,$A382&lt;&gt;""),"●","")</x:f>
      </x:c>
    </x:row>
    <x:row r="383">
      <x:c r="A383" s="159" t="str">
        <x:f>IF('รายการสัญญา'!A383="","",'รายการสัญญา'!A383)</x:f>
      </x:c>
      <x:c r="B383" s="159" t="str">
        <x:f>IF('รายการสัญญา'!A383="","",'รายการสัญญา'!C383)</x:f>
      </x:c>
      <x:c r="C383" s="162" t="str">
        <x:f>IF('รายการสัญญา'!A383="","",'รายการสัญญา'!E383)</x:f>
      </x:c>
      <x:c r="D383" s="162" t="str">
        <x:f>IF('รายการสัญญา'!A383="","",'รายการสัญญา'!G383)</x:f>
      </x:c>
      <x:c r="E383" s="159" t="str">
        <x:f>IF('รายการสัญญา'!A383="","",'รายการสัญญา'!K383)</x:f>
      </x:c>
      <x:c r="F383" s="165" t="str">
        <x:f>IF(AND(F$5&gt;=$C383,F$5&lt;=$D383,$A383&lt;&gt;""),"●","")</x:f>
      </x:c>
      <x:c r="G383" s="165" t="str">
        <x:f>IF(AND(G$5&gt;=$C383,G$5&lt;=$D383,$A383&lt;&gt;""),"●","")</x:f>
      </x:c>
      <x:c r="H383" s="165" t="str">
        <x:f>IF(AND(H$5&gt;=$C383,H$5&lt;=$D383,$A383&lt;&gt;""),"●","")</x:f>
      </x:c>
      <x:c r="I383" s="165" t="str">
        <x:f>IF(AND(I$5&gt;=$C383,I$5&lt;=$D383,$A383&lt;&gt;""),"●","")</x:f>
      </x:c>
      <x:c r="J383" s="165" t="str">
        <x:f>IF(AND(J$5&gt;=$C383,J$5&lt;=$D383,$A383&lt;&gt;""),"●","")</x:f>
      </x:c>
      <x:c r="K383" s="165" t="str">
        <x:f>IF(AND(K$5&gt;=$C383,K$5&lt;=$D383,$A383&lt;&gt;""),"●","")</x:f>
      </x:c>
      <x:c r="L383" s="165" t="str">
        <x:f>IF(AND(L$5&gt;=$C383,L$5&lt;=$D383,$A383&lt;&gt;""),"●","")</x:f>
      </x:c>
      <x:c r="M383" s="165" t="str">
        <x:f>IF(AND(M$5&gt;=$C383,M$5&lt;=$D383,$A383&lt;&gt;""),"●","")</x:f>
      </x:c>
      <x:c r="N383" s="165" t="str">
        <x:f>IF(AND(N$5&gt;=$C383,N$5&lt;=$D383,$A383&lt;&gt;""),"●","")</x:f>
      </x:c>
      <x:c r="O383" s="165" t="str">
        <x:f>IF(AND(O$5&gt;=$C383,O$5&lt;=$D383,$A383&lt;&gt;""),"●","")</x:f>
      </x:c>
      <x:c r="P383" s="165" t="str">
        <x:f>IF(AND(P$5&gt;=$C383,P$5&lt;=$D383,$A383&lt;&gt;""),"●","")</x:f>
      </x:c>
      <x:c r="Q383" s="165" t="str">
        <x:f>IF(AND(Q$5&gt;=$C383,Q$5&lt;=$D383,$A383&lt;&gt;""),"●","")</x:f>
      </x:c>
      <x:c r="R383" s="165" t="str">
        <x:f>IF(AND(R$5&gt;=$C383,R$5&lt;=$D383,$A383&lt;&gt;""),"●","")</x:f>
      </x:c>
      <x:c r="S383" s="165" t="str">
        <x:f>IF(AND(S$5&gt;=$C383,S$5&lt;=$D383,$A383&lt;&gt;""),"●","")</x:f>
      </x:c>
      <x:c r="T383" s="165" t="str">
        <x:f>IF(AND(T$5&gt;=$C383,T$5&lt;=$D383,$A383&lt;&gt;""),"●","")</x:f>
      </x:c>
      <x:c r="U383" s="165" t="str">
        <x:f>IF(AND(U$5&gt;=$C383,U$5&lt;=$D383,$A383&lt;&gt;""),"●","")</x:f>
      </x:c>
      <x:c r="V383" s="165" t="str">
        <x:f>IF(AND(V$5&gt;=$C383,V$5&lt;=$D383,$A383&lt;&gt;""),"●","")</x:f>
      </x:c>
      <x:c r="W383" s="165" t="str">
        <x:f>IF(AND(W$5&gt;=$C383,W$5&lt;=$D383,$A383&lt;&gt;""),"●","")</x:f>
      </x:c>
      <x:c r="X383" s="165" t="str">
        <x:f>IF(AND(X$5&gt;=$C383,X$5&lt;=$D383,$A383&lt;&gt;""),"●","")</x:f>
      </x:c>
      <x:c r="Y383" s="165" t="str">
        <x:f>IF(AND(Y$5&gt;=$C383,Y$5&lt;=$D383,$A383&lt;&gt;""),"●","")</x:f>
      </x:c>
      <x:c r="Z383" s="165" t="str">
        <x:f>IF(AND(Z$5&gt;=$C383,Z$5&lt;=$D383,$A383&lt;&gt;""),"●","")</x:f>
      </x:c>
      <x:c r="AA383" s="165" t="str">
        <x:f>IF(AND(AA$5&gt;=$C383,AA$5&lt;=$D383,$A383&lt;&gt;""),"●","")</x:f>
      </x:c>
      <x:c r="AB383" s="165" t="str">
        <x:f>IF(AND(AB$5&gt;=$C383,AB$5&lt;=$D383,$A383&lt;&gt;""),"●","")</x:f>
      </x:c>
      <x:c r="AC383" s="165" t="str">
        <x:f>IF(AND(AC$5&gt;=$C383,AC$5&lt;=$D383,$A383&lt;&gt;""),"●","")</x:f>
      </x:c>
      <x:c r="AD383" s="165" t="str">
        <x:f>IF(AND(AD$5&gt;=$C383,AD$5&lt;=$D383,$A383&lt;&gt;""),"●","")</x:f>
      </x:c>
      <x:c r="AE383" s="165" t="str">
        <x:f>IF(AND(AE$5&gt;=$C383,AE$5&lt;=$D383,$A383&lt;&gt;""),"●","")</x:f>
      </x:c>
      <x:c r="AF383" s="165" t="str">
        <x:f>IF(AND(AF$5&gt;=$C383,AF$5&lt;=$D383,$A383&lt;&gt;""),"●","")</x:f>
      </x:c>
      <x:c r="AG383" s="165" t="str">
        <x:f>IF(AND(AG$5&gt;=$C383,AG$5&lt;=$D383,$A383&lt;&gt;""),"●","")</x:f>
      </x:c>
      <x:c r="AH383" s="165" t="str">
        <x:f>IF(AND(AH$5&gt;=$C383,AH$5&lt;=$D383,$A383&lt;&gt;""),"●","")</x:f>
      </x:c>
      <x:c r="AI383" s="165" t="str">
        <x:f>IF(AND(AI$5&gt;=$C383,AI$5&lt;=$D383,$A383&lt;&gt;""),"●","")</x:f>
      </x:c>
      <x:c r="AJ383" s="165" t="str">
        <x:f>IF(AND(AJ$5&gt;=$C383,AJ$5&lt;=$D383,$A383&lt;&gt;""),"●","")</x:f>
      </x:c>
      <x:c r="AK383" s="165" t="str">
        <x:f>IF(AND(AK$5&gt;=$C383,AK$5&lt;=$D383,$A383&lt;&gt;""),"●","")</x:f>
      </x:c>
      <x:c r="AL383" s="165" t="str">
        <x:f>IF(AND(AL$5&gt;=$C383,AL$5&lt;=$D383,$A383&lt;&gt;""),"●","")</x:f>
      </x:c>
      <x:c r="AM383" s="165" t="str">
        <x:f>IF(AND(AM$5&gt;=$C383,AM$5&lt;=$D383,$A383&lt;&gt;""),"●","")</x:f>
      </x:c>
      <x:c r="AN383" s="165" t="str">
        <x:f>IF(AND(AN$5&gt;=$C383,AN$5&lt;=$D383,$A383&lt;&gt;""),"●","")</x:f>
      </x:c>
      <x:c r="AO383" s="165" t="str">
        <x:f>IF(AND(AO$5&gt;=$C383,AO$5&lt;=$D383,$A383&lt;&gt;""),"●","")</x:f>
      </x:c>
      <x:c r="AP383" s="165" t="str">
        <x:f>IF(AND(AP$5&gt;=$C383,AP$5&lt;=$D383,$A383&lt;&gt;""),"●","")</x:f>
      </x:c>
      <x:c r="AQ383" s="165" t="str">
        <x:f>IF(AND(AQ$5&gt;=$C383,AQ$5&lt;=$D383,$A383&lt;&gt;""),"●","")</x:f>
      </x:c>
      <x:c r="AR383" s="165" t="str">
        <x:f>IF(AND(AR$5&gt;=$C383,AR$5&lt;=$D383,$A383&lt;&gt;""),"●","")</x:f>
      </x:c>
      <x:c r="AS383" s="165" t="str">
        <x:f>IF(AND(AS$5&gt;=$C383,AS$5&lt;=$D383,$A383&lt;&gt;""),"●","")</x:f>
      </x:c>
      <x:c r="AT383" s="165" t="str">
        <x:f>IF(AND(AT$5&gt;=$C383,AT$5&lt;=$D383,$A383&lt;&gt;""),"●","")</x:f>
      </x:c>
      <x:c r="AU383" s="165" t="str">
        <x:f>IF(AND(AU$5&gt;=$C383,AU$5&lt;=$D383,$A383&lt;&gt;""),"●","")</x:f>
      </x:c>
      <x:c r="AV383" s="165" t="str">
        <x:f>IF(AND(AV$5&gt;=$C383,AV$5&lt;=$D383,$A383&lt;&gt;""),"●","")</x:f>
      </x:c>
      <x:c r="AW383" s="165" t="str">
        <x:f>IF(AND(AW$5&gt;=$C383,AW$5&lt;=$D383,$A383&lt;&gt;""),"●","")</x:f>
      </x:c>
      <x:c r="AX383" s="165" t="str">
        <x:f>IF(AND(AX$5&gt;=$C383,AX$5&lt;=$D383,$A383&lt;&gt;""),"●","")</x:f>
      </x:c>
      <x:c r="AY383" s="165" t="str">
        <x:f>IF(AND(AY$5&gt;=$C383,AY$5&lt;=$D383,$A383&lt;&gt;""),"●","")</x:f>
      </x:c>
      <x:c r="AZ383" s="165" t="str">
        <x:f>IF(AND(AZ$5&gt;=$C383,AZ$5&lt;=$D383,$A383&lt;&gt;""),"●","")</x:f>
      </x:c>
      <x:c r="BA383" s="165" t="str">
        <x:f>IF(AND(BA$5&gt;=$C383,BA$5&lt;=$D383,$A383&lt;&gt;""),"●","")</x:f>
      </x:c>
      <x:c r="BB383" s="165" t="str">
        <x:f>IF(AND(BB$5&gt;=$C383,BB$5&lt;=$D383,$A383&lt;&gt;""),"●","")</x:f>
      </x:c>
      <x:c r="BC383" s="165" t="str">
        <x:f>IF(AND(BC$5&gt;=$C383,BC$5&lt;=$D383,$A383&lt;&gt;""),"●","")</x:f>
      </x:c>
      <x:c r="BD383" s="165" t="str">
        <x:f>IF(AND(BD$5&gt;=$C383,BD$5&lt;=$D383,$A383&lt;&gt;""),"●","")</x:f>
      </x:c>
      <x:c r="BE383" s="165" t="str">
        <x:f>IF(AND(BE$5&gt;=$C383,BE$5&lt;=$D383,$A383&lt;&gt;""),"●","")</x:f>
      </x:c>
      <x:c r="BF383" s="165" t="str">
        <x:f>IF(AND(BF$5&gt;=$C383,BF$5&lt;=$D383,$A383&lt;&gt;""),"●","")</x:f>
      </x:c>
      <x:c r="BG383" s="165" t="str">
        <x:f>IF(AND(BG$5&gt;=$C383,BG$5&lt;=$D383,$A383&lt;&gt;""),"●","")</x:f>
      </x:c>
      <x:c r="BH383" s="165" t="str">
        <x:f>IF(AND(BH$5&gt;=$C383,BH$5&lt;=$D383,$A383&lt;&gt;""),"●","")</x:f>
      </x:c>
      <x:c r="BI383" s="165" t="str">
        <x:f>IF(AND(BI$5&gt;=$C383,BI$5&lt;=$D383,$A383&lt;&gt;""),"●","")</x:f>
      </x:c>
      <x:c r="BJ383" s="165" t="str">
        <x:f>IF(AND(BJ$5&gt;=$C383,BJ$5&lt;=$D383,$A383&lt;&gt;""),"●","")</x:f>
      </x:c>
      <x:c r="BK383" s="165" t="str">
        <x:f>IF(AND(BK$5&gt;=$C383,BK$5&lt;=$D383,$A383&lt;&gt;""),"●","")</x:f>
      </x:c>
      <x:c r="BL383" s="165" t="str">
        <x:f>IF(AND(BL$5&gt;=$C383,BL$5&lt;=$D383,$A383&lt;&gt;""),"●","")</x:f>
      </x:c>
      <x:c r="BM383" s="165" t="str">
        <x:f>IF(AND(BM$5&gt;=$C383,BM$5&lt;=$D383,$A383&lt;&gt;""),"●","")</x:f>
      </x:c>
      <x:c r="BN383" s="165" t="str">
        <x:f>IF(AND(BN$5&gt;=$C383,BN$5&lt;=$D383,$A383&lt;&gt;""),"●","")</x:f>
      </x:c>
      <x:c r="BO383" s="165" t="str">
        <x:f>IF(AND(BO$5&gt;=$C383,BO$5&lt;=$D383,$A383&lt;&gt;""),"●","")</x:f>
      </x:c>
      <x:c r="BP383" s="165" t="str">
        <x:f>IF(AND(BP$5&gt;=$C383,BP$5&lt;=$D383,$A383&lt;&gt;""),"●","")</x:f>
      </x:c>
      <x:c r="BQ383" s="165" t="str">
        <x:f>IF(AND(BQ$5&gt;=$C383,BQ$5&lt;=$D383,$A383&lt;&gt;""),"●","")</x:f>
      </x:c>
      <x:c r="BR383" s="165" t="str">
        <x:f>IF(AND(BR$5&gt;=$C383,BR$5&lt;=$D383,$A383&lt;&gt;""),"●","")</x:f>
      </x:c>
      <x:c r="BS383" s="165" t="str">
        <x:f>IF(AND(BS$5&gt;=$C383,BS$5&lt;=$D383,$A383&lt;&gt;""),"●","")</x:f>
      </x:c>
      <x:c r="BT383" s="165" t="str">
        <x:f>IF(AND(BT$5&gt;=$C383,BT$5&lt;=$D383,$A383&lt;&gt;""),"●","")</x:f>
      </x:c>
      <x:c r="BU383" s="165" t="str">
        <x:f>IF(AND(BU$5&gt;=$C383,BU$5&lt;=$D383,$A383&lt;&gt;""),"●","")</x:f>
      </x:c>
      <x:c r="BV383" s="165" t="str">
        <x:f>IF(AND(BV$5&gt;=$C383,BV$5&lt;=$D383,$A383&lt;&gt;""),"●","")</x:f>
      </x:c>
      <x:c r="BW383" s="165" t="str">
        <x:f>IF(AND(BW$5&gt;=$C383,BW$5&lt;=$D383,$A383&lt;&gt;""),"●","")</x:f>
      </x:c>
    </x:row>
    <x:row r="384">
      <x:c r="A384" s="159" t="str">
        <x:f>IF('รายการสัญญา'!A384="","",'รายการสัญญา'!A384)</x:f>
      </x:c>
      <x:c r="B384" s="159" t="str">
        <x:f>IF('รายการสัญญา'!A384="","",'รายการสัญญา'!C384)</x:f>
      </x:c>
      <x:c r="C384" s="162" t="str">
        <x:f>IF('รายการสัญญา'!A384="","",'รายการสัญญา'!E384)</x:f>
      </x:c>
      <x:c r="D384" s="162" t="str">
        <x:f>IF('รายการสัญญา'!A384="","",'รายการสัญญา'!G384)</x:f>
      </x:c>
      <x:c r="E384" s="159" t="str">
        <x:f>IF('รายการสัญญา'!A384="","",'รายการสัญญา'!K384)</x:f>
      </x:c>
      <x:c r="F384" s="165" t="str">
        <x:f>IF(AND(F$5&gt;=$C384,F$5&lt;=$D384,$A384&lt;&gt;""),"●","")</x:f>
      </x:c>
      <x:c r="G384" s="165" t="str">
        <x:f>IF(AND(G$5&gt;=$C384,G$5&lt;=$D384,$A384&lt;&gt;""),"●","")</x:f>
      </x:c>
      <x:c r="H384" s="165" t="str">
        <x:f>IF(AND(H$5&gt;=$C384,H$5&lt;=$D384,$A384&lt;&gt;""),"●","")</x:f>
      </x:c>
      <x:c r="I384" s="165" t="str">
        <x:f>IF(AND(I$5&gt;=$C384,I$5&lt;=$D384,$A384&lt;&gt;""),"●","")</x:f>
      </x:c>
      <x:c r="J384" s="165" t="str">
        <x:f>IF(AND(J$5&gt;=$C384,J$5&lt;=$D384,$A384&lt;&gt;""),"●","")</x:f>
      </x:c>
      <x:c r="K384" s="165" t="str">
        <x:f>IF(AND(K$5&gt;=$C384,K$5&lt;=$D384,$A384&lt;&gt;""),"●","")</x:f>
      </x:c>
      <x:c r="L384" s="165" t="str">
        <x:f>IF(AND(L$5&gt;=$C384,L$5&lt;=$D384,$A384&lt;&gt;""),"●","")</x:f>
      </x:c>
      <x:c r="M384" s="165" t="str">
        <x:f>IF(AND(M$5&gt;=$C384,M$5&lt;=$D384,$A384&lt;&gt;""),"●","")</x:f>
      </x:c>
      <x:c r="N384" s="165" t="str">
        <x:f>IF(AND(N$5&gt;=$C384,N$5&lt;=$D384,$A384&lt;&gt;""),"●","")</x:f>
      </x:c>
      <x:c r="O384" s="165" t="str">
        <x:f>IF(AND(O$5&gt;=$C384,O$5&lt;=$D384,$A384&lt;&gt;""),"●","")</x:f>
      </x:c>
      <x:c r="P384" s="165" t="str">
        <x:f>IF(AND(P$5&gt;=$C384,P$5&lt;=$D384,$A384&lt;&gt;""),"●","")</x:f>
      </x:c>
      <x:c r="Q384" s="165" t="str">
        <x:f>IF(AND(Q$5&gt;=$C384,Q$5&lt;=$D384,$A384&lt;&gt;""),"●","")</x:f>
      </x:c>
      <x:c r="R384" s="165" t="str">
        <x:f>IF(AND(R$5&gt;=$C384,R$5&lt;=$D384,$A384&lt;&gt;""),"●","")</x:f>
      </x:c>
      <x:c r="S384" s="165" t="str">
        <x:f>IF(AND(S$5&gt;=$C384,S$5&lt;=$D384,$A384&lt;&gt;""),"●","")</x:f>
      </x:c>
      <x:c r="T384" s="165" t="str">
        <x:f>IF(AND(T$5&gt;=$C384,T$5&lt;=$D384,$A384&lt;&gt;""),"●","")</x:f>
      </x:c>
      <x:c r="U384" s="165" t="str">
        <x:f>IF(AND(U$5&gt;=$C384,U$5&lt;=$D384,$A384&lt;&gt;""),"●","")</x:f>
      </x:c>
      <x:c r="V384" s="165" t="str">
        <x:f>IF(AND(V$5&gt;=$C384,V$5&lt;=$D384,$A384&lt;&gt;""),"●","")</x:f>
      </x:c>
      <x:c r="W384" s="165" t="str">
        <x:f>IF(AND(W$5&gt;=$C384,W$5&lt;=$D384,$A384&lt;&gt;""),"●","")</x:f>
      </x:c>
      <x:c r="X384" s="165" t="str">
        <x:f>IF(AND(X$5&gt;=$C384,X$5&lt;=$D384,$A384&lt;&gt;""),"●","")</x:f>
      </x:c>
      <x:c r="Y384" s="165" t="str">
        <x:f>IF(AND(Y$5&gt;=$C384,Y$5&lt;=$D384,$A384&lt;&gt;""),"●","")</x:f>
      </x:c>
      <x:c r="Z384" s="165" t="str">
        <x:f>IF(AND(Z$5&gt;=$C384,Z$5&lt;=$D384,$A384&lt;&gt;""),"●","")</x:f>
      </x:c>
      <x:c r="AA384" s="165" t="str">
        <x:f>IF(AND(AA$5&gt;=$C384,AA$5&lt;=$D384,$A384&lt;&gt;""),"●","")</x:f>
      </x:c>
      <x:c r="AB384" s="165" t="str">
        <x:f>IF(AND(AB$5&gt;=$C384,AB$5&lt;=$D384,$A384&lt;&gt;""),"●","")</x:f>
      </x:c>
      <x:c r="AC384" s="165" t="str">
        <x:f>IF(AND(AC$5&gt;=$C384,AC$5&lt;=$D384,$A384&lt;&gt;""),"●","")</x:f>
      </x:c>
      <x:c r="AD384" s="165" t="str">
        <x:f>IF(AND(AD$5&gt;=$C384,AD$5&lt;=$D384,$A384&lt;&gt;""),"●","")</x:f>
      </x:c>
      <x:c r="AE384" s="165" t="str">
        <x:f>IF(AND(AE$5&gt;=$C384,AE$5&lt;=$D384,$A384&lt;&gt;""),"●","")</x:f>
      </x:c>
      <x:c r="AF384" s="165" t="str">
        <x:f>IF(AND(AF$5&gt;=$C384,AF$5&lt;=$D384,$A384&lt;&gt;""),"●","")</x:f>
      </x:c>
      <x:c r="AG384" s="165" t="str">
        <x:f>IF(AND(AG$5&gt;=$C384,AG$5&lt;=$D384,$A384&lt;&gt;""),"●","")</x:f>
      </x:c>
      <x:c r="AH384" s="165" t="str">
        <x:f>IF(AND(AH$5&gt;=$C384,AH$5&lt;=$D384,$A384&lt;&gt;""),"●","")</x:f>
      </x:c>
      <x:c r="AI384" s="165" t="str">
        <x:f>IF(AND(AI$5&gt;=$C384,AI$5&lt;=$D384,$A384&lt;&gt;""),"●","")</x:f>
      </x:c>
      <x:c r="AJ384" s="165" t="str">
        <x:f>IF(AND(AJ$5&gt;=$C384,AJ$5&lt;=$D384,$A384&lt;&gt;""),"●","")</x:f>
      </x:c>
      <x:c r="AK384" s="165" t="str">
        <x:f>IF(AND(AK$5&gt;=$C384,AK$5&lt;=$D384,$A384&lt;&gt;""),"●","")</x:f>
      </x:c>
      <x:c r="AL384" s="165" t="str">
        <x:f>IF(AND(AL$5&gt;=$C384,AL$5&lt;=$D384,$A384&lt;&gt;""),"●","")</x:f>
      </x:c>
      <x:c r="AM384" s="165" t="str">
        <x:f>IF(AND(AM$5&gt;=$C384,AM$5&lt;=$D384,$A384&lt;&gt;""),"●","")</x:f>
      </x:c>
      <x:c r="AN384" s="165" t="str">
        <x:f>IF(AND(AN$5&gt;=$C384,AN$5&lt;=$D384,$A384&lt;&gt;""),"●","")</x:f>
      </x:c>
      <x:c r="AO384" s="165" t="str">
        <x:f>IF(AND(AO$5&gt;=$C384,AO$5&lt;=$D384,$A384&lt;&gt;""),"●","")</x:f>
      </x:c>
      <x:c r="AP384" s="165" t="str">
        <x:f>IF(AND(AP$5&gt;=$C384,AP$5&lt;=$D384,$A384&lt;&gt;""),"●","")</x:f>
      </x:c>
      <x:c r="AQ384" s="165" t="str">
        <x:f>IF(AND(AQ$5&gt;=$C384,AQ$5&lt;=$D384,$A384&lt;&gt;""),"●","")</x:f>
      </x:c>
      <x:c r="AR384" s="165" t="str">
        <x:f>IF(AND(AR$5&gt;=$C384,AR$5&lt;=$D384,$A384&lt;&gt;""),"●","")</x:f>
      </x:c>
      <x:c r="AS384" s="165" t="str">
        <x:f>IF(AND(AS$5&gt;=$C384,AS$5&lt;=$D384,$A384&lt;&gt;""),"●","")</x:f>
      </x:c>
      <x:c r="AT384" s="165" t="str">
        <x:f>IF(AND(AT$5&gt;=$C384,AT$5&lt;=$D384,$A384&lt;&gt;""),"●","")</x:f>
      </x:c>
      <x:c r="AU384" s="165" t="str">
        <x:f>IF(AND(AU$5&gt;=$C384,AU$5&lt;=$D384,$A384&lt;&gt;""),"●","")</x:f>
      </x:c>
      <x:c r="AV384" s="165" t="str">
        <x:f>IF(AND(AV$5&gt;=$C384,AV$5&lt;=$D384,$A384&lt;&gt;""),"●","")</x:f>
      </x:c>
      <x:c r="AW384" s="165" t="str">
        <x:f>IF(AND(AW$5&gt;=$C384,AW$5&lt;=$D384,$A384&lt;&gt;""),"●","")</x:f>
      </x:c>
      <x:c r="AX384" s="165" t="str">
        <x:f>IF(AND(AX$5&gt;=$C384,AX$5&lt;=$D384,$A384&lt;&gt;""),"●","")</x:f>
      </x:c>
      <x:c r="AY384" s="165" t="str">
        <x:f>IF(AND(AY$5&gt;=$C384,AY$5&lt;=$D384,$A384&lt;&gt;""),"●","")</x:f>
      </x:c>
      <x:c r="AZ384" s="165" t="str">
        <x:f>IF(AND(AZ$5&gt;=$C384,AZ$5&lt;=$D384,$A384&lt;&gt;""),"●","")</x:f>
      </x:c>
      <x:c r="BA384" s="165" t="str">
        <x:f>IF(AND(BA$5&gt;=$C384,BA$5&lt;=$D384,$A384&lt;&gt;""),"●","")</x:f>
      </x:c>
      <x:c r="BB384" s="165" t="str">
        <x:f>IF(AND(BB$5&gt;=$C384,BB$5&lt;=$D384,$A384&lt;&gt;""),"●","")</x:f>
      </x:c>
      <x:c r="BC384" s="165" t="str">
        <x:f>IF(AND(BC$5&gt;=$C384,BC$5&lt;=$D384,$A384&lt;&gt;""),"●","")</x:f>
      </x:c>
      <x:c r="BD384" s="165" t="str">
        <x:f>IF(AND(BD$5&gt;=$C384,BD$5&lt;=$D384,$A384&lt;&gt;""),"●","")</x:f>
      </x:c>
      <x:c r="BE384" s="165" t="str">
        <x:f>IF(AND(BE$5&gt;=$C384,BE$5&lt;=$D384,$A384&lt;&gt;""),"●","")</x:f>
      </x:c>
      <x:c r="BF384" s="165" t="str">
        <x:f>IF(AND(BF$5&gt;=$C384,BF$5&lt;=$D384,$A384&lt;&gt;""),"●","")</x:f>
      </x:c>
      <x:c r="BG384" s="165" t="str">
        <x:f>IF(AND(BG$5&gt;=$C384,BG$5&lt;=$D384,$A384&lt;&gt;""),"●","")</x:f>
      </x:c>
      <x:c r="BH384" s="165" t="str">
        <x:f>IF(AND(BH$5&gt;=$C384,BH$5&lt;=$D384,$A384&lt;&gt;""),"●","")</x:f>
      </x:c>
      <x:c r="BI384" s="165" t="str">
        <x:f>IF(AND(BI$5&gt;=$C384,BI$5&lt;=$D384,$A384&lt;&gt;""),"●","")</x:f>
      </x:c>
      <x:c r="BJ384" s="165" t="str">
        <x:f>IF(AND(BJ$5&gt;=$C384,BJ$5&lt;=$D384,$A384&lt;&gt;""),"●","")</x:f>
      </x:c>
      <x:c r="BK384" s="165" t="str">
        <x:f>IF(AND(BK$5&gt;=$C384,BK$5&lt;=$D384,$A384&lt;&gt;""),"●","")</x:f>
      </x:c>
      <x:c r="BL384" s="165" t="str">
        <x:f>IF(AND(BL$5&gt;=$C384,BL$5&lt;=$D384,$A384&lt;&gt;""),"●","")</x:f>
      </x:c>
      <x:c r="BM384" s="165" t="str">
        <x:f>IF(AND(BM$5&gt;=$C384,BM$5&lt;=$D384,$A384&lt;&gt;""),"●","")</x:f>
      </x:c>
      <x:c r="BN384" s="165" t="str">
        <x:f>IF(AND(BN$5&gt;=$C384,BN$5&lt;=$D384,$A384&lt;&gt;""),"●","")</x:f>
      </x:c>
      <x:c r="BO384" s="165" t="str">
        <x:f>IF(AND(BO$5&gt;=$C384,BO$5&lt;=$D384,$A384&lt;&gt;""),"●","")</x:f>
      </x:c>
      <x:c r="BP384" s="165" t="str">
        <x:f>IF(AND(BP$5&gt;=$C384,BP$5&lt;=$D384,$A384&lt;&gt;""),"●","")</x:f>
      </x:c>
      <x:c r="BQ384" s="165" t="str">
        <x:f>IF(AND(BQ$5&gt;=$C384,BQ$5&lt;=$D384,$A384&lt;&gt;""),"●","")</x:f>
      </x:c>
      <x:c r="BR384" s="165" t="str">
        <x:f>IF(AND(BR$5&gt;=$C384,BR$5&lt;=$D384,$A384&lt;&gt;""),"●","")</x:f>
      </x:c>
      <x:c r="BS384" s="165" t="str">
        <x:f>IF(AND(BS$5&gt;=$C384,BS$5&lt;=$D384,$A384&lt;&gt;""),"●","")</x:f>
      </x:c>
      <x:c r="BT384" s="165" t="str">
        <x:f>IF(AND(BT$5&gt;=$C384,BT$5&lt;=$D384,$A384&lt;&gt;""),"●","")</x:f>
      </x:c>
      <x:c r="BU384" s="165" t="str">
        <x:f>IF(AND(BU$5&gt;=$C384,BU$5&lt;=$D384,$A384&lt;&gt;""),"●","")</x:f>
      </x:c>
      <x:c r="BV384" s="165" t="str">
        <x:f>IF(AND(BV$5&gt;=$C384,BV$5&lt;=$D384,$A384&lt;&gt;""),"●","")</x:f>
      </x:c>
      <x:c r="BW384" s="165" t="str">
        <x:f>IF(AND(BW$5&gt;=$C384,BW$5&lt;=$D384,$A384&lt;&gt;""),"●","")</x:f>
      </x:c>
    </x:row>
    <x:row r="385">
      <x:c r="A385" s="159" t="str">
        <x:f>IF('รายการสัญญา'!A385="","",'รายการสัญญา'!A385)</x:f>
      </x:c>
      <x:c r="B385" s="159" t="str">
        <x:f>IF('รายการสัญญา'!A385="","",'รายการสัญญา'!C385)</x:f>
      </x:c>
      <x:c r="C385" s="162" t="str">
        <x:f>IF('รายการสัญญา'!A385="","",'รายการสัญญา'!E385)</x:f>
      </x:c>
      <x:c r="D385" s="162" t="str">
        <x:f>IF('รายการสัญญา'!A385="","",'รายการสัญญา'!G385)</x:f>
      </x:c>
      <x:c r="E385" s="159" t="str">
        <x:f>IF('รายการสัญญา'!A385="","",'รายการสัญญา'!K385)</x:f>
      </x:c>
      <x:c r="F385" s="165" t="str">
        <x:f>IF(AND(F$5&gt;=$C385,F$5&lt;=$D385,$A385&lt;&gt;""),"●","")</x:f>
      </x:c>
      <x:c r="G385" s="165" t="str">
        <x:f>IF(AND(G$5&gt;=$C385,G$5&lt;=$D385,$A385&lt;&gt;""),"●","")</x:f>
      </x:c>
      <x:c r="H385" s="165" t="str">
        <x:f>IF(AND(H$5&gt;=$C385,H$5&lt;=$D385,$A385&lt;&gt;""),"●","")</x:f>
      </x:c>
      <x:c r="I385" s="165" t="str">
        <x:f>IF(AND(I$5&gt;=$C385,I$5&lt;=$D385,$A385&lt;&gt;""),"●","")</x:f>
      </x:c>
      <x:c r="J385" s="165" t="str">
        <x:f>IF(AND(J$5&gt;=$C385,J$5&lt;=$D385,$A385&lt;&gt;""),"●","")</x:f>
      </x:c>
      <x:c r="K385" s="165" t="str">
        <x:f>IF(AND(K$5&gt;=$C385,K$5&lt;=$D385,$A385&lt;&gt;""),"●","")</x:f>
      </x:c>
      <x:c r="L385" s="165" t="str">
        <x:f>IF(AND(L$5&gt;=$C385,L$5&lt;=$D385,$A385&lt;&gt;""),"●","")</x:f>
      </x:c>
      <x:c r="M385" s="165" t="str">
        <x:f>IF(AND(M$5&gt;=$C385,M$5&lt;=$D385,$A385&lt;&gt;""),"●","")</x:f>
      </x:c>
      <x:c r="N385" s="165" t="str">
        <x:f>IF(AND(N$5&gt;=$C385,N$5&lt;=$D385,$A385&lt;&gt;""),"●","")</x:f>
      </x:c>
      <x:c r="O385" s="165" t="str">
        <x:f>IF(AND(O$5&gt;=$C385,O$5&lt;=$D385,$A385&lt;&gt;""),"●","")</x:f>
      </x:c>
      <x:c r="P385" s="165" t="str">
        <x:f>IF(AND(P$5&gt;=$C385,P$5&lt;=$D385,$A385&lt;&gt;""),"●","")</x:f>
      </x:c>
      <x:c r="Q385" s="165" t="str">
        <x:f>IF(AND(Q$5&gt;=$C385,Q$5&lt;=$D385,$A385&lt;&gt;""),"●","")</x:f>
      </x:c>
      <x:c r="R385" s="165" t="str">
        <x:f>IF(AND(R$5&gt;=$C385,R$5&lt;=$D385,$A385&lt;&gt;""),"●","")</x:f>
      </x:c>
      <x:c r="S385" s="165" t="str">
        <x:f>IF(AND(S$5&gt;=$C385,S$5&lt;=$D385,$A385&lt;&gt;""),"●","")</x:f>
      </x:c>
      <x:c r="T385" s="165" t="str">
        <x:f>IF(AND(T$5&gt;=$C385,T$5&lt;=$D385,$A385&lt;&gt;""),"●","")</x:f>
      </x:c>
      <x:c r="U385" s="165" t="str">
        <x:f>IF(AND(U$5&gt;=$C385,U$5&lt;=$D385,$A385&lt;&gt;""),"●","")</x:f>
      </x:c>
      <x:c r="V385" s="165" t="str">
        <x:f>IF(AND(V$5&gt;=$C385,V$5&lt;=$D385,$A385&lt;&gt;""),"●","")</x:f>
      </x:c>
      <x:c r="W385" s="165" t="str">
        <x:f>IF(AND(W$5&gt;=$C385,W$5&lt;=$D385,$A385&lt;&gt;""),"●","")</x:f>
      </x:c>
      <x:c r="X385" s="165" t="str">
        <x:f>IF(AND(X$5&gt;=$C385,X$5&lt;=$D385,$A385&lt;&gt;""),"●","")</x:f>
      </x:c>
      <x:c r="Y385" s="165" t="str">
        <x:f>IF(AND(Y$5&gt;=$C385,Y$5&lt;=$D385,$A385&lt;&gt;""),"●","")</x:f>
      </x:c>
      <x:c r="Z385" s="165" t="str">
        <x:f>IF(AND(Z$5&gt;=$C385,Z$5&lt;=$D385,$A385&lt;&gt;""),"●","")</x:f>
      </x:c>
      <x:c r="AA385" s="165" t="str">
        <x:f>IF(AND(AA$5&gt;=$C385,AA$5&lt;=$D385,$A385&lt;&gt;""),"●","")</x:f>
      </x:c>
      <x:c r="AB385" s="165" t="str">
        <x:f>IF(AND(AB$5&gt;=$C385,AB$5&lt;=$D385,$A385&lt;&gt;""),"●","")</x:f>
      </x:c>
      <x:c r="AC385" s="165" t="str">
        <x:f>IF(AND(AC$5&gt;=$C385,AC$5&lt;=$D385,$A385&lt;&gt;""),"●","")</x:f>
      </x:c>
      <x:c r="AD385" s="165" t="str">
        <x:f>IF(AND(AD$5&gt;=$C385,AD$5&lt;=$D385,$A385&lt;&gt;""),"●","")</x:f>
      </x:c>
      <x:c r="AE385" s="165" t="str">
        <x:f>IF(AND(AE$5&gt;=$C385,AE$5&lt;=$D385,$A385&lt;&gt;""),"●","")</x:f>
      </x:c>
      <x:c r="AF385" s="165" t="str">
        <x:f>IF(AND(AF$5&gt;=$C385,AF$5&lt;=$D385,$A385&lt;&gt;""),"●","")</x:f>
      </x:c>
      <x:c r="AG385" s="165" t="str">
        <x:f>IF(AND(AG$5&gt;=$C385,AG$5&lt;=$D385,$A385&lt;&gt;""),"●","")</x:f>
      </x:c>
      <x:c r="AH385" s="165" t="str">
        <x:f>IF(AND(AH$5&gt;=$C385,AH$5&lt;=$D385,$A385&lt;&gt;""),"●","")</x:f>
      </x:c>
      <x:c r="AI385" s="165" t="str">
        <x:f>IF(AND(AI$5&gt;=$C385,AI$5&lt;=$D385,$A385&lt;&gt;""),"●","")</x:f>
      </x:c>
      <x:c r="AJ385" s="165" t="str">
        <x:f>IF(AND(AJ$5&gt;=$C385,AJ$5&lt;=$D385,$A385&lt;&gt;""),"●","")</x:f>
      </x:c>
      <x:c r="AK385" s="165" t="str">
        <x:f>IF(AND(AK$5&gt;=$C385,AK$5&lt;=$D385,$A385&lt;&gt;""),"●","")</x:f>
      </x:c>
      <x:c r="AL385" s="165" t="str">
        <x:f>IF(AND(AL$5&gt;=$C385,AL$5&lt;=$D385,$A385&lt;&gt;""),"●","")</x:f>
      </x:c>
      <x:c r="AM385" s="165" t="str">
        <x:f>IF(AND(AM$5&gt;=$C385,AM$5&lt;=$D385,$A385&lt;&gt;""),"●","")</x:f>
      </x:c>
      <x:c r="AN385" s="165" t="str">
        <x:f>IF(AND(AN$5&gt;=$C385,AN$5&lt;=$D385,$A385&lt;&gt;""),"●","")</x:f>
      </x:c>
      <x:c r="AO385" s="165" t="str">
        <x:f>IF(AND(AO$5&gt;=$C385,AO$5&lt;=$D385,$A385&lt;&gt;""),"●","")</x:f>
      </x:c>
      <x:c r="AP385" s="165" t="str">
        <x:f>IF(AND(AP$5&gt;=$C385,AP$5&lt;=$D385,$A385&lt;&gt;""),"●","")</x:f>
      </x:c>
      <x:c r="AQ385" s="165" t="str">
        <x:f>IF(AND(AQ$5&gt;=$C385,AQ$5&lt;=$D385,$A385&lt;&gt;""),"●","")</x:f>
      </x:c>
      <x:c r="AR385" s="165" t="str">
        <x:f>IF(AND(AR$5&gt;=$C385,AR$5&lt;=$D385,$A385&lt;&gt;""),"●","")</x:f>
      </x:c>
      <x:c r="AS385" s="165" t="str">
        <x:f>IF(AND(AS$5&gt;=$C385,AS$5&lt;=$D385,$A385&lt;&gt;""),"●","")</x:f>
      </x:c>
      <x:c r="AT385" s="165" t="str">
        <x:f>IF(AND(AT$5&gt;=$C385,AT$5&lt;=$D385,$A385&lt;&gt;""),"●","")</x:f>
      </x:c>
      <x:c r="AU385" s="165" t="str">
        <x:f>IF(AND(AU$5&gt;=$C385,AU$5&lt;=$D385,$A385&lt;&gt;""),"●","")</x:f>
      </x:c>
      <x:c r="AV385" s="165" t="str">
        <x:f>IF(AND(AV$5&gt;=$C385,AV$5&lt;=$D385,$A385&lt;&gt;""),"●","")</x:f>
      </x:c>
      <x:c r="AW385" s="165" t="str">
        <x:f>IF(AND(AW$5&gt;=$C385,AW$5&lt;=$D385,$A385&lt;&gt;""),"●","")</x:f>
      </x:c>
      <x:c r="AX385" s="165" t="str">
        <x:f>IF(AND(AX$5&gt;=$C385,AX$5&lt;=$D385,$A385&lt;&gt;""),"●","")</x:f>
      </x:c>
      <x:c r="AY385" s="165" t="str">
        <x:f>IF(AND(AY$5&gt;=$C385,AY$5&lt;=$D385,$A385&lt;&gt;""),"●","")</x:f>
      </x:c>
      <x:c r="AZ385" s="165" t="str">
        <x:f>IF(AND(AZ$5&gt;=$C385,AZ$5&lt;=$D385,$A385&lt;&gt;""),"●","")</x:f>
      </x:c>
      <x:c r="BA385" s="165" t="str">
        <x:f>IF(AND(BA$5&gt;=$C385,BA$5&lt;=$D385,$A385&lt;&gt;""),"●","")</x:f>
      </x:c>
      <x:c r="BB385" s="165" t="str">
        <x:f>IF(AND(BB$5&gt;=$C385,BB$5&lt;=$D385,$A385&lt;&gt;""),"●","")</x:f>
      </x:c>
      <x:c r="BC385" s="165" t="str">
        <x:f>IF(AND(BC$5&gt;=$C385,BC$5&lt;=$D385,$A385&lt;&gt;""),"●","")</x:f>
      </x:c>
      <x:c r="BD385" s="165" t="str">
        <x:f>IF(AND(BD$5&gt;=$C385,BD$5&lt;=$D385,$A385&lt;&gt;""),"●","")</x:f>
      </x:c>
      <x:c r="BE385" s="165" t="str">
        <x:f>IF(AND(BE$5&gt;=$C385,BE$5&lt;=$D385,$A385&lt;&gt;""),"●","")</x:f>
      </x:c>
      <x:c r="BF385" s="165" t="str">
        <x:f>IF(AND(BF$5&gt;=$C385,BF$5&lt;=$D385,$A385&lt;&gt;""),"●","")</x:f>
      </x:c>
      <x:c r="BG385" s="165" t="str">
        <x:f>IF(AND(BG$5&gt;=$C385,BG$5&lt;=$D385,$A385&lt;&gt;""),"●","")</x:f>
      </x:c>
      <x:c r="BH385" s="165" t="str">
        <x:f>IF(AND(BH$5&gt;=$C385,BH$5&lt;=$D385,$A385&lt;&gt;""),"●","")</x:f>
      </x:c>
      <x:c r="BI385" s="165" t="str">
        <x:f>IF(AND(BI$5&gt;=$C385,BI$5&lt;=$D385,$A385&lt;&gt;""),"●","")</x:f>
      </x:c>
      <x:c r="BJ385" s="165" t="str">
        <x:f>IF(AND(BJ$5&gt;=$C385,BJ$5&lt;=$D385,$A385&lt;&gt;""),"●","")</x:f>
      </x:c>
      <x:c r="BK385" s="165" t="str">
        <x:f>IF(AND(BK$5&gt;=$C385,BK$5&lt;=$D385,$A385&lt;&gt;""),"●","")</x:f>
      </x:c>
      <x:c r="BL385" s="165" t="str">
        <x:f>IF(AND(BL$5&gt;=$C385,BL$5&lt;=$D385,$A385&lt;&gt;""),"●","")</x:f>
      </x:c>
      <x:c r="BM385" s="165" t="str">
        <x:f>IF(AND(BM$5&gt;=$C385,BM$5&lt;=$D385,$A385&lt;&gt;""),"●","")</x:f>
      </x:c>
      <x:c r="BN385" s="165" t="str">
        <x:f>IF(AND(BN$5&gt;=$C385,BN$5&lt;=$D385,$A385&lt;&gt;""),"●","")</x:f>
      </x:c>
      <x:c r="BO385" s="165" t="str">
        <x:f>IF(AND(BO$5&gt;=$C385,BO$5&lt;=$D385,$A385&lt;&gt;""),"●","")</x:f>
      </x:c>
      <x:c r="BP385" s="165" t="str">
        <x:f>IF(AND(BP$5&gt;=$C385,BP$5&lt;=$D385,$A385&lt;&gt;""),"●","")</x:f>
      </x:c>
      <x:c r="BQ385" s="165" t="str">
        <x:f>IF(AND(BQ$5&gt;=$C385,BQ$5&lt;=$D385,$A385&lt;&gt;""),"●","")</x:f>
      </x:c>
      <x:c r="BR385" s="165" t="str">
        <x:f>IF(AND(BR$5&gt;=$C385,BR$5&lt;=$D385,$A385&lt;&gt;""),"●","")</x:f>
      </x:c>
      <x:c r="BS385" s="165" t="str">
        <x:f>IF(AND(BS$5&gt;=$C385,BS$5&lt;=$D385,$A385&lt;&gt;""),"●","")</x:f>
      </x:c>
      <x:c r="BT385" s="165" t="str">
        <x:f>IF(AND(BT$5&gt;=$C385,BT$5&lt;=$D385,$A385&lt;&gt;""),"●","")</x:f>
      </x:c>
      <x:c r="BU385" s="165" t="str">
        <x:f>IF(AND(BU$5&gt;=$C385,BU$5&lt;=$D385,$A385&lt;&gt;""),"●","")</x:f>
      </x:c>
      <x:c r="BV385" s="165" t="str">
        <x:f>IF(AND(BV$5&gt;=$C385,BV$5&lt;=$D385,$A385&lt;&gt;""),"●","")</x:f>
      </x:c>
      <x:c r="BW385" s="165" t="str">
        <x:f>IF(AND(BW$5&gt;=$C385,BW$5&lt;=$D385,$A385&lt;&gt;""),"●","")</x:f>
      </x:c>
    </x:row>
    <x:row r="386">
      <x:c r="A386" s="159" t="str">
        <x:f>IF('รายการสัญญา'!A386="","",'รายการสัญญา'!A386)</x:f>
      </x:c>
      <x:c r="B386" s="159" t="str">
        <x:f>IF('รายการสัญญา'!A386="","",'รายการสัญญา'!C386)</x:f>
      </x:c>
      <x:c r="C386" s="162" t="str">
        <x:f>IF('รายการสัญญา'!A386="","",'รายการสัญญา'!E386)</x:f>
      </x:c>
      <x:c r="D386" s="162" t="str">
        <x:f>IF('รายการสัญญา'!A386="","",'รายการสัญญา'!G386)</x:f>
      </x:c>
      <x:c r="E386" s="159" t="str">
        <x:f>IF('รายการสัญญา'!A386="","",'รายการสัญญา'!K386)</x:f>
      </x:c>
      <x:c r="F386" s="165" t="str">
        <x:f>IF(AND(F$5&gt;=$C386,F$5&lt;=$D386,$A386&lt;&gt;""),"●","")</x:f>
      </x:c>
      <x:c r="G386" s="165" t="str">
        <x:f>IF(AND(G$5&gt;=$C386,G$5&lt;=$D386,$A386&lt;&gt;""),"●","")</x:f>
      </x:c>
      <x:c r="H386" s="165" t="str">
        <x:f>IF(AND(H$5&gt;=$C386,H$5&lt;=$D386,$A386&lt;&gt;""),"●","")</x:f>
      </x:c>
      <x:c r="I386" s="165" t="str">
        <x:f>IF(AND(I$5&gt;=$C386,I$5&lt;=$D386,$A386&lt;&gt;""),"●","")</x:f>
      </x:c>
      <x:c r="J386" s="165" t="str">
        <x:f>IF(AND(J$5&gt;=$C386,J$5&lt;=$D386,$A386&lt;&gt;""),"●","")</x:f>
      </x:c>
      <x:c r="K386" s="165" t="str">
        <x:f>IF(AND(K$5&gt;=$C386,K$5&lt;=$D386,$A386&lt;&gt;""),"●","")</x:f>
      </x:c>
      <x:c r="L386" s="165" t="str">
        <x:f>IF(AND(L$5&gt;=$C386,L$5&lt;=$D386,$A386&lt;&gt;""),"●","")</x:f>
      </x:c>
      <x:c r="M386" s="165" t="str">
        <x:f>IF(AND(M$5&gt;=$C386,M$5&lt;=$D386,$A386&lt;&gt;""),"●","")</x:f>
      </x:c>
      <x:c r="N386" s="165" t="str">
        <x:f>IF(AND(N$5&gt;=$C386,N$5&lt;=$D386,$A386&lt;&gt;""),"●","")</x:f>
      </x:c>
      <x:c r="O386" s="165" t="str">
        <x:f>IF(AND(O$5&gt;=$C386,O$5&lt;=$D386,$A386&lt;&gt;""),"●","")</x:f>
      </x:c>
      <x:c r="P386" s="165" t="str">
        <x:f>IF(AND(P$5&gt;=$C386,P$5&lt;=$D386,$A386&lt;&gt;""),"●","")</x:f>
      </x:c>
      <x:c r="Q386" s="165" t="str">
        <x:f>IF(AND(Q$5&gt;=$C386,Q$5&lt;=$D386,$A386&lt;&gt;""),"●","")</x:f>
      </x:c>
      <x:c r="R386" s="165" t="str">
        <x:f>IF(AND(R$5&gt;=$C386,R$5&lt;=$D386,$A386&lt;&gt;""),"●","")</x:f>
      </x:c>
      <x:c r="S386" s="165" t="str">
        <x:f>IF(AND(S$5&gt;=$C386,S$5&lt;=$D386,$A386&lt;&gt;""),"●","")</x:f>
      </x:c>
      <x:c r="T386" s="165" t="str">
        <x:f>IF(AND(T$5&gt;=$C386,T$5&lt;=$D386,$A386&lt;&gt;""),"●","")</x:f>
      </x:c>
      <x:c r="U386" s="165" t="str">
        <x:f>IF(AND(U$5&gt;=$C386,U$5&lt;=$D386,$A386&lt;&gt;""),"●","")</x:f>
      </x:c>
      <x:c r="V386" s="165" t="str">
        <x:f>IF(AND(V$5&gt;=$C386,V$5&lt;=$D386,$A386&lt;&gt;""),"●","")</x:f>
      </x:c>
      <x:c r="W386" s="165" t="str">
        <x:f>IF(AND(W$5&gt;=$C386,W$5&lt;=$D386,$A386&lt;&gt;""),"●","")</x:f>
      </x:c>
      <x:c r="X386" s="165" t="str">
        <x:f>IF(AND(X$5&gt;=$C386,X$5&lt;=$D386,$A386&lt;&gt;""),"●","")</x:f>
      </x:c>
      <x:c r="Y386" s="165" t="str">
        <x:f>IF(AND(Y$5&gt;=$C386,Y$5&lt;=$D386,$A386&lt;&gt;""),"●","")</x:f>
      </x:c>
      <x:c r="Z386" s="165" t="str">
        <x:f>IF(AND(Z$5&gt;=$C386,Z$5&lt;=$D386,$A386&lt;&gt;""),"●","")</x:f>
      </x:c>
      <x:c r="AA386" s="165" t="str">
        <x:f>IF(AND(AA$5&gt;=$C386,AA$5&lt;=$D386,$A386&lt;&gt;""),"●","")</x:f>
      </x:c>
      <x:c r="AB386" s="165" t="str">
        <x:f>IF(AND(AB$5&gt;=$C386,AB$5&lt;=$D386,$A386&lt;&gt;""),"●","")</x:f>
      </x:c>
      <x:c r="AC386" s="165" t="str">
        <x:f>IF(AND(AC$5&gt;=$C386,AC$5&lt;=$D386,$A386&lt;&gt;""),"●","")</x:f>
      </x:c>
      <x:c r="AD386" s="165" t="str">
        <x:f>IF(AND(AD$5&gt;=$C386,AD$5&lt;=$D386,$A386&lt;&gt;""),"●","")</x:f>
      </x:c>
      <x:c r="AE386" s="165" t="str">
        <x:f>IF(AND(AE$5&gt;=$C386,AE$5&lt;=$D386,$A386&lt;&gt;""),"●","")</x:f>
      </x:c>
      <x:c r="AF386" s="165" t="str">
        <x:f>IF(AND(AF$5&gt;=$C386,AF$5&lt;=$D386,$A386&lt;&gt;""),"●","")</x:f>
      </x:c>
      <x:c r="AG386" s="165" t="str">
        <x:f>IF(AND(AG$5&gt;=$C386,AG$5&lt;=$D386,$A386&lt;&gt;""),"●","")</x:f>
      </x:c>
      <x:c r="AH386" s="165" t="str">
        <x:f>IF(AND(AH$5&gt;=$C386,AH$5&lt;=$D386,$A386&lt;&gt;""),"●","")</x:f>
      </x:c>
      <x:c r="AI386" s="165" t="str">
        <x:f>IF(AND(AI$5&gt;=$C386,AI$5&lt;=$D386,$A386&lt;&gt;""),"●","")</x:f>
      </x:c>
      <x:c r="AJ386" s="165" t="str">
        <x:f>IF(AND(AJ$5&gt;=$C386,AJ$5&lt;=$D386,$A386&lt;&gt;""),"●","")</x:f>
      </x:c>
      <x:c r="AK386" s="165" t="str">
        <x:f>IF(AND(AK$5&gt;=$C386,AK$5&lt;=$D386,$A386&lt;&gt;""),"●","")</x:f>
      </x:c>
      <x:c r="AL386" s="165" t="str">
        <x:f>IF(AND(AL$5&gt;=$C386,AL$5&lt;=$D386,$A386&lt;&gt;""),"●","")</x:f>
      </x:c>
      <x:c r="AM386" s="165" t="str">
        <x:f>IF(AND(AM$5&gt;=$C386,AM$5&lt;=$D386,$A386&lt;&gt;""),"●","")</x:f>
      </x:c>
      <x:c r="AN386" s="165" t="str">
        <x:f>IF(AND(AN$5&gt;=$C386,AN$5&lt;=$D386,$A386&lt;&gt;""),"●","")</x:f>
      </x:c>
      <x:c r="AO386" s="165" t="str">
        <x:f>IF(AND(AO$5&gt;=$C386,AO$5&lt;=$D386,$A386&lt;&gt;""),"●","")</x:f>
      </x:c>
      <x:c r="AP386" s="165" t="str">
        <x:f>IF(AND(AP$5&gt;=$C386,AP$5&lt;=$D386,$A386&lt;&gt;""),"●","")</x:f>
      </x:c>
      <x:c r="AQ386" s="165" t="str">
        <x:f>IF(AND(AQ$5&gt;=$C386,AQ$5&lt;=$D386,$A386&lt;&gt;""),"●","")</x:f>
      </x:c>
      <x:c r="AR386" s="165" t="str">
        <x:f>IF(AND(AR$5&gt;=$C386,AR$5&lt;=$D386,$A386&lt;&gt;""),"●","")</x:f>
      </x:c>
      <x:c r="AS386" s="165" t="str">
        <x:f>IF(AND(AS$5&gt;=$C386,AS$5&lt;=$D386,$A386&lt;&gt;""),"●","")</x:f>
      </x:c>
      <x:c r="AT386" s="165" t="str">
        <x:f>IF(AND(AT$5&gt;=$C386,AT$5&lt;=$D386,$A386&lt;&gt;""),"●","")</x:f>
      </x:c>
      <x:c r="AU386" s="165" t="str">
        <x:f>IF(AND(AU$5&gt;=$C386,AU$5&lt;=$D386,$A386&lt;&gt;""),"●","")</x:f>
      </x:c>
      <x:c r="AV386" s="165" t="str">
        <x:f>IF(AND(AV$5&gt;=$C386,AV$5&lt;=$D386,$A386&lt;&gt;""),"●","")</x:f>
      </x:c>
      <x:c r="AW386" s="165" t="str">
        <x:f>IF(AND(AW$5&gt;=$C386,AW$5&lt;=$D386,$A386&lt;&gt;""),"●","")</x:f>
      </x:c>
      <x:c r="AX386" s="165" t="str">
        <x:f>IF(AND(AX$5&gt;=$C386,AX$5&lt;=$D386,$A386&lt;&gt;""),"●","")</x:f>
      </x:c>
      <x:c r="AY386" s="165" t="str">
        <x:f>IF(AND(AY$5&gt;=$C386,AY$5&lt;=$D386,$A386&lt;&gt;""),"●","")</x:f>
      </x:c>
      <x:c r="AZ386" s="165" t="str">
        <x:f>IF(AND(AZ$5&gt;=$C386,AZ$5&lt;=$D386,$A386&lt;&gt;""),"●","")</x:f>
      </x:c>
      <x:c r="BA386" s="165" t="str">
        <x:f>IF(AND(BA$5&gt;=$C386,BA$5&lt;=$D386,$A386&lt;&gt;""),"●","")</x:f>
      </x:c>
      <x:c r="BB386" s="165" t="str">
        <x:f>IF(AND(BB$5&gt;=$C386,BB$5&lt;=$D386,$A386&lt;&gt;""),"●","")</x:f>
      </x:c>
      <x:c r="BC386" s="165" t="str">
        <x:f>IF(AND(BC$5&gt;=$C386,BC$5&lt;=$D386,$A386&lt;&gt;""),"●","")</x:f>
      </x:c>
      <x:c r="BD386" s="165" t="str">
        <x:f>IF(AND(BD$5&gt;=$C386,BD$5&lt;=$D386,$A386&lt;&gt;""),"●","")</x:f>
      </x:c>
      <x:c r="BE386" s="165" t="str">
        <x:f>IF(AND(BE$5&gt;=$C386,BE$5&lt;=$D386,$A386&lt;&gt;""),"●","")</x:f>
      </x:c>
      <x:c r="BF386" s="165" t="str">
        <x:f>IF(AND(BF$5&gt;=$C386,BF$5&lt;=$D386,$A386&lt;&gt;""),"●","")</x:f>
      </x:c>
      <x:c r="BG386" s="165" t="str">
        <x:f>IF(AND(BG$5&gt;=$C386,BG$5&lt;=$D386,$A386&lt;&gt;""),"●","")</x:f>
      </x:c>
      <x:c r="BH386" s="165" t="str">
        <x:f>IF(AND(BH$5&gt;=$C386,BH$5&lt;=$D386,$A386&lt;&gt;""),"●","")</x:f>
      </x:c>
      <x:c r="BI386" s="165" t="str">
        <x:f>IF(AND(BI$5&gt;=$C386,BI$5&lt;=$D386,$A386&lt;&gt;""),"●","")</x:f>
      </x:c>
      <x:c r="BJ386" s="165" t="str">
        <x:f>IF(AND(BJ$5&gt;=$C386,BJ$5&lt;=$D386,$A386&lt;&gt;""),"●","")</x:f>
      </x:c>
      <x:c r="BK386" s="165" t="str">
        <x:f>IF(AND(BK$5&gt;=$C386,BK$5&lt;=$D386,$A386&lt;&gt;""),"●","")</x:f>
      </x:c>
      <x:c r="BL386" s="165" t="str">
        <x:f>IF(AND(BL$5&gt;=$C386,BL$5&lt;=$D386,$A386&lt;&gt;""),"●","")</x:f>
      </x:c>
      <x:c r="BM386" s="165" t="str">
        <x:f>IF(AND(BM$5&gt;=$C386,BM$5&lt;=$D386,$A386&lt;&gt;""),"●","")</x:f>
      </x:c>
      <x:c r="BN386" s="165" t="str">
        <x:f>IF(AND(BN$5&gt;=$C386,BN$5&lt;=$D386,$A386&lt;&gt;""),"●","")</x:f>
      </x:c>
      <x:c r="BO386" s="165" t="str">
        <x:f>IF(AND(BO$5&gt;=$C386,BO$5&lt;=$D386,$A386&lt;&gt;""),"●","")</x:f>
      </x:c>
      <x:c r="BP386" s="165" t="str">
        <x:f>IF(AND(BP$5&gt;=$C386,BP$5&lt;=$D386,$A386&lt;&gt;""),"●","")</x:f>
      </x:c>
      <x:c r="BQ386" s="165" t="str">
        <x:f>IF(AND(BQ$5&gt;=$C386,BQ$5&lt;=$D386,$A386&lt;&gt;""),"●","")</x:f>
      </x:c>
      <x:c r="BR386" s="165" t="str">
        <x:f>IF(AND(BR$5&gt;=$C386,BR$5&lt;=$D386,$A386&lt;&gt;""),"●","")</x:f>
      </x:c>
      <x:c r="BS386" s="165" t="str">
        <x:f>IF(AND(BS$5&gt;=$C386,BS$5&lt;=$D386,$A386&lt;&gt;""),"●","")</x:f>
      </x:c>
      <x:c r="BT386" s="165" t="str">
        <x:f>IF(AND(BT$5&gt;=$C386,BT$5&lt;=$D386,$A386&lt;&gt;""),"●","")</x:f>
      </x:c>
      <x:c r="BU386" s="165" t="str">
        <x:f>IF(AND(BU$5&gt;=$C386,BU$5&lt;=$D386,$A386&lt;&gt;""),"●","")</x:f>
      </x:c>
      <x:c r="BV386" s="165" t="str">
        <x:f>IF(AND(BV$5&gt;=$C386,BV$5&lt;=$D386,$A386&lt;&gt;""),"●","")</x:f>
      </x:c>
      <x:c r="BW386" s="165" t="str">
        <x:f>IF(AND(BW$5&gt;=$C386,BW$5&lt;=$D386,$A386&lt;&gt;""),"●","")</x:f>
      </x:c>
    </x:row>
    <x:row r="387">
      <x:c r="A387" s="159" t="str">
        <x:f>IF('รายการสัญญา'!A387="","",'รายการสัญญา'!A387)</x:f>
      </x:c>
      <x:c r="B387" s="159" t="str">
        <x:f>IF('รายการสัญญา'!A387="","",'รายการสัญญา'!C387)</x:f>
      </x:c>
      <x:c r="C387" s="162" t="str">
        <x:f>IF('รายการสัญญา'!A387="","",'รายการสัญญา'!E387)</x:f>
      </x:c>
      <x:c r="D387" s="162" t="str">
        <x:f>IF('รายการสัญญา'!A387="","",'รายการสัญญา'!G387)</x:f>
      </x:c>
      <x:c r="E387" s="159" t="str">
        <x:f>IF('รายการสัญญา'!A387="","",'รายการสัญญา'!K387)</x:f>
      </x:c>
      <x:c r="F387" s="165" t="str">
        <x:f>IF(AND(F$5&gt;=$C387,F$5&lt;=$D387,$A387&lt;&gt;""),"●","")</x:f>
      </x:c>
      <x:c r="G387" s="165" t="str">
        <x:f>IF(AND(G$5&gt;=$C387,G$5&lt;=$D387,$A387&lt;&gt;""),"●","")</x:f>
      </x:c>
      <x:c r="H387" s="165" t="str">
        <x:f>IF(AND(H$5&gt;=$C387,H$5&lt;=$D387,$A387&lt;&gt;""),"●","")</x:f>
      </x:c>
      <x:c r="I387" s="165" t="str">
        <x:f>IF(AND(I$5&gt;=$C387,I$5&lt;=$D387,$A387&lt;&gt;""),"●","")</x:f>
      </x:c>
      <x:c r="J387" s="165" t="str">
        <x:f>IF(AND(J$5&gt;=$C387,J$5&lt;=$D387,$A387&lt;&gt;""),"●","")</x:f>
      </x:c>
      <x:c r="K387" s="165" t="str">
        <x:f>IF(AND(K$5&gt;=$C387,K$5&lt;=$D387,$A387&lt;&gt;""),"●","")</x:f>
      </x:c>
      <x:c r="L387" s="165" t="str">
        <x:f>IF(AND(L$5&gt;=$C387,L$5&lt;=$D387,$A387&lt;&gt;""),"●","")</x:f>
      </x:c>
      <x:c r="M387" s="165" t="str">
        <x:f>IF(AND(M$5&gt;=$C387,M$5&lt;=$D387,$A387&lt;&gt;""),"●","")</x:f>
      </x:c>
      <x:c r="N387" s="165" t="str">
        <x:f>IF(AND(N$5&gt;=$C387,N$5&lt;=$D387,$A387&lt;&gt;""),"●","")</x:f>
      </x:c>
      <x:c r="O387" s="165" t="str">
        <x:f>IF(AND(O$5&gt;=$C387,O$5&lt;=$D387,$A387&lt;&gt;""),"●","")</x:f>
      </x:c>
      <x:c r="P387" s="165" t="str">
        <x:f>IF(AND(P$5&gt;=$C387,P$5&lt;=$D387,$A387&lt;&gt;""),"●","")</x:f>
      </x:c>
      <x:c r="Q387" s="165" t="str">
        <x:f>IF(AND(Q$5&gt;=$C387,Q$5&lt;=$D387,$A387&lt;&gt;""),"●","")</x:f>
      </x:c>
      <x:c r="R387" s="165" t="str">
        <x:f>IF(AND(R$5&gt;=$C387,R$5&lt;=$D387,$A387&lt;&gt;""),"●","")</x:f>
      </x:c>
      <x:c r="S387" s="165" t="str">
        <x:f>IF(AND(S$5&gt;=$C387,S$5&lt;=$D387,$A387&lt;&gt;""),"●","")</x:f>
      </x:c>
      <x:c r="T387" s="165" t="str">
        <x:f>IF(AND(T$5&gt;=$C387,T$5&lt;=$D387,$A387&lt;&gt;""),"●","")</x:f>
      </x:c>
      <x:c r="U387" s="165" t="str">
        <x:f>IF(AND(U$5&gt;=$C387,U$5&lt;=$D387,$A387&lt;&gt;""),"●","")</x:f>
      </x:c>
      <x:c r="V387" s="165" t="str">
        <x:f>IF(AND(V$5&gt;=$C387,V$5&lt;=$D387,$A387&lt;&gt;""),"●","")</x:f>
      </x:c>
      <x:c r="W387" s="165" t="str">
        <x:f>IF(AND(W$5&gt;=$C387,W$5&lt;=$D387,$A387&lt;&gt;""),"●","")</x:f>
      </x:c>
      <x:c r="X387" s="165" t="str">
        <x:f>IF(AND(X$5&gt;=$C387,X$5&lt;=$D387,$A387&lt;&gt;""),"●","")</x:f>
      </x:c>
      <x:c r="Y387" s="165" t="str">
        <x:f>IF(AND(Y$5&gt;=$C387,Y$5&lt;=$D387,$A387&lt;&gt;""),"●","")</x:f>
      </x:c>
      <x:c r="Z387" s="165" t="str">
        <x:f>IF(AND(Z$5&gt;=$C387,Z$5&lt;=$D387,$A387&lt;&gt;""),"●","")</x:f>
      </x:c>
      <x:c r="AA387" s="165" t="str">
        <x:f>IF(AND(AA$5&gt;=$C387,AA$5&lt;=$D387,$A387&lt;&gt;""),"●","")</x:f>
      </x:c>
      <x:c r="AB387" s="165" t="str">
        <x:f>IF(AND(AB$5&gt;=$C387,AB$5&lt;=$D387,$A387&lt;&gt;""),"●","")</x:f>
      </x:c>
      <x:c r="AC387" s="165" t="str">
        <x:f>IF(AND(AC$5&gt;=$C387,AC$5&lt;=$D387,$A387&lt;&gt;""),"●","")</x:f>
      </x:c>
      <x:c r="AD387" s="165" t="str">
        <x:f>IF(AND(AD$5&gt;=$C387,AD$5&lt;=$D387,$A387&lt;&gt;""),"●","")</x:f>
      </x:c>
      <x:c r="AE387" s="165" t="str">
        <x:f>IF(AND(AE$5&gt;=$C387,AE$5&lt;=$D387,$A387&lt;&gt;""),"●","")</x:f>
      </x:c>
      <x:c r="AF387" s="165" t="str">
        <x:f>IF(AND(AF$5&gt;=$C387,AF$5&lt;=$D387,$A387&lt;&gt;""),"●","")</x:f>
      </x:c>
      <x:c r="AG387" s="165" t="str">
        <x:f>IF(AND(AG$5&gt;=$C387,AG$5&lt;=$D387,$A387&lt;&gt;""),"●","")</x:f>
      </x:c>
      <x:c r="AH387" s="165" t="str">
        <x:f>IF(AND(AH$5&gt;=$C387,AH$5&lt;=$D387,$A387&lt;&gt;""),"●","")</x:f>
      </x:c>
      <x:c r="AI387" s="165" t="str">
        <x:f>IF(AND(AI$5&gt;=$C387,AI$5&lt;=$D387,$A387&lt;&gt;""),"●","")</x:f>
      </x:c>
      <x:c r="AJ387" s="165" t="str">
        <x:f>IF(AND(AJ$5&gt;=$C387,AJ$5&lt;=$D387,$A387&lt;&gt;""),"●","")</x:f>
      </x:c>
      <x:c r="AK387" s="165" t="str">
        <x:f>IF(AND(AK$5&gt;=$C387,AK$5&lt;=$D387,$A387&lt;&gt;""),"●","")</x:f>
      </x:c>
      <x:c r="AL387" s="165" t="str">
        <x:f>IF(AND(AL$5&gt;=$C387,AL$5&lt;=$D387,$A387&lt;&gt;""),"●","")</x:f>
      </x:c>
      <x:c r="AM387" s="165" t="str">
        <x:f>IF(AND(AM$5&gt;=$C387,AM$5&lt;=$D387,$A387&lt;&gt;""),"●","")</x:f>
      </x:c>
      <x:c r="AN387" s="165" t="str">
        <x:f>IF(AND(AN$5&gt;=$C387,AN$5&lt;=$D387,$A387&lt;&gt;""),"●","")</x:f>
      </x:c>
      <x:c r="AO387" s="165" t="str">
        <x:f>IF(AND(AO$5&gt;=$C387,AO$5&lt;=$D387,$A387&lt;&gt;""),"●","")</x:f>
      </x:c>
      <x:c r="AP387" s="165" t="str">
        <x:f>IF(AND(AP$5&gt;=$C387,AP$5&lt;=$D387,$A387&lt;&gt;""),"●","")</x:f>
      </x:c>
      <x:c r="AQ387" s="165" t="str">
        <x:f>IF(AND(AQ$5&gt;=$C387,AQ$5&lt;=$D387,$A387&lt;&gt;""),"●","")</x:f>
      </x:c>
      <x:c r="AR387" s="165" t="str">
        <x:f>IF(AND(AR$5&gt;=$C387,AR$5&lt;=$D387,$A387&lt;&gt;""),"●","")</x:f>
      </x:c>
      <x:c r="AS387" s="165" t="str">
        <x:f>IF(AND(AS$5&gt;=$C387,AS$5&lt;=$D387,$A387&lt;&gt;""),"●","")</x:f>
      </x:c>
      <x:c r="AT387" s="165" t="str">
        <x:f>IF(AND(AT$5&gt;=$C387,AT$5&lt;=$D387,$A387&lt;&gt;""),"●","")</x:f>
      </x:c>
      <x:c r="AU387" s="165" t="str">
        <x:f>IF(AND(AU$5&gt;=$C387,AU$5&lt;=$D387,$A387&lt;&gt;""),"●","")</x:f>
      </x:c>
      <x:c r="AV387" s="165" t="str">
        <x:f>IF(AND(AV$5&gt;=$C387,AV$5&lt;=$D387,$A387&lt;&gt;""),"●","")</x:f>
      </x:c>
      <x:c r="AW387" s="165" t="str">
        <x:f>IF(AND(AW$5&gt;=$C387,AW$5&lt;=$D387,$A387&lt;&gt;""),"●","")</x:f>
      </x:c>
      <x:c r="AX387" s="165" t="str">
        <x:f>IF(AND(AX$5&gt;=$C387,AX$5&lt;=$D387,$A387&lt;&gt;""),"●","")</x:f>
      </x:c>
      <x:c r="AY387" s="165" t="str">
        <x:f>IF(AND(AY$5&gt;=$C387,AY$5&lt;=$D387,$A387&lt;&gt;""),"●","")</x:f>
      </x:c>
      <x:c r="AZ387" s="165" t="str">
        <x:f>IF(AND(AZ$5&gt;=$C387,AZ$5&lt;=$D387,$A387&lt;&gt;""),"●","")</x:f>
      </x:c>
      <x:c r="BA387" s="165" t="str">
        <x:f>IF(AND(BA$5&gt;=$C387,BA$5&lt;=$D387,$A387&lt;&gt;""),"●","")</x:f>
      </x:c>
      <x:c r="BB387" s="165" t="str">
        <x:f>IF(AND(BB$5&gt;=$C387,BB$5&lt;=$D387,$A387&lt;&gt;""),"●","")</x:f>
      </x:c>
      <x:c r="BC387" s="165" t="str">
        <x:f>IF(AND(BC$5&gt;=$C387,BC$5&lt;=$D387,$A387&lt;&gt;""),"●","")</x:f>
      </x:c>
      <x:c r="BD387" s="165" t="str">
        <x:f>IF(AND(BD$5&gt;=$C387,BD$5&lt;=$D387,$A387&lt;&gt;""),"●","")</x:f>
      </x:c>
      <x:c r="BE387" s="165" t="str">
        <x:f>IF(AND(BE$5&gt;=$C387,BE$5&lt;=$D387,$A387&lt;&gt;""),"●","")</x:f>
      </x:c>
      <x:c r="BF387" s="165" t="str">
        <x:f>IF(AND(BF$5&gt;=$C387,BF$5&lt;=$D387,$A387&lt;&gt;""),"●","")</x:f>
      </x:c>
      <x:c r="BG387" s="165" t="str">
        <x:f>IF(AND(BG$5&gt;=$C387,BG$5&lt;=$D387,$A387&lt;&gt;""),"●","")</x:f>
      </x:c>
      <x:c r="BH387" s="165" t="str">
        <x:f>IF(AND(BH$5&gt;=$C387,BH$5&lt;=$D387,$A387&lt;&gt;""),"●","")</x:f>
      </x:c>
      <x:c r="BI387" s="165" t="str">
        <x:f>IF(AND(BI$5&gt;=$C387,BI$5&lt;=$D387,$A387&lt;&gt;""),"●","")</x:f>
      </x:c>
      <x:c r="BJ387" s="165" t="str">
        <x:f>IF(AND(BJ$5&gt;=$C387,BJ$5&lt;=$D387,$A387&lt;&gt;""),"●","")</x:f>
      </x:c>
      <x:c r="BK387" s="165" t="str">
        <x:f>IF(AND(BK$5&gt;=$C387,BK$5&lt;=$D387,$A387&lt;&gt;""),"●","")</x:f>
      </x:c>
      <x:c r="BL387" s="165" t="str">
        <x:f>IF(AND(BL$5&gt;=$C387,BL$5&lt;=$D387,$A387&lt;&gt;""),"●","")</x:f>
      </x:c>
      <x:c r="BM387" s="165" t="str">
        <x:f>IF(AND(BM$5&gt;=$C387,BM$5&lt;=$D387,$A387&lt;&gt;""),"●","")</x:f>
      </x:c>
      <x:c r="BN387" s="165" t="str">
        <x:f>IF(AND(BN$5&gt;=$C387,BN$5&lt;=$D387,$A387&lt;&gt;""),"●","")</x:f>
      </x:c>
      <x:c r="BO387" s="165" t="str">
        <x:f>IF(AND(BO$5&gt;=$C387,BO$5&lt;=$D387,$A387&lt;&gt;""),"●","")</x:f>
      </x:c>
      <x:c r="BP387" s="165" t="str">
        <x:f>IF(AND(BP$5&gt;=$C387,BP$5&lt;=$D387,$A387&lt;&gt;""),"●","")</x:f>
      </x:c>
      <x:c r="BQ387" s="165" t="str">
        <x:f>IF(AND(BQ$5&gt;=$C387,BQ$5&lt;=$D387,$A387&lt;&gt;""),"●","")</x:f>
      </x:c>
      <x:c r="BR387" s="165" t="str">
        <x:f>IF(AND(BR$5&gt;=$C387,BR$5&lt;=$D387,$A387&lt;&gt;""),"●","")</x:f>
      </x:c>
      <x:c r="BS387" s="165" t="str">
        <x:f>IF(AND(BS$5&gt;=$C387,BS$5&lt;=$D387,$A387&lt;&gt;""),"●","")</x:f>
      </x:c>
      <x:c r="BT387" s="165" t="str">
        <x:f>IF(AND(BT$5&gt;=$C387,BT$5&lt;=$D387,$A387&lt;&gt;""),"●","")</x:f>
      </x:c>
      <x:c r="BU387" s="165" t="str">
        <x:f>IF(AND(BU$5&gt;=$C387,BU$5&lt;=$D387,$A387&lt;&gt;""),"●","")</x:f>
      </x:c>
      <x:c r="BV387" s="165" t="str">
        <x:f>IF(AND(BV$5&gt;=$C387,BV$5&lt;=$D387,$A387&lt;&gt;""),"●","")</x:f>
      </x:c>
      <x:c r="BW387" s="165" t="str">
        <x:f>IF(AND(BW$5&gt;=$C387,BW$5&lt;=$D387,$A387&lt;&gt;""),"●","")</x:f>
      </x:c>
    </x:row>
    <x:row r="388">
      <x:c r="A388" s="159" t="str">
        <x:f>IF('รายการสัญญา'!A388="","",'รายการสัญญา'!A388)</x:f>
      </x:c>
      <x:c r="B388" s="159" t="str">
        <x:f>IF('รายการสัญญา'!A388="","",'รายการสัญญา'!C388)</x:f>
      </x:c>
      <x:c r="C388" s="162" t="str">
        <x:f>IF('รายการสัญญา'!A388="","",'รายการสัญญา'!E388)</x:f>
      </x:c>
      <x:c r="D388" s="162" t="str">
        <x:f>IF('รายการสัญญา'!A388="","",'รายการสัญญา'!G388)</x:f>
      </x:c>
      <x:c r="E388" s="159" t="str">
        <x:f>IF('รายการสัญญา'!A388="","",'รายการสัญญา'!K388)</x:f>
      </x:c>
      <x:c r="F388" s="165" t="str">
        <x:f>IF(AND(F$5&gt;=$C388,F$5&lt;=$D388,$A388&lt;&gt;""),"●","")</x:f>
      </x:c>
      <x:c r="G388" s="165" t="str">
        <x:f>IF(AND(G$5&gt;=$C388,G$5&lt;=$D388,$A388&lt;&gt;""),"●","")</x:f>
      </x:c>
      <x:c r="H388" s="165" t="str">
        <x:f>IF(AND(H$5&gt;=$C388,H$5&lt;=$D388,$A388&lt;&gt;""),"●","")</x:f>
      </x:c>
      <x:c r="I388" s="165" t="str">
        <x:f>IF(AND(I$5&gt;=$C388,I$5&lt;=$D388,$A388&lt;&gt;""),"●","")</x:f>
      </x:c>
      <x:c r="J388" s="165" t="str">
        <x:f>IF(AND(J$5&gt;=$C388,J$5&lt;=$D388,$A388&lt;&gt;""),"●","")</x:f>
      </x:c>
      <x:c r="K388" s="165" t="str">
        <x:f>IF(AND(K$5&gt;=$C388,K$5&lt;=$D388,$A388&lt;&gt;""),"●","")</x:f>
      </x:c>
      <x:c r="L388" s="165" t="str">
        <x:f>IF(AND(L$5&gt;=$C388,L$5&lt;=$D388,$A388&lt;&gt;""),"●","")</x:f>
      </x:c>
      <x:c r="M388" s="165" t="str">
        <x:f>IF(AND(M$5&gt;=$C388,M$5&lt;=$D388,$A388&lt;&gt;""),"●","")</x:f>
      </x:c>
      <x:c r="N388" s="165" t="str">
        <x:f>IF(AND(N$5&gt;=$C388,N$5&lt;=$D388,$A388&lt;&gt;""),"●","")</x:f>
      </x:c>
      <x:c r="O388" s="165" t="str">
        <x:f>IF(AND(O$5&gt;=$C388,O$5&lt;=$D388,$A388&lt;&gt;""),"●","")</x:f>
      </x:c>
      <x:c r="P388" s="165" t="str">
        <x:f>IF(AND(P$5&gt;=$C388,P$5&lt;=$D388,$A388&lt;&gt;""),"●","")</x:f>
      </x:c>
      <x:c r="Q388" s="165" t="str">
        <x:f>IF(AND(Q$5&gt;=$C388,Q$5&lt;=$D388,$A388&lt;&gt;""),"●","")</x:f>
      </x:c>
      <x:c r="R388" s="165" t="str">
        <x:f>IF(AND(R$5&gt;=$C388,R$5&lt;=$D388,$A388&lt;&gt;""),"●","")</x:f>
      </x:c>
      <x:c r="S388" s="165" t="str">
        <x:f>IF(AND(S$5&gt;=$C388,S$5&lt;=$D388,$A388&lt;&gt;""),"●","")</x:f>
      </x:c>
      <x:c r="T388" s="165" t="str">
        <x:f>IF(AND(T$5&gt;=$C388,T$5&lt;=$D388,$A388&lt;&gt;""),"●","")</x:f>
      </x:c>
      <x:c r="U388" s="165" t="str">
        <x:f>IF(AND(U$5&gt;=$C388,U$5&lt;=$D388,$A388&lt;&gt;""),"●","")</x:f>
      </x:c>
      <x:c r="V388" s="165" t="str">
        <x:f>IF(AND(V$5&gt;=$C388,V$5&lt;=$D388,$A388&lt;&gt;""),"●","")</x:f>
      </x:c>
      <x:c r="W388" s="165" t="str">
        <x:f>IF(AND(W$5&gt;=$C388,W$5&lt;=$D388,$A388&lt;&gt;""),"●","")</x:f>
      </x:c>
      <x:c r="X388" s="165" t="str">
        <x:f>IF(AND(X$5&gt;=$C388,X$5&lt;=$D388,$A388&lt;&gt;""),"●","")</x:f>
      </x:c>
      <x:c r="Y388" s="165" t="str">
        <x:f>IF(AND(Y$5&gt;=$C388,Y$5&lt;=$D388,$A388&lt;&gt;""),"●","")</x:f>
      </x:c>
      <x:c r="Z388" s="165" t="str">
        <x:f>IF(AND(Z$5&gt;=$C388,Z$5&lt;=$D388,$A388&lt;&gt;""),"●","")</x:f>
      </x:c>
      <x:c r="AA388" s="165" t="str">
        <x:f>IF(AND(AA$5&gt;=$C388,AA$5&lt;=$D388,$A388&lt;&gt;""),"●","")</x:f>
      </x:c>
      <x:c r="AB388" s="165" t="str">
        <x:f>IF(AND(AB$5&gt;=$C388,AB$5&lt;=$D388,$A388&lt;&gt;""),"●","")</x:f>
      </x:c>
      <x:c r="AC388" s="165" t="str">
        <x:f>IF(AND(AC$5&gt;=$C388,AC$5&lt;=$D388,$A388&lt;&gt;""),"●","")</x:f>
      </x:c>
      <x:c r="AD388" s="165" t="str">
        <x:f>IF(AND(AD$5&gt;=$C388,AD$5&lt;=$D388,$A388&lt;&gt;""),"●","")</x:f>
      </x:c>
      <x:c r="AE388" s="165" t="str">
        <x:f>IF(AND(AE$5&gt;=$C388,AE$5&lt;=$D388,$A388&lt;&gt;""),"●","")</x:f>
      </x:c>
      <x:c r="AF388" s="165" t="str">
        <x:f>IF(AND(AF$5&gt;=$C388,AF$5&lt;=$D388,$A388&lt;&gt;""),"●","")</x:f>
      </x:c>
      <x:c r="AG388" s="165" t="str">
        <x:f>IF(AND(AG$5&gt;=$C388,AG$5&lt;=$D388,$A388&lt;&gt;""),"●","")</x:f>
      </x:c>
      <x:c r="AH388" s="165" t="str">
        <x:f>IF(AND(AH$5&gt;=$C388,AH$5&lt;=$D388,$A388&lt;&gt;""),"●","")</x:f>
      </x:c>
      <x:c r="AI388" s="165" t="str">
        <x:f>IF(AND(AI$5&gt;=$C388,AI$5&lt;=$D388,$A388&lt;&gt;""),"●","")</x:f>
      </x:c>
      <x:c r="AJ388" s="165" t="str">
        <x:f>IF(AND(AJ$5&gt;=$C388,AJ$5&lt;=$D388,$A388&lt;&gt;""),"●","")</x:f>
      </x:c>
      <x:c r="AK388" s="165" t="str">
        <x:f>IF(AND(AK$5&gt;=$C388,AK$5&lt;=$D388,$A388&lt;&gt;""),"●","")</x:f>
      </x:c>
      <x:c r="AL388" s="165" t="str">
        <x:f>IF(AND(AL$5&gt;=$C388,AL$5&lt;=$D388,$A388&lt;&gt;""),"●","")</x:f>
      </x:c>
      <x:c r="AM388" s="165" t="str">
        <x:f>IF(AND(AM$5&gt;=$C388,AM$5&lt;=$D388,$A388&lt;&gt;""),"●","")</x:f>
      </x:c>
      <x:c r="AN388" s="165" t="str">
        <x:f>IF(AND(AN$5&gt;=$C388,AN$5&lt;=$D388,$A388&lt;&gt;""),"●","")</x:f>
      </x:c>
      <x:c r="AO388" s="165" t="str">
        <x:f>IF(AND(AO$5&gt;=$C388,AO$5&lt;=$D388,$A388&lt;&gt;""),"●","")</x:f>
      </x:c>
      <x:c r="AP388" s="165" t="str">
        <x:f>IF(AND(AP$5&gt;=$C388,AP$5&lt;=$D388,$A388&lt;&gt;""),"●","")</x:f>
      </x:c>
      <x:c r="AQ388" s="165" t="str">
        <x:f>IF(AND(AQ$5&gt;=$C388,AQ$5&lt;=$D388,$A388&lt;&gt;""),"●","")</x:f>
      </x:c>
      <x:c r="AR388" s="165" t="str">
        <x:f>IF(AND(AR$5&gt;=$C388,AR$5&lt;=$D388,$A388&lt;&gt;""),"●","")</x:f>
      </x:c>
      <x:c r="AS388" s="165" t="str">
        <x:f>IF(AND(AS$5&gt;=$C388,AS$5&lt;=$D388,$A388&lt;&gt;""),"●","")</x:f>
      </x:c>
      <x:c r="AT388" s="165" t="str">
        <x:f>IF(AND(AT$5&gt;=$C388,AT$5&lt;=$D388,$A388&lt;&gt;""),"●","")</x:f>
      </x:c>
      <x:c r="AU388" s="165" t="str">
        <x:f>IF(AND(AU$5&gt;=$C388,AU$5&lt;=$D388,$A388&lt;&gt;""),"●","")</x:f>
      </x:c>
      <x:c r="AV388" s="165" t="str">
        <x:f>IF(AND(AV$5&gt;=$C388,AV$5&lt;=$D388,$A388&lt;&gt;""),"●","")</x:f>
      </x:c>
      <x:c r="AW388" s="165" t="str">
        <x:f>IF(AND(AW$5&gt;=$C388,AW$5&lt;=$D388,$A388&lt;&gt;""),"●","")</x:f>
      </x:c>
      <x:c r="AX388" s="165" t="str">
        <x:f>IF(AND(AX$5&gt;=$C388,AX$5&lt;=$D388,$A388&lt;&gt;""),"●","")</x:f>
      </x:c>
      <x:c r="AY388" s="165" t="str">
        <x:f>IF(AND(AY$5&gt;=$C388,AY$5&lt;=$D388,$A388&lt;&gt;""),"●","")</x:f>
      </x:c>
      <x:c r="AZ388" s="165" t="str">
        <x:f>IF(AND(AZ$5&gt;=$C388,AZ$5&lt;=$D388,$A388&lt;&gt;""),"●","")</x:f>
      </x:c>
      <x:c r="BA388" s="165" t="str">
        <x:f>IF(AND(BA$5&gt;=$C388,BA$5&lt;=$D388,$A388&lt;&gt;""),"●","")</x:f>
      </x:c>
      <x:c r="BB388" s="165" t="str">
        <x:f>IF(AND(BB$5&gt;=$C388,BB$5&lt;=$D388,$A388&lt;&gt;""),"●","")</x:f>
      </x:c>
      <x:c r="BC388" s="165" t="str">
        <x:f>IF(AND(BC$5&gt;=$C388,BC$5&lt;=$D388,$A388&lt;&gt;""),"●","")</x:f>
      </x:c>
      <x:c r="BD388" s="165" t="str">
        <x:f>IF(AND(BD$5&gt;=$C388,BD$5&lt;=$D388,$A388&lt;&gt;""),"●","")</x:f>
      </x:c>
      <x:c r="BE388" s="165" t="str">
        <x:f>IF(AND(BE$5&gt;=$C388,BE$5&lt;=$D388,$A388&lt;&gt;""),"●","")</x:f>
      </x:c>
      <x:c r="BF388" s="165" t="str">
        <x:f>IF(AND(BF$5&gt;=$C388,BF$5&lt;=$D388,$A388&lt;&gt;""),"●","")</x:f>
      </x:c>
      <x:c r="BG388" s="165" t="str">
        <x:f>IF(AND(BG$5&gt;=$C388,BG$5&lt;=$D388,$A388&lt;&gt;""),"●","")</x:f>
      </x:c>
      <x:c r="BH388" s="165" t="str">
        <x:f>IF(AND(BH$5&gt;=$C388,BH$5&lt;=$D388,$A388&lt;&gt;""),"●","")</x:f>
      </x:c>
      <x:c r="BI388" s="165" t="str">
        <x:f>IF(AND(BI$5&gt;=$C388,BI$5&lt;=$D388,$A388&lt;&gt;""),"●","")</x:f>
      </x:c>
      <x:c r="BJ388" s="165" t="str">
        <x:f>IF(AND(BJ$5&gt;=$C388,BJ$5&lt;=$D388,$A388&lt;&gt;""),"●","")</x:f>
      </x:c>
      <x:c r="BK388" s="165" t="str">
        <x:f>IF(AND(BK$5&gt;=$C388,BK$5&lt;=$D388,$A388&lt;&gt;""),"●","")</x:f>
      </x:c>
      <x:c r="BL388" s="165" t="str">
        <x:f>IF(AND(BL$5&gt;=$C388,BL$5&lt;=$D388,$A388&lt;&gt;""),"●","")</x:f>
      </x:c>
      <x:c r="BM388" s="165" t="str">
        <x:f>IF(AND(BM$5&gt;=$C388,BM$5&lt;=$D388,$A388&lt;&gt;""),"●","")</x:f>
      </x:c>
      <x:c r="BN388" s="165" t="str">
        <x:f>IF(AND(BN$5&gt;=$C388,BN$5&lt;=$D388,$A388&lt;&gt;""),"●","")</x:f>
      </x:c>
      <x:c r="BO388" s="165" t="str">
        <x:f>IF(AND(BO$5&gt;=$C388,BO$5&lt;=$D388,$A388&lt;&gt;""),"●","")</x:f>
      </x:c>
      <x:c r="BP388" s="165" t="str">
        <x:f>IF(AND(BP$5&gt;=$C388,BP$5&lt;=$D388,$A388&lt;&gt;""),"●","")</x:f>
      </x:c>
      <x:c r="BQ388" s="165" t="str">
        <x:f>IF(AND(BQ$5&gt;=$C388,BQ$5&lt;=$D388,$A388&lt;&gt;""),"●","")</x:f>
      </x:c>
      <x:c r="BR388" s="165" t="str">
        <x:f>IF(AND(BR$5&gt;=$C388,BR$5&lt;=$D388,$A388&lt;&gt;""),"●","")</x:f>
      </x:c>
      <x:c r="BS388" s="165" t="str">
        <x:f>IF(AND(BS$5&gt;=$C388,BS$5&lt;=$D388,$A388&lt;&gt;""),"●","")</x:f>
      </x:c>
      <x:c r="BT388" s="165" t="str">
        <x:f>IF(AND(BT$5&gt;=$C388,BT$5&lt;=$D388,$A388&lt;&gt;""),"●","")</x:f>
      </x:c>
      <x:c r="BU388" s="165" t="str">
        <x:f>IF(AND(BU$5&gt;=$C388,BU$5&lt;=$D388,$A388&lt;&gt;""),"●","")</x:f>
      </x:c>
      <x:c r="BV388" s="165" t="str">
        <x:f>IF(AND(BV$5&gt;=$C388,BV$5&lt;=$D388,$A388&lt;&gt;""),"●","")</x:f>
      </x:c>
      <x:c r="BW388" s="165" t="str">
        <x:f>IF(AND(BW$5&gt;=$C388,BW$5&lt;=$D388,$A388&lt;&gt;""),"●","")</x:f>
      </x:c>
    </x:row>
    <x:row r="389">
      <x:c r="A389" s="159" t="str">
        <x:f>IF('รายการสัญญา'!A389="","",'รายการสัญญา'!A389)</x:f>
      </x:c>
      <x:c r="B389" s="159" t="str">
        <x:f>IF('รายการสัญญา'!A389="","",'รายการสัญญา'!C389)</x:f>
      </x:c>
      <x:c r="C389" s="162" t="str">
        <x:f>IF('รายการสัญญา'!A389="","",'รายการสัญญา'!E389)</x:f>
      </x:c>
      <x:c r="D389" s="162" t="str">
        <x:f>IF('รายการสัญญา'!A389="","",'รายการสัญญา'!G389)</x:f>
      </x:c>
      <x:c r="E389" s="159" t="str">
        <x:f>IF('รายการสัญญา'!A389="","",'รายการสัญญา'!K389)</x:f>
      </x:c>
      <x:c r="F389" s="165" t="str">
        <x:f>IF(AND(F$5&gt;=$C389,F$5&lt;=$D389,$A389&lt;&gt;""),"●","")</x:f>
      </x:c>
      <x:c r="G389" s="165" t="str">
        <x:f>IF(AND(G$5&gt;=$C389,G$5&lt;=$D389,$A389&lt;&gt;""),"●","")</x:f>
      </x:c>
      <x:c r="H389" s="165" t="str">
        <x:f>IF(AND(H$5&gt;=$C389,H$5&lt;=$D389,$A389&lt;&gt;""),"●","")</x:f>
      </x:c>
      <x:c r="I389" s="165" t="str">
        <x:f>IF(AND(I$5&gt;=$C389,I$5&lt;=$D389,$A389&lt;&gt;""),"●","")</x:f>
      </x:c>
      <x:c r="J389" s="165" t="str">
        <x:f>IF(AND(J$5&gt;=$C389,J$5&lt;=$D389,$A389&lt;&gt;""),"●","")</x:f>
      </x:c>
      <x:c r="K389" s="165" t="str">
        <x:f>IF(AND(K$5&gt;=$C389,K$5&lt;=$D389,$A389&lt;&gt;""),"●","")</x:f>
      </x:c>
      <x:c r="L389" s="165" t="str">
        <x:f>IF(AND(L$5&gt;=$C389,L$5&lt;=$D389,$A389&lt;&gt;""),"●","")</x:f>
      </x:c>
      <x:c r="M389" s="165" t="str">
        <x:f>IF(AND(M$5&gt;=$C389,M$5&lt;=$D389,$A389&lt;&gt;""),"●","")</x:f>
      </x:c>
      <x:c r="N389" s="165" t="str">
        <x:f>IF(AND(N$5&gt;=$C389,N$5&lt;=$D389,$A389&lt;&gt;""),"●","")</x:f>
      </x:c>
      <x:c r="O389" s="165" t="str">
        <x:f>IF(AND(O$5&gt;=$C389,O$5&lt;=$D389,$A389&lt;&gt;""),"●","")</x:f>
      </x:c>
      <x:c r="P389" s="165" t="str">
        <x:f>IF(AND(P$5&gt;=$C389,P$5&lt;=$D389,$A389&lt;&gt;""),"●","")</x:f>
      </x:c>
      <x:c r="Q389" s="165" t="str">
        <x:f>IF(AND(Q$5&gt;=$C389,Q$5&lt;=$D389,$A389&lt;&gt;""),"●","")</x:f>
      </x:c>
      <x:c r="R389" s="165" t="str">
        <x:f>IF(AND(R$5&gt;=$C389,R$5&lt;=$D389,$A389&lt;&gt;""),"●","")</x:f>
      </x:c>
      <x:c r="S389" s="165" t="str">
        <x:f>IF(AND(S$5&gt;=$C389,S$5&lt;=$D389,$A389&lt;&gt;""),"●","")</x:f>
      </x:c>
      <x:c r="T389" s="165" t="str">
        <x:f>IF(AND(T$5&gt;=$C389,T$5&lt;=$D389,$A389&lt;&gt;""),"●","")</x:f>
      </x:c>
      <x:c r="U389" s="165" t="str">
        <x:f>IF(AND(U$5&gt;=$C389,U$5&lt;=$D389,$A389&lt;&gt;""),"●","")</x:f>
      </x:c>
      <x:c r="V389" s="165" t="str">
        <x:f>IF(AND(V$5&gt;=$C389,V$5&lt;=$D389,$A389&lt;&gt;""),"●","")</x:f>
      </x:c>
      <x:c r="W389" s="165" t="str">
        <x:f>IF(AND(W$5&gt;=$C389,W$5&lt;=$D389,$A389&lt;&gt;""),"●","")</x:f>
      </x:c>
      <x:c r="X389" s="165" t="str">
        <x:f>IF(AND(X$5&gt;=$C389,X$5&lt;=$D389,$A389&lt;&gt;""),"●","")</x:f>
      </x:c>
      <x:c r="Y389" s="165" t="str">
        <x:f>IF(AND(Y$5&gt;=$C389,Y$5&lt;=$D389,$A389&lt;&gt;""),"●","")</x:f>
      </x:c>
      <x:c r="Z389" s="165" t="str">
        <x:f>IF(AND(Z$5&gt;=$C389,Z$5&lt;=$D389,$A389&lt;&gt;""),"●","")</x:f>
      </x:c>
      <x:c r="AA389" s="165" t="str">
        <x:f>IF(AND(AA$5&gt;=$C389,AA$5&lt;=$D389,$A389&lt;&gt;""),"●","")</x:f>
      </x:c>
      <x:c r="AB389" s="165" t="str">
        <x:f>IF(AND(AB$5&gt;=$C389,AB$5&lt;=$D389,$A389&lt;&gt;""),"●","")</x:f>
      </x:c>
      <x:c r="AC389" s="165" t="str">
        <x:f>IF(AND(AC$5&gt;=$C389,AC$5&lt;=$D389,$A389&lt;&gt;""),"●","")</x:f>
      </x:c>
      <x:c r="AD389" s="165" t="str">
        <x:f>IF(AND(AD$5&gt;=$C389,AD$5&lt;=$D389,$A389&lt;&gt;""),"●","")</x:f>
      </x:c>
      <x:c r="AE389" s="165" t="str">
        <x:f>IF(AND(AE$5&gt;=$C389,AE$5&lt;=$D389,$A389&lt;&gt;""),"●","")</x:f>
      </x:c>
      <x:c r="AF389" s="165" t="str">
        <x:f>IF(AND(AF$5&gt;=$C389,AF$5&lt;=$D389,$A389&lt;&gt;""),"●","")</x:f>
      </x:c>
      <x:c r="AG389" s="165" t="str">
        <x:f>IF(AND(AG$5&gt;=$C389,AG$5&lt;=$D389,$A389&lt;&gt;""),"●","")</x:f>
      </x:c>
      <x:c r="AH389" s="165" t="str">
        <x:f>IF(AND(AH$5&gt;=$C389,AH$5&lt;=$D389,$A389&lt;&gt;""),"●","")</x:f>
      </x:c>
      <x:c r="AI389" s="165" t="str">
        <x:f>IF(AND(AI$5&gt;=$C389,AI$5&lt;=$D389,$A389&lt;&gt;""),"●","")</x:f>
      </x:c>
      <x:c r="AJ389" s="165" t="str">
        <x:f>IF(AND(AJ$5&gt;=$C389,AJ$5&lt;=$D389,$A389&lt;&gt;""),"●","")</x:f>
      </x:c>
      <x:c r="AK389" s="165" t="str">
        <x:f>IF(AND(AK$5&gt;=$C389,AK$5&lt;=$D389,$A389&lt;&gt;""),"●","")</x:f>
      </x:c>
      <x:c r="AL389" s="165" t="str">
        <x:f>IF(AND(AL$5&gt;=$C389,AL$5&lt;=$D389,$A389&lt;&gt;""),"●","")</x:f>
      </x:c>
      <x:c r="AM389" s="165" t="str">
        <x:f>IF(AND(AM$5&gt;=$C389,AM$5&lt;=$D389,$A389&lt;&gt;""),"●","")</x:f>
      </x:c>
      <x:c r="AN389" s="165" t="str">
        <x:f>IF(AND(AN$5&gt;=$C389,AN$5&lt;=$D389,$A389&lt;&gt;""),"●","")</x:f>
      </x:c>
      <x:c r="AO389" s="165" t="str">
        <x:f>IF(AND(AO$5&gt;=$C389,AO$5&lt;=$D389,$A389&lt;&gt;""),"●","")</x:f>
      </x:c>
      <x:c r="AP389" s="165" t="str">
        <x:f>IF(AND(AP$5&gt;=$C389,AP$5&lt;=$D389,$A389&lt;&gt;""),"●","")</x:f>
      </x:c>
      <x:c r="AQ389" s="165" t="str">
        <x:f>IF(AND(AQ$5&gt;=$C389,AQ$5&lt;=$D389,$A389&lt;&gt;""),"●","")</x:f>
      </x:c>
      <x:c r="AR389" s="165" t="str">
        <x:f>IF(AND(AR$5&gt;=$C389,AR$5&lt;=$D389,$A389&lt;&gt;""),"●","")</x:f>
      </x:c>
      <x:c r="AS389" s="165" t="str">
        <x:f>IF(AND(AS$5&gt;=$C389,AS$5&lt;=$D389,$A389&lt;&gt;""),"●","")</x:f>
      </x:c>
      <x:c r="AT389" s="165" t="str">
        <x:f>IF(AND(AT$5&gt;=$C389,AT$5&lt;=$D389,$A389&lt;&gt;""),"●","")</x:f>
      </x:c>
      <x:c r="AU389" s="165" t="str">
        <x:f>IF(AND(AU$5&gt;=$C389,AU$5&lt;=$D389,$A389&lt;&gt;""),"●","")</x:f>
      </x:c>
      <x:c r="AV389" s="165" t="str">
        <x:f>IF(AND(AV$5&gt;=$C389,AV$5&lt;=$D389,$A389&lt;&gt;""),"●","")</x:f>
      </x:c>
      <x:c r="AW389" s="165" t="str">
        <x:f>IF(AND(AW$5&gt;=$C389,AW$5&lt;=$D389,$A389&lt;&gt;""),"●","")</x:f>
      </x:c>
      <x:c r="AX389" s="165" t="str">
        <x:f>IF(AND(AX$5&gt;=$C389,AX$5&lt;=$D389,$A389&lt;&gt;""),"●","")</x:f>
      </x:c>
      <x:c r="AY389" s="165" t="str">
        <x:f>IF(AND(AY$5&gt;=$C389,AY$5&lt;=$D389,$A389&lt;&gt;""),"●","")</x:f>
      </x:c>
      <x:c r="AZ389" s="165" t="str">
        <x:f>IF(AND(AZ$5&gt;=$C389,AZ$5&lt;=$D389,$A389&lt;&gt;""),"●","")</x:f>
      </x:c>
      <x:c r="BA389" s="165" t="str">
        <x:f>IF(AND(BA$5&gt;=$C389,BA$5&lt;=$D389,$A389&lt;&gt;""),"●","")</x:f>
      </x:c>
      <x:c r="BB389" s="165" t="str">
        <x:f>IF(AND(BB$5&gt;=$C389,BB$5&lt;=$D389,$A389&lt;&gt;""),"●","")</x:f>
      </x:c>
      <x:c r="BC389" s="165" t="str">
        <x:f>IF(AND(BC$5&gt;=$C389,BC$5&lt;=$D389,$A389&lt;&gt;""),"●","")</x:f>
      </x:c>
      <x:c r="BD389" s="165" t="str">
        <x:f>IF(AND(BD$5&gt;=$C389,BD$5&lt;=$D389,$A389&lt;&gt;""),"●","")</x:f>
      </x:c>
      <x:c r="BE389" s="165" t="str">
        <x:f>IF(AND(BE$5&gt;=$C389,BE$5&lt;=$D389,$A389&lt;&gt;""),"●","")</x:f>
      </x:c>
      <x:c r="BF389" s="165" t="str">
        <x:f>IF(AND(BF$5&gt;=$C389,BF$5&lt;=$D389,$A389&lt;&gt;""),"●","")</x:f>
      </x:c>
      <x:c r="BG389" s="165" t="str">
        <x:f>IF(AND(BG$5&gt;=$C389,BG$5&lt;=$D389,$A389&lt;&gt;""),"●","")</x:f>
      </x:c>
      <x:c r="BH389" s="165" t="str">
        <x:f>IF(AND(BH$5&gt;=$C389,BH$5&lt;=$D389,$A389&lt;&gt;""),"●","")</x:f>
      </x:c>
      <x:c r="BI389" s="165" t="str">
        <x:f>IF(AND(BI$5&gt;=$C389,BI$5&lt;=$D389,$A389&lt;&gt;""),"●","")</x:f>
      </x:c>
      <x:c r="BJ389" s="165" t="str">
        <x:f>IF(AND(BJ$5&gt;=$C389,BJ$5&lt;=$D389,$A389&lt;&gt;""),"●","")</x:f>
      </x:c>
      <x:c r="BK389" s="165" t="str">
        <x:f>IF(AND(BK$5&gt;=$C389,BK$5&lt;=$D389,$A389&lt;&gt;""),"●","")</x:f>
      </x:c>
      <x:c r="BL389" s="165" t="str">
        <x:f>IF(AND(BL$5&gt;=$C389,BL$5&lt;=$D389,$A389&lt;&gt;""),"●","")</x:f>
      </x:c>
      <x:c r="BM389" s="165" t="str">
        <x:f>IF(AND(BM$5&gt;=$C389,BM$5&lt;=$D389,$A389&lt;&gt;""),"●","")</x:f>
      </x:c>
      <x:c r="BN389" s="165" t="str">
        <x:f>IF(AND(BN$5&gt;=$C389,BN$5&lt;=$D389,$A389&lt;&gt;""),"●","")</x:f>
      </x:c>
      <x:c r="BO389" s="165" t="str">
        <x:f>IF(AND(BO$5&gt;=$C389,BO$5&lt;=$D389,$A389&lt;&gt;""),"●","")</x:f>
      </x:c>
      <x:c r="BP389" s="165" t="str">
        <x:f>IF(AND(BP$5&gt;=$C389,BP$5&lt;=$D389,$A389&lt;&gt;""),"●","")</x:f>
      </x:c>
      <x:c r="BQ389" s="165" t="str">
        <x:f>IF(AND(BQ$5&gt;=$C389,BQ$5&lt;=$D389,$A389&lt;&gt;""),"●","")</x:f>
      </x:c>
      <x:c r="BR389" s="165" t="str">
        <x:f>IF(AND(BR$5&gt;=$C389,BR$5&lt;=$D389,$A389&lt;&gt;""),"●","")</x:f>
      </x:c>
      <x:c r="BS389" s="165" t="str">
        <x:f>IF(AND(BS$5&gt;=$C389,BS$5&lt;=$D389,$A389&lt;&gt;""),"●","")</x:f>
      </x:c>
      <x:c r="BT389" s="165" t="str">
        <x:f>IF(AND(BT$5&gt;=$C389,BT$5&lt;=$D389,$A389&lt;&gt;""),"●","")</x:f>
      </x:c>
      <x:c r="BU389" s="165" t="str">
        <x:f>IF(AND(BU$5&gt;=$C389,BU$5&lt;=$D389,$A389&lt;&gt;""),"●","")</x:f>
      </x:c>
      <x:c r="BV389" s="165" t="str">
        <x:f>IF(AND(BV$5&gt;=$C389,BV$5&lt;=$D389,$A389&lt;&gt;""),"●","")</x:f>
      </x:c>
      <x:c r="BW389" s="165" t="str">
        <x:f>IF(AND(BW$5&gt;=$C389,BW$5&lt;=$D389,$A389&lt;&gt;""),"●","")</x:f>
      </x:c>
    </x:row>
    <x:row r="390">
      <x:c r="A390" s="159" t="str">
        <x:f>IF('รายการสัญญา'!A390="","",'รายการสัญญา'!A390)</x:f>
      </x:c>
      <x:c r="B390" s="159" t="str">
        <x:f>IF('รายการสัญญา'!A390="","",'รายการสัญญา'!C390)</x:f>
      </x:c>
      <x:c r="C390" s="162" t="str">
        <x:f>IF('รายการสัญญา'!A390="","",'รายการสัญญา'!E390)</x:f>
      </x:c>
      <x:c r="D390" s="162" t="str">
        <x:f>IF('รายการสัญญา'!A390="","",'รายการสัญญา'!G390)</x:f>
      </x:c>
      <x:c r="E390" s="159" t="str">
        <x:f>IF('รายการสัญญา'!A390="","",'รายการสัญญา'!K390)</x:f>
      </x:c>
      <x:c r="F390" s="165" t="str">
        <x:f>IF(AND(F$5&gt;=$C390,F$5&lt;=$D390,$A390&lt;&gt;""),"●","")</x:f>
      </x:c>
      <x:c r="G390" s="165" t="str">
        <x:f>IF(AND(G$5&gt;=$C390,G$5&lt;=$D390,$A390&lt;&gt;""),"●","")</x:f>
      </x:c>
      <x:c r="H390" s="165" t="str">
        <x:f>IF(AND(H$5&gt;=$C390,H$5&lt;=$D390,$A390&lt;&gt;""),"●","")</x:f>
      </x:c>
      <x:c r="I390" s="165" t="str">
        <x:f>IF(AND(I$5&gt;=$C390,I$5&lt;=$D390,$A390&lt;&gt;""),"●","")</x:f>
      </x:c>
      <x:c r="J390" s="165" t="str">
        <x:f>IF(AND(J$5&gt;=$C390,J$5&lt;=$D390,$A390&lt;&gt;""),"●","")</x:f>
      </x:c>
      <x:c r="K390" s="165" t="str">
        <x:f>IF(AND(K$5&gt;=$C390,K$5&lt;=$D390,$A390&lt;&gt;""),"●","")</x:f>
      </x:c>
      <x:c r="L390" s="165" t="str">
        <x:f>IF(AND(L$5&gt;=$C390,L$5&lt;=$D390,$A390&lt;&gt;""),"●","")</x:f>
      </x:c>
      <x:c r="M390" s="165" t="str">
        <x:f>IF(AND(M$5&gt;=$C390,M$5&lt;=$D390,$A390&lt;&gt;""),"●","")</x:f>
      </x:c>
      <x:c r="N390" s="165" t="str">
        <x:f>IF(AND(N$5&gt;=$C390,N$5&lt;=$D390,$A390&lt;&gt;""),"●","")</x:f>
      </x:c>
      <x:c r="O390" s="165" t="str">
        <x:f>IF(AND(O$5&gt;=$C390,O$5&lt;=$D390,$A390&lt;&gt;""),"●","")</x:f>
      </x:c>
      <x:c r="P390" s="165" t="str">
        <x:f>IF(AND(P$5&gt;=$C390,P$5&lt;=$D390,$A390&lt;&gt;""),"●","")</x:f>
      </x:c>
      <x:c r="Q390" s="165" t="str">
        <x:f>IF(AND(Q$5&gt;=$C390,Q$5&lt;=$D390,$A390&lt;&gt;""),"●","")</x:f>
      </x:c>
      <x:c r="R390" s="165" t="str">
        <x:f>IF(AND(R$5&gt;=$C390,R$5&lt;=$D390,$A390&lt;&gt;""),"●","")</x:f>
      </x:c>
      <x:c r="S390" s="165" t="str">
        <x:f>IF(AND(S$5&gt;=$C390,S$5&lt;=$D390,$A390&lt;&gt;""),"●","")</x:f>
      </x:c>
      <x:c r="T390" s="165" t="str">
        <x:f>IF(AND(T$5&gt;=$C390,T$5&lt;=$D390,$A390&lt;&gt;""),"●","")</x:f>
      </x:c>
      <x:c r="U390" s="165" t="str">
        <x:f>IF(AND(U$5&gt;=$C390,U$5&lt;=$D390,$A390&lt;&gt;""),"●","")</x:f>
      </x:c>
      <x:c r="V390" s="165" t="str">
        <x:f>IF(AND(V$5&gt;=$C390,V$5&lt;=$D390,$A390&lt;&gt;""),"●","")</x:f>
      </x:c>
      <x:c r="W390" s="165" t="str">
        <x:f>IF(AND(W$5&gt;=$C390,W$5&lt;=$D390,$A390&lt;&gt;""),"●","")</x:f>
      </x:c>
      <x:c r="X390" s="165" t="str">
        <x:f>IF(AND(X$5&gt;=$C390,X$5&lt;=$D390,$A390&lt;&gt;""),"●","")</x:f>
      </x:c>
      <x:c r="Y390" s="165" t="str">
        <x:f>IF(AND(Y$5&gt;=$C390,Y$5&lt;=$D390,$A390&lt;&gt;""),"●","")</x:f>
      </x:c>
      <x:c r="Z390" s="165" t="str">
        <x:f>IF(AND(Z$5&gt;=$C390,Z$5&lt;=$D390,$A390&lt;&gt;""),"●","")</x:f>
      </x:c>
      <x:c r="AA390" s="165" t="str">
        <x:f>IF(AND(AA$5&gt;=$C390,AA$5&lt;=$D390,$A390&lt;&gt;""),"●","")</x:f>
      </x:c>
      <x:c r="AB390" s="165" t="str">
        <x:f>IF(AND(AB$5&gt;=$C390,AB$5&lt;=$D390,$A390&lt;&gt;""),"●","")</x:f>
      </x:c>
      <x:c r="AC390" s="165" t="str">
        <x:f>IF(AND(AC$5&gt;=$C390,AC$5&lt;=$D390,$A390&lt;&gt;""),"●","")</x:f>
      </x:c>
      <x:c r="AD390" s="165" t="str">
        <x:f>IF(AND(AD$5&gt;=$C390,AD$5&lt;=$D390,$A390&lt;&gt;""),"●","")</x:f>
      </x:c>
      <x:c r="AE390" s="165" t="str">
        <x:f>IF(AND(AE$5&gt;=$C390,AE$5&lt;=$D390,$A390&lt;&gt;""),"●","")</x:f>
      </x:c>
      <x:c r="AF390" s="165" t="str">
        <x:f>IF(AND(AF$5&gt;=$C390,AF$5&lt;=$D390,$A390&lt;&gt;""),"●","")</x:f>
      </x:c>
      <x:c r="AG390" s="165" t="str">
        <x:f>IF(AND(AG$5&gt;=$C390,AG$5&lt;=$D390,$A390&lt;&gt;""),"●","")</x:f>
      </x:c>
      <x:c r="AH390" s="165" t="str">
        <x:f>IF(AND(AH$5&gt;=$C390,AH$5&lt;=$D390,$A390&lt;&gt;""),"●","")</x:f>
      </x:c>
      <x:c r="AI390" s="165" t="str">
        <x:f>IF(AND(AI$5&gt;=$C390,AI$5&lt;=$D390,$A390&lt;&gt;""),"●","")</x:f>
      </x:c>
      <x:c r="AJ390" s="165" t="str">
        <x:f>IF(AND(AJ$5&gt;=$C390,AJ$5&lt;=$D390,$A390&lt;&gt;""),"●","")</x:f>
      </x:c>
      <x:c r="AK390" s="165" t="str">
        <x:f>IF(AND(AK$5&gt;=$C390,AK$5&lt;=$D390,$A390&lt;&gt;""),"●","")</x:f>
      </x:c>
      <x:c r="AL390" s="165" t="str">
        <x:f>IF(AND(AL$5&gt;=$C390,AL$5&lt;=$D390,$A390&lt;&gt;""),"●","")</x:f>
      </x:c>
      <x:c r="AM390" s="165" t="str">
        <x:f>IF(AND(AM$5&gt;=$C390,AM$5&lt;=$D390,$A390&lt;&gt;""),"●","")</x:f>
      </x:c>
      <x:c r="AN390" s="165" t="str">
        <x:f>IF(AND(AN$5&gt;=$C390,AN$5&lt;=$D390,$A390&lt;&gt;""),"●","")</x:f>
      </x:c>
      <x:c r="AO390" s="165" t="str">
        <x:f>IF(AND(AO$5&gt;=$C390,AO$5&lt;=$D390,$A390&lt;&gt;""),"●","")</x:f>
      </x:c>
      <x:c r="AP390" s="165" t="str">
        <x:f>IF(AND(AP$5&gt;=$C390,AP$5&lt;=$D390,$A390&lt;&gt;""),"●","")</x:f>
      </x:c>
      <x:c r="AQ390" s="165" t="str">
        <x:f>IF(AND(AQ$5&gt;=$C390,AQ$5&lt;=$D390,$A390&lt;&gt;""),"●","")</x:f>
      </x:c>
      <x:c r="AR390" s="165" t="str">
        <x:f>IF(AND(AR$5&gt;=$C390,AR$5&lt;=$D390,$A390&lt;&gt;""),"●","")</x:f>
      </x:c>
      <x:c r="AS390" s="165" t="str">
        <x:f>IF(AND(AS$5&gt;=$C390,AS$5&lt;=$D390,$A390&lt;&gt;""),"●","")</x:f>
      </x:c>
      <x:c r="AT390" s="165" t="str">
        <x:f>IF(AND(AT$5&gt;=$C390,AT$5&lt;=$D390,$A390&lt;&gt;""),"●","")</x:f>
      </x:c>
      <x:c r="AU390" s="165" t="str">
        <x:f>IF(AND(AU$5&gt;=$C390,AU$5&lt;=$D390,$A390&lt;&gt;""),"●","")</x:f>
      </x:c>
      <x:c r="AV390" s="165" t="str">
        <x:f>IF(AND(AV$5&gt;=$C390,AV$5&lt;=$D390,$A390&lt;&gt;""),"●","")</x:f>
      </x:c>
      <x:c r="AW390" s="165" t="str">
        <x:f>IF(AND(AW$5&gt;=$C390,AW$5&lt;=$D390,$A390&lt;&gt;""),"●","")</x:f>
      </x:c>
      <x:c r="AX390" s="165" t="str">
        <x:f>IF(AND(AX$5&gt;=$C390,AX$5&lt;=$D390,$A390&lt;&gt;""),"●","")</x:f>
      </x:c>
      <x:c r="AY390" s="165" t="str">
        <x:f>IF(AND(AY$5&gt;=$C390,AY$5&lt;=$D390,$A390&lt;&gt;""),"●","")</x:f>
      </x:c>
      <x:c r="AZ390" s="165" t="str">
        <x:f>IF(AND(AZ$5&gt;=$C390,AZ$5&lt;=$D390,$A390&lt;&gt;""),"●","")</x:f>
      </x:c>
      <x:c r="BA390" s="165" t="str">
        <x:f>IF(AND(BA$5&gt;=$C390,BA$5&lt;=$D390,$A390&lt;&gt;""),"●","")</x:f>
      </x:c>
      <x:c r="BB390" s="165" t="str">
        <x:f>IF(AND(BB$5&gt;=$C390,BB$5&lt;=$D390,$A390&lt;&gt;""),"●","")</x:f>
      </x:c>
      <x:c r="BC390" s="165" t="str">
        <x:f>IF(AND(BC$5&gt;=$C390,BC$5&lt;=$D390,$A390&lt;&gt;""),"●","")</x:f>
      </x:c>
      <x:c r="BD390" s="165" t="str">
        <x:f>IF(AND(BD$5&gt;=$C390,BD$5&lt;=$D390,$A390&lt;&gt;""),"●","")</x:f>
      </x:c>
      <x:c r="BE390" s="165" t="str">
        <x:f>IF(AND(BE$5&gt;=$C390,BE$5&lt;=$D390,$A390&lt;&gt;""),"●","")</x:f>
      </x:c>
      <x:c r="BF390" s="165" t="str">
        <x:f>IF(AND(BF$5&gt;=$C390,BF$5&lt;=$D390,$A390&lt;&gt;""),"●","")</x:f>
      </x:c>
      <x:c r="BG390" s="165" t="str">
        <x:f>IF(AND(BG$5&gt;=$C390,BG$5&lt;=$D390,$A390&lt;&gt;""),"●","")</x:f>
      </x:c>
      <x:c r="BH390" s="165" t="str">
        <x:f>IF(AND(BH$5&gt;=$C390,BH$5&lt;=$D390,$A390&lt;&gt;""),"●","")</x:f>
      </x:c>
      <x:c r="BI390" s="165" t="str">
        <x:f>IF(AND(BI$5&gt;=$C390,BI$5&lt;=$D390,$A390&lt;&gt;""),"●","")</x:f>
      </x:c>
      <x:c r="BJ390" s="165" t="str">
        <x:f>IF(AND(BJ$5&gt;=$C390,BJ$5&lt;=$D390,$A390&lt;&gt;""),"●","")</x:f>
      </x:c>
      <x:c r="BK390" s="165" t="str">
        <x:f>IF(AND(BK$5&gt;=$C390,BK$5&lt;=$D390,$A390&lt;&gt;""),"●","")</x:f>
      </x:c>
      <x:c r="BL390" s="165" t="str">
        <x:f>IF(AND(BL$5&gt;=$C390,BL$5&lt;=$D390,$A390&lt;&gt;""),"●","")</x:f>
      </x:c>
      <x:c r="BM390" s="165" t="str">
        <x:f>IF(AND(BM$5&gt;=$C390,BM$5&lt;=$D390,$A390&lt;&gt;""),"●","")</x:f>
      </x:c>
      <x:c r="BN390" s="165" t="str">
        <x:f>IF(AND(BN$5&gt;=$C390,BN$5&lt;=$D390,$A390&lt;&gt;""),"●","")</x:f>
      </x:c>
      <x:c r="BO390" s="165" t="str">
        <x:f>IF(AND(BO$5&gt;=$C390,BO$5&lt;=$D390,$A390&lt;&gt;""),"●","")</x:f>
      </x:c>
      <x:c r="BP390" s="165" t="str">
        <x:f>IF(AND(BP$5&gt;=$C390,BP$5&lt;=$D390,$A390&lt;&gt;""),"●","")</x:f>
      </x:c>
      <x:c r="BQ390" s="165" t="str">
        <x:f>IF(AND(BQ$5&gt;=$C390,BQ$5&lt;=$D390,$A390&lt;&gt;""),"●","")</x:f>
      </x:c>
      <x:c r="BR390" s="165" t="str">
        <x:f>IF(AND(BR$5&gt;=$C390,BR$5&lt;=$D390,$A390&lt;&gt;""),"●","")</x:f>
      </x:c>
      <x:c r="BS390" s="165" t="str">
        <x:f>IF(AND(BS$5&gt;=$C390,BS$5&lt;=$D390,$A390&lt;&gt;""),"●","")</x:f>
      </x:c>
      <x:c r="BT390" s="165" t="str">
        <x:f>IF(AND(BT$5&gt;=$C390,BT$5&lt;=$D390,$A390&lt;&gt;""),"●","")</x:f>
      </x:c>
      <x:c r="BU390" s="165" t="str">
        <x:f>IF(AND(BU$5&gt;=$C390,BU$5&lt;=$D390,$A390&lt;&gt;""),"●","")</x:f>
      </x:c>
      <x:c r="BV390" s="165" t="str">
        <x:f>IF(AND(BV$5&gt;=$C390,BV$5&lt;=$D390,$A390&lt;&gt;""),"●","")</x:f>
      </x:c>
      <x:c r="BW390" s="165" t="str">
        <x:f>IF(AND(BW$5&gt;=$C390,BW$5&lt;=$D390,$A390&lt;&gt;""),"●","")</x:f>
      </x:c>
    </x:row>
    <x:row r="391">
      <x:c r="A391" s="159" t="str">
        <x:f>IF('รายการสัญญา'!A391="","",'รายการสัญญา'!A391)</x:f>
      </x:c>
      <x:c r="B391" s="159" t="str">
        <x:f>IF('รายการสัญญา'!A391="","",'รายการสัญญา'!C391)</x:f>
      </x:c>
      <x:c r="C391" s="162" t="str">
        <x:f>IF('รายการสัญญา'!A391="","",'รายการสัญญา'!E391)</x:f>
      </x:c>
      <x:c r="D391" s="162" t="str">
        <x:f>IF('รายการสัญญา'!A391="","",'รายการสัญญา'!G391)</x:f>
      </x:c>
      <x:c r="E391" s="159" t="str">
        <x:f>IF('รายการสัญญา'!A391="","",'รายการสัญญา'!K391)</x:f>
      </x:c>
      <x:c r="F391" s="165" t="str">
        <x:f>IF(AND(F$5&gt;=$C391,F$5&lt;=$D391,$A391&lt;&gt;""),"●","")</x:f>
      </x:c>
      <x:c r="G391" s="165" t="str">
        <x:f>IF(AND(G$5&gt;=$C391,G$5&lt;=$D391,$A391&lt;&gt;""),"●","")</x:f>
      </x:c>
      <x:c r="H391" s="165" t="str">
        <x:f>IF(AND(H$5&gt;=$C391,H$5&lt;=$D391,$A391&lt;&gt;""),"●","")</x:f>
      </x:c>
      <x:c r="I391" s="165" t="str">
        <x:f>IF(AND(I$5&gt;=$C391,I$5&lt;=$D391,$A391&lt;&gt;""),"●","")</x:f>
      </x:c>
      <x:c r="J391" s="165" t="str">
        <x:f>IF(AND(J$5&gt;=$C391,J$5&lt;=$D391,$A391&lt;&gt;""),"●","")</x:f>
      </x:c>
      <x:c r="K391" s="165" t="str">
        <x:f>IF(AND(K$5&gt;=$C391,K$5&lt;=$D391,$A391&lt;&gt;""),"●","")</x:f>
      </x:c>
      <x:c r="L391" s="165" t="str">
        <x:f>IF(AND(L$5&gt;=$C391,L$5&lt;=$D391,$A391&lt;&gt;""),"●","")</x:f>
      </x:c>
      <x:c r="M391" s="165" t="str">
        <x:f>IF(AND(M$5&gt;=$C391,M$5&lt;=$D391,$A391&lt;&gt;""),"●","")</x:f>
      </x:c>
      <x:c r="N391" s="165" t="str">
        <x:f>IF(AND(N$5&gt;=$C391,N$5&lt;=$D391,$A391&lt;&gt;""),"●","")</x:f>
      </x:c>
      <x:c r="O391" s="165" t="str">
        <x:f>IF(AND(O$5&gt;=$C391,O$5&lt;=$D391,$A391&lt;&gt;""),"●","")</x:f>
      </x:c>
      <x:c r="P391" s="165" t="str">
        <x:f>IF(AND(P$5&gt;=$C391,P$5&lt;=$D391,$A391&lt;&gt;""),"●","")</x:f>
      </x:c>
      <x:c r="Q391" s="165" t="str">
        <x:f>IF(AND(Q$5&gt;=$C391,Q$5&lt;=$D391,$A391&lt;&gt;""),"●","")</x:f>
      </x:c>
      <x:c r="R391" s="165" t="str">
        <x:f>IF(AND(R$5&gt;=$C391,R$5&lt;=$D391,$A391&lt;&gt;""),"●","")</x:f>
      </x:c>
      <x:c r="S391" s="165" t="str">
        <x:f>IF(AND(S$5&gt;=$C391,S$5&lt;=$D391,$A391&lt;&gt;""),"●","")</x:f>
      </x:c>
      <x:c r="T391" s="165" t="str">
        <x:f>IF(AND(T$5&gt;=$C391,T$5&lt;=$D391,$A391&lt;&gt;""),"●","")</x:f>
      </x:c>
      <x:c r="U391" s="165" t="str">
        <x:f>IF(AND(U$5&gt;=$C391,U$5&lt;=$D391,$A391&lt;&gt;""),"●","")</x:f>
      </x:c>
      <x:c r="V391" s="165" t="str">
        <x:f>IF(AND(V$5&gt;=$C391,V$5&lt;=$D391,$A391&lt;&gt;""),"●","")</x:f>
      </x:c>
      <x:c r="W391" s="165" t="str">
        <x:f>IF(AND(W$5&gt;=$C391,W$5&lt;=$D391,$A391&lt;&gt;""),"●","")</x:f>
      </x:c>
      <x:c r="X391" s="165" t="str">
        <x:f>IF(AND(X$5&gt;=$C391,X$5&lt;=$D391,$A391&lt;&gt;""),"●","")</x:f>
      </x:c>
      <x:c r="Y391" s="165" t="str">
        <x:f>IF(AND(Y$5&gt;=$C391,Y$5&lt;=$D391,$A391&lt;&gt;""),"●","")</x:f>
      </x:c>
      <x:c r="Z391" s="165" t="str">
        <x:f>IF(AND(Z$5&gt;=$C391,Z$5&lt;=$D391,$A391&lt;&gt;""),"●","")</x:f>
      </x:c>
      <x:c r="AA391" s="165" t="str">
        <x:f>IF(AND(AA$5&gt;=$C391,AA$5&lt;=$D391,$A391&lt;&gt;""),"●","")</x:f>
      </x:c>
      <x:c r="AB391" s="165" t="str">
        <x:f>IF(AND(AB$5&gt;=$C391,AB$5&lt;=$D391,$A391&lt;&gt;""),"●","")</x:f>
      </x:c>
      <x:c r="AC391" s="165" t="str">
        <x:f>IF(AND(AC$5&gt;=$C391,AC$5&lt;=$D391,$A391&lt;&gt;""),"●","")</x:f>
      </x:c>
      <x:c r="AD391" s="165" t="str">
        <x:f>IF(AND(AD$5&gt;=$C391,AD$5&lt;=$D391,$A391&lt;&gt;""),"●","")</x:f>
      </x:c>
      <x:c r="AE391" s="165" t="str">
        <x:f>IF(AND(AE$5&gt;=$C391,AE$5&lt;=$D391,$A391&lt;&gt;""),"●","")</x:f>
      </x:c>
      <x:c r="AF391" s="165" t="str">
        <x:f>IF(AND(AF$5&gt;=$C391,AF$5&lt;=$D391,$A391&lt;&gt;""),"●","")</x:f>
      </x:c>
      <x:c r="AG391" s="165" t="str">
        <x:f>IF(AND(AG$5&gt;=$C391,AG$5&lt;=$D391,$A391&lt;&gt;""),"●","")</x:f>
      </x:c>
      <x:c r="AH391" s="165" t="str">
        <x:f>IF(AND(AH$5&gt;=$C391,AH$5&lt;=$D391,$A391&lt;&gt;""),"●","")</x:f>
      </x:c>
      <x:c r="AI391" s="165" t="str">
        <x:f>IF(AND(AI$5&gt;=$C391,AI$5&lt;=$D391,$A391&lt;&gt;""),"●","")</x:f>
      </x:c>
      <x:c r="AJ391" s="165" t="str">
        <x:f>IF(AND(AJ$5&gt;=$C391,AJ$5&lt;=$D391,$A391&lt;&gt;""),"●","")</x:f>
      </x:c>
      <x:c r="AK391" s="165" t="str">
        <x:f>IF(AND(AK$5&gt;=$C391,AK$5&lt;=$D391,$A391&lt;&gt;""),"●","")</x:f>
      </x:c>
      <x:c r="AL391" s="165" t="str">
        <x:f>IF(AND(AL$5&gt;=$C391,AL$5&lt;=$D391,$A391&lt;&gt;""),"●","")</x:f>
      </x:c>
      <x:c r="AM391" s="165" t="str">
        <x:f>IF(AND(AM$5&gt;=$C391,AM$5&lt;=$D391,$A391&lt;&gt;""),"●","")</x:f>
      </x:c>
      <x:c r="AN391" s="165" t="str">
        <x:f>IF(AND(AN$5&gt;=$C391,AN$5&lt;=$D391,$A391&lt;&gt;""),"●","")</x:f>
      </x:c>
      <x:c r="AO391" s="165" t="str">
        <x:f>IF(AND(AO$5&gt;=$C391,AO$5&lt;=$D391,$A391&lt;&gt;""),"●","")</x:f>
      </x:c>
      <x:c r="AP391" s="165" t="str">
        <x:f>IF(AND(AP$5&gt;=$C391,AP$5&lt;=$D391,$A391&lt;&gt;""),"●","")</x:f>
      </x:c>
      <x:c r="AQ391" s="165" t="str">
        <x:f>IF(AND(AQ$5&gt;=$C391,AQ$5&lt;=$D391,$A391&lt;&gt;""),"●","")</x:f>
      </x:c>
      <x:c r="AR391" s="165" t="str">
        <x:f>IF(AND(AR$5&gt;=$C391,AR$5&lt;=$D391,$A391&lt;&gt;""),"●","")</x:f>
      </x:c>
      <x:c r="AS391" s="165" t="str">
        <x:f>IF(AND(AS$5&gt;=$C391,AS$5&lt;=$D391,$A391&lt;&gt;""),"●","")</x:f>
      </x:c>
      <x:c r="AT391" s="165" t="str">
        <x:f>IF(AND(AT$5&gt;=$C391,AT$5&lt;=$D391,$A391&lt;&gt;""),"●","")</x:f>
      </x:c>
      <x:c r="AU391" s="165" t="str">
        <x:f>IF(AND(AU$5&gt;=$C391,AU$5&lt;=$D391,$A391&lt;&gt;""),"●","")</x:f>
      </x:c>
      <x:c r="AV391" s="165" t="str">
        <x:f>IF(AND(AV$5&gt;=$C391,AV$5&lt;=$D391,$A391&lt;&gt;""),"●","")</x:f>
      </x:c>
      <x:c r="AW391" s="165" t="str">
        <x:f>IF(AND(AW$5&gt;=$C391,AW$5&lt;=$D391,$A391&lt;&gt;""),"●","")</x:f>
      </x:c>
      <x:c r="AX391" s="165" t="str">
        <x:f>IF(AND(AX$5&gt;=$C391,AX$5&lt;=$D391,$A391&lt;&gt;""),"●","")</x:f>
      </x:c>
      <x:c r="AY391" s="165" t="str">
        <x:f>IF(AND(AY$5&gt;=$C391,AY$5&lt;=$D391,$A391&lt;&gt;""),"●","")</x:f>
      </x:c>
      <x:c r="AZ391" s="165" t="str">
        <x:f>IF(AND(AZ$5&gt;=$C391,AZ$5&lt;=$D391,$A391&lt;&gt;""),"●","")</x:f>
      </x:c>
      <x:c r="BA391" s="165" t="str">
        <x:f>IF(AND(BA$5&gt;=$C391,BA$5&lt;=$D391,$A391&lt;&gt;""),"●","")</x:f>
      </x:c>
      <x:c r="BB391" s="165" t="str">
        <x:f>IF(AND(BB$5&gt;=$C391,BB$5&lt;=$D391,$A391&lt;&gt;""),"●","")</x:f>
      </x:c>
      <x:c r="BC391" s="165" t="str">
        <x:f>IF(AND(BC$5&gt;=$C391,BC$5&lt;=$D391,$A391&lt;&gt;""),"●","")</x:f>
      </x:c>
      <x:c r="BD391" s="165" t="str">
        <x:f>IF(AND(BD$5&gt;=$C391,BD$5&lt;=$D391,$A391&lt;&gt;""),"●","")</x:f>
      </x:c>
      <x:c r="BE391" s="165" t="str">
        <x:f>IF(AND(BE$5&gt;=$C391,BE$5&lt;=$D391,$A391&lt;&gt;""),"●","")</x:f>
      </x:c>
      <x:c r="BF391" s="165" t="str">
        <x:f>IF(AND(BF$5&gt;=$C391,BF$5&lt;=$D391,$A391&lt;&gt;""),"●","")</x:f>
      </x:c>
      <x:c r="BG391" s="165" t="str">
        <x:f>IF(AND(BG$5&gt;=$C391,BG$5&lt;=$D391,$A391&lt;&gt;""),"●","")</x:f>
      </x:c>
      <x:c r="BH391" s="165" t="str">
        <x:f>IF(AND(BH$5&gt;=$C391,BH$5&lt;=$D391,$A391&lt;&gt;""),"●","")</x:f>
      </x:c>
      <x:c r="BI391" s="165" t="str">
        <x:f>IF(AND(BI$5&gt;=$C391,BI$5&lt;=$D391,$A391&lt;&gt;""),"●","")</x:f>
      </x:c>
      <x:c r="BJ391" s="165" t="str">
        <x:f>IF(AND(BJ$5&gt;=$C391,BJ$5&lt;=$D391,$A391&lt;&gt;""),"●","")</x:f>
      </x:c>
      <x:c r="BK391" s="165" t="str">
        <x:f>IF(AND(BK$5&gt;=$C391,BK$5&lt;=$D391,$A391&lt;&gt;""),"●","")</x:f>
      </x:c>
      <x:c r="BL391" s="165" t="str">
        <x:f>IF(AND(BL$5&gt;=$C391,BL$5&lt;=$D391,$A391&lt;&gt;""),"●","")</x:f>
      </x:c>
      <x:c r="BM391" s="165" t="str">
        <x:f>IF(AND(BM$5&gt;=$C391,BM$5&lt;=$D391,$A391&lt;&gt;""),"●","")</x:f>
      </x:c>
      <x:c r="BN391" s="165" t="str">
        <x:f>IF(AND(BN$5&gt;=$C391,BN$5&lt;=$D391,$A391&lt;&gt;""),"●","")</x:f>
      </x:c>
      <x:c r="BO391" s="165" t="str">
        <x:f>IF(AND(BO$5&gt;=$C391,BO$5&lt;=$D391,$A391&lt;&gt;""),"●","")</x:f>
      </x:c>
      <x:c r="BP391" s="165" t="str">
        <x:f>IF(AND(BP$5&gt;=$C391,BP$5&lt;=$D391,$A391&lt;&gt;""),"●","")</x:f>
      </x:c>
      <x:c r="BQ391" s="165" t="str">
        <x:f>IF(AND(BQ$5&gt;=$C391,BQ$5&lt;=$D391,$A391&lt;&gt;""),"●","")</x:f>
      </x:c>
      <x:c r="BR391" s="165" t="str">
        <x:f>IF(AND(BR$5&gt;=$C391,BR$5&lt;=$D391,$A391&lt;&gt;""),"●","")</x:f>
      </x:c>
      <x:c r="BS391" s="165" t="str">
        <x:f>IF(AND(BS$5&gt;=$C391,BS$5&lt;=$D391,$A391&lt;&gt;""),"●","")</x:f>
      </x:c>
      <x:c r="BT391" s="165" t="str">
        <x:f>IF(AND(BT$5&gt;=$C391,BT$5&lt;=$D391,$A391&lt;&gt;""),"●","")</x:f>
      </x:c>
      <x:c r="BU391" s="165" t="str">
        <x:f>IF(AND(BU$5&gt;=$C391,BU$5&lt;=$D391,$A391&lt;&gt;""),"●","")</x:f>
      </x:c>
      <x:c r="BV391" s="165" t="str">
        <x:f>IF(AND(BV$5&gt;=$C391,BV$5&lt;=$D391,$A391&lt;&gt;""),"●","")</x:f>
      </x:c>
      <x:c r="BW391" s="165" t="str">
        <x:f>IF(AND(BW$5&gt;=$C391,BW$5&lt;=$D391,$A391&lt;&gt;""),"●","")</x:f>
      </x:c>
    </x:row>
    <x:row r="392">
      <x:c r="A392" s="159" t="str">
        <x:f>IF('รายการสัญญา'!A392="","",'รายการสัญญา'!A392)</x:f>
      </x:c>
      <x:c r="B392" s="159" t="str">
        <x:f>IF('รายการสัญญา'!A392="","",'รายการสัญญา'!C392)</x:f>
      </x:c>
      <x:c r="C392" s="162" t="str">
        <x:f>IF('รายการสัญญา'!A392="","",'รายการสัญญา'!E392)</x:f>
      </x:c>
      <x:c r="D392" s="162" t="str">
        <x:f>IF('รายการสัญญา'!A392="","",'รายการสัญญา'!G392)</x:f>
      </x:c>
      <x:c r="E392" s="159" t="str">
        <x:f>IF('รายการสัญญา'!A392="","",'รายการสัญญา'!K392)</x:f>
      </x:c>
      <x:c r="F392" s="165" t="str">
        <x:f>IF(AND(F$5&gt;=$C392,F$5&lt;=$D392,$A392&lt;&gt;""),"●","")</x:f>
      </x:c>
      <x:c r="G392" s="165" t="str">
        <x:f>IF(AND(G$5&gt;=$C392,G$5&lt;=$D392,$A392&lt;&gt;""),"●","")</x:f>
      </x:c>
      <x:c r="H392" s="165" t="str">
        <x:f>IF(AND(H$5&gt;=$C392,H$5&lt;=$D392,$A392&lt;&gt;""),"●","")</x:f>
      </x:c>
      <x:c r="I392" s="165" t="str">
        <x:f>IF(AND(I$5&gt;=$C392,I$5&lt;=$D392,$A392&lt;&gt;""),"●","")</x:f>
      </x:c>
      <x:c r="J392" s="165" t="str">
        <x:f>IF(AND(J$5&gt;=$C392,J$5&lt;=$D392,$A392&lt;&gt;""),"●","")</x:f>
      </x:c>
      <x:c r="K392" s="165" t="str">
        <x:f>IF(AND(K$5&gt;=$C392,K$5&lt;=$D392,$A392&lt;&gt;""),"●","")</x:f>
      </x:c>
      <x:c r="L392" s="165" t="str">
        <x:f>IF(AND(L$5&gt;=$C392,L$5&lt;=$D392,$A392&lt;&gt;""),"●","")</x:f>
      </x:c>
      <x:c r="M392" s="165" t="str">
        <x:f>IF(AND(M$5&gt;=$C392,M$5&lt;=$D392,$A392&lt;&gt;""),"●","")</x:f>
      </x:c>
      <x:c r="N392" s="165" t="str">
        <x:f>IF(AND(N$5&gt;=$C392,N$5&lt;=$D392,$A392&lt;&gt;""),"●","")</x:f>
      </x:c>
      <x:c r="O392" s="165" t="str">
        <x:f>IF(AND(O$5&gt;=$C392,O$5&lt;=$D392,$A392&lt;&gt;""),"●","")</x:f>
      </x:c>
      <x:c r="P392" s="165" t="str">
        <x:f>IF(AND(P$5&gt;=$C392,P$5&lt;=$D392,$A392&lt;&gt;""),"●","")</x:f>
      </x:c>
      <x:c r="Q392" s="165" t="str">
        <x:f>IF(AND(Q$5&gt;=$C392,Q$5&lt;=$D392,$A392&lt;&gt;""),"●","")</x:f>
      </x:c>
      <x:c r="R392" s="165" t="str">
        <x:f>IF(AND(R$5&gt;=$C392,R$5&lt;=$D392,$A392&lt;&gt;""),"●","")</x:f>
      </x:c>
      <x:c r="S392" s="165" t="str">
        <x:f>IF(AND(S$5&gt;=$C392,S$5&lt;=$D392,$A392&lt;&gt;""),"●","")</x:f>
      </x:c>
      <x:c r="T392" s="165" t="str">
        <x:f>IF(AND(T$5&gt;=$C392,T$5&lt;=$D392,$A392&lt;&gt;""),"●","")</x:f>
      </x:c>
      <x:c r="U392" s="165" t="str">
        <x:f>IF(AND(U$5&gt;=$C392,U$5&lt;=$D392,$A392&lt;&gt;""),"●","")</x:f>
      </x:c>
      <x:c r="V392" s="165" t="str">
        <x:f>IF(AND(V$5&gt;=$C392,V$5&lt;=$D392,$A392&lt;&gt;""),"●","")</x:f>
      </x:c>
      <x:c r="W392" s="165" t="str">
        <x:f>IF(AND(W$5&gt;=$C392,W$5&lt;=$D392,$A392&lt;&gt;""),"●","")</x:f>
      </x:c>
      <x:c r="X392" s="165" t="str">
        <x:f>IF(AND(X$5&gt;=$C392,X$5&lt;=$D392,$A392&lt;&gt;""),"●","")</x:f>
      </x:c>
      <x:c r="Y392" s="165" t="str">
        <x:f>IF(AND(Y$5&gt;=$C392,Y$5&lt;=$D392,$A392&lt;&gt;""),"●","")</x:f>
      </x:c>
      <x:c r="Z392" s="165" t="str">
        <x:f>IF(AND(Z$5&gt;=$C392,Z$5&lt;=$D392,$A392&lt;&gt;""),"●","")</x:f>
      </x:c>
      <x:c r="AA392" s="165" t="str">
        <x:f>IF(AND(AA$5&gt;=$C392,AA$5&lt;=$D392,$A392&lt;&gt;""),"●","")</x:f>
      </x:c>
      <x:c r="AB392" s="165" t="str">
        <x:f>IF(AND(AB$5&gt;=$C392,AB$5&lt;=$D392,$A392&lt;&gt;""),"●","")</x:f>
      </x:c>
      <x:c r="AC392" s="165" t="str">
        <x:f>IF(AND(AC$5&gt;=$C392,AC$5&lt;=$D392,$A392&lt;&gt;""),"●","")</x:f>
      </x:c>
      <x:c r="AD392" s="165" t="str">
        <x:f>IF(AND(AD$5&gt;=$C392,AD$5&lt;=$D392,$A392&lt;&gt;""),"●","")</x:f>
      </x:c>
      <x:c r="AE392" s="165" t="str">
        <x:f>IF(AND(AE$5&gt;=$C392,AE$5&lt;=$D392,$A392&lt;&gt;""),"●","")</x:f>
      </x:c>
      <x:c r="AF392" s="165" t="str">
        <x:f>IF(AND(AF$5&gt;=$C392,AF$5&lt;=$D392,$A392&lt;&gt;""),"●","")</x:f>
      </x:c>
      <x:c r="AG392" s="165" t="str">
        <x:f>IF(AND(AG$5&gt;=$C392,AG$5&lt;=$D392,$A392&lt;&gt;""),"●","")</x:f>
      </x:c>
      <x:c r="AH392" s="165" t="str">
        <x:f>IF(AND(AH$5&gt;=$C392,AH$5&lt;=$D392,$A392&lt;&gt;""),"●","")</x:f>
      </x:c>
      <x:c r="AI392" s="165" t="str">
        <x:f>IF(AND(AI$5&gt;=$C392,AI$5&lt;=$D392,$A392&lt;&gt;""),"●","")</x:f>
      </x:c>
      <x:c r="AJ392" s="165" t="str">
        <x:f>IF(AND(AJ$5&gt;=$C392,AJ$5&lt;=$D392,$A392&lt;&gt;""),"●","")</x:f>
      </x:c>
      <x:c r="AK392" s="165" t="str">
        <x:f>IF(AND(AK$5&gt;=$C392,AK$5&lt;=$D392,$A392&lt;&gt;""),"●","")</x:f>
      </x:c>
      <x:c r="AL392" s="165" t="str">
        <x:f>IF(AND(AL$5&gt;=$C392,AL$5&lt;=$D392,$A392&lt;&gt;""),"●","")</x:f>
      </x:c>
      <x:c r="AM392" s="165" t="str">
        <x:f>IF(AND(AM$5&gt;=$C392,AM$5&lt;=$D392,$A392&lt;&gt;""),"●","")</x:f>
      </x:c>
      <x:c r="AN392" s="165" t="str">
        <x:f>IF(AND(AN$5&gt;=$C392,AN$5&lt;=$D392,$A392&lt;&gt;""),"●","")</x:f>
      </x:c>
      <x:c r="AO392" s="165" t="str">
        <x:f>IF(AND(AO$5&gt;=$C392,AO$5&lt;=$D392,$A392&lt;&gt;""),"●","")</x:f>
      </x:c>
      <x:c r="AP392" s="165" t="str">
        <x:f>IF(AND(AP$5&gt;=$C392,AP$5&lt;=$D392,$A392&lt;&gt;""),"●","")</x:f>
      </x:c>
      <x:c r="AQ392" s="165" t="str">
        <x:f>IF(AND(AQ$5&gt;=$C392,AQ$5&lt;=$D392,$A392&lt;&gt;""),"●","")</x:f>
      </x:c>
      <x:c r="AR392" s="165" t="str">
        <x:f>IF(AND(AR$5&gt;=$C392,AR$5&lt;=$D392,$A392&lt;&gt;""),"●","")</x:f>
      </x:c>
      <x:c r="AS392" s="165" t="str">
        <x:f>IF(AND(AS$5&gt;=$C392,AS$5&lt;=$D392,$A392&lt;&gt;""),"●","")</x:f>
      </x:c>
      <x:c r="AT392" s="165" t="str">
        <x:f>IF(AND(AT$5&gt;=$C392,AT$5&lt;=$D392,$A392&lt;&gt;""),"●","")</x:f>
      </x:c>
      <x:c r="AU392" s="165" t="str">
        <x:f>IF(AND(AU$5&gt;=$C392,AU$5&lt;=$D392,$A392&lt;&gt;""),"●","")</x:f>
      </x:c>
      <x:c r="AV392" s="165" t="str">
        <x:f>IF(AND(AV$5&gt;=$C392,AV$5&lt;=$D392,$A392&lt;&gt;""),"●","")</x:f>
      </x:c>
      <x:c r="AW392" s="165" t="str">
        <x:f>IF(AND(AW$5&gt;=$C392,AW$5&lt;=$D392,$A392&lt;&gt;""),"●","")</x:f>
      </x:c>
      <x:c r="AX392" s="165" t="str">
        <x:f>IF(AND(AX$5&gt;=$C392,AX$5&lt;=$D392,$A392&lt;&gt;""),"●","")</x:f>
      </x:c>
      <x:c r="AY392" s="165" t="str">
        <x:f>IF(AND(AY$5&gt;=$C392,AY$5&lt;=$D392,$A392&lt;&gt;""),"●","")</x:f>
      </x:c>
      <x:c r="AZ392" s="165" t="str">
        <x:f>IF(AND(AZ$5&gt;=$C392,AZ$5&lt;=$D392,$A392&lt;&gt;""),"●","")</x:f>
      </x:c>
      <x:c r="BA392" s="165" t="str">
        <x:f>IF(AND(BA$5&gt;=$C392,BA$5&lt;=$D392,$A392&lt;&gt;""),"●","")</x:f>
      </x:c>
      <x:c r="BB392" s="165" t="str">
        <x:f>IF(AND(BB$5&gt;=$C392,BB$5&lt;=$D392,$A392&lt;&gt;""),"●","")</x:f>
      </x:c>
      <x:c r="BC392" s="165" t="str">
        <x:f>IF(AND(BC$5&gt;=$C392,BC$5&lt;=$D392,$A392&lt;&gt;""),"●","")</x:f>
      </x:c>
      <x:c r="BD392" s="165" t="str">
        <x:f>IF(AND(BD$5&gt;=$C392,BD$5&lt;=$D392,$A392&lt;&gt;""),"●","")</x:f>
      </x:c>
      <x:c r="BE392" s="165" t="str">
        <x:f>IF(AND(BE$5&gt;=$C392,BE$5&lt;=$D392,$A392&lt;&gt;""),"●","")</x:f>
      </x:c>
      <x:c r="BF392" s="165" t="str">
        <x:f>IF(AND(BF$5&gt;=$C392,BF$5&lt;=$D392,$A392&lt;&gt;""),"●","")</x:f>
      </x:c>
      <x:c r="BG392" s="165" t="str">
        <x:f>IF(AND(BG$5&gt;=$C392,BG$5&lt;=$D392,$A392&lt;&gt;""),"●","")</x:f>
      </x:c>
      <x:c r="BH392" s="165" t="str">
        <x:f>IF(AND(BH$5&gt;=$C392,BH$5&lt;=$D392,$A392&lt;&gt;""),"●","")</x:f>
      </x:c>
      <x:c r="BI392" s="165" t="str">
        <x:f>IF(AND(BI$5&gt;=$C392,BI$5&lt;=$D392,$A392&lt;&gt;""),"●","")</x:f>
      </x:c>
      <x:c r="BJ392" s="165" t="str">
        <x:f>IF(AND(BJ$5&gt;=$C392,BJ$5&lt;=$D392,$A392&lt;&gt;""),"●","")</x:f>
      </x:c>
      <x:c r="BK392" s="165" t="str">
        <x:f>IF(AND(BK$5&gt;=$C392,BK$5&lt;=$D392,$A392&lt;&gt;""),"●","")</x:f>
      </x:c>
      <x:c r="BL392" s="165" t="str">
        <x:f>IF(AND(BL$5&gt;=$C392,BL$5&lt;=$D392,$A392&lt;&gt;""),"●","")</x:f>
      </x:c>
      <x:c r="BM392" s="165" t="str">
        <x:f>IF(AND(BM$5&gt;=$C392,BM$5&lt;=$D392,$A392&lt;&gt;""),"●","")</x:f>
      </x:c>
      <x:c r="BN392" s="165" t="str">
        <x:f>IF(AND(BN$5&gt;=$C392,BN$5&lt;=$D392,$A392&lt;&gt;""),"●","")</x:f>
      </x:c>
      <x:c r="BO392" s="165" t="str">
        <x:f>IF(AND(BO$5&gt;=$C392,BO$5&lt;=$D392,$A392&lt;&gt;""),"●","")</x:f>
      </x:c>
      <x:c r="BP392" s="165" t="str">
        <x:f>IF(AND(BP$5&gt;=$C392,BP$5&lt;=$D392,$A392&lt;&gt;""),"●","")</x:f>
      </x:c>
      <x:c r="BQ392" s="165" t="str">
        <x:f>IF(AND(BQ$5&gt;=$C392,BQ$5&lt;=$D392,$A392&lt;&gt;""),"●","")</x:f>
      </x:c>
      <x:c r="BR392" s="165" t="str">
        <x:f>IF(AND(BR$5&gt;=$C392,BR$5&lt;=$D392,$A392&lt;&gt;""),"●","")</x:f>
      </x:c>
      <x:c r="BS392" s="165" t="str">
        <x:f>IF(AND(BS$5&gt;=$C392,BS$5&lt;=$D392,$A392&lt;&gt;""),"●","")</x:f>
      </x:c>
      <x:c r="BT392" s="165" t="str">
        <x:f>IF(AND(BT$5&gt;=$C392,BT$5&lt;=$D392,$A392&lt;&gt;""),"●","")</x:f>
      </x:c>
      <x:c r="BU392" s="165" t="str">
        <x:f>IF(AND(BU$5&gt;=$C392,BU$5&lt;=$D392,$A392&lt;&gt;""),"●","")</x:f>
      </x:c>
      <x:c r="BV392" s="165" t="str">
        <x:f>IF(AND(BV$5&gt;=$C392,BV$5&lt;=$D392,$A392&lt;&gt;""),"●","")</x:f>
      </x:c>
      <x:c r="BW392" s="165" t="str">
        <x:f>IF(AND(BW$5&gt;=$C392,BW$5&lt;=$D392,$A392&lt;&gt;""),"●","")</x:f>
      </x:c>
    </x:row>
    <x:row r="393">
      <x:c r="A393" s="159" t="str">
        <x:f>IF('รายการสัญญา'!A393="","",'รายการสัญญา'!A393)</x:f>
      </x:c>
      <x:c r="B393" s="159" t="str">
        <x:f>IF('รายการสัญญา'!A393="","",'รายการสัญญา'!C393)</x:f>
      </x:c>
      <x:c r="C393" s="162" t="str">
        <x:f>IF('รายการสัญญา'!A393="","",'รายการสัญญา'!E393)</x:f>
      </x:c>
      <x:c r="D393" s="162" t="str">
        <x:f>IF('รายการสัญญา'!A393="","",'รายการสัญญา'!G393)</x:f>
      </x:c>
      <x:c r="E393" s="159" t="str">
        <x:f>IF('รายการสัญญา'!A393="","",'รายการสัญญา'!K393)</x:f>
      </x:c>
      <x:c r="F393" s="165" t="str">
        <x:f>IF(AND(F$5&gt;=$C393,F$5&lt;=$D393,$A393&lt;&gt;""),"●","")</x:f>
      </x:c>
      <x:c r="G393" s="165" t="str">
        <x:f>IF(AND(G$5&gt;=$C393,G$5&lt;=$D393,$A393&lt;&gt;""),"●","")</x:f>
      </x:c>
      <x:c r="H393" s="165" t="str">
        <x:f>IF(AND(H$5&gt;=$C393,H$5&lt;=$D393,$A393&lt;&gt;""),"●","")</x:f>
      </x:c>
      <x:c r="I393" s="165" t="str">
        <x:f>IF(AND(I$5&gt;=$C393,I$5&lt;=$D393,$A393&lt;&gt;""),"●","")</x:f>
      </x:c>
      <x:c r="J393" s="165" t="str">
        <x:f>IF(AND(J$5&gt;=$C393,J$5&lt;=$D393,$A393&lt;&gt;""),"●","")</x:f>
      </x:c>
      <x:c r="K393" s="165" t="str">
        <x:f>IF(AND(K$5&gt;=$C393,K$5&lt;=$D393,$A393&lt;&gt;""),"●","")</x:f>
      </x:c>
      <x:c r="L393" s="165" t="str">
        <x:f>IF(AND(L$5&gt;=$C393,L$5&lt;=$D393,$A393&lt;&gt;""),"●","")</x:f>
      </x:c>
      <x:c r="M393" s="165" t="str">
        <x:f>IF(AND(M$5&gt;=$C393,M$5&lt;=$D393,$A393&lt;&gt;""),"●","")</x:f>
      </x:c>
      <x:c r="N393" s="165" t="str">
        <x:f>IF(AND(N$5&gt;=$C393,N$5&lt;=$D393,$A393&lt;&gt;""),"●","")</x:f>
      </x:c>
      <x:c r="O393" s="165" t="str">
        <x:f>IF(AND(O$5&gt;=$C393,O$5&lt;=$D393,$A393&lt;&gt;""),"●","")</x:f>
      </x:c>
      <x:c r="P393" s="165" t="str">
        <x:f>IF(AND(P$5&gt;=$C393,P$5&lt;=$D393,$A393&lt;&gt;""),"●","")</x:f>
      </x:c>
      <x:c r="Q393" s="165" t="str">
        <x:f>IF(AND(Q$5&gt;=$C393,Q$5&lt;=$D393,$A393&lt;&gt;""),"●","")</x:f>
      </x:c>
      <x:c r="R393" s="165" t="str">
        <x:f>IF(AND(R$5&gt;=$C393,R$5&lt;=$D393,$A393&lt;&gt;""),"●","")</x:f>
      </x:c>
      <x:c r="S393" s="165" t="str">
        <x:f>IF(AND(S$5&gt;=$C393,S$5&lt;=$D393,$A393&lt;&gt;""),"●","")</x:f>
      </x:c>
      <x:c r="T393" s="165" t="str">
        <x:f>IF(AND(T$5&gt;=$C393,T$5&lt;=$D393,$A393&lt;&gt;""),"●","")</x:f>
      </x:c>
      <x:c r="U393" s="165" t="str">
        <x:f>IF(AND(U$5&gt;=$C393,U$5&lt;=$D393,$A393&lt;&gt;""),"●","")</x:f>
      </x:c>
      <x:c r="V393" s="165" t="str">
        <x:f>IF(AND(V$5&gt;=$C393,V$5&lt;=$D393,$A393&lt;&gt;""),"●","")</x:f>
      </x:c>
      <x:c r="W393" s="165" t="str">
        <x:f>IF(AND(W$5&gt;=$C393,W$5&lt;=$D393,$A393&lt;&gt;""),"●","")</x:f>
      </x:c>
      <x:c r="X393" s="165" t="str">
        <x:f>IF(AND(X$5&gt;=$C393,X$5&lt;=$D393,$A393&lt;&gt;""),"●","")</x:f>
      </x:c>
      <x:c r="Y393" s="165" t="str">
        <x:f>IF(AND(Y$5&gt;=$C393,Y$5&lt;=$D393,$A393&lt;&gt;""),"●","")</x:f>
      </x:c>
      <x:c r="Z393" s="165" t="str">
        <x:f>IF(AND(Z$5&gt;=$C393,Z$5&lt;=$D393,$A393&lt;&gt;""),"●","")</x:f>
      </x:c>
      <x:c r="AA393" s="165" t="str">
        <x:f>IF(AND(AA$5&gt;=$C393,AA$5&lt;=$D393,$A393&lt;&gt;""),"●","")</x:f>
      </x:c>
      <x:c r="AB393" s="165" t="str">
        <x:f>IF(AND(AB$5&gt;=$C393,AB$5&lt;=$D393,$A393&lt;&gt;""),"●","")</x:f>
      </x:c>
      <x:c r="AC393" s="165" t="str">
        <x:f>IF(AND(AC$5&gt;=$C393,AC$5&lt;=$D393,$A393&lt;&gt;""),"●","")</x:f>
      </x:c>
      <x:c r="AD393" s="165" t="str">
        <x:f>IF(AND(AD$5&gt;=$C393,AD$5&lt;=$D393,$A393&lt;&gt;""),"●","")</x:f>
      </x:c>
      <x:c r="AE393" s="165" t="str">
        <x:f>IF(AND(AE$5&gt;=$C393,AE$5&lt;=$D393,$A393&lt;&gt;""),"●","")</x:f>
      </x:c>
      <x:c r="AF393" s="165" t="str">
        <x:f>IF(AND(AF$5&gt;=$C393,AF$5&lt;=$D393,$A393&lt;&gt;""),"●","")</x:f>
      </x:c>
      <x:c r="AG393" s="165" t="str">
        <x:f>IF(AND(AG$5&gt;=$C393,AG$5&lt;=$D393,$A393&lt;&gt;""),"●","")</x:f>
      </x:c>
      <x:c r="AH393" s="165" t="str">
        <x:f>IF(AND(AH$5&gt;=$C393,AH$5&lt;=$D393,$A393&lt;&gt;""),"●","")</x:f>
      </x:c>
      <x:c r="AI393" s="165" t="str">
        <x:f>IF(AND(AI$5&gt;=$C393,AI$5&lt;=$D393,$A393&lt;&gt;""),"●","")</x:f>
      </x:c>
      <x:c r="AJ393" s="165" t="str">
        <x:f>IF(AND(AJ$5&gt;=$C393,AJ$5&lt;=$D393,$A393&lt;&gt;""),"●","")</x:f>
      </x:c>
      <x:c r="AK393" s="165" t="str">
        <x:f>IF(AND(AK$5&gt;=$C393,AK$5&lt;=$D393,$A393&lt;&gt;""),"●","")</x:f>
      </x:c>
      <x:c r="AL393" s="165" t="str">
        <x:f>IF(AND(AL$5&gt;=$C393,AL$5&lt;=$D393,$A393&lt;&gt;""),"●","")</x:f>
      </x:c>
      <x:c r="AM393" s="165" t="str">
        <x:f>IF(AND(AM$5&gt;=$C393,AM$5&lt;=$D393,$A393&lt;&gt;""),"●","")</x:f>
      </x:c>
      <x:c r="AN393" s="165" t="str">
        <x:f>IF(AND(AN$5&gt;=$C393,AN$5&lt;=$D393,$A393&lt;&gt;""),"●","")</x:f>
      </x:c>
      <x:c r="AO393" s="165" t="str">
        <x:f>IF(AND(AO$5&gt;=$C393,AO$5&lt;=$D393,$A393&lt;&gt;""),"●","")</x:f>
      </x:c>
      <x:c r="AP393" s="165" t="str">
        <x:f>IF(AND(AP$5&gt;=$C393,AP$5&lt;=$D393,$A393&lt;&gt;""),"●","")</x:f>
      </x:c>
      <x:c r="AQ393" s="165" t="str">
        <x:f>IF(AND(AQ$5&gt;=$C393,AQ$5&lt;=$D393,$A393&lt;&gt;""),"●","")</x:f>
      </x:c>
      <x:c r="AR393" s="165" t="str">
        <x:f>IF(AND(AR$5&gt;=$C393,AR$5&lt;=$D393,$A393&lt;&gt;""),"●","")</x:f>
      </x:c>
      <x:c r="AS393" s="165" t="str">
        <x:f>IF(AND(AS$5&gt;=$C393,AS$5&lt;=$D393,$A393&lt;&gt;""),"●","")</x:f>
      </x:c>
      <x:c r="AT393" s="165" t="str">
        <x:f>IF(AND(AT$5&gt;=$C393,AT$5&lt;=$D393,$A393&lt;&gt;""),"●","")</x:f>
      </x:c>
      <x:c r="AU393" s="165" t="str">
        <x:f>IF(AND(AU$5&gt;=$C393,AU$5&lt;=$D393,$A393&lt;&gt;""),"●","")</x:f>
      </x:c>
      <x:c r="AV393" s="165" t="str">
        <x:f>IF(AND(AV$5&gt;=$C393,AV$5&lt;=$D393,$A393&lt;&gt;""),"●","")</x:f>
      </x:c>
      <x:c r="AW393" s="165" t="str">
        <x:f>IF(AND(AW$5&gt;=$C393,AW$5&lt;=$D393,$A393&lt;&gt;""),"●","")</x:f>
      </x:c>
      <x:c r="AX393" s="165" t="str">
        <x:f>IF(AND(AX$5&gt;=$C393,AX$5&lt;=$D393,$A393&lt;&gt;""),"●","")</x:f>
      </x:c>
      <x:c r="AY393" s="165" t="str">
        <x:f>IF(AND(AY$5&gt;=$C393,AY$5&lt;=$D393,$A393&lt;&gt;""),"●","")</x:f>
      </x:c>
      <x:c r="AZ393" s="165" t="str">
        <x:f>IF(AND(AZ$5&gt;=$C393,AZ$5&lt;=$D393,$A393&lt;&gt;""),"●","")</x:f>
      </x:c>
      <x:c r="BA393" s="165" t="str">
        <x:f>IF(AND(BA$5&gt;=$C393,BA$5&lt;=$D393,$A393&lt;&gt;""),"●","")</x:f>
      </x:c>
      <x:c r="BB393" s="165" t="str">
        <x:f>IF(AND(BB$5&gt;=$C393,BB$5&lt;=$D393,$A393&lt;&gt;""),"●","")</x:f>
      </x:c>
      <x:c r="BC393" s="165" t="str">
        <x:f>IF(AND(BC$5&gt;=$C393,BC$5&lt;=$D393,$A393&lt;&gt;""),"●","")</x:f>
      </x:c>
      <x:c r="BD393" s="165" t="str">
        <x:f>IF(AND(BD$5&gt;=$C393,BD$5&lt;=$D393,$A393&lt;&gt;""),"●","")</x:f>
      </x:c>
      <x:c r="BE393" s="165" t="str">
        <x:f>IF(AND(BE$5&gt;=$C393,BE$5&lt;=$D393,$A393&lt;&gt;""),"●","")</x:f>
      </x:c>
      <x:c r="BF393" s="165" t="str">
        <x:f>IF(AND(BF$5&gt;=$C393,BF$5&lt;=$D393,$A393&lt;&gt;""),"●","")</x:f>
      </x:c>
      <x:c r="BG393" s="165" t="str">
        <x:f>IF(AND(BG$5&gt;=$C393,BG$5&lt;=$D393,$A393&lt;&gt;""),"●","")</x:f>
      </x:c>
      <x:c r="BH393" s="165" t="str">
        <x:f>IF(AND(BH$5&gt;=$C393,BH$5&lt;=$D393,$A393&lt;&gt;""),"●","")</x:f>
      </x:c>
      <x:c r="BI393" s="165" t="str">
        <x:f>IF(AND(BI$5&gt;=$C393,BI$5&lt;=$D393,$A393&lt;&gt;""),"●","")</x:f>
      </x:c>
      <x:c r="BJ393" s="165" t="str">
        <x:f>IF(AND(BJ$5&gt;=$C393,BJ$5&lt;=$D393,$A393&lt;&gt;""),"●","")</x:f>
      </x:c>
      <x:c r="BK393" s="165" t="str">
        <x:f>IF(AND(BK$5&gt;=$C393,BK$5&lt;=$D393,$A393&lt;&gt;""),"●","")</x:f>
      </x:c>
      <x:c r="BL393" s="165" t="str">
        <x:f>IF(AND(BL$5&gt;=$C393,BL$5&lt;=$D393,$A393&lt;&gt;""),"●","")</x:f>
      </x:c>
      <x:c r="BM393" s="165" t="str">
        <x:f>IF(AND(BM$5&gt;=$C393,BM$5&lt;=$D393,$A393&lt;&gt;""),"●","")</x:f>
      </x:c>
      <x:c r="BN393" s="165" t="str">
        <x:f>IF(AND(BN$5&gt;=$C393,BN$5&lt;=$D393,$A393&lt;&gt;""),"●","")</x:f>
      </x:c>
      <x:c r="BO393" s="165" t="str">
        <x:f>IF(AND(BO$5&gt;=$C393,BO$5&lt;=$D393,$A393&lt;&gt;""),"●","")</x:f>
      </x:c>
      <x:c r="BP393" s="165" t="str">
        <x:f>IF(AND(BP$5&gt;=$C393,BP$5&lt;=$D393,$A393&lt;&gt;""),"●","")</x:f>
      </x:c>
      <x:c r="BQ393" s="165" t="str">
        <x:f>IF(AND(BQ$5&gt;=$C393,BQ$5&lt;=$D393,$A393&lt;&gt;""),"●","")</x:f>
      </x:c>
      <x:c r="BR393" s="165" t="str">
        <x:f>IF(AND(BR$5&gt;=$C393,BR$5&lt;=$D393,$A393&lt;&gt;""),"●","")</x:f>
      </x:c>
      <x:c r="BS393" s="165" t="str">
        <x:f>IF(AND(BS$5&gt;=$C393,BS$5&lt;=$D393,$A393&lt;&gt;""),"●","")</x:f>
      </x:c>
      <x:c r="BT393" s="165" t="str">
        <x:f>IF(AND(BT$5&gt;=$C393,BT$5&lt;=$D393,$A393&lt;&gt;""),"●","")</x:f>
      </x:c>
      <x:c r="BU393" s="165" t="str">
        <x:f>IF(AND(BU$5&gt;=$C393,BU$5&lt;=$D393,$A393&lt;&gt;""),"●","")</x:f>
      </x:c>
      <x:c r="BV393" s="165" t="str">
        <x:f>IF(AND(BV$5&gt;=$C393,BV$5&lt;=$D393,$A393&lt;&gt;""),"●","")</x:f>
      </x:c>
      <x:c r="BW393" s="165" t="str">
        <x:f>IF(AND(BW$5&gt;=$C393,BW$5&lt;=$D393,$A393&lt;&gt;""),"●","")</x:f>
      </x:c>
    </x:row>
    <x:row r="394">
      <x:c r="A394" s="159" t="str">
        <x:f>IF('รายการสัญญา'!A394="","",'รายการสัญญา'!A394)</x:f>
      </x:c>
      <x:c r="B394" s="159" t="str">
        <x:f>IF('รายการสัญญา'!A394="","",'รายการสัญญา'!C394)</x:f>
      </x:c>
      <x:c r="C394" s="162" t="str">
        <x:f>IF('รายการสัญญา'!A394="","",'รายการสัญญา'!E394)</x:f>
      </x:c>
      <x:c r="D394" s="162" t="str">
        <x:f>IF('รายการสัญญา'!A394="","",'รายการสัญญา'!G394)</x:f>
      </x:c>
      <x:c r="E394" s="159" t="str">
        <x:f>IF('รายการสัญญา'!A394="","",'รายการสัญญา'!K394)</x:f>
      </x:c>
      <x:c r="F394" s="165" t="str">
        <x:f>IF(AND(F$5&gt;=$C394,F$5&lt;=$D394,$A394&lt;&gt;""),"●","")</x:f>
      </x:c>
      <x:c r="G394" s="165" t="str">
        <x:f>IF(AND(G$5&gt;=$C394,G$5&lt;=$D394,$A394&lt;&gt;""),"●","")</x:f>
      </x:c>
      <x:c r="H394" s="165" t="str">
        <x:f>IF(AND(H$5&gt;=$C394,H$5&lt;=$D394,$A394&lt;&gt;""),"●","")</x:f>
      </x:c>
      <x:c r="I394" s="165" t="str">
        <x:f>IF(AND(I$5&gt;=$C394,I$5&lt;=$D394,$A394&lt;&gt;""),"●","")</x:f>
      </x:c>
      <x:c r="J394" s="165" t="str">
        <x:f>IF(AND(J$5&gt;=$C394,J$5&lt;=$D394,$A394&lt;&gt;""),"●","")</x:f>
      </x:c>
      <x:c r="K394" s="165" t="str">
        <x:f>IF(AND(K$5&gt;=$C394,K$5&lt;=$D394,$A394&lt;&gt;""),"●","")</x:f>
      </x:c>
      <x:c r="L394" s="165" t="str">
        <x:f>IF(AND(L$5&gt;=$C394,L$5&lt;=$D394,$A394&lt;&gt;""),"●","")</x:f>
      </x:c>
      <x:c r="M394" s="165" t="str">
        <x:f>IF(AND(M$5&gt;=$C394,M$5&lt;=$D394,$A394&lt;&gt;""),"●","")</x:f>
      </x:c>
      <x:c r="N394" s="165" t="str">
        <x:f>IF(AND(N$5&gt;=$C394,N$5&lt;=$D394,$A394&lt;&gt;""),"●","")</x:f>
      </x:c>
      <x:c r="O394" s="165" t="str">
        <x:f>IF(AND(O$5&gt;=$C394,O$5&lt;=$D394,$A394&lt;&gt;""),"●","")</x:f>
      </x:c>
      <x:c r="P394" s="165" t="str">
        <x:f>IF(AND(P$5&gt;=$C394,P$5&lt;=$D394,$A394&lt;&gt;""),"●","")</x:f>
      </x:c>
      <x:c r="Q394" s="165" t="str">
        <x:f>IF(AND(Q$5&gt;=$C394,Q$5&lt;=$D394,$A394&lt;&gt;""),"●","")</x:f>
      </x:c>
      <x:c r="R394" s="165" t="str">
        <x:f>IF(AND(R$5&gt;=$C394,R$5&lt;=$D394,$A394&lt;&gt;""),"●","")</x:f>
      </x:c>
      <x:c r="S394" s="165" t="str">
        <x:f>IF(AND(S$5&gt;=$C394,S$5&lt;=$D394,$A394&lt;&gt;""),"●","")</x:f>
      </x:c>
      <x:c r="T394" s="165" t="str">
        <x:f>IF(AND(T$5&gt;=$C394,T$5&lt;=$D394,$A394&lt;&gt;""),"●","")</x:f>
      </x:c>
      <x:c r="U394" s="165" t="str">
        <x:f>IF(AND(U$5&gt;=$C394,U$5&lt;=$D394,$A394&lt;&gt;""),"●","")</x:f>
      </x:c>
      <x:c r="V394" s="165" t="str">
        <x:f>IF(AND(V$5&gt;=$C394,V$5&lt;=$D394,$A394&lt;&gt;""),"●","")</x:f>
      </x:c>
      <x:c r="W394" s="165" t="str">
        <x:f>IF(AND(W$5&gt;=$C394,W$5&lt;=$D394,$A394&lt;&gt;""),"●","")</x:f>
      </x:c>
      <x:c r="X394" s="165" t="str">
        <x:f>IF(AND(X$5&gt;=$C394,X$5&lt;=$D394,$A394&lt;&gt;""),"●","")</x:f>
      </x:c>
      <x:c r="Y394" s="165" t="str">
        <x:f>IF(AND(Y$5&gt;=$C394,Y$5&lt;=$D394,$A394&lt;&gt;""),"●","")</x:f>
      </x:c>
      <x:c r="Z394" s="165" t="str">
        <x:f>IF(AND(Z$5&gt;=$C394,Z$5&lt;=$D394,$A394&lt;&gt;""),"●","")</x:f>
      </x:c>
      <x:c r="AA394" s="165" t="str">
        <x:f>IF(AND(AA$5&gt;=$C394,AA$5&lt;=$D394,$A394&lt;&gt;""),"●","")</x:f>
      </x:c>
      <x:c r="AB394" s="165" t="str">
        <x:f>IF(AND(AB$5&gt;=$C394,AB$5&lt;=$D394,$A394&lt;&gt;""),"●","")</x:f>
      </x:c>
      <x:c r="AC394" s="165" t="str">
        <x:f>IF(AND(AC$5&gt;=$C394,AC$5&lt;=$D394,$A394&lt;&gt;""),"●","")</x:f>
      </x:c>
      <x:c r="AD394" s="165" t="str">
        <x:f>IF(AND(AD$5&gt;=$C394,AD$5&lt;=$D394,$A394&lt;&gt;""),"●","")</x:f>
      </x:c>
      <x:c r="AE394" s="165" t="str">
        <x:f>IF(AND(AE$5&gt;=$C394,AE$5&lt;=$D394,$A394&lt;&gt;""),"●","")</x:f>
      </x:c>
      <x:c r="AF394" s="165" t="str">
        <x:f>IF(AND(AF$5&gt;=$C394,AF$5&lt;=$D394,$A394&lt;&gt;""),"●","")</x:f>
      </x:c>
      <x:c r="AG394" s="165" t="str">
        <x:f>IF(AND(AG$5&gt;=$C394,AG$5&lt;=$D394,$A394&lt;&gt;""),"●","")</x:f>
      </x:c>
      <x:c r="AH394" s="165" t="str">
        <x:f>IF(AND(AH$5&gt;=$C394,AH$5&lt;=$D394,$A394&lt;&gt;""),"●","")</x:f>
      </x:c>
      <x:c r="AI394" s="165" t="str">
        <x:f>IF(AND(AI$5&gt;=$C394,AI$5&lt;=$D394,$A394&lt;&gt;""),"●","")</x:f>
      </x:c>
      <x:c r="AJ394" s="165" t="str">
        <x:f>IF(AND(AJ$5&gt;=$C394,AJ$5&lt;=$D394,$A394&lt;&gt;""),"●","")</x:f>
      </x:c>
      <x:c r="AK394" s="165" t="str">
        <x:f>IF(AND(AK$5&gt;=$C394,AK$5&lt;=$D394,$A394&lt;&gt;""),"●","")</x:f>
      </x:c>
      <x:c r="AL394" s="165" t="str">
        <x:f>IF(AND(AL$5&gt;=$C394,AL$5&lt;=$D394,$A394&lt;&gt;""),"●","")</x:f>
      </x:c>
      <x:c r="AM394" s="165" t="str">
        <x:f>IF(AND(AM$5&gt;=$C394,AM$5&lt;=$D394,$A394&lt;&gt;""),"●","")</x:f>
      </x:c>
      <x:c r="AN394" s="165" t="str">
        <x:f>IF(AND(AN$5&gt;=$C394,AN$5&lt;=$D394,$A394&lt;&gt;""),"●","")</x:f>
      </x:c>
      <x:c r="AO394" s="165" t="str">
        <x:f>IF(AND(AO$5&gt;=$C394,AO$5&lt;=$D394,$A394&lt;&gt;""),"●","")</x:f>
      </x:c>
      <x:c r="AP394" s="165" t="str">
        <x:f>IF(AND(AP$5&gt;=$C394,AP$5&lt;=$D394,$A394&lt;&gt;""),"●","")</x:f>
      </x:c>
      <x:c r="AQ394" s="165" t="str">
        <x:f>IF(AND(AQ$5&gt;=$C394,AQ$5&lt;=$D394,$A394&lt;&gt;""),"●","")</x:f>
      </x:c>
      <x:c r="AR394" s="165" t="str">
        <x:f>IF(AND(AR$5&gt;=$C394,AR$5&lt;=$D394,$A394&lt;&gt;""),"●","")</x:f>
      </x:c>
      <x:c r="AS394" s="165" t="str">
        <x:f>IF(AND(AS$5&gt;=$C394,AS$5&lt;=$D394,$A394&lt;&gt;""),"●","")</x:f>
      </x:c>
      <x:c r="AT394" s="165" t="str">
        <x:f>IF(AND(AT$5&gt;=$C394,AT$5&lt;=$D394,$A394&lt;&gt;""),"●","")</x:f>
      </x:c>
      <x:c r="AU394" s="165" t="str">
        <x:f>IF(AND(AU$5&gt;=$C394,AU$5&lt;=$D394,$A394&lt;&gt;""),"●","")</x:f>
      </x:c>
      <x:c r="AV394" s="165" t="str">
        <x:f>IF(AND(AV$5&gt;=$C394,AV$5&lt;=$D394,$A394&lt;&gt;""),"●","")</x:f>
      </x:c>
      <x:c r="AW394" s="165" t="str">
        <x:f>IF(AND(AW$5&gt;=$C394,AW$5&lt;=$D394,$A394&lt;&gt;""),"●","")</x:f>
      </x:c>
      <x:c r="AX394" s="165" t="str">
        <x:f>IF(AND(AX$5&gt;=$C394,AX$5&lt;=$D394,$A394&lt;&gt;""),"●","")</x:f>
      </x:c>
      <x:c r="AY394" s="165" t="str">
        <x:f>IF(AND(AY$5&gt;=$C394,AY$5&lt;=$D394,$A394&lt;&gt;""),"●","")</x:f>
      </x:c>
      <x:c r="AZ394" s="165" t="str">
        <x:f>IF(AND(AZ$5&gt;=$C394,AZ$5&lt;=$D394,$A394&lt;&gt;""),"●","")</x:f>
      </x:c>
      <x:c r="BA394" s="165" t="str">
        <x:f>IF(AND(BA$5&gt;=$C394,BA$5&lt;=$D394,$A394&lt;&gt;""),"●","")</x:f>
      </x:c>
      <x:c r="BB394" s="165" t="str">
        <x:f>IF(AND(BB$5&gt;=$C394,BB$5&lt;=$D394,$A394&lt;&gt;""),"●","")</x:f>
      </x:c>
      <x:c r="BC394" s="165" t="str">
        <x:f>IF(AND(BC$5&gt;=$C394,BC$5&lt;=$D394,$A394&lt;&gt;""),"●","")</x:f>
      </x:c>
      <x:c r="BD394" s="165" t="str">
        <x:f>IF(AND(BD$5&gt;=$C394,BD$5&lt;=$D394,$A394&lt;&gt;""),"●","")</x:f>
      </x:c>
      <x:c r="BE394" s="165" t="str">
        <x:f>IF(AND(BE$5&gt;=$C394,BE$5&lt;=$D394,$A394&lt;&gt;""),"●","")</x:f>
      </x:c>
      <x:c r="BF394" s="165" t="str">
        <x:f>IF(AND(BF$5&gt;=$C394,BF$5&lt;=$D394,$A394&lt;&gt;""),"●","")</x:f>
      </x:c>
      <x:c r="BG394" s="165" t="str">
        <x:f>IF(AND(BG$5&gt;=$C394,BG$5&lt;=$D394,$A394&lt;&gt;""),"●","")</x:f>
      </x:c>
      <x:c r="BH394" s="165" t="str">
        <x:f>IF(AND(BH$5&gt;=$C394,BH$5&lt;=$D394,$A394&lt;&gt;""),"●","")</x:f>
      </x:c>
      <x:c r="BI394" s="165" t="str">
        <x:f>IF(AND(BI$5&gt;=$C394,BI$5&lt;=$D394,$A394&lt;&gt;""),"●","")</x:f>
      </x:c>
      <x:c r="BJ394" s="165" t="str">
        <x:f>IF(AND(BJ$5&gt;=$C394,BJ$5&lt;=$D394,$A394&lt;&gt;""),"●","")</x:f>
      </x:c>
      <x:c r="BK394" s="165" t="str">
        <x:f>IF(AND(BK$5&gt;=$C394,BK$5&lt;=$D394,$A394&lt;&gt;""),"●","")</x:f>
      </x:c>
      <x:c r="BL394" s="165" t="str">
        <x:f>IF(AND(BL$5&gt;=$C394,BL$5&lt;=$D394,$A394&lt;&gt;""),"●","")</x:f>
      </x:c>
      <x:c r="BM394" s="165" t="str">
        <x:f>IF(AND(BM$5&gt;=$C394,BM$5&lt;=$D394,$A394&lt;&gt;""),"●","")</x:f>
      </x:c>
      <x:c r="BN394" s="165" t="str">
        <x:f>IF(AND(BN$5&gt;=$C394,BN$5&lt;=$D394,$A394&lt;&gt;""),"●","")</x:f>
      </x:c>
      <x:c r="BO394" s="165" t="str">
        <x:f>IF(AND(BO$5&gt;=$C394,BO$5&lt;=$D394,$A394&lt;&gt;""),"●","")</x:f>
      </x:c>
      <x:c r="BP394" s="165" t="str">
        <x:f>IF(AND(BP$5&gt;=$C394,BP$5&lt;=$D394,$A394&lt;&gt;""),"●","")</x:f>
      </x:c>
      <x:c r="BQ394" s="165" t="str">
        <x:f>IF(AND(BQ$5&gt;=$C394,BQ$5&lt;=$D394,$A394&lt;&gt;""),"●","")</x:f>
      </x:c>
      <x:c r="BR394" s="165" t="str">
        <x:f>IF(AND(BR$5&gt;=$C394,BR$5&lt;=$D394,$A394&lt;&gt;""),"●","")</x:f>
      </x:c>
      <x:c r="BS394" s="165" t="str">
        <x:f>IF(AND(BS$5&gt;=$C394,BS$5&lt;=$D394,$A394&lt;&gt;""),"●","")</x:f>
      </x:c>
      <x:c r="BT394" s="165" t="str">
        <x:f>IF(AND(BT$5&gt;=$C394,BT$5&lt;=$D394,$A394&lt;&gt;""),"●","")</x:f>
      </x:c>
      <x:c r="BU394" s="165" t="str">
        <x:f>IF(AND(BU$5&gt;=$C394,BU$5&lt;=$D394,$A394&lt;&gt;""),"●","")</x:f>
      </x:c>
      <x:c r="BV394" s="165" t="str">
        <x:f>IF(AND(BV$5&gt;=$C394,BV$5&lt;=$D394,$A394&lt;&gt;""),"●","")</x:f>
      </x:c>
      <x:c r="BW394" s="165" t="str">
        <x:f>IF(AND(BW$5&gt;=$C394,BW$5&lt;=$D394,$A394&lt;&gt;""),"●","")</x:f>
      </x:c>
    </x:row>
    <x:row r="395">
      <x:c r="A395" s="159" t="str">
        <x:f>IF('รายการสัญญา'!A395="","",'รายการสัญญา'!A395)</x:f>
      </x:c>
      <x:c r="B395" s="159" t="str">
        <x:f>IF('รายการสัญญา'!A395="","",'รายการสัญญา'!C395)</x:f>
      </x:c>
      <x:c r="C395" s="162" t="str">
        <x:f>IF('รายการสัญญา'!A395="","",'รายการสัญญา'!E395)</x:f>
      </x:c>
      <x:c r="D395" s="162" t="str">
        <x:f>IF('รายการสัญญา'!A395="","",'รายการสัญญา'!G395)</x:f>
      </x:c>
      <x:c r="E395" s="159" t="str">
        <x:f>IF('รายการสัญญา'!A395="","",'รายการสัญญา'!K395)</x:f>
      </x:c>
      <x:c r="F395" s="165" t="str">
        <x:f>IF(AND(F$5&gt;=$C395,F$5&lt;=$D395,$A395&lt;&gt;""),"●","")</x:f>
      </x:c>
      <x:c r="G395" s="165" t="str">
        <x:f>IF(AND(G$5&gt;=$C395,G$5&lt;=$D395,$A395&lt;&gt;""),"●","")</x:f>
      </x:c>
      <x:c r="H395" s="165" t="str">
        <x:f>IF(AND(H$5&gt;=$C395,H$5&lt;=$D395,$A395&lt;&gt;""),"●","")</x:f>
      </x:c>
      <x:c r="I395" s="165" t="str">
        <x:f>IF(AND(I$5&gt;=$C395,I$5&lt;=$D395,$A395&lt;&gt;""),"●","")</x:f>
      </x:c>
      <x:c r="J395" s="165" t="str">
        <x:f>IF(AND(J$5&gt;=$C395,J$5&lt;=$D395,$A395&lt;&gt;""),"●","")</x:f>
      </x:c>
      <x:c r="K395" s="165" t="str">
        <x:f>IF(AND(K$5&gt;=$C395,K$5&lt;=$D395,$A395&lt;&gt;""),"●","")</x:f>
      </x:c>
      <x:c r="L395" s="165" t="str">
        <x:f>IF(AND(L$5&gt;=$C395,L$5&lt;=$D395,$A395&lt;&gt;""),"●","")</x:f>
      </x:c>
      <x:c r="M395" s="165" t="str">
        <x:f>IF(AND(M$5&gt;=$C395,M$5&lt;=$D395,$A395&lt;&gt;""),"●","")</x:f>
      </x:c>
      <x:c r="N395" s="165" t="str">
        <x:f>IF(AND(N$5&gt;=$C395,N$5&lt;=$D395,$A395&lt;&gt;""),"●","")</x:f>
      </x:c>
      <x:c r="O395" s="165" t="str">
        <x:f>IF(AND(O$5&gt;=$C395,O$5&lt;=$D395,$A395&lt;&gt;""),"●","")</x:f>
      </x:c>
      <x:c r="P395" s="165" t="str">
        <x:f>IF(AND(P$5&gt;=$C395,P$5&lt;=$D395,$A395&lt;&gt;""),"●","")</x:f>
      </x:c>
      <x:c r="Q395" s="165" t="str">
        <x:f>IF(AND(Q$5&gt;=$C395,Q$5&lt;=$D395,$A395&lt;&gt;""),"●","")</x:f>
      </x:c>
      <x:c r="R395" s="165" t="str">
        <x:f>IF(AND(R$5&gt;=$C395,R$5&lt;=$D395,$A395&lt;&gt;""),"●","")</x:f>
      </x:c>
      <x:c r="S395" s="165" t="str">
        <x:f>IF(AND(S$5&gt;=$C395,S$5&lt;=$D395,$A395&lt;&gt;""),"●","")</x:f>
      </x:c>
      <x:c r="T395" s="165" t="str">
        <x:f>IF(AND(T$5&gt;=$C395,T$5&lt;=$D395,$A395&lt;&gt;""),"●","")</x:f>
      </x:c>
      <x:c r="U395" s="165" t="str">
        <x:f>IF(AND(U$5&gt;=$C395,U$5&lt;=$D395,$A395&lt;&gt;""),"●","")</x:f>
      </x:c>
      <x:c r="V395" s="165" t="str">
        <x:f>IF(AND(V$5&gt;=$C395,V$5&lt;=$D395,$A395&lt;&gt;""),"●","")</x:f>
      </x:c>
      <x:c r="W395" s="165" t="str">
        <x:f>IF(AND(W$5&gt;=$C395,W$5&lt;=$D395,$A395&lt;&gt;""),"●","")</x:f>
      </x:c>
      <x:c r="X395" s="165" t="str">
        <x:f>IF(AND(X$5&gt;=$C395,X$5&lt;=$D395,$A395&lt;&gt;""),"●","")</x:f>
      </x:c>
      <x:c r="Y395" s="165" t="str">
        <x:f>IF(AND(Y$5&gt;=$C395,Y$5&lt;=$D395,$A395&lt;&gt;""),"●","")</x:f>
      </x:c>
      <x:c r="Z395" s="165" t="str">
        <x:f>IF(AND(Z$5&gt;=$C395,Z$5&lt;=$D395,$A395&lt;&gt;""),"●","")</x:f>
      </x:c>
      <x:c r="AA395" s="165" t="str">
        <x:f>IF(AND(AA$5&gt;=$C395,AA$5&lt;=$D395,$A395&lt;&gt;""),"●","")</x:f>
      </x:c>
      <x:c r="AB395" s="165" t="str">
        <x:f>IF(AND(AB$5&gt;=$C395,AB$5&lt;=$D395,$A395&lt;&gt;""),"●","")</x:f>
      </x:c>
      <x:c r="AC395" s="165" t="str">
        <x:f>IF(AND(AC$5&gt;=$C395,AC$5&lt;=$D395,$A395&lt;&gt;""),"●","")</x:f>
      </x:c>
      <x:c r="AD395" s="165" t="str">
        <x:f>IF(AND(AD$5&gt;=$C395,AD$5&lt;=$D395,$A395&lt;&gt;""),"●","")</x:f>
      </x:c>
      <x:c r="AE395" s="165" t="str">
        <x:f>IF(AND(AE$5&gt;=$C395,AE$5&lt;=$D395,$A395&lt;&gt;""),"●","")</x:f>
      </x:c>
      <x:c r="AF395" s="165" t="str">
        <x:f>IF(AND(AF$5&gt;=$C395,AF$5&lt;=$D395,$A395&lt;&gt;""),"●","")</x:f>
      </x:c>
      <x:c r="AG395" s="165" t="str">
        <x:f>IF(AND(AG$5&gt;=$C395,AG$5&lt;=$D395,$A395&lt;&gt;""),"●","")</x:f>
      </x:c>
      <x:c r="AH395" s="165" t="str">
        <x:f>IF(AND(AH$5&gt;=$C395,AH$5&lt;=$D395,$A395&lt;&gt;""),"●","")</x:f>
      </x:c>
      <x:c r="AI395" s="165" t="str">
        <x:f>IF(AND(AI$5&gt;=$C395,AI$5&lt;=$D395,$A395&lt;&gt;""),"●","")</x:f>
      </x:c>
      <x:c r="AJ395" s="165" t="str">
        <x:f>IF(AND(AJ$5&gt;=$C395,AJ$5&lt;=$D395,$A395&lt;&gt;""),"●","")</x:f>
      </x:c>
      <x:c r="AK395" s="165" t="str">
        <x:f>IF(AND(AK$5&gt;=$C395,AK$5&lt;=$D395,$A395&lt;&gt;""),"●","")</x:f>
      </x:c>
      <x:c r="AL395" s="165" t="str">
        <x:f>IF(AND(AL$5&gt;=$C395,AL$5&lt;=$D395,$A395&lt;&gt;""),"●","")</x:f>
      </x:c>
      <x:c r="AM395" s="165" t="str">
        <x:f>IF(AND(AM$5&gt;=$C395,AM$5&lt;=$D395,$A395&lt;&gt;""),"●","")</x:f>
      </x:c>
      <x:c r="AN395" s="165" t="str">
        <x:f>IF(AND(AN$5&gt;=$C395,AN$5&lt;=$D395,$A395&lt;&gt;""),"●","")</x:f>
      </x:c>
      <x:c r="AO395" s="165" t="str">
        <x:f>IF(AND(AO$5&gt;=$C395,AO$5&lt;=$D395,$A395&lt;&gt;""),"●","")</x:f>
      </x:c>
      <x:c r="AP395" s="165" t="str">
        <x:f>IF(AND(AP$5&gt;=$C395,AP$5&lt;=$D395,$A395&lt;&gt;""),"●","")</x:f>
      </x:c>
      <x:c r="AQ395" s="165" t="str">
        <x:f>IF(AND(AQ$5&gt;=$C395,AQ$5&lt;=$D395,$A395&lt;&gt;""),"●","")</x:f>
      </x:c>
      <x:c r="AR395" s="165" t="str">
        <x:f>IF(AND(AR$5&gt;=$C395,AR$5&lt;=$D395,$A395&lt;&gt;""),"●","")</x:f>
      </x:c>
      <x:c r="AS395" s="165" t="str">
        <x:f>IF(AND(AS$5&gt;=$C395,AS$5&lt;=$D395,$A395&lt;&gt;""),"●","")</x:f>
      </x:c>
      <x:c r="AT395" s="165" t="str">
        <x:f>IF(AND(AT$5&gt;=$C395,AT$5&lt;=$D395,$A395&lt;&gt;""),"●","")</x:f>
      </x:c>
      <x:c r="AU395" s="165" t="str">
        <x:f>IF(AND(AU$5&gt;=$C395,AU$5&lt;=$D395,$A395&lt;&gt;""),"●","")</x:f>
      </x:c>
      <x:c r="AV395" s="165" t="str">
        <x:f>IF(AND(AV$5&gt;=$C395,AV$5&lt;=$D395,$A395&lt;&gt;""),"●","")</x:f>
      </x:c>
      <x:c r="AW395" s="165" t="str">
        <x:f>IF(AND(AW$5&gt;=$C395,AW$5&lt;=$D395,$A395&lt;&gt;""),"●","")</x:f>
      </x:c>
      <x:c r="AX395" s="165" t="str">
        <x:f>IF(AND(AX$5&gt;=$C395,AX$5&lt;=$D395,$A395&lt;&gt;""),"●","")</x:f>
      </x:c>
      <x:c r="AY395" s="165" t="str">
        <x:f>IF(AND(AY$5&gt;=$C395,AY$5&lt;=$D395,$A395&lt;&gt;""),"●","")</x:f>
      </x:c>
      <x:c r="AZ395" s="165" t="str">
        <x:f>IF(AND(AZ$5&gt;=$C395,AZ$5&lt;=$D395,$A395&lt;&gt;""),"●","")</x:f>
      </x:c>
      <x:c r="BA395" s="165" t="str">
        <x:f>IF(AND(BA$5&gt;=$C395,BA$5&lt;=$D395,$A395&lt;&gt;""),"●","")</x:f>
      </x:c>
      <x:c r="BB395" s="165" t="str">
        <x:f>IF(AND(BB$5&gt;=$C395,BB$5&lt;=$D395,$A395&lt;&gt;""),"●","")</x:f>
      </x:c>
      <x:c r="BC395" s="165" t="str">
        <x:f>IF(AND(BC$5&gt;=$C395,BC$5&lt;=$D395,$A395&lt;&gt;""),"●","")</x:f>
      </x:c>
      <x:c r="BD395" s="165" t="str">
        <x:f>IF(AND(BD$5&gt;=$C395,BD$5&lt;=$D395,$A395&lt;&gt;""),"●","")</x:f>
      </x:c>
      <x:c r="BE395" s="165" t="str">
        <x:f>IF(AND(BE$5&gt;=$C395,BE$5&lt;=$D395,$A395&lt;&gt;""),"●","")</x:f>
      </x:c>
      <x:c r="BF395" s="165" t="str">
        <x:f>IF(AND(BF$5&gt;=$C395,BF$5&lt;=$D395,$A395&lt;&gt;""),"●","")</x:f>
      </x:c>
      <x:c r="BG395" s="165" t="str">
        <x:f>IF(AND(BG$5&gt;=$C395,BG$5&lt;=$D395,$A395&lt;&gt;""),"●","")</x:f>
      </x:c>
      <x:c r="BH395" s="165" t="str">
        <x:f>IF(AND(BH$5&gt;=$C395,BH$5&lt;=$D395,$A395&lt;&gt;""),"●","")</x:f>
      </x:c>
      <x:c r="BI395" s="165" t="str">
        <x:f>IF(AND(BI$5&gt;=$C395,BI$5&lt;=$D395,$A395&lt;&gt;""),"●","")</x:f>
      </x:c>
      <x:c r="BJ395" s="165" t="str">
        <x:f>IF(AND(BJ$5&gt;=$C395,BJ$5&lt;=$D395,$A395&lt;&gt;""),"●","")</x:f>
      </x:c>
      <x:c r="BK395" s="165" t="str">
        <x:f>IF(AND(BK$5&gt;=$C395,BK$5&lt;=$D395,$A395&lt;&gt;""),"●","")</x:f>
      </x:c>
      <x:c r="BL395" s="165" t="str">
        <x:f>IF(AND(BL$5&gt;=$C395,BL$5&lt;=$D395,$A395&lt;&gt;""),"●","")</x:f>
      </x:c>
      <x:c r="BM395" s="165" t="str">
        <x:f>IF(AND(BM$5&gt;=$C395,BM$5&lt;=$D395,$A395&lt;&gt;""),"●","")</x:f>
      </x:c>
      <x:c r="BN395" s="165" t="str">
        <x:f>IF(AND(BN$5&gt;=$C395,BN$5&lt;=$D395,$A395&lt;&gt;""),"●","")</x:f>
      </x:c>
      <x:c r="BO395" s="165" t="str">
        <x:f>IF(AND(BO$5&gt;=$C395,BO$5&lt;=$D395,$A395&lt;&gt;""),"●","")</x:f>
      </x:c>
      <x:c r="BP395" s="165" t="str">
        <x:f>IF(AND(BP$5&gt;=$C395,BP$5&lt;=$D395,$A395&lt;&gt;""),"●","")</x:f>
      </x:c>
      <x:c r="BQ395" s="165" t="str">
        <x:f>IF(AND(BQ$5&gt;=$C395,BQ$5&lt;=$D395,$A395&lt;&gt;""),"●","")</x:f>
      </x:c>
      <x:c r="BR395" s="165" t="str">
        <x:f>IF(AND(BR$5&gt;=$C395,BR$5&lt;=$D395,$A395&lt;&gt;""),"●","")</x:f>
      </x:c>
      <x:c r="BS395" s="165" t="str">
        <x:f>IF(AND(BS$5&gt;=$C395,BS$5&lt;=$D395,$A395&lt;&gt;""),"●","")</x:f>
      </x:c>
      <x:c r="BT395" s="165" t="str">
        <x:f>IF(AND(BT$5&gt;=$C395,BT$5&lt;=$D395,$A395&lt;&gt;""),"●","")</x:f>
      </x:c>
      <x:c r="BU395" s="165" t="str">
        <x:f>IF(AND(BU$5&gt;=$C395,BU$5&lt;=$D395,$A395&lt;&gt;""),"●","")</x:f>
      </x:c>
      <x:c r="BV395" s="165" t="str">
        <x:f>IF(AND(BV$5&gt;=$C395,BV$5&lt;=$D395,$A395&lt;&gt;""),"●","")</x:f>
      </x:c>
      <x:c r="BW395" s="165" t="str">
        <x:f>IF(AND(BW$5&gt;=$C395,BW$5&lt;=$D395,$A395&lt;&gt;""),"●","")</x:f>
      </x:c>
    </x:row>
    <x:row r="396">
      <x:c r="A396" s="159" t="str">
        <x:f>IF('รายการสัญญา'!A396="","",'รายการสัญญา'!A396)</x:f>
      </x:c>
      <x:c r="B396" s="159" t="str">
        <x:f>IF('รายการสัญญา'!A396="","",'รายการสัญญา'!C396)</x:f>
      </x:c>
      <x:c r="C396" s="162" t="str">
        <x:f>IF('รายการสัญญา'!A396="","",'รายการสัญญา'!E396)</x:f>
      </x:c>
      <x:c r="D396" s="162" t="str">
        <x:f>IF('รายการสัญญา'!A396="","",'รายการสัญญา'!G396)</x:f>
      </x:c>
      <x:c r="E396" s="159" t="str">
        <x:f>IF('รายการสัญญา'!A396="","",'รายการสัญญา'!K396)</x:f>
      </x:c>
      <x:c r="F396" s="165" t="str">
        <x:f>IF(AND(F$5&gt;=$C396,F$5&lt;=$D396,$A396&lt;&gt;""),"●","")</x:f>
      </x:c>
      <x:c r="G396" s="165" t="str">
        <x:f>IF(AND(G$5&gt;=$C396,G$5&lt;=$D396,$A396&lt;&gt;""),"●","")</x:f>
      </x:c>
      <x:c r="H396" s="165" t="str">
        <x:f>IF(AND(H$5&gt;=$C396,H$5&lt;=$D396,$A396&lt;&gt;""),"●","")</x:f>
      </x:c>
      <x:c r="I396" s="165" t="str">
        <x:f>IF(AND(I$5&gt;=$C396,I$5&lt;=$D396,$A396&lt;&gt;""),"●","")</x:f>
      </x:c>
      <x:c r="J396" s="165" t="str">
        <x:f>IF(AND(J$5&gt;=$C396,J$5&lt;=$D396,$A396&lt;&gt;""),"●","")</x:f>
      </x:c>
      <x:c r="K396" s="165" t="str">
        <x:f>IF(AND(K$5&gt;=$C396,K$5&lt;=$D396,$A396&lt;&gt;""),"●","")</x:f>
      </x:c>
      <x:c r="L396" s="165" t="str">
        <x:f>IF(AND(L$5&gt;=$C396,L$5&lt;=$D396,$A396&lt;&gt;""),"●","")</x:f>
      </x:c>
      <x:c r="M396" s="165" t="str">
        <x:f>IF(AND(M$5&gt;=$C396,M$5&lt;=$D396,$A396&lt;&gt;""),"●","")</x:f>
      </x:c>
      <x:c r="N396" s="165" t="str">
        <x:f>IF(AND(N$5&gt;=$C396,N$5&lt;=$D396,$A396&lt;&gt;""),"●","")</x:f>
      </x:c>
      <x:c r="O396" s="165" t="str">
        <x:f>IF(AND(O$5&gt;=$C396,O$5&lt;=$D396,$A396&lt;&gt;""),"●","")</x:f>
      </x:c>
      <x:c r="P396" s="165" t="str">
        <x:f>IF(AND(P$5&gt;=$C396,P$5&lt;=$D396,$A396&lt;&gt;""),"●","")</x:f>
      </x:c>
      <x:c r="Q396" s="165" t="str">
        <x:f>IF(AND(Q$5&gt;=$C396,Q$5&lt;=$D396,$A396&lt;&gt;""),"●","")</x:f>
      </x:c>
      <x:c r="R396" s="165" t="str">
        <x:f>IF(AND(R$5&gt;=$C396,R$5&lt;=$D396,$A396&lt;&gt;""),"●","")</x:f>
      </x:c>
      <x:c r="S396" s="165" t="str">
        <x:f>IF(AND(S$5&gt;=$C396,S$5&lt;=$D396,$A396&lt;&gt;""),"●","")</x:f>
      </x:c>
      <x:c r="T396" s="165" t="str">
        <x:f>IF(AND(T$5&gt;=$C396,T$5&lt;=$D396,$A396&lt;&gt;""),"●","")</x:f>
      </x:c>
      <x:c r="U396" s="165" t="str">
        <x:f>IF(AND(U$5&gt;=$C396,U$5&lt;=$D396,$A396&lt;&gt;""),"●","")</x:f>
      </x:c>
      <x:c r="V396" s="165" t="str">
        <x:f>IF(AND(V$5&gt;=$C396,V$5&lt;=$D396,$A396&lt;&gt;""),"●","")</x:f>
      </x:c>
      <x:c r="W396" s="165" t="str">
        <x:f>IF(AND(W$5&gt;=$C396,W$5&lt;=$D396,$A396&lt;&gt;""),"●","")</x:f>
      </x:c>
      <x:c r="X396" s="165" t="str">
        <x:f>IF(AND(X$5&gt;=$C396,X$5&lt;=$D396,$A396&lt;&gt;""),"●","")</x:f>
      </x:c>
      <x:c r="Y396" s="165" t="str">
        <x:f>IF(AND(Y$5&gt;=$C396,Y$5&lt;=$D396,$A396&lt;&gt;""),"●","")</x:f>
      </x:c>
      <x:c r="Z396" s="165" t="str">
        <x:f>IF(AND(Z$5&gt;=$C396,Z$5&lt;=$D396,$A396&lt;&gt;""),"●","")</x:f>
      </x:c>
      <x:c r="AA396" s="165" t="str">
        <x:f>IF(AND(AA$5&gt;=$C396,AA$5&lt;=$D396,$A396&lt;&gt;""),"●","")</x:f>
      </x:c>
      <x:c r="AB396" s="165" t="str">
        <x:f>IF(AND(AB$5&gt;=$C396,AB$5&lt;=$D396,$A396&lt;&gt;""),"●","")</x:f>
      </x:c>
      <x:c r="AC396" s="165" t="str">
        <x:f>IF(AND(AC$5&gt;=$C396,AC$5&lt;=$D396,$A396&lt;&gt;""),"●","")</x:f>
      </x:c>
      <x:c r="AD396" s="165" t="str">
        <x:f>IF(AND(AD$5&gt;=$C396,AD$5&lt;=$D396,$A396&lt;&gt;""),"●","")</x:f>
      </x:c>
      <x:c r="AE396" s="165" t="str">
        <x:f>IF(AND(AE$5&gt;=$C396,AE$5&lt;=$D396,$A396&lt;&gt;""),"●","")</x:f>
      </x:c>
      <x:c r="AF396" s="165" t="str">
        <x:f>IF(AND(AF$5&gt;=$C396,AF$5&lt;=$D396,$A396&lt;&gt;""),"●","")</x:f>
      </x:c>
      <x:c r="AG396" s="165" t="str">
        <x:f>IF(AND(AG$5&gt;=$C396,AG$5&lt;=$D396,$A396&lt;&gt;""),"●","")</x:f>
      </x:c>
      <x:c r="AH396" s="165" t="str">
        <x:f>IF(AND(AH$5&gt;=$C396,AH$5&lt;=$D396,$A396&lt;&gt;""),"●","")</x:f>
      </x:c>
      <x:c r="AI396" s="165" t="str">
        <x:f>IF(AND(AI$5&gt;=$C396,AI$5&lt;=$D396,$A396&lt;&gt;""),"●","")</x:f>
      </x:c>
      <x:c r="AJ396" s="165" t="str">
        <x:f>IF(AND(AJ$5&gt;=$C396,AJ$5&lt;=$D396,$A396&lt;&gt;""),"●","")</x:f>
      </x:c>
      <x:c r="AK396" s="165" t="str">
        <x:f>IF(AND(AK$5&gt;=$C396,AK$5&lt;=$D396,$A396&lt;&gt;""),"●","")</x:f>
      </x:c>
      <x:c r="AL396" s="165" t="str">
        <x:f>IF(AND(AL$5&gt;=$C396,AL$5&lt;=$D396,$A396&lt;&gt;""),"●","")</x:f>
      </x:c>
      <x:c r="AM396" s="165" t="str">
        <x:f>IF(AND(AM$5&gt;=$C396,AM$5&lt;=$D396,$A396&lt;&gt;""),"●","")</x:f>
      </x:c>
      <x:c r="AN396" s="165" t="str">
        <x:f>IF(AND(AN$5&gt;=$C396,AN$5&lt;=$D396,$A396&lt;&gt;""),"●","")</x:f>
      </x:c>
      <x:c r="AO396" s="165" t="str">
        <x:f>IF(AND(AO$5&gt;=$C396,AO$5&lt;=$D396,$A396&lt;&gt;""),"●","")</x:f>
      </x:c>
      <x:c r="AP396" s="165" t="str">
        <x:f>IF(AND(AP$5&gt;=$C396,AP$5&lt;=$D396,$A396&lt;&gt;""),"●","")</x:f>
      </x:c>
      <x:c r="AQ396" s="165" t="str">
        <x:f>IF(AND(AQ$5&gt;=$C396,AQ$5&lt;=$D396,$A396&lt;&gt;""),"●","")</x:f>
      </x:c>
      <x:c r="AR396" s="165" t="str">
        <x:f>IF(AND(AR$5&gt;=$C396,AR$5&lt;=$D396,$A396&lt;&gt;""),"●","")</x:f>
      </x:c>
      <x:c r="AS396" s="165" t="str">
        <x:f>IF(AND(AS$5&gt;=$C396,AS$5&lt;=$D396,$A396&lt;&gt;""),"●","")</x:f>
      </x:c>
      <x:c r="AT396" s="165" t="str">
        <x:f>IF(AND(AT$5&gt;=$C396,AT$5&lt;=$D396,$A396&lt;&gt;""),"●","")</x:f>
      </x:c>
      <x:c r="AU396" s="165" t="str">
        <x:f>IF(AND(AU$5&gt;=$C396,AU$5&lt;=$D396,$A396&lt;&gt;""),"●","")</x:f>
      </x:c>
      <x:c r="AV396" s="165" t="str">
        <x:f>IF(AND(AV$5&gt;=$C396,AV$5&lt;=$D396,$A396&lt;&gt;""),"●","")</x:f>
      </x:c>
      <x:c r="AW396" s="165" t="str">
        <x:f>IF(AND(AW$5&gt;=$C396,AW$5&lt;=$D396,$A396&lt;&gt;""),"●","")</x:f>
      </x:c>
      <x:c r="AX396" s="165" t="str">
        <x:f>IF(AND(AX$5&gt;=$C396,AX$5&lt;=$D396,$A396&lt;&gt;""),"●","")</x:f>
      </x:c>
      <x:c r="AY396" s="165" t="str">
        <x:f>IF(AND(AY$5&gt;=$C396,AY$5&lt;=$D396,$A396&lt;&gt;""),"●","")</x:f>
      </x:c>
      <x:c r="AZ396" s="165" t="str">
        <x:f>IF(AND(AZ$5&gt;=$C396,AZ$5&lt;=$D396,$A396&lt;&gt;""),"●","")</x:f>
      </x:c>
      <x:c r="BA396" s="165" t="str">
        <x:f>IF(AND(BA$5&gt;=$C396,BA$5&lt;=$D396,$A396&lt;&gt;""),"●","")</x:f>
      </x:c>
      <x:c r="BB396" s="165" t="str">
        <x:f>IF(AND(BB$5&gt;=$C396,BB$5&lt;=$D396,$A396&lt;&gt;""),"●","")</x:f>
      </x:c>
      <x:c r="BC396" s="165" t="str">
        <x:f>IF(AND(BC$5&gt;=$C396,BC$5&lt;=$D396,$A396&lt;&gt;""),"●","")</x:f>
      </x:c>
      <x:c r="BD396" s="165" t="str">
        <x:f>IF(AND(BD$5&gt;=$C396,BD$5&lt;=$D396,$A396&lt;&gt;""),"●","")</x:f>
      </x:c>
      <x:c r="BE396" s="165" t="str">
        <x:f>IF(AND(BE$5&gt;=$C396,BE$5&lt;=$D396,$A396&lt;&gt;""),"●","")</x:f>
      </x:c>
      <x:c r="BF396" s="165" t="str">
        <x:f>IF(AND(BF$5&gt;=$C396,BF$5&lt;=$D396,$A396&lt;&gt;""),"●","")</x:f>
      </x:c>
      <x:c r="BG396" s="165" t="str">
        <x:f>IF(AND(BG$5&gt;=$C396,BG$5&lt;=$D396,$A396&lt;&gt;""),"●","")</x:f>
      </x:c>
      <x:c r="BH396" s="165" t="str">
        <x:f>IF(AND(BH$5&gt;=$C396,BH$5&lt;=$D396,$A396&lt;&gt;""),"●","")</x:f>
      </x:c>
      <x:c r="BI396" s="165" t="str">
        <x:f>IF(AND(BI$5&gt;=$C396,BI$5&lt;=$D396,$A396&lt;&gt;""),"●","")</x:f>
      </x:c>
      <x:c r="BJ396" s="165" t="str">
        <x:f>IF(AND(BJ$5&gt;=$C396,BJ$5&lt;=$D396,$A396&lt;&gt;""),"●","")</x:f>
      </x:c>
      <x:c r="BK396" s="165" t="str">
        <x:f>IF(AND(BK$5&gt;=$C396,BK$5&lt;=$D396,$A396&lt;&gt;""),"●","")</x:f>
      </x:c>
      <x:c r="BL396" s="165" t="str">
        <x:f>IF(AND(BL$5&gt;=$C396,BL$5&lt;=$D396,$A396&lt;&gt;""),"●","")</x:f>
      </x:c>
      <x:c r="BM396" s="165" t="str">
        <x:f>IF(AND(BM$5&gt;=$C396,BM$5&lt;=$D396,$A396&lt;&gt;""),"●","")</x:f>
      </x:c>
      <x:c r="BN396" s="165" t="str">
        <x:f>IF(AND(BN$5&gt;=$C396,BN$5&lt;=$D396,$A396&lt;&gt;""),"●","")</x:f>
      </x:c>
      <x:c r="BO396" s="165" t="str">
        <x:f>IF(AND(BO$5&gt;=$C396,BO$5&lt;=$D396,$A396&lt;&gt;""),"●","")</x:f>
      </x:c>
      <x:c r="BP396" s="165" t="str">
        <x:f>IF(AND(BP$5&gt;=$C396,BP$5&lt;=$D396,$A396&lt;&gt;""),"●","")</x:f>
      </x:c>
      <x:c r="BQ396" s="165" t="str">
        <x:f>IF(AND(BQ$5&gt;=$C396,BQ$5&lt;=$D396,$A396&lt;&gt;""),"●","")</x:f>
      </x:c>
      <x:c r="BR396" s="165" t="str">
        <x:f>IF(AND(BR$5&gt;=$C396,BR$5&lt;=$D396,$A396&lt;&gt;""),"●","")</x:f>
      </x:c>
      <x:c r="BS396" s="165" t="str">
        <x:f>IF(AND(BS$5&gt;=$C396,BS$5&lt;=$D396,$A396&lt;&gt;""),"●","")</x:f>
      </x:c>
      <x:c r="BT396" s="165" t="str">
        <x:f>IF(AND(BT$5&gt;=$C396,BT$5&lt;=$D396,$A396&lt;&gt;""),"●","")</x:f>
      </x:c>
      <x:c r="BU396" s="165" t="str">
        <x:f>IF(AND(BU$5&gt;=$C396,BU$5&lt;=$D396,$A396&lt;&gt;""),"●","")</x:f>
      </x:c>
      <x:c r="BV396" s="165" t="str">
        <x:f>IF(AND(BV$5&gt;=$C396,BV$5&lt;=$D396,$A396&lt;&gt;""),"●","")</x:f>
      </x:c>
      <x:c r="BW396" s="165" t="str">
        <x:f>IF(AND(BW$5&gt;=$C396,BW$5&lt;=$D396,$A396&lt;&gt;""),"●","")</x:f>
      </x:c>
    </x:row>
    <x:row r="397">
      <x:c r="A397" s="159" t="str">
        <x:f>IF('รายการสัญญา'!A397="","",'รายการสัญญา'!A397)</x:f>
      </x:c>
      <x:c r="B397" s="159" t="str">
        <x:f>IF('รายการสัญญา'!A397="","",'รายการสัญญา'!C397)</x:f>
      </x:c>
      <x:c r="C397" s="162" t="str">
        <x:f>IF('รายการสัญญา'!A397="","",'รายการสัญญา'!E397)</x:f>
      </x:c>
      <x:c r="D397" s="162" t="str">
        <x:f>IF('รายการสัญญา'!A397="","",'รายการสัญญา'!G397)</x:f>
      </x:c>
      <x:c r="E397" s="159" t="str">
        <x:f>IF('รายการสัญญา'!A397="","",'รายการสัญญา'!K397)</x:f>
      </x:c>
      <x:c r="F397" s="165" t="str">
        <x:f>IF(AND(F$5&gt;=$C397,F$5&lt;=$D397,$A397&lt;&gt;""),"●","")</x:f>
      </x:c>
      <x:c r="G397" s="165" t="str">
        <x:f>IF(AND(G$5&gt;=$C397,G$5&lt;=$D397,$A397&lt;&gt;""),"●","")</x:f>
      </x:c>
      <x:c r="H397" s="165" t="str">
        <x:f>IF(AND(H$5&gt;=$C397,H$5&lt;=$D397,$A397&lt;&gt;""),"●","")</x:f>
      </x:c>
      <x:c r="I397" s="165" t="str">
        <x:f>IF(AND(I$5&gt;=$C397,I$5&lt;=$D397,$A397&lt;&gt;""),"●","")</x:f>
      </x:c>
      <x:c r="J397" s="165" t="str">
        <x:f>IF(AND(J$5&gt;=$C397,J$5&lt;=$D397,$A397&lt;&gt;""),"●","")</x:f>
      </x:c>
      <x:c r="K397" s="165" t="str">
        <x:f>IF(AND(K$5&gt;=$C397,K$5&lt;=$D397,$A397&lt;&gt;""),"●","")</x:f>
      </x:c>
      <x:c r="L397" s="165" t="str">
        <x:f>IF(AND(L$5&gt;=$C397,L$5&lt;=$D397,$A397&lt;&gt;""),"●","")</x:f>
      </x:c>
      <x:c r="M397" s="165" t="str">
        <x:f>IF(AND(M$5&gt;=$C397,M$5&lt;=$D397,$A397&lt;&gt;""),"●","")</x:f>
      </x:c>
      <x:c r="N397" s="165" t="str">
        <x:f>IF(AND(N$5&gt;=$C397,N$5&lt;=$D397,$A397&lt;&gt;""),"●","")</x:f>
      </x:c>
      <x:c r="O397" s="165" t="str">
        <x:f>IF(AND(O$5&gt;=$C397,O$5&lt;=$D397,$A397&lt;&gt;""),"●","")</x:f>
      </x:c>
      <x:c r="P397" s="165" t="str">
        <x:f>IF(AND(P$5&gt;=$C397,P$5&lt;=$D397,$A397&lt;&gt;""),"●","")</x:f>
      </x:c>
      <x:c r="Q397" s="165" t="str">
        <x:f>IF(AND(Q$5&gt;=$C397,Q$5&lt;=$D397,$A397&lt;&gt;""),"●","")</x:f>
      </x:c>
      <x:c r="R397" s="165" t="str">
        <x:f>IF(AND(R$5&gt;=$C397,R$5&lt;=$D397,$A397&lt;&gt;""),"●","")</x:f>
      </x:c>
      <x:c r="S397" s="165" t="str">
        <x:f>IF(AND(S$5&gt;=$C397,S$5&lt;=$D397,$A397&lt;&gt;""),"●","")</x:f>
      </x:c>
      <x:c r="T397" s="165" t="str">
        <x:f>IF(AND(T$5&gt;=$C397,T$5&lt;=$D397,$A397&lt;&gt;""),"●","")</x:f>
      </x:c>
      <x:c r="U397" s="165" t="str">
        <x:f>IF(AND(U$5&gt;=$C397,U$5&lt;=$D397,$A397&lt;&gt;""),"●","")</x:f>
      </x:c>
      <x:c r="V397" s="165" t="str">
        <x:f>IF(AND(V$5&gt;=$C397,V$5&lt;=$D397,$A397&lt;&gt;""),"●","")</x:f>
      </x:c>
      <x:c r="W397" s="165" t="str">
        <x:f>IF(AND(W$5&gt;=$C397,W$5&lt;=$D397,$A397&lt;&gt;""),"●","")</x:f>
      </x:c>
      <x:c r="X397" s="165" t="str">
        <x:f>IF(AND(X$5&gt;=$C397,X$5&lt;=$D397,$A397&lt;&gt;""),"●","")</x:f>
      </x:c>
      <x:c r="Y397" s="165" t="str">
        <x:f>IF(AND(Y$5&gt;=$C397,Y$5&lt;=$D397,$A397&lt;&gt;""),"●","")</x:f>
      </x:c>
      <x:c r="Z397" s="165" t="str">
        <x:f>IF(AND(Z$5&gt;=$C397,Z$5&lt;=$D397,$A397&lt;&gt;""),"●","")</x:f>
      </x:c>
      <x:c r="AA397" s="165" t="str">
        <x:f>IF(AND(AA$5&gt;=$C397,AA$5&lt;=$D397,$A397&lt;&gt;""),"●","")</x:f>
      </x:c>
      <x:c r="AB397" s="165" t="str">
        <x:f>IF(AND(AB$5&gt;=$C397,AB$5&lt;=$D397,$A397&lt;&gt;""),"●","")</x:f>
      </x:c>
      <x:c r="AC397" s="165" t="str">
        <x:f>IF(AND(AC$5&gt;=$C397,AC$5&lt;=$D397,$A397&lt;&gt;""),"●","")</x:f>
      </x:c>
      <x:c r="AD397" s="165" t="str">
        <x:f>IF(AND(AD$5&gt;=$C397,AD$5&lt;=$D397,$A397&lt;&gt;""),"●","")</x:f>
      </x:c>
      <x:c r="AE397" s="165" t="str">
        <x:f>IF(AND(AE$5&gt;=$C397,AE$5&lt;=$D397,$A397&lt;&gt;""),"●","")</x:f>
      </x:c>
      <x:c r="AF397" s="165" t="str">
        <x:f>IF(AND(AF$5&gt;=$C397,AF$5&lt;=$D397,$A397&lt;&gt;""),"●","")</x:f>
      </x:c>
      <x:c r="AG397" s="165" t="str">
        <x:f>IF(AND(AG$5&gt;=$C397,AG$5&lt;=$D397,$A397&lt;&gt;""),"●","")</x:f>
      </x:c>
      <x:c r="AH397" s="165" t="str">
        <x:f>IF(AND(AH$5&gt;=$C397,AH$5&lt;=$D397,$A397&lt;&gt;""),"●","")</x:f>
      </x:c>
      <x:c r="AI397" s="165" t="str">
        <x:f>IF(AND(AI$5&gt;=$C397,AI$5&lt;=$D397,$A397&lt;&gt;""),"●","")</x:f>
      </x:c>
      <x:c r="AJ397" s="165" t="str">
        <x:f>IF(AND(AJ$5&gt;=$C397,AJ$5&lt;=$D397,$A397&lt;&gt;""),"●","")</x:f>
      </x:c>
      <x:c r="AK397" s="165" t="str">
        <x:f>IF(AND(AK$5&gt;=$C397,AK$5&lt;=$D397,$A397&lt;&gt;""),"●","")</x:f>
      </x:c>
      <x:c r="AL397" s="165" t="str">
        <x:f>IF(AND(AL$5&gt;=$C397,AL$5&lt;=$D397,$A397&lt;&gt;""),"●","")</x:f>
      </x:c>
      <x:c r="AM397" s="165" t="str">
        <x:f>IF(AND(AM$5&gt;=$C397,AM$5&lt;=$D397,$A397&lt;&gt;""),"●","")</x:f>
      </x:c>
      <x:c r="AN397" s="165" t="str">
        <x:f>IF(AND(AN$5&gt;=$C397,AN$5&lt;=$D397,$A397&lt;&gt;""),"●","")</x:f>
      </x:c>
      <x:c r="AO397" s="165" t="str">
        <x:f>IF(AND(AO$5&gt;=$C397,AO$5&lt;=$D397,$A397&lt;&gt;""),"●","")</x:f>
      </x:c>
      <x:c r="AP397" s="165" t="str">
        <x:f>IF(AND(AP$5&gt;=$C397,AP$5&lt;=$D397,$A397&lt;&gt;""),"●","")</x:f>
      </x:c>
      <x:c r="AQ397" s="165" t="str">
        <x:f>IF(AND(AQ$5&gt;=$C397,AQ$5&lt;=$D397,$A397&lt;&gt;""),"●","")</x:f>
      </x:c>
      <x:c r="AR397" s="165" t="str">
        <x:f>IF(AND(AR$5&gt;=$C397,AR$5&lt;=$D397,$A397&lt;&gt;""),"●","")</x:f>
      </x:c>
      <x:c r="AS397" s="165" t="str">
        <x:f>IF(AND(AS$5&gt;=$C397,AS$5&lt;=$D397,$A397&lt;&gt;""),"●","")</x:f>
      </x:c>
      <x:c r="AT397" s="165" t="str">
        <x:f>IF(AND(AT$5&gt;=$C397,AT$5&lt;=$D397,$A397&lt;&gt;""),"●","")</x:f>
      </x:c>
      <x:c r="AU397" s="165" t="str">
        <x:f>IF(AND(AU$5&gt;=$C397,AU$5&lt;=$D397,$A397&lt;&gt;""),"●","")</x:f>
      </x:c>
      <x:c r="AV397" s="165" t="str">
        <x:f>IF(AND(AV$5&gt;=$C397,AV$5&lt;=$D397,$A397&lt;&gt;""),"●","")</x:f>
      </x:c>
      <x:c r="AW397" s="165" t="str">
        <x:f>IF(AND(AW$5&gt;=$C397,AW$5&lt;=$D397,$A397&lt;&gt;""),"●","")</x:f>
      </x:c>
      <x:c r="AX397" s="165" t="str">
        <x:f>IF(AND(AX$5&gt;=$C397,AX$5&lt;=$D397,$A397&lt;&gt;""),"●","")</x:f>
      </x:c>
      <x:c r="AY397" s="165" t="str">
        <x:f>IF(AND(AY$5&gt;=$C397,AY$5&lt;=$D397,$A397&lt;&gt;""),"●","")</x:f>
      </x:c>
      <x:c r="AZ397" s="165" t="str">
        <x:f>IF(AND(AZ$5&gt;=$C397,AZ$5&lt;=$D397,$A397&lt;&gt;""),"●","")</x:f>
      </x:c>
      <x:c r="BA397" s="165" t="str">
        <x:f>IF(AND(BA$5&gt;=$C397,BA$5&lt;=$D397,$A397&lt;&gt;""),"●","")</x:f>
      </x:c>
      <x:c r="BB397" s="165" t="str">
        <x:f>IF(AND(BB$5&gt;=$C397,BB$5&lt;=$D397,$A397&lt;&gt;""),"●","")</x:f>
      </x:c>
      <x:c r="BC397" s="165" t="str">
        <x:f>IF(AND(BC$5&gt;=$C397,BC$5&lt;=$D397,$A397&lt;&gt;""),"●","")</x:f>
      </x:c>
      <x:c r="BD397" s="165" t="str">
        <x:f>IF(AND(BD$5&gt;=$C397,BD$5&lt;=$D397,$A397&lt;&gt;""),"●","")</x:f>
      </x:c>
      <x:c r="BE397" s="165" t="str">
        <x:f>IF(AND(BE$5&gt;=$C397,BE$5&lt;=$D397,$A397&lt;&gt;""),"●","")</x:f>
      </x:c>
      <x:c r="BF397" s="165" t="str">
        <x:f>IF(AND(BF$5&gt;=$C397,BF$5&lt;=$D397,$A397&lt;&gt;""),"●","")</x:f>
      </x:c>
      <x:c r="BG397" s="165" t="str">
        <x:f>IF(AND(BG$5&gt;=$C397,BG$5&lt;=$D397,$A397&lt;&gt;""),"●","")</x:f>
      </x:c>
      <x:c r="BH397" s="165" t="str">
        <x:f>IF(AND(BH$5&gt;=$C397,BH$5&lt;=$D397,$A397&lt;&gt;""),"●","")</x:f>
      </x:c>
      <x:c r="BI397" s="165" t="str">
        <x:f>IF(AND(BI$5&gt;=$C397,BI$5&lt;=$D397,$A397&lt;&gt;""),"●","")</x:f>
      </x:c>
      <x:c r="BJ397" s="165" t="str">
        <x:f>IF(AND(BJ$5&gt;=$C397,BJ$5&lt;=$D397,$A397&lt;&gt;""),"●","")</x:f>
      </x:c>
      <x:c r="BK397" s="165" t="str">
        <x:f>IF(AND(BK$5&gt;=$C397,BK$5&lt;=$D397,$A397&lt;&gt;""),"●","")</x:f>
      </x:c>
      <x:c r="BL397" s="165" t="str">
        <x:f>IF(AND(BL$5&gt;=$C397,BL$5&lt;=$D397,$A397&lt;&gt;""),"●","")</x:f>
      </x:c>
      <x:c r="BM397" s="165" t="str">
        <x:f>IF(AND(BM$5&gt;=$C397,BM$5&lt;=$D397,$A397&lt;&gt;""),"●","")</x:f>
      </x:c>
      <x:c r="BN397" s="165" t="str">
        <x:f>IF(AND(BN$5&gt;=$C397,BN$5&lt;=$D397,$A397&lt;&gt;""),"●","")</x:f>
      </x:c>
      <x:c r="BO397" s="165" t="str">
        <x:f>IF(AND(BO$5&gt;=$C397,BO$5&lt;=$D397,$A397&lt;&gt;""),"●","")</x:f>
      </x:c>
      <x:c r="BP397" s="165" t="str">
        <x:f>IF(AND(BP$5&gt;=$C397,BP$5&lt;=$D397,$A397&lt;&gt;""),"●","")</x:f>
      </x:c>
      <x:c r="BQ397" s="165" t="str">
        <x:f>IF(AND(BQ$5&gt;=$C397,BQ$5&lt;=$D397,$A397&lt;&gt;""),"●","")</x:f>
      </x:c>
      <x:c r="BR397" s="165" t="str">
        <x:f>IF(AND(BR$5&gt;=$C397,BR$5&lt;=$D397,$A397&lt;&gt;""),"●","")</x:f>
      </x:c>
      <x:c r="BS397" s="165" t="str">
        <x:f>IF(AND(BS$5&gt;=$C397,BS$5&lt;=$D397,$A397&lt;&gt;""),"●","")</x:f>
      </x:c>
      <x:c r="BT397" s="165" t="str">
        <x:f>IF(AND(BT$5&gt;=$C397,BT$5&lt;=$D397,$A397&lt;&gt;""),"●","")</x:f>
      </x:c>
      <x:c r="BU397" s="165" t="str">
        <x:f>IF(AND(BU$5&gt;=$C397,BU$5&lt;=$D397,$A397&lt;&gt;""),"●","")</x:f>
      </x:c>
      <x:c r="BV397" s="165" t="str">
        <x:f>IF(AND(BV$5&gt;=$C397,BV$5&lt;=$D397,$A397&lt;&gt;""),"●","")</x:f>
      </x:c>
      <x:c r="BW397" s="165" t="str">
        <x:f>IF(AND(BW$5&gt;=$C397,BW$5&lt;=$D397,$A397&lt;&gt;""),"●","")</x:f>
      </x:c>
    </x:row>
    <x:row r="398">
      <x:c r="A398" s="159" t="str">
        <x:f>IF('รายการสัญญา'!A398="","",'รายการสัญญา'!A398)</x:f>
      </x:c>
      <x:c r="B398" s="159" t="str">
        <x:f>IF('รายการสัญญา'!A398="","",'รายการสัญญา'!C398)</x:f>
      </x:c>
      <x:c r="C398" s="162" t="str">
        <x:f>IF('รายการสัญญา'!A398="","",'รายการสัญญา'!E398)</x:f>
      </x:c>
      <x:c r="D398" s="162" t="str">
        <x:f>IF('รายการสัญญา'!A398="","",'รายการสัญญา'!G398)</x:f>
      </x:c>
      <x:c r="E398" s="159" t="str">
        <x:f>IF('รายการสัญญา'!A398="","",'รายการสัญญา'!K398)</x:f>
      </x:c>
      <x:c r="F398" s="165" t="str">
        <x:f>IF(AND(F$5&gt;=$C398,F$5&lt;=$D398,$A398&lt;&gt;""),"●","")</x:f>
      </x:c>
      <x:c r="G398" s="165" t="str">
        <x:f>IF(AND(G$5&gt;=$C398,G$5&lt;=$D398,$A398&lt;&gt;""),"●","")</x:f>
      </x:c>
      <x:c r="H398" s="165" t="str">
        <x:f>IF(AND(H$5&gt;=$C398,H$5&lt;=$D398,$A398&lt;&gt;""),"●","")</x:f>
      </x:c>
      <x:c r="I398" s="165" t="str">
        <x:f>IF(AND(I$5&gt;=$C398,I$5&lt;=$D398,$A398&lt;&gt;""),"●","")</x:f>
      </x:c>
      <x:c r="J398" s="165" t="str">
        <x:f>IF(AND(J$5&gt;=$C398,J$5&lt;=$D398,$A398&lt;&gt;""),"●","")</x:f>
      </x:c>
      <x:c r="K398" s="165" t="str">
        <x:f>IF(AND(K$5&gt;=$C398,K$5&lt;=$D398,$A398&lt;&gt;""),"●","")</x:f>
      </x:c>
      <x:c r="L398" s="165" t="str">
        <x:f>IF(AND(L$5&gt;=$C398,L$5&lt;=$D398,$A398&lt;&gt;""),"●","")</x:f>
      </x:c>
      <x:c r="M398" s="165" t="str">
        <x:f>IF(AND(M$5&gt;=$C398,M$5&lt;=$D398,$A398&lt;&gt;""),"●","")</x:f>
      </x:c>
      <x:c r="N398" s="165" t="str">
        <x:f>IF(AND(N$5&gt;=$C398,N$5&lt;=$D398,$A398&lt;&gt;""),"●","")</x:f>
      </x:c>
      <x:c r="O398" s="165" t="str">
        <x:f>IF(AND(O$5&gt;=$C398,O$5&lt;=$D398,$A398&lt;&gt;""),"●","")</x:f>
      </x:c>
      <x:c r="P398" s="165" t="str">
        <x:f>IF(AND(P$5&gt;=$C398,P$5&lt;=$D398,$A398&lt;&gt;""),"●","")</x:f>
      </x:c>
      <x:c r="Q398" s="165" t="str">
        <x:f>IF(AND(Q$5&gt;=$C398,Q$5&lt;=$D398,$A398&lt;&gt;""),"●","")</x:f>
      </x:c>
      <x:c r="R398" s="165" t="str">
        <x:f>IF(AND(R$5&gt;=$C398,R$5&lt;=$D398,$A398&lt;&gt;""),"●","")</x:f>
      </x:c>
      <x:c r="S398" s="165" t="str">
        <x:f>IF(AND(S$5&gt;=$C398,S$5&lt;=$D398,$A398&lt;&gt;""),"●","")</x:f>
      </x:c>
      <x:c r="T398" s="165" t="str">
        <x:f>IF(AND(T$5&gt;=$C398,T$5&lt;=$D398,$A398&lt;&gt;""),"●","")</x:f>
      </x:c>
      <x:c r="U398" s="165" t="str">
        <x:f>IF(AND(U$5&gt;=$C398,U$5&lt;=$D398,$A398&lt;&gt;""),"●","")</x:f>
      </x:c>
      <x:c r="V398" s="165" t="str">
        <x:f>IF(AND(V$5&gt;=$C398,V$5&lt;=$D398,$A398&lt;&gt;""),"●","")</x:f>
      </x:c>
      <x:c r="W398" s="165" t="str">
        <x:f>IF(AND(W$5&gt;=$C398,W$5&lt;=$D398,$A398&lt;&gt;""),"●","")</x:f>
      </x:c>
      <x:c r="X398" s="165" t="str">
        <x:f>IF(AND(X$5&gt;=$C398,X$5&lt;=$D398,$A398&lt;&gt;""),"●","")</x:f>
      </x:c>
      <x:c r="Y398" s="165" t="str">
        <x:f>IF(AND(Y$5&gt;=$C398,Y$5&lt;=$D398,$A398&lt;&gt;""),"●","")</x:f>
      </x:c>
      <x:c r="Z398" s="165" t="str">
        <x:f>IF(AND(Z$5&gt;=$C398,Z$5&lt;=$D398,$A398&lt;&gt;""),"●","")</x:f>
      </x:c>
      <x:c r="AA398" s="165" t="str">
        <x:f>IF(AND(AA$5&gt;=$C398,AA$5&lt;=$D398,$A398&lt;&gt;""),"●","")</x:f>
      </x:c>
      <x:c r="AB398" s="165" t="str">
        <x:f>IF(AND(AB$5&gt;=$C398,AB$5&lt;=$D398,$A398&lt;&gt;""),"●","")</x:f>
      </x:c>
      <x:c r="AC398" s="165" t="str">
        <x:f>IF(AND(AC$5&gt;=$C398,AC$5&lt;=$D398,$A398&lt;&gt;""),"●","")</x:f>
      </x:c>
      <x:c r="AD398" s="165" t="str">
        <x:f>IF(AND(AD$5&gt;=$C398,AD$5&lt;=$D398,$A398&lt;&gt;""),"●","")</x:f>
      </x:c>
      <x:c r="AE398" s="165" t="str">
        <x:f>IF(AND(AE$5&gt;=$C398,AE$5&lt;=$D398,$A398&lt;&gt;""),"●","")</x:f>
      </x:c>
      <x:c r="AF398" s="165" t="str">
        <x:f>IF(AND(AF$5&gt;=$C398,AF$5&lt;=$D398,$A398&lt;&gt;""),"●","")</x:f>
      </x:c>
      <x:c r="AG398" s="165" t="str">
        <x:f>IF(AND(AG$5&gt;=$C398,AG$5&lt;=$D398,$A398&lt;&gt;""),"●","")</x:f>
      </x:c>
      <x:c r="AH398" s="165" t="str">
        <x:f>IF(AND(AH$5&gt;=$C398,AH$5&lt;=$D398,$A398&lt;&gt;""),"●","")</x:f>
      </x:c>
      <x:c r="AI398" s="165" t="str">
        <x:f>IF(AND(AI$5&gt;=$C398,AI$5&lt;=$D398,$A398&lt;&gt;""),"●","")</x:f>
      </x:c>
      <x:c r="AJ398" s="165" t="str">
        <x:f>IF(AND(AJ$5&gt;=$C398,AJ$5&lt;=$D398,$A398&lt;&gt;""),"●","")</x:f>
      </x:c>
      <x:c r="AK398" s="165" t="str">
        <x:f>IF(AND(AK$5&gt;=$C398,AK$5&lt;=$D398,$A398&lt;&gt;""),"●","")</x:f>
      </x:c>
      <x:c r="AL398" s="165" t="str">
        <x:f>IF(AND(AL$5&gt;=$C398,AL$5&lt;=$D398,$A398&lt;&gt;""),"●","")</x:f>
      </x:c>
      <x:c r="AM398" s="165" t="str">
        <x:f>IF(AND(AM$5&gt;=$C398,AM$5&lt;=$D398,$A398&lt;&gt;""),"●","")</x:f>
      </x:c>
      <x:c r="AN398" s="165" t="str">
        <x:f>IF(AND(AN$5&gt;=$C398,AN$5&lt;=$D398,$A398&lt;&gt;""),"●","")</x:f>
      </x:c>
      <x:c r="AO398" s="165" t="str">
        <x:f>IF(AND(AO$5&gt;=$C398,AO$5&lt;=$D398,$A398&lt;&gt;""),"●","")</x:f>
      </x:c>
      <x:c r="AP398" s="165" t="str">
        <x:f>IF(AND(AP$5&gt;=$C398,AP$5&lt;=$D398,$A398&lt;&gt;""),"●","")</x:f>
      </x:c>
      <x:c r="AQ398" s="165" t="str">
        <x:f>IF(AND(AQ$5&gt;=$C398,AQ$5&lt;=$D398,$A398&lt;&gt;""),"●","")</x:f>
      </x:c>
      <x:c r="AR398" s="165" t="str">
        <x:f>IF(AND(AR$5&gt;=$C398,AR$5&lt;=$D398,$A398&lt;&gt;""),"●","")</x:f>
      </x:c>
      <x:c r="AS398" s="165" t="str">
        <x:f>IF(AND(AS$5&gt;=$C398,AS$5&lt;=$D398,$A398&lt;&gt;""),"●","")</x:f>
      </x:c>
      <x:c r="AT398" s="165" t="str">
        <x:f>IF(AND(AT$5&gt;=$C398,AT$5&lt;=$D398,$A398&lt;&gt;""),"●","")</x:f>
      </x:c>
      <x:c r="AU398" s="165" t="str">
        <x:f>IF(AND(AU$5&gt;=$C398,AU$5&lt;=$D398,$A398&lt;&gt;""),"●","")</x:f>
      </x:c>
      <x:c r="AV398" s="165" t="str">
        <x:f>IF(AND(AV$5&gt;=$C398,AV$5&lt;=$D398,$A398&lt;&gt;""),"●","")</x:f>
      </x:c>
      <x:c r="AW398" s="165" t="str">
        <x:f>IF(AND(AW$5&gt;=$C398,AW$5&lt;=$D398,$A398&lt;&gt;""),"●","")</x:f>
      </x:c>
      <x:c r="AX398" s="165" t="str">
        <x:f>IF(AND(AX$5&gt;=$C398,AX$5&lt;=$D398,$A398&lt;&gt;""),"●","")</x:f>
      </x:c>
      <x:c r="AY398" s="165" t="str">
        <x:f>IF(AND(AY$5&gt;=$C398,AY$5&lt;=$D398,$A398&lt;&gt;""),"●","")</x:f>
      </x:c>
      <x:c r="AZ398" s="165" t="str">
        <x:f>IF(AND(AZ$5&gt;=$C398,AZ$5&lt;=$D398,$A398&lt;&gt;""),"●","")</x:f>
      </x:c>
      <x:c r="BA398" s="165" t="str">
        <x:f>IF(AND(BA$5&gt;=$C398,BA$5&lt;=$D398,$A398&lt;&gt;""),"●","")</x:f>
      </x:c>
      <x:c r="BB398" s="165" t="str">
        <x:f>IF(AND(BB$5&gt;=$C398,BB$5&lt;=$D398,$A398&lt;&gt;""),"●","")</x:f>
      </x:c>
      <x:c r="BC398" s="165" t="str">
        <x:f>IF(AND(BC$5&gt;=$C398,BC$5&lt;=$D398,$A398&lt;&gt;""),"●","")</x:f>
      </x:c>
      <x:c r="BD398" s="165" t="str">
        <x:f>IF(AND(BD$5&gt;=$C398,BD$5&lt;=$D398,$A398&lt;&gt;""),"●","")</x:f>
      </x:c>
      <x:c r="BE398" s="165" t="str">
        <x:f>IF(AND(BE$5&gt;=$C398,BE$5&lt;=$D398,$A398&lt;&gt;""),"●","")</x:f>
      </x:c>
      <x:c r="BF398" s="165" t="str">
        <x:f>IF(AND(BF$5&gt;=$C398,BF$5&lt;=$D398,$A398&lt;&gt;""),"●","")</x:f>
      </x:c>
      <x:c r="BG398" s="165" t="str">
        <x:f>IF(AND(BG$5&gt;=$C398,BG$5&lt;=$D398,$A398&lt;&gt;""),"●","")</x:f>
      </x:c>
      <x:c r="BH398" s="165" t="str">
        <x:f>IF(AND(BH$5&gt;=$C398,BH$5&lt;=$D398,$A398&lt;&gt;""),"●","")</x:f>
      </x:c>
      <x:c r="BI398" s="165" t="str">
        <x:f>IF(AND(BI$5&gt;=$C398,BI$5&lt;=$D398,$A398&lt;&gt;""),"●","")</x:f>
      </x:c>
      <x:c r="BJ398" s="165" t="str">
        <x:f>IF(AND(BJ$5&gt;=$C398,BJ$5&lt;=$D398,$A398&lt;&gt;""),"●","")</x:f>
      </x:c>
      <x:c r="BK398" s="165" t="str">
        <x:f>IF(AND(BK$5&gt;=$C398,BK$5&lt;=$D398,$A398&lt;&gt;""),"●","")</x:f>
      </x:c>
      <x:c r="BL398" s="165" t="str">
        <x:f>IF(AND(BL$5&gt;=$C398,BL$5&lt;=$D398,$A398&lt;&gt;""),"●","")</x:f>
      </x:c>
      <x:c r="BM398" s="165" t="str">
        <x:f>IF(AND(BM$5&gt;=$C398,BM$5&lt;=$D398,$A398&lt;&gt;""),"●","")</x:f>
      </x:c>
      <x:c r="BN398" s="165" t="str">
        <x:f>IF(AND(BN$5&gt;=$C398,BN$5&lt;=$D398,$A398&lt;&gt;""),"●","")</x:f>
      </x:c>
      <x:c r="BO398" s="165" t="str">
        <x:f>IF(AND(BO$5&gt;=$C398,BO$5&lt;=$D398,$A398&lt;&gt;""),"●","")</x:f>
      </x:c>
      <x:c r="BP398" s="165" t="str">
        <x:f>IF(AND(BP$5&gt;=$C398,BP$5&lt;=$D398,$A398&lt;&gt;""),"●","")</x:f>
      </x:c>
      <x:c r="BQ398" s="165" t="str">
        <x:f>IF(AND(BQ$5&gt;=$C398,BQ$5&lt;=$D398,$A398&lt;&gt;""),"●","")</x:f>
      </x:c>
      <x:c r="BR398" s="165" t="str">
        <x:f>IF(AND(BR$5&gt;=$C398,BR$5&lt;=$D398,$A398&lt;&gt;""),"●","")</x:f>
      </x:c>
      <x:c r="BS398" s="165" t="str">
        <x:f>IF(AND(BS$5&gt;=$C398,BS$5&lt;=$D398,$A398&lt;&gt;""),"●","")</x:f>
      </x:c>
      <x:c r="BT398" s="165" t="str">
        <x:f>IF(AND(BT$5&gt;=$C398,BT$5&lt;=$D398,$A398&lt;&gt;""),"●","")</x:f>
      </x:c>
      <x:c r="BU398" s="165" t="str">
        <x:f>IF(AND(BU$5&gt;=$C398,BU$5&lt;=$D398,$A398&lt;&gt;""),"●","")</x:f>
      </x:c>
      <x:c r="BV398" s="165" t="str">
        <x:f>IF(AND(BV$5&gt;=$C398,BV$5&lt;=$D398,$A398&lt;&gt;""),"●","")</x:f>
      </x:c>
      <x:c r="BW398" s="165" t="str">
        <x:f>IF(AND(BW$5&gt;=$C398,BW$5&lt;=$D398,$A398&lt;&gt;""),"●","")</x:f>
      </x:c>
    </x:row>
    <x:row r="399">
      <x:c r="A399" s="159" t="str">
        <x:f>IF('รายการสัญญา'!A399="","",'รายการสัญญา'!A399)</x:f>
      </x:c>
      <x:c r="B399" s="159" t="str">
        <x:f>IF('รายการสัญญา'!A399="","",'รายการสัญญา'!C399)</x:f>
      </x:c>
      <x:c r="C399" s="162" t="str">
        <x:f>IF('รายการสัญญา'!A399="","",'รายการสัญญา'!E399)</x:f>
      </x:c>
      <x:c r="D399" s="162" t="str">
        <x:f>IF('รายการสัญญา'!A399="","",'รายการสัญญา'!G399)</x:f>
      </x:c>
      <x:c r="E399" s="159" t="str">
        <x:f>IF('รายการสัญญา'!A399="","",'รายการสัญญา'!K399)</x:f>
      </x:c>
      <x:c r="F399" s="165" t="str">
        <x:f>IF(AND(F$5&gt;=$C399,F$5&lt;=$D399,$A399&lt;&gt;""),"●","")</x:f>
      </x:c>
      <x:c r="G399" s="165" t="str">
        <x:f>IF(AND(G$5&gt;=$C399,G$5&lt;=$D399,$A399&lt;&gt;""),"●","")</x:f>
      </x:c>
      <x:c r="H399" s="165" t="str">
        <x:f>IF(AND(H$5&gt;=$C399,H$5&lt;=$D399,$A399&lt;&gt;""),"●","")</x:f>
      </x:c>
      <x:c r="I399" s="165" t="str">
        <x:f>IF(AND(I$5&gt;=$C399,I$5&lt;=$D399,$A399&lt;&gt;""),"●","")</x:f>
      </x:c>
      <x:c r="J399" s="165" t="str">
        <x:f>IF(AND(J$5&gt;=$C399,J$5&lt;=$D399,$A399&lt;&gt;""),"●","")</x:f>
      </x:c>
      <x:c r="K399" s="165" t="str">
        <x:f>IF(AND(K$5&gt;=$C399,K$5&lt;=$D399,$A399&lt;&gt;""),"●","")</x:f>
      </x:c>
      <x:c r="L399" s="165" t="str">
        <x:f>IF(AND(L$5&gt;=$C399,L$5&lt;=$D399,$A399&lt;&gt;""),"●","")</x:f>
      </x:c>
      <x:c r="M399" s="165" t="str">
        <x:f>IF(AND(M$5&gt;=$C399,M$5&lt;=$D399,$A399&lt;&gt;""),"●","")</x:f>
      </x:c>
      <x:c r="N399" s="165" t="str">
        <x:f>IF(AND(N$5&gt;=$C399,N$5&lt;=$D399,$A399&lt;&gt;""),"●","")</x:f>
      </x:c>
      <x:c r="O399" s="165" t="str">
        <x:f>IF(AND(O$5&gt;=$C399,O$5&lt;=$D399,$A399&lt;&gt;""),"●","")</x:f>
      </x:c>
      <x:c r="P399" s="165" t="str">
        <x:f>IF(AND(P$5&gt;=$C399,P$5&lt;=$D399,$A399&lt;&gt;""),"●","")</x:f>
      </x:c>
      <x:c r="Q399" s="165" t="str">
        <x:f>IF(AND(Q$5&gt;=$C399,Q$5&lt;=$D399,$A399&lt;&gt;""),"●","")</x:f>
      </x:c>
      <x:c r="R399" s="165" t="str">
        <x:f>IF(AND(R$5&gt;=$C399,R$5&lt;=$D399,$A399&lt;&gt;""),"●","")</x:f>
      </x:c>
      <x:c r="S399" s="165" t="str">
        <x:f>IF(AND(S$5&gt;=$C399,S$5&lt;=$D399,$A399&lt;&gt;""),"●","")</x:f>
      </x:c>
      <x:c r="T399" s="165" t="str">
        <x:f>IF(AND(T$5&gt;=$C399,T$5&lt;=$D399,$A399&lt;&gt;""),"●","")</x:f>
      </x:c>
      <x:c r="U399" s="165" t="str">
        <x:f>IF(AND(U$5&gt;=$C399,U$5&lt;=$D399,$A399&lt;&gt;""),"●","")</x:f>
      </x:c>
      <x:c r="V399" s="165" t="str">
        <x:f>IF(AND(V$5&gt;=$C399,V$5&lt;=$D399,$A399&lt;&gt;""),"●","")</x:f>
      </x:c>
      <x:c r="W399" s="165" t="str">
        <x:f>IF(AND(W$5&gt;=$C399,W$5&lt;=$D399,$A399&lt;&gt;""),"●","")</x:f>
      </x:c>
      <x:c r="X399" s="165" t="str">
        <x:f>IF(AND(X$5&gt;=$C399,X$5&lt;=$D399,$A399&lt;&gt;""),"●","")</x:f>
      </x:c>
      <x:c r="Y399" s="165" t="str">
        <x:f>IF(AND(Y$5&gt;=$C399,Y$5&lt;=$D399,$A399&lt;&gt;""),"●","")</x:f>
      </x:c>
      <x:c r="Z399" s="165" t="str">
        <x:f>IF(AND(Z$5&gt;=$C399,Z$5&lt;=$D399,$A399&lt;&gt;""),"●","")</x:f>
      </x:c>
      <x:c r="AA399" s="165" t="str">
        <x:f>IF(AND(AA$5&gt;=$C399,AA$5&lt;=$D399,$A399&lt;&gt;""),"●","")</x:f>
      </x:c>
      <x:c r="AB399" s="165" t="str">
        <x:f>IF(AND(AB$5&gt;=$C399,AB$5&lt;=$D399,$A399&lt;&gt;""),"●","")</x:f>
      </x:c>
      <x:c r="AC399" s="165" t="str">
        <x:f>IF(AND(AC$5&gt;=$C399,AC$5&lt;=$D399,$A399&lt;&gt;""),"●","")</x:f>
      </x:c>
      <x:c r="AD399" s="165" t="str">
        <x:f>IF(AND(AD$5&gt;=$C399,AD$5&lt;=$D399,$A399&lt;&gt;""),"●","")</x:f>
      </x:c>
      <x:c r="AE399" s="165" t="str">
        <x:f>IF(AND(AE$5&gt;=$C399,AE$5&lt;=$D399,$A399&lt;&gt;""),"●","")</x:f>
      </x:c>
      <x:c r="AF399" s="165" t="str">
        <x:f>IF(AND(AF$5&gt;=$C399,AF$5&lt;=$D399,$A399&lt;&gt;""),"●","")</x:f>
      </x:c>
      <x:c r="AG399" s="165" t="str">
        <x:f>IF(AND(AG$5&gt;=$C399,AG$5&lt;=$D399,$A399&lt;&gt;""),"●","")</x:f>
      </x:c>
      <x:c r="AH399" s="165" t="str">
        <x:f>IF(AND(AH$5&gt;=$C399,AH$5&lt;=$D399,$A399&lt;&gt;""),"●","")</x:f>
      </x:c>
      <x:c r="AI399" s="165" t="str">
        <x:f>IF(AND(AI$5&gt;=$C399,AI$5&lt;=$D399,$A399&lt;&gt;""),"●","")</x:f>
      </x:c>
      <x:c r="AJ399" s="165" t="str">
        <x:f>IF(AND(AJ$5&gt;=$C399,AJ$5&lt;=$D399,$A399&lt;&gt;""),"●","")</x:f>
      </x:c>
      <x:c r="AK399" s="165" t="str">
        <x:f>IF(AND(AK$5&gt;=$C399,AK$5&lt;=$D399,$A399&lt;&gt;""),"●","")</x:f>
      </x:c>
      <x:c r="AL399" s="165" t="str">
        <x:f>IF(AND(AL$5&gt;=$C399,AL$5&lt;=$D399,$A399&lt;&gt;""),"●","")</x:f>
      </x:c>
      <x:c r="AM399" s="165" t="str">
        <x:f>IF(AND(AM$5&gt;=$C399,AM$5&lt;=$D399,$A399&lt;&gt;""),"●","")</x:f>
      </x:c>
      <x:c r="AN399" s="165" t="str">
        <x:f>IF(AND(AN$5&gt;=$C399,AN$5&lt;=$D399,$A399&lt;&gt;""),"●","")</x:f>
      </x:c>
      <x:c r="AO399" s="165" t="str">
        <x:f>IF(AND(AO$5&gt;=$C399,AO$5&lt;=$D399,$A399&lt;&gt;""),"●","")</x:f>
      </x:c>
      <x:c r="AP399" s="165" t="str">
        <x:f>IF(AND(AP$5&gt;=$C399,AP$5&lt;=$D399,$A399&lt;&gt;""),"●","")</x:f>
      </x:c>
      <x:c r="AQ399" s="165" t="str">
        <x:f>IF(AND(AQ$5&gt;=$C399,AQ$5&lt;=$D399,$A399&lt;&gt;""),"●","")</x:f>
      </x:c>
      <x:c r="AR399" s="165" t="str">
        <x:f>IF(AND(AR$5&gt;=$C399,AR$5&lt;=$D399,$A399&lt;&gt;""),"●","")</x:f>
      </x:c>
      <x:c r="AS399" s="165" t="str">
        <x:f>IF(AND(AS$5&gt;=$C399,AS$5&lt;=$D399,$A399&lt;&gt;""),"●","")</x:f>
      </x:c>
      <x:c r="AT399" s="165" t="str">
        <x:f>IF(AND(AT$5&gt;=$C399,AT$5&lt;=$D399,$A399&lt;&gt;""),"●","")</x:f>
      </x:c>
      <x:c r="AU399" s="165" t="str">
        <x:f>IF(AND(AU$5&gt;=$C399,AU$5&lt;=$D399,$A399&lt;&gt;""),"●","")</x:f>
      </x:c>
      <x:c r="AV399" s="165" t="str">
        <x:f>IF(AND(AV$5&gt;=$C399,AV$5&lt;=$D399,$A399&lt;&gt;""),"●","")</x:f>
      </x:c>
      <x:c r="AW399" s="165" t="str">
        <x:f>IF(AND(AW$5&gt;=$C399,AW$5&lt;=$D399,$A399&lt;&gt;""),"●","")</x:f>
      </x:c>
      <x:c r="AX399" s="165" t="str">
        <x:f>IF(AND(AX$5&gt;=$C399,AX$5&lt;=$D399,$A399&lt;&gt;""),"●","")</x:f>
      </x:c>
      <x:c r="AY399" s="165" t="str">
        <x:f>IF(AND(AY$5&gt;=$C399,AY$5&lt;=$D399,$A399&lt;&gt;""),"●","")</x:f>
      </x:c>
      <x:c r="AZ399" s="165" t="str">
        <x:f>IF(AND(AZ$5&gt;=$C399,AZ$5&lt;=$D399,$A399&lt;&gt;""),"●","")</x:f>
      </x:c>
      <x:c r="BA399" s="165" t="str">
        <x:f>IF(AND(BA$5&gt;=$C399,BA$5&lt;=$D399,$A399&lt;&gt;""),"●","")</x:f>
      </x:c>
      <x:c r="BB399" s="165" t="str">
        <x:f>IF(AND(BB$5&gt;=$C399,BB$5&lt;=$D399,$A399&lt;&gt;""),"●","")</x:f>
      </x:c>
      <x:c r="BC399" s="165" t="str">
        <x:f>IF(AND(BC$5&gt;=$C399,BC$5&lt;=$D399,$A399&lt;&gt;""),"●","")</x:f>
      </x:c>
      <x:c r="BD399" s="165" t="str">
        <x:f>IF(AND(BD$5&gt;=$C399,BD$5&lt;=$D399,$A399&lt;&gt;""),"●","")</x:f>
      </x:c>
      <x:c r="BE399" s="165" t="str">
        <x:f>IF(AND(BE$5&gt;=$C399,BE$5&lt;=$D399,$A399&lt;&gt;""),"●","")</x:f>
      </x:c>
      <x:c r="BF399" s="165" t="str">
        <x:f>IF(AND(BF$5&gt;=$C399,BF$5&lt;=$D399,$A399&lt;&gt;""),"●","")</x:f>
      </x:c>
      <x:c r="BG399" s="165" t="str">
        <x:f>IF(AND(BG$5&gt;=$C399,BG$5&lt;=$D399,$A399&lt;&gt;""),"●","")</x:f>
      </x:c>
      <x:c r="BH399" s="165" t="str">
        <x:f>IF(AND(BH$5&gt;=$C399,BH$5&lt;=$D399,$A399&lt;&gt;""),"●","")</x:f>
      </x:c>
      <x:c r="BI399" s="165" t="str">
        <x:f>IF(AND(BI$5&gt;=$C399,BI$5&lt;=$D399,$A399&lt;&gt;""),"●","")</x:f>
      </x:c>
      <x:c r="BJ399" s="165" t="str">
        <x:f>IF(AND(BJ$5&gt;=$C399,BJ$5&lt;=$D399,$A399&lt;&gt;""),"●","")</x:f>
      </x:c>
      <x:c r="BK399" s="165" t="str">
        <x:f>IF(AND(BK$5&gt;=$C399,BK$5&lt;=$D399,$A399&lt;&gt;""),"●","")</x:f>
      </x:c>
      <x:c r="BL399" s="165" t="str">
        <x:f>IF(AND(BL$5&gt;=$C399,BL$5&lt;=$D399,$A399&lt;&gt;""),"●","")</x:f>
      </x:c>
      <x:c r="BM399" s="165" t="str">
        <x:f>IF(AND(BM$5&gt;=$C399,BM$5&lt;=$D399,$A399&lt;&gt;""),"●","")</x:f>
      </x:c>
      <x:c r="BN399" s="165" t="str">
        <x:f>IF(AND(BN$5&gt;=$C399,BN$5&lt;=$D399,$A399&lt;&gt;""),"●","")</x:f>
      </x:c>
      <x:c r="BO399" s="165" t="str">
        <x:f>IF(AND(BO$5&gt;=$C399,BO$5&lt;=$D399,$A399&lt;&gt;""),"●","")</x:f>
      </x:c>
      <x:c r="BP399" s="165" t="str">
        <x:f>IF(AND(BP$5&gt;=$C399,BP$5&lt;=$D399,$A399&lt;&gt;""),"●","")</x:f>
      </x:c>
      <x:c r="BQ399" s="165" t="str">
        <x:f>IF(AND(BQ$5&gt;=$C399,BQ$5&lt;=$D399,$A399&lt;&gt;""),"●","")</x:f>
      </x:c>
      <x:c r="BR399" s="165" t="str">
        <x:f>IF(AND(BR$5&gt;=$C399,BR$5&lt;=$D399,$A399&lt;&gt;""),"●","")</x:f>
      </x:c>
      <x:c r="BS399" s="165" t="str">
        <x:f>IF(AND(BS$5&gt;=$C399,BS$5&lt;=$D399,$A399&lt;&gt;""),"●","")</x:f>
      </x:c>
      <x:c r="BT399" s="165" t="str">
        <x:f>IF(AND(BT$5&gt;=$C399,BT$5&lt;=$D399,$A399&lt;&gt;""),"●","")</x:f>
      </x:c>
      <x:c r="BU399" s="165" t="str">
        <x:f>IF(AND(BU$5&gt;=$C399,BU$5&lt;=$D399,$A399&lt;&gt;""),"●","")</x:f>
      </x:c>
      <x:c r="BV399" s="165" t="str">
        <x:f>IF(AND(BV$5&gt;=$C399,BV$5&lt;=$D399,$A399&lt;&gt;""),"●","")</x:f>
      </x:c>
      <x:c r="BW399" s="165" t="str">
        <x:f>IF(AND(BW$5&gt;=$C399,BW$5&lt;=$D399,$A399&lt;&gt;""),"●","")</x:f>
      </x:c>
    </x:row>
    <x:row r="400">
      <x:c r="A400" s="159" t="str">
        <x:f>IF('รายการสัญญา'!A400="","",'รายการสัญญา'!A400)</x:f>
      </x:c>
      <x:c r="B400" s="159" t="str">
        <x:f>IF('รายการสัญญา'!A400="","",'รายการสัญญา'!C400)</x:f>
      </x:c>
      <x:c r="C400" s="162" t="str">
        <x:f>IF('รายการสัญญา'!A400="","",'รายการสัญญา'!E400)</x:f>
      </x:c>
      <x:c r="D400" s="162" t="str">
        <x:f>IF('รายการสัญญา'!A400="","",'รายการสัญญา'!G400)</x:f>
      </x:c>
      <x:c r="E400" s="159" t="str">
        <x:f>IF('รายการสัญญา'!A400="","",'รายการสัญญา'!K400)</x:f>
      </x:c>
      <x:c r="F400" s="165" t="str">
        <x:f>IF(AND(F$5&gt;=$C400,F$5&lt;=$D400,$A400&lt;&gt;""),"●","")</x:f>
      </x:c>
      <x:c r="G400" s="165" t="str">
        <x:f>IF(AND(G$5&gt;=$C400,G$5&lt;=$D400,$A400&lt;&gt;""),"●","")</x:f>
      </x:c>
      <x:c r="H400" s="165" t="str">
        <x:f>IF(AND(H$5&gt;=$C400,H$5&lt;=$D400,$A400&lt;&gt;""),"●","")</x:f>
      </x:c>
      <x:c r="I400" s="165" t="str">
        <x:f>IF(AND(I$5&gt;=$C400,I$5&lt;=$D400,$A400&lt;&gt;""),"●","")</x:f>
      </x:c>
      <x:c r="J400" s="165" t="str">
        <x:f>IF(AND(J$5&gt;=$C400,J$5&lt;=$D400,$A400&lt;&gt;""),"●","")</x:f>
      </x:c>
      <x:c r="K400" s="165" t="str">
        <x:f>IF(AND(K$5&gt;=$C400,K$5&lt;=$D400,$A400&lt;&gt;""),"●","")</x:f>
      </x:c>
      <x:c r="L400" s="165" t="str">
        <x:f>IF(AND(L$5&gt;=$C400,L$5&lt;=$D400,$A400&lt;&gt;""),"●","")</x:f>
      </x:c>
      <x:c r="M400" s="165" t="str">
        <x:f>IF(AND(M$5&gt;=$C400,M$5&lt;=$D400,$A400&lt;&gt;""),"●","")</x:f>
      </x:c>
      <x:c r="N400" s="165" t="str">
        <x:f>IF(AND(N$5&gt;=$C400,N$5&lt;=$D400,$A400&lt;&gt;""),"●","")</x:f>
      </x:c>
      <x:c r="O400" s="165" t="str">
        <x:f>IF(AND(O$5&gt;=$C400,O$5&lt;=$D400,$A400&lt;&gt;""),"●","")</x:f>
      </x:c>
      <x:c r="P400" s="165" t="str">
        <x:f>IF(AND(P$5&gt;=$C400,P$5&lt;=$D400,$A400&lt;&gt;""),"●","")</x:f>
      </x:c>
      <x:c r="Q400" s="165" t="str">
        <x:f>IF(AND(Q$5&gt;=$C400,Q$5&lt;=$D400,$A400&lt;&gt;""),"●","")</x:f>
      </x:c>
      <x:c r="R400" s="165" t="str">
        <x:f>IF(AND(R$5&gt;=$C400,R$5&lt;=$D400,$A400&lt;&gt;""),"●","")</x:f>
      </x:c>
      <x:c r="S400" s="165" t="str">
        <x:f>IF(AND(S$5&gt;=$C400,S$5&lt;=$D400,$A400&lt;&gt;""),"●","")</x:f>
      </x:c>
      <x:c r="T400" s="165" t="str">
        <x:f>IF(AND(T$5&gt;=$C400,T$5&lt;=$D400,$A400&lt;&gt;""),"●","")</x:f>
      </x:c>
      <x:c r="U400" s="165" t="str">
        <x:f>IF(AND(U$5&gt;=$C400,U$5&lt;=$D400,$A400&lt;&gt;""),"●","")</x:f>
      </x:c>
      <x:c r="V400" s="165" t="str">
        <x:f>IF(AND(V$5&gt;=$C400,V$5&lt;=$D400,$A400&lt;&gt;""),"●","")</x:f>
      </x:c>
      <x:c r="W400" s="165" t="str">
        <x:f>IF(AND(W$5&gt;=$C400,W$5&lt;=$D400,$A400&lt;&gt;""),"●","")</x:f>
      </x:c>
      <x:c r="X400" s="165" t="str">
        <x:f>IF(AND(X$5&gt;=$C400,X$5&lt;=$D400,$A400&lt;&gt;""),"●","")</x:f>
      </x:c>
      <x:c r="Y400" s="165" t="str">
        <x:f>IF(AND(Y$5&gt;=$C400,Y$5&lt;=$D400,$A400&lt;&gt;""),"●","")</x:f>
      </x:c>
      <x:c r="Z400" s="165" t="str">
        <x:f>IF(AND(Z$5&gt;=$C400,Z$5&lt;=$D400,$A400&lt;&gt;""),"●","")</x:f>
      </x:c>
      <x:c r="AA400" s="165" t="str">
        <x:f>IF(AND(AA$5&gt;=$C400,AA$5&lt;=$D400,$A400&lt;&gt;""),"●","")</x:f>
      </x:c>
      <x:c r="AB400" s="165" t="str">
        <x:f>IF(AND(AB$5&gt;=$C400,AB$5&lt;=$D400,$A400&lt;&gt;""),"●","")</x:f>
      </x:c>
      <x:c r="AC400" s="165" t="str">
        <x:f>IF(AND(AC$5&gt;=$C400,AC$5&lt;=$D400,$A400&lt;&gt;""),"●","")</x:f>
      </x:c>
      <x:c r="AD400" s="165" t="str">
        <x:f>IF(AND(AD$5&gt;=$C400,AD$5&lt;=$D400,$A400&lt;&gt;""),"●","")</x:f>
      </x:c>
      <x:c r="AE400" s="165" t="str">
        <x:f>IF(AND(AE$5&gt;=$C400,AE$5&lt;=$D400,$A400&lt;&gt;""),"●","")</x:f>
      </x:c>
      <x:c r="AF400" s="165" t="str">
        <x:f>IF(AND(AF$5&gt;=$C400,AF$5&lt;=$D400,$A400&lt;&gt;""),"●","")</x:f>
      </x:c>
      <x:c r="AG400" s="165" t="str">
        <x:f>IF(AND(AG$5&gt;=$C400,AG$5&lt;=$D400,$A400&lt;&gt;""),"●","")</x:f>
      </x:c>
      <x:c r="AH400" s="165" t="str">
        <x:f>IF(AND(AH$5&gt;=$C400,AH$5&lt;=$D400,$A400&lt;&gt;""),"●","")</x:f>
      </x:c>
      <x:c r="AI400" s="165" t="str">
        <x:f>IF(AND(AI$5&gt;=$C400,AI$5&lt;=$D400,$A400&lt;&gt;""),"●","")</x:f>
      </x:c>
      <x:c r="AJ400" s="165" t="str">
        <x:f>IF(AND(AJ$5&gt;=$C400,AJ$5&lt;=$D400,$A400&lt;&gt;""),"●","")</x:f>
      </x:c>
      <x:c r="AK400" s="165" t="str">
        <x:f>IF(AND(AK$5&gt;=$C400,AK$5&lt;=$D400,$A400&lt;&gt;""),"●","")</x:f>
      </x:c>
      <x:c r="AL400" s="165" t="str">
        <x:f>IF(AND(AL$5&gt;=$C400,AL$5&lt;=$D400,$A400&lt;&gt;""),"●","")</x:f>
      </x:c>
      <x:c r="AM400" s="165" t="str">
        <x:f>IF(AND(AM$5&gt;=$C400,AM$5&lt;=$D400,$A400&lt;&gt;""),"●","")</x:f>
      </x:c>
      <x:c r="AN400" s="165" t="str">
        <x:f>IF(AND(AN$5&gt;=$C400,AN$5&lt;=$D400,$A400&lt;&gt;""),"●","")</x:f>
      </x:c>
      <x:c r="AO400" s="165" t="str">
        <x:f>IF(AND(AO$5&gt;=$C400,AO$5&lt;=$D400,$A400&lt;&gt;""),"●","")</x:f>
      </x:c>
      <x:c r="AP400" s="165" t="str">
        <x:f>IF(AND(AP$5&gt;=$C400,AP$5&lt;=$D400,$A400&lt;&gt;""),"●","")</x:f>
      </x:c>
      <x:c r="AQ400" s="165" t="str">
        <x:f>IF(AND(AQ$5&gt;=$C400,AQ$5&lt;=$D400,$A400&lt;&gt;""),"●","")</x:f>
      </x:c>
      <x:c r="AR400" s="165" t="str">
        <x:f>IF(AND(AR$5&gt;=$C400,AR$5&lt;=$D400,$A400&lt;&gt;""),"●","")</x:f>
      </x:c>
      <x:c r="AS400" s="165" t="str">
        <x:f>IF(AND(AS$5&gt;=$C400,AS$5&lt;=$D400,$A400&lt;&gt;""),"●","")</x:f>
      </x:c>
      <x:c r="AT400" s="165" t="str">
        <x:f>IF(AND(AT$5&gt;=$C400,AT$5&lt;=$D400,$A400&lt;&gt;""),"●","")</x:f>
      </x:c>
      <x:c r="AU400" s="165" t="str">
        <x:f>IF(AND(AU$5&gt;=$C400,AU$5&lt;=$D400,$A400&lt;&gt;""),"●","")</x:f>
      </x:c>
      <x:c r="AV400" s="165" t="str">
        <x:f>IF(AND(AV$5&gt;=$C400,AV$5&lt;=$D400,$A400&lt;&gt;""),"●","")</x:f>
      </x:c>
      <x:c r="AW400" s="165" t="str">
        <x:f>IF(AND(AW$5&gt;=$C400,AW$5&lt;=$D400,$A400&lt;&gt;""),"●","")</x:f>
      </x:c>
      <x:c r="AX400" s="165" t="str">
        <x:f>IF(AND(AX$5&gt;=$C400,AX$5&lt;=$D400,$A400&lt;&gt;""),"●","")</x:f>
      </x:c>
      <x:c r="AY400" s="165" t="str">
        <x:f>IF(AND(AY$5&gt;=$C400,AY$5&lt;=$D400,$A400&lt;&gt;""),"●","")</x:f>
      </x:c>
      <x:c r="AZ400" s="165" t="str">
        <x:f>IF(AND(AZ$5&gt;=$C400,AZ$5&lt;=$D400,$A400&lt;&gt;""),"●","")</x:f>
      </x:c>
      <x:c r="BA400" s="165" t="str">
        <x:f>IF(AND(BA$5&gt;=$C400,BA$5&lt;=$D400,$A400&lt;&gt;""),"●","")</x:f>
      </x:c>
      <x:c r="BB400" s="165" t="str">
        <x:f>IF(AND(BB$5&gt;=$C400,BB$5&lt;=$D400,$A400&lt;&gt;""),"●","")</x:f>
      </x:c>
      <x:c r="BC400" s="165" t="str">
        <x:f>IF(AND(BC$5&gt;=$C400,BC$5&lt;=$D400,$A400&lt;&gt;""),"●","")</x:f>
      </x:c>
      <x:c r="BD400" s="165" t="str">
        <x:f>IF(AND(BD$5&gt;=$C400,BD$5&lt;=$D400,$A400&lt;&gt;""),"●","")</x:f>
      </x:c>
      <x:c r="BE400" s="165" t="str">
        <x:f>IF(AND(BE$5&gt;=$C400,BE$5&lt;=$D400,$A400&lt;&gt;""),"●","")</x:f>
      </x:c>
      <x:c r="BF400" s="165" t="str">
        <x:f>IF(AND(BF$5&gt;=$C400,BF$5&lt;=$D400,$A400&lt;&gt;""),"●","")</x:f>
      </x:c>
      <x:c r="BG400" s="165" t="str">
        <x:f>IF(AND(BG$5&gt;=$C400,BG$5&lt;=$D400,$A400&lt;&gt;""),"●","")</x:f>
      </x:c>
      <x:c r="BH400" s="165" t="str">
        <x:f>IF(AND(BH$5&gt;=$C400,BH$5&lt;=$D400,$A400&lt;&gt;""),"●","")</x:f>
      </x:c>
      <x:c r="BI400" s="165" t="str">
        <x:f>IF(AND(BI$5&gt;=$C400,BI$5&lt;=$D400,$A400&lt;&gt;""),"●","")</x:f>
      </x:c>
      <x:c r="BJ400" s="165" t="str">
        <x:f>IF(AND(BJ$5&gt;=$C400,BJ$5&lt;=$D400,$A400&lt;&gt;""),"●","")</x:f>
      </x:c>
      <x:c r="BK400" s="165" t="str">
        <x:f>IF(AND(BK$5&gt;=$C400,BK$5&lt;=$D400,$A400&lt;&gt;""),"●","")</x:f>
      </x:c>
      <x:c r="BL400" s="165" t="str">
        <x:f>IF(AND(BL$5&gt;=$C400,BL$5&lt;=$D400,$A400&lt;&gt;""),"●","")</x:f>
      </x:c>
      <x:c r="BM400" s="165" t="str">
        <x:f>IF(AND(BM$5&gt;=$C400,BM$5&lt;=$D400,$A400&lt;&gt;""),"●","")</x:f>
      </x:c>
      <x:c r="BN400" s="165" t="str">
        <x:f>IF(AND(BN$5&gt;=$C400,BN$5&lt;=$D400,$A400&lt;&gt;""),"●","")</x:f>
      </x:c>
      <x:c r="BO400" s="165" t="str">
        <x:f>IF(AND(BO$5&gt;=$C400,BO$5&lt;=$D400,$A400&lt;&gt;""),"●","")</x:f>
      </x:c>
      <x:c r="BP400" s="165" t="str">
        <x:f>IF(AND(BP$5&gt;=$C400,BP$5&lt;=$D400,$A400&lt;&gt;""),"●","")</x:f>
      </x:c>
      <x:c r="BQ400" s="165" t="str">
        <x:f>IF(AND(BQ$5&gt;=$C400,BQ$5&lt;=$D400,$A400&lt;&gt;""),"●","")</x:f>
      </x:c>
      <x:c r="BR400" s="165" t="str">
        <x:f>IF(AND(BR$5&gt;=$C400,BR$5&lt;=$D400,$A400&lt;&gt;""),"●","")</x:f>
      </x:c>
      <x:c r="BS400" s="165" t="str">
        <x:f>IF(AND(BS$5&gt;=$C400,BS$5&lt;=$D400,$A400&lt;&gt;""),"●","")</x:f>
      </x:c>
      <x:c r="BT400" s="165" t="str">
        <x:f>IF(AND(BT$5&gt;=$C400,BT$5&lt;=$D400,$A400&lt;&gt;""),"●","")</x:f>
      </x:c>
      <x:c r="BU400" s="165" t="str">
        <x:f>IF(AND(BU$5&gt;=$C400,BU$5&lt;=$D400,$A400&lt;&gt;""),"●","")</x:f>
      </x:c>
      <x:c r="BV400" s="165" t="str">
        <x:f>IF(AND(BV$5&gt;=$C400,BV$5&lt;=$D400,$A400&lt;&gt;""),"●","")</x:f>
      </x:c>
      <x:c r="BW400" s="165" t="str">
        <x:f>IF(AND(BW$5&gt;=$C400,BW$5&lt;=$D400,$A400&lt;&gt;""),"●","")</x:f>
      </x:c>
    </x:row>
    <x:row r="401">
      <x:c r="A401" s="159" t="str">
        <x:f>IF('รายการสัญญา'!A401="","",'รายการสัญญา'!A401)</x:f>
      </x:c>
      <x:c r="B401" s="159" t="str">
        <x:f>IF('รายการสัญญา'!A401="","",'รายการสัญญา'!C401)</x:f>
      </x:c>
      <x:c r="C401" s="162" t="str">
        <x:f>IF('รายการสัญญา'!A401="","",'รายการสัญญา'!E401)</x:f>
      </x:c>
      <x:c r="D401" s="162" t="str">
        <x:f>IF('รายการสัญญา'!A401="","",'รายการสัญญา'!G401)</x:f>
      </x:c>
      <x:c r="E401" s="159" t="str">
        <x:f>IF('รายการสัญญา'!A401="","",'รายการสัญญา'!K401)</x:f>
      </x:c>
      <x:c r="F401" s="165" t="str">
        <x:f>IF(AND(F$5&gt;=$C401,F$5&lt;=$D401,$A401&lt;&gt;""),"●","")</x:f>
      </x:c>
      <x:c r="G401" s="165" t="str">
        <x:f>IF(AND(G$5&gt;=$C401,G$5&lt;=$D401,$A401&lt;&gt;""),"●","")</x:f>
      </x:c>
      <x:c r="H401" s="165" t="str">
        <x:f>IF(AND(H$5&gt;=$C401,H$5&lt;=$D401,$A401&lt;&gt;""),"●","")</x:f>
      </x:c>
      <x:c r="I401" s="165" t="str">
        <x:f>IF(AND(I$5&gt;=$C401,I$5&lt;=$D401,$A401&lt;&gt;""),"●","")</x:f>
      </x:c>
      <x:c r="J401" s="165" t="str">
        <x:f>IF(AND(J$5&gt;=$C401,J$5&lt;=$D401,$A401&lt;&gt;""),"●","")</x:f>
      </x:c>
      <x:c r="K401" s="165" t="str">
        <x:f>IF(AND(K$5&gt;=$C401,K$5&lt;=$D401,$A401&lt;&gt;""),"●","")</x:f>
      </x:c>
      <x:c r="L401" s="165" t="str">
        <x:f>IF(AND(L$5&gt;=$C401,L$5&lt;=$D401,$A401&lt;&gt;""),"●","")</x:f>
      </x:c>
      <x:c r="M401" s="165" t="str">
        <x:f>IF(AND(M$5&gt;=$C401,M$5&lt;=$D401,$A401&lt;&gt;""),"●","")</x:f>
      </x:c>
      <x:c r="N401" s="165" t="str">
        <x:f>IF(AND(N$5&gt;=$C401,N$5&lt;=$D401,$A401&lt;&gt;""),"●","")</x:f>
      </x:c>
      <x:c r="O401" s="165" t="str">
        <x:f>IF(AND(O$5&gt;=$C401,O$5&lt;=$D401,$A401&lt;&gt;""),"●","")</x:f>
      </x:c>
      <x:c r="P401" s="165" t="str">
        <x:f>IF(AND(P$5&gt;=$C401,P$5&lt;=$D401,$A401&lt;&gt;""),"●","")</x:f>
      </x:c>
      <x:c r="Q401" s="165" t="str">
        <x:f>IF(AND(Q$5&gt;=$C401,Q$5&lt;=$D401,$A401&lt;&gt;""),"●","")</x:f>
      </x:c>
      <x:c r="R401" s="165" t="str">
        <x:f>IF(AND(R$5&gt;=$C401,R$5&lt;=$D401,$A401&lt;&gt;""),"●","")</x:f>
      </x:c>
      <x:c r="S401" s="165" t="str">
        <x:f>IF(AND(S$5&gt;=$C401,S$5&lt;=$D401,$A401&lt;&gt;""),"●","")</x:f>
      </x:c>
      <x:c r="T401" s="165" t="str">
        <x:f>IF(AND(T$5&gt;=$C401,T$5&lt;=$D401,$A401&lt;&gt;""),"●","")</x:f>
      </x:c>
      <x:c r="U401" s="165" t="str">
        <x:f>IF(AND(U$5&gt;=$C401,U$5&lt;=$D401,$A401&lt;&gt;""),"●","")</x:f>
      </x:c>
      <x:c r="V401" s="165" t="str">
        <x:f>IF(AND(V$5&gt;=$C401,V$5&lt;=$D401,$A401&lt;&gt;""),"●","")</x:f>
      </x:c>
      <x:c r="W401" s="165" t="str">
        <x:f>IF(AND(W$5&gt;=$C401,W$5&lt;=$D401,$A401&lt;&gt;""),"●","")</x:f>
      </x:c>
      <x:c r="X401" s="165" t="str">
        <x:f>IF(AND(X$5&gt;=$C401,X$5&lt;=$D401,$A401&lt;&gt;""),"●","")</x:f>
      </x:c>
      <x:c r="Y401" s="165" t="str">
        <x:f>IF(AND(Y$5&gt;=$C401,Y$5&lt;=$D401,$A401&lt;&gt;""),"●","")</x:f>
      </x:c>
      <x:c r="Z401" s="165" t="str">
        <x:f>IF(AND(Z$5&gt;=$C401,Z$5&lt;=$D401,$A401&lt;&gt;""),"●","")</x:f>
      </x:c>
      <x:c r="AA401" s="165" t="str">
        <x:f>IF(AND(AA$5&gt;=$C401,AA$5&lt;=$D401,$A401&lt;&gt;""),"●","")</x:f>
      </x:c>
      <x:c r="AB401" s="165" t="str">
        <x:f>IF(AND(AB$5&gt;=$C401,AB$5&lt;=$D401,$A401&lt;&gt;""),"●","")</x:f>
      </x:c>
      <x:c r="AC401" s="165" t="str">
        <x:f>IF(AND(AC$5&gt;=$C401,AC$5&lt;=$D401,$A401&lt;&gt;""),"●","")</x:f>
      </x:c>
      <x:c r="AD401" s="165" t="str">
        <x:f>IF(AND(AD$5&gt;=$C401,AD$5&lt;=$D401,$A401&lt;&gt;""),"●","")</x:f>
      </x:c>
      <x:c r="AE401" s="165" t="str">
        <x:f>IF(AND(AE$5&gt;=$C401,AE$5&lt;=$D401,$A401&lt;&gt;""),"●","")</x:f>
      </x:c>
      <x:c r="AF401" s="165" t="str">
        <x:f>IF(AND(AF$5&gt;=$C401,AF$5&lt;=$D401,$A401&lt;&gt;""),"●","")</x:f>
      </x:c>
      <x:c r="AG401" s="165" t="str">
        <x:f>IF(AND(AG$5&gt;=$C401,AG$5&lt;=$D401,$A401&lt;&gt;""),"●","")</x:f>
      </x:c>
      <x:c r="AH401" s="165" t="str">
        <x:f>IF(AND(AH$5&gt;=$C401,AH$5&lt;=$D401,$A401&lt;&gt;""),"●","")</x:f>
      </x:c>
      <x:c r="AI401" s="165" t="str">
        <x:f>IF(AND(AI$5&gt;=$C401,AI$5&lt;=$D401,$A401&lt;&gt;""),"●","")</x:f>
      </x:c>
      <x:c r="AJ401" s="165" t="str">
        <x:f>IF(AND(AJ$5&gt;=$C401,AJ$5&lt;=$D401,$A401&lt;&gt;""),"●","")</x:f>
      </x:c>
      <x:c r="AK401" s="165" t="str">
        <x:f>IF(AND(AK$5&gt;=$C401,AK$5&lt;=$D401,$A401&lt;&gt;""),"●","")</x:f>
      </x:c>
      <x:c r="AL401" s="165" t="str">
        <x:f>IF(AND(AL$5&gt;=$C401,AL$5&lt;=$D401,$A401&lt;&gt;""),"●","")</x:f>
      </x:c>
      <x:c r="AM401" s="165" t="str">
        <x:f>IF(AND(AM$5&gt;=$C401,AM$5&lt;=$D401,$A401&lt;&gt;""),"●","")</x:f>
      </x:c>
      <x:c r="AN401" s="165" t="str">
        <x:f>IF(AND(AN$5&gt;=$C401,AN$5&lt;=$D401,$A401&lt;&gt;""),"●","")</x:f>
      </x:c>
      <x:c r="AO401" s="165" t="str">
        <x:f>IF(AND(AO$5&gt;=$C401,AO$5&lt;=$D401,$A401&lt;&gt;""),"●","")</x:f>
      </x:c>
      <x:c r="AP401" s="165" t="str">
        <x:f>IF(AND(AP$5&gt;=$C401,AP$5&lt;=$D401,$A401&lt;&gt;""),"●","")</x:f>
      </x:c>
      <x:c r="AQ401" s="165" t="str">
        <x:f>IF(AND(AQ$5&gt;=$C401,AQ$5&lt;=$D401,$A401&lt;&gt;""),"●","")</x:f>
      </x:c>
      <x:c r="AR401" s="165" t="str">
        <x:f>IF(AND(AR$5&gt;=$C401,AR$5&lt;=$D401,$A401&lt;&gt;""),"●","")</x:f>
      </x:c>
      <x:c r="AS401" s="165" t="str">
        <x:f>IF(AND(AS$5&gt;=$C401,AS$5&lt;=$D401,$A401&lt;&gt;""),"●","")</x:f>
      </x:c>
      <x:c r="AT401" s="165" t="str">
        <x:f>IF(AND(AT$5&gt;=$C401,AT$5&lt;=$D401,$A401&lt;&gt;""),"●","")</x:f>
      </x:c>
      <x:c r="AU401" s="165" t="str">
        <x:f>IF(AND(AU$5&gt;=$C401,AU$5&lt;=$D401,$A401&lt;&gt;""),"●","")</x:f>
      </x:c>
      <x:c r="AV401" s="165" t="str">
        <x:f>IF(AND(AV$5&gt;=$C401,AV$5&lt;=$D401,$A401&lt;&gt;""),"●","")</x:f>
      </x:c>
      <x:c r="AW401" s="165" t="str">
        <x:f>IF(AND(AW$5&gt;=$C401,AW$5&lt;=$D401,$A401&lt;&gt;""),"●","")</x:f>
      </x:c>
      <x:c r="AX401" s="165" t="str">
        <x:f>IF(AND(AX$5&gt;=$C401,AX$5&lt;=$D401,$A401&lt;&gt;""),"●","")</x:f>
      </x:c>
      <x:c r="AY401" s="165" t="str">
        <x:f>IF(AND(AY$5&gt;=$C401,AY$5&lt;=$D401,$A401&lt;&gt;""),"●","")</x:f>
      </x:c>
      <x:c r="AZ401" s="165" t="str">
        <x:f>IF(AND(AZ$5&gt;=$C401,AZ$5&lt;=$D401,$A401&lt;&gt;""),"●","")</x:f>
      </x:c>
      <x:c r="BA401" s="165" t="str">
        <x:f>IF(AND(BA$5&gt;=$C401,BA$5&lt;=$D401,$A401&lt;&gt;""),"●","")</x:f>
      </x:c>
      <x:c r="BB401" s="165" t="str">
        <x:f>IF(AND(BB$5&gt;=$C401,BB$5&lt;=$D401,$A401&lt;&gt;""),"●","")</x:f>
      </x:c>
      <x:c r="BC401" s="165" t="str">
        <x:f>IF(AND(BC$5&gt;=$C401,BC$5&lt;=$D401,$A401&lt;&gt;""),"●","")</x:f>
      </x:c>
      <x:c r="BD401" s="165" t="str">
        <x:f>IF(AND(BD$5&gt;=$C401,BD$5&lt;=$D401,$A401&lt;&gt;""),"●","")</x:f>
      </x:c>
      <x:c r="BE401" s="165" t="str">
        <x:f>IF(AND(BE$5&gt;=$C401,BE$5&lt;=$D401,$A401&lt;&gt;""),"●","")</x:f>
      </x:c>
      <x:c r="BF401" s="165" t="str">
        <x:f>IF(AND(BF$5&gt;=$C401,BF$5&lt;=$D401,$A401&lt;&gt;""),"●","")</x:f>
      </x:c>
      <x:c r="BG401" s="165" t="str">
        <x:f>IF(AND(BG$5&gt;=$C401,BG$5&lt;=$D401,$A401&lt;&gt;""),"●","")</x:f>
      </x:c>
      <x:c r="BH401" s="165" t="str">
        <x:f>IF(AND(BH$5&gt;=$C401,BH$5&lt;=$D401,$A401&lt;&gt;""),"●","")</x:f>
      </x:c>
      <x:c r="BI401" s="165" t="str">
        <x:f>IF(AND(BI$5&gt;=$C401,BI$5&lt;=$D401,$A401&lt;&gt;""),"●","")</x:f>
      </x:c>
      <x:c r="BJ401" s="165" t="str">
        <x:f>IF(AND(BJ$5&gt;=$C401,BJ$5&lt;=$D401,$A401&lt;&gt;""),"●","")</x:f>
      </x:c>
      <x:c r="BK401" s="165" t="str">
        <x:f>IF(AND(BK$5&gt;=$C401,BK$5&lt;=$D401,$A401&lt;&gt;""),"●","")</x:f>
      </x:c>
      <x:c r="BL401" s="165" t="str">
        <x:f>IF(AND(BL$5&gt;=$C401,BL$5&lt;=$D401,$A401&lt;&gt;""),"●","")</x:f>
      </x:c>
      <x:c r="BM401" s="165" t="str">
        <x:f>IF(AND(BM$5&gt;=$C401,BM$5&lt;=$D401,$A401&lt;&gt;""),"●","")</x:f>
      </x:c>
      <x:c r="BN401" s="165" t="str">
        <x:f>IF(AND(BN$5&gt;=$C401,BN$5&lt;=$D401,$A401&lt;&gt;""),"●","")</x:f>
      </x:c>
      <x:c r="BO401" s="165" t="str">
        <x:f>IF(AND(BO$5&gt;=$C401,BO$5&lt;=$D401,$A401&lt;&gt;""),"●","")</x:f>
      </x:c>
      <x:c r="BP401" s="165" t="str">
        <x:f>IF(AND(BP$5&gt;=$C401,BP$5&lt;=$D401,$A401&lt;&gt;""),"●","")</x:f>
      </x:c>
      <x:c r="BQ401" s="165" t="str">
        <x:f>IF(AND(BQ$5&gt;=$C401,BQ$5&lt;=$D401,$A401&lt;&gt;""),"●","")</x:f>
      </x:c>
      <x:c r="BR401" s="165" t="str">
        <x:f>IF(AND(BR$5&gt;=$C401,BR$5&lt;=$D401,$A401&lt;&gt;""),"●","")</x:f>
      </x:c>
      <x:c r="BS401" s="165" t="str">
        <x:f>IF(AND(BS$5&gt;=$C401,BS$5&lt;=$D401,$A401&lt;&gt;""),"●","")</x:f>
      </x:c>
      <x:c r="BT401" s="165" t="str">
        <x:f>IF(AND(BT$5&gt;=$C401,BT$5&lt;=$D401,$A401&lt;&gt;""),"●","")</x:f>
      </x:c>
      <x:c r="BU401" s="165" t="str">
        <x:f>IF(AND(BU$5&gt;=$C401,BU$5&lt;=$D401,$A401&lt;&gt;""),"●","")</x:f>
      </x:c>
      <x:c r="BV401" s="165" t="str">
        <x:f>IF(AND(BV$5&gt;=$C401,BV$5&lt;=$D401,$A401&lt;&gt;""),"●","")</x:f>
      </x:c>
      <x:c r="BW401" s="165" t="str">
        <x:f>IF(AND(BW$5&gt;=$C401,BW$5&lt;=$D401,$A401&lt;&gt;""),"●","")</x:f>
      </x:c>
    </x:row>
    <x:row r="402">
      <x:c r="A402" s="159" t="str">
        <x:f>IF('รายการสัญญา'!A402="","",'รายการสัญญา'!A402)</x:f>
      </x:c>
      <x:c r="B402" s="159" t="str">
        <x:f>IF('รายการสัญญา'!A402="","",'รายการสัญญา'!C402)</x:f>
      </x:c>
      <x:c r="C402" s="162" t="str">
        <x:f>IF('รายการสัญญา'!A402="","",'รายการสัญญา'!E402)</x:f>
      </x:c>
      <x:c r="D402" s="162" t="str">
        <x:f>IF('รายการสัญญา'!A402="","",'รายการสัญญา'!G402)</x:f>
      </x:c>
      <x:c r="E402" s="159" t="str">
        <x:f>IF('รายการสัญญา'!A402="","",'รายการสัญญา'!K402)</x:f>
      </x:c>
      <x:c r="F402" s="165" t="str">
        <x:f>IF(AND(F$5&gt;=$C402,F$5&lt;=$D402,$A402&lt;&gt;""),"●","")</x:f>
      </x:c>
      <x:c r="G402" s="165" t="str">
        <x:f>IF(AND(G$5&gt;=$C402,G$5&lt;=$D402,$A402&lt;&gt;""),"●","")</x:f>
      </x:c>
      <x:c r="H402" s="165" t="str">
        <x:f>IF(AND(H$5&gt;=$C402,H$5&lt;=$D402,$A402&lt;&gt;""),"●","")</x:f>
      </x:c>
      <x:c r="I402" s="165" t="str">
        <x:f>IF(AND(I$5&gt;=$C402,I$5&lt;=$D402,$A402&lt;&gt;""),"●","")</x:f>
      </x:c>
      <x:c r="J402" s="165" t="str">
        <x:f>IF(AND(J$5&gt;=$C402,J$5&lt;=$D402,$A402&lt;&gt;""),"●","")</x:f>
      </x:c>
      <x:c r="K402" s="165" t="str">
        <x:f>IF(AND(K$5&gt;=$C402,K$5&lt;=$D402,$A402&lt;&gt;""),"●","")</x:f>
      </x:c>
      <x:c r="L402" s="165" t="str">
        <x:f>IF(AND(L$5&gt;=$C402,L$5&lt;=$D402,$A402&lt;&gt;""),"●","")</x:f>
      </x:c>
      <x:c r="M402" s="165" t="str">
        <x:f>IF(AND(M$5&gt;=$C402,M$5&lt;=$D402,$A402&lt;&gt;""),"●","")</x:f>
      </x:c>
      <x:c r="N402" s="165" t="str">
        <x:f>IF(AND(N$5&gt;=$C402,N$5&lt;=$D402,$A402&lt;&gt;""),"●","")</x:f>
      </x:c>
      <x:c r="O402" s="165" t="str">
        <x:f>IF(AND(O$5&gt;=$C402,O$5&lt;=$D402,$A402&lt;&gt;""),"●","")</x:f>
      </x:c>
      <x:c r="P402" s="165" t="str">
        <x:f>IF(AND(P$5&gt;=$C402,P$5&lt;=$D402,$A402&lt;&gt;""),"●","")</x:f>
      </x:c>
      <x:c r="Q402" s="165" t="str">
        <x:f>IF(AND(Q$5&gt;=$C402,Q$5&lt;=$D402,$A402&lt;&gt;""),"●","")</x:f>
      </x:c>
      <x:c r="R402" s="165" t="str">
        <x:f>IF(AND(R$5&gt;=$C402,R$5&lt;=$D402,$A402&lt;&gt;""),"●","")</x:f>
      </x:c>
      <x:c r="S402" s="165" t="str">
        <x:f>IF(AND(S$5&gt;=$C402,S$5&lt;=$D402,$A402&lt;&gt;""),"●","")</x:f>
      </x:c>
      <x:c r="T402" s="165" t="str">
        <x:f>IF(AND(T$5&gt;=$C402,T$5&lt;=$D402,$A402&lt;&gt;""),"●","")</x:f>
      </x:c>
      <x:c r="U402" s="165" t="str">
        <x:f>IF(AND(U$5&gt;=$C402,U$5&lt;=$D402,$A402&lt;&gt;""),"●","")</x:f>
      </x:c>
      <x:c r="V402" s="165" t="str">
        <x:f>IF(AND(V$5&gt;=$C402,V$5&lt;=$D402,$A402&lt;&gt;""),"●","")</x:f>
      </x:c>
      <x:c r="W402" s="165" t="str">
        <x:f>IF(AND(W$5&gt;=$C402,W$5&lt;=$D402,$A402&lt;&gt;""),"●","")</x:f>
      </x:c>
      <x:c r="X402" s="165" t="str">
        <x:f>IF(AND(X$5&gt;=$C402,X$5&lt;=$D402,$A402&lt;&gt;""),"●","")</x:f>
      </x:c>
      <x:c r="Y402" s="165" t="str">
        <x:f>IF(AND(Y$5&gt;=$C402,Y$5&lt;=$D402,$A402&lt;&gt;""),"●","")</x:f>
      </x:c>
      <x:c r="Z402" s="165" t="str">
        <x:f>IF(AND(Z$5&gt;=$C402,Z$5&lt;=$D402,$A402&lt;&gt;""),"●","")</x:f>
      </x:c>
      <x:c r="AA402" s="165" t="str">
        <x:f>IF(AND(AA$5&gt;=$C402,AA$5&lt;=$D402,$A402&lt;&gt;""),"●","")</x:f>
      </x:c>
      <x:c r="AB402" s="165" t="str">
        <x:f>IF(AND(AB$5&gt;=$C402,AB$5&lt;=$D402,$A402&lt;&gt;""),"●","")</x:f>
      </x:c>
      <x:c r="AC402" s="165" t="str">
        <x:f>IF(AND(AC$5&gt;=$C402,AC$5&lt;=$D402,$A402&lt;&gt;""),"●","")</x:f>
      </x:c>
      <x:c r="AD402" s="165" t="str">
        <x:f>IF(AND(AD$5&gt;=$C402,AD$5&lt;=$D402,$A402&lt;&gt;""),"●","")</x:f>
      </x:c>
      <x:c r="AE402" s="165" t="str">
        <x:f>IF(AND(AE$5&gt;=$C402,AE$5&lt;=$D402,$A402&lt;&gt;""),"●","")</x:f>
      </x:c>
      <x:c r="AF402" s="165" t="str">
        <x:f>IF(AND(AF$5&gt;=$C402,AF$5&lt;=$D402,$A402&lt;&gt;""),"●","")</x:f>
      </x:c>
      <x:c r="AG402" s="165" t="str">
        <x:f>IF(AND(AG$5&gt;=$C402,AG$5&lt;=$D402,$A402&lt;&gt;""),"●","")</x:f>
      </x:c>
      <x:c r="AH402" s="165" t="str">
        <x:f>IF(AND(AH$5&gt;=$C402,AH$5&lt;=$D402,$A402&lt;&gt;""),"●","")</x:f>
      </x:c>
      <x:c r="AI402" s="165" t="str">
        <x:f>IF(AND(AI$5&gt;=$C402,AI$5&lt;=$D402,$A402&lt;&gt;""),"●","")</x:f>
      </x:c>
      <x:c r="AJ402" s="165" t="str">
        <x:f>IF(AND(AJ$5&gt;=$C402,AJ$5&lt;=$D402,$A402&lt;&gt;""),"●","")</x:f>
      </x:c>
      <x:c r="AK402" s="165" t="str">
        <x:f>IF(AND(AK$5&gt;=$C402,AK$5&lt;=$D402,$A402&lt;&gt;""),"●","")</x:f>
      </x:c>
      <x:c r="AL402" s="165" t="str">
        <x:f>IF(AND(AL$5&gt;=$C402,AL$5&lt;=$D402,$A402&lt;&gt;""),"●","")</x:f>
      </x:c>
      <x:c r="AM402" s="165" t="str">
        <x:f>IF(AND(AM$5&gt;=$C402,AM$5&lt;=$D402,$A402&lt;&gt;""),"●","")</x:f>
      </x:c>
      <x:c r="AN402" s="165" t="str">
        <x:f>IF(AND(AN$5&gt;=$C402,AN$5&lt;=$D402,$A402&lt;&gt;""),"●","")</x:f>
      </x:c>
      <x:c r="AO402" s="165" t="str">
        <x:f>IF(AND(AO$5&gt;=$C402,AO$5&lt;=$D402,$A402&lt;&gt;""),"●","")</x:f>
      </x:c>
      <x:c r="AP402" s="165" t="str">
        <x:f>IF(AND(AP$5&gt;=$C402,AP$5&lt;=$D402,$A402&lt;&gt;""),"●","")</x:f>
      </x:c>
      <x:c r="AQ402" s="165" t="str">
        <x:f>IF(AND(AQ$5&gt;=$C402,AQ$5&lt;=$D402,$A402&lt;&gt;""),"●","")</x:f>
      </x:c>
      <x:c r="AR402" s="165" t="str">
        <x:f>IF(AND(AR$5&gt;=$C402,AR$5&lt;=$D402,$A402&lt;&gt;""),"●","")</x:f>
      </x:c>
      <x:c r="AS402" s="165" t="str">
        <x:f>IF(AND(AS$5&gt;=$C402,AS$5&lt;=$D402,$A402&lt;&gt;""),"●","")</x:f>
      </x:c>
      <x:c r="AT402" s="165" t="str">
        <x:f>IF(AND(AT$5&gt;=$C402,AT$5&lt;=$D402,$A402&lt;&gt;""),"●","")</x:f>
      </x:c>
      <x:c r="AU402" s="165" t="str">
        <x:f>IF(AND(AU$5&gt;=$C402,AU$5&lt;=$D402,$A402&lt;&gt;""),"●","")</x:f>
      </x:c>
      <x:c r="AV402" s="165" t="str">
        <x:f>IF(AND(AV$5&gt;=$C402,AV$5&lt;=$D402,$A402&lt;&gt;""),"●","")</x:f>
      </x:c>
      <x:c r="AW402" s="165" t="str">
        <x:f>IF(AND(AW$5&gt;=$C402,AW$5&lt;=$D402,$A402&lt;&gt;""),"●","")</x:f>
      </x:c>
      <x:c r="AX402" s="165" t="str">
        <x:f>IF(AND(AX$5&gt;=$C402,AX$5&lt;=$D402,$A402&lt;&gt;""),"●","")</x:f>
      </x:c>
      <x:c r="AY402" s="165" t="str">
        <x:f>IF(AND(AY$5&gt;=$C402,AY$5&lt;=$D402,$A402&lt;&gt;""),"●","")</x:f>
      </x:c>
      <x:c r="AZ402" s="165" t="str">
        <x:f>IF(AND(AZ$5&gt;=$C402,AZ$5&lt;=$D402,$A402&lt;&gt;""),"●","")</x:f>
      </x:c>
      <x:c r="BA402" s="165" t="str">
        <x:f>IF(AND(BA$5&gt;=$C402,BA$5&lt;=$D402,$A402&lt;&gt;""),"●","")</x:f>
      </x:c>
      <x:c r="BB402" s="165" t="str">
        <x:f>IF(AND(BB$5&gt;=$C402,BB$5&lt;=$D402,$A402&lt;&gt;""),"●","")</x:f>
      </x:c>
      <x:c r="BC402" s="165" t="str">
        <x:f>IF(AND(BC$5&gt;=$C402,BC$5&lt;=$D402,$A402&lt;&gt;""),"●","")</x:f>
      </x:c>
      <x:c r="BD402" s="165" t="str">
        <x:f>IF(AND(BD$5&gt;=$C402,BD$5&lt;=$D402,$A402&lt;&gt;""),"●","")</x:f>
      </x:c>
      <x:c r="BE402" s="165" t="str">
        <x:f>IF(AND(BE$5&gt;=$C402,BE$5&lt;=$D402,$A402&lt;&gt;""),"●","")</x:f>
      </x:c>
      <x:c r="BF402" s="165" t="str">
        <x:f>IF(AND(BF$5&gt;=$C402,BF$5&lt;=$D402,$A402&lt;&gt;""),"●","")</x:f>
      </x:c>
      <x:c r="BG402" s="165" t="str">
        <x:f>IF(AND(BG$5&gt;=$C402,BG$5&lt;=$D402,$A402&lt;&gt;""),"●","")</x:f>
      </x:c>
      <x:c r="BH402" s="165" t="str">
        <x:f>IF(AND(BH$5&gt;=$C402,BH$5&lt;=$D402,$A402&lt;&gt;""),"●","")</x:f>
      </x:c>
      <x:c r="BI402" s="165" t="str">
        <x:f>IF(AND(BI$5&gt;=$C402,BI$5&lt;=$D402,$A402&lt;&gt;""),"●","")</x:f>
      </x:c>
      <x:c r="BJ402" s="165" t="str">
        <x:f>IF(AND(BJ$5&gt;=$C402,BJ$5&lt;=$D402,$A402&lt;&gt;""),"●","")</x:f>
      </x:c>
      <x:c r="BK402" s="165" t="str">
        <x:f>IF(AND(BK$5&gt;=$C402,BK$5&lt;=$D402,$A402&lt;&gt;""),"●","")</x:f>
      </x:c>
      <x:c r="BL402" s="165" t="str">
        <x:f>IF(AND(BL$5&gt;=$C402,BL$5&lt;=$D402,$A402&lt;&gt;""),"●","")</x:f>
      </x:c>
      <x:c r="BM402" s="165" t="str">
        <x:f>IF(AND(BM$5&gt;=$C402,BM$5&lt;=$D402,$A402&lt;&gt;""),"●","")</x:f>
      </x:c>
      <x:c r="BN402" s="165" t="str">
        <x:f>IF(AND(BN$5&gt;=$C402,BN$5&lt;=$D402,$A402&lt;&gt;""),"●","")</x:f>
      </x:c>
      <x:c r="BO402" s="165" t="str">
        <x:f>IF(AND(BO$5&gt;=$C402,BO$5&lt;=$D402,$A402&lt;&gt;""),"●","")</x:f>
      </x:c>
      <x:c r="BP402" s="165" t="str">
        <x:f>IF(AND(BP$5&gt;=$C402,BP$5&lt;=$D402,$A402&lt;&gt;""),"●","")</x:f>
      </x:c>
      <x:c r="BQ402" s="165" t="str">
        <x:f>IF(AND(BQ$5&gt;=$C402,BQ$5&lt;=$D402,$A402&lt;&gt;""),"●","")</x:f>
      </x:c>
      <x:c r="BR402" s="165" t="str">
        <x:f>IF(AND(BR$5&gt;=$C402,BR$5&lt;=$D402,$A402&lt;&gt;""),"●","")</x:f>
      </x:c>
      <x:c r="BS402" s="165" t="str">
        <x:f>IF(AND(BS$5&gt;=$C402,BS$5&lt;=$D402,$A402&lt;&gt;""),"●","")</x:f>
      </x:c>
      <x:c r="BT402" s="165" t="str">
        <x:f>IF(AND(BT$5&gt;=$C402,BT$5&lt;=$D402,$A402&lt;&gt;""),"●","")</x:f>
      </x:c>
      <x:c r="BU402" s="165" t="str">
        <x:f>IF(AND(BU$5&gt;=$C402,BU$5&lt;=$D402,$A402&lt;&gt;""),"●","")</x:f>
      </x:c>
      <x:c r="BV402" s="165" t="str">
        <x:f>IF(AND(BV$5&gt;=$C402,BV$5&lt;=$D402,$A402&lt;&gt;""),"●","")</x:f>
      </x:c>
      <x:c r="BW402" s="165" t="str">
        <x:f>IF(AND(BW$5&gt;=$C402,BW$5&lt;=$D402,$A402&lt;&gt;""),"●","")</x:f>
      </x:c>
    </x:row>
    <x:row r="403">
      <x:c r="A403" s="159" t="str">
        <x:f>IF('รายการสัญญา'!A403="","",'รายการสัญญา'!A403)</x:f>
      </x:c>
      <x:c r="B403" s="159" t="str">
        <x:f>IF('รายการสัญญา'!A403="","",'รายการสัญญา'!C403)</x:f>
      </x:c>
      <x:c r="C403" s="162" t="str">
        <x:f>IF('รายการสัญญา'!A403="","",'รายการสัญญา'!E403)</x:f>
      </x:c>
      <x:c r="D403" s="162" t="str">
        <x:f>IF('รายการสัญญา'!A403="","",'รายการสัญญา'!G403)</x:f>
      </x:c>
      <x:c r="E403" s="159" t="str">
        <x:f>IF('รายการสัญญา'!A403="","",'รายการสัญญา'!K403)</x:f>
      </x:c>
      <x:c r="F403" s="165" t="str">
        <x:f>IF(AND(F$5&gt;=$C403,F$5&lt;=$D403,$A403&lt;&gt;""),"●","")</x:f>
      </x:c>
      <x:c r="G403" s="165" t="str">
        <x:f>IF(AND(G$5&gt;=$C403,G$5&lt;=$D403,$A403&lt;&gt;""),"●","")</x:f>
      </x:c>
      <x:c r="H403" s="165" t="str">
        <x:f>IF(AND(H$5&gt;=$C403,H$5&lt;=$D403,$A403&lt;&gt;""),"●","")</x:f>
      </x:c>
      <x:c r="I403" s="165" t="str">
        <x:f>IF(AND(I$5&gt;=$C403,I$5&lt;=$D403,$A403&lt;&gt;""),"●","")</x:f>
      </x:c>
      <x:c r="J403" s="165" t="str">
        <x:f>IF(AND(J$5&gt;=$C403,J$5&lt;=$D403,$A403&lt;&gt;""),"●","")</x:f>
      </x:c>
      <x:c r="K403" s="165" t="str">
        <x:f>IF(AND(K$5&gt;=$C403,K$5&lt;=$D403,$A403&lt;&gt;""),"●","")</x:f>
      </x:c>
      <x:c r="L403" s="165" t="str">
        <x:f>IF(AND(L$5&gt;=$C403,L$5&lt;=$D403,$A403&lt;&gt;""),"●","")</x:f>
      </x:c>
      <x:c r="M403" s="165" t="str">
        <x:f>IF(AND(M$5&gt;=$C403,M$5&lt;=$D403,$A403&lt;&gt;""),"●","")</x:f>
      </x:c>
      <x:c r="N403" s="165" t="str">
        <x:f>IF(AND(N$5&gt;=$C403,N$5&lt;=$D403,$A403&lt;&gt;""),"●","")</x:f>
      </x:c>
      <x:c r="O403" s="165" t="str">
        <x:f>IF(AND(O$5&gt;=$C403,O$5&lt;=$D403,$A403&lt;&gt;""),"●","")</x:f>
      </x:c>
      <x:c r="P403" s="165" t="str">
        <x:f>IF(AND(P$5&gt;=$C403,P$5&lt;=$D403,$A403&lt;&gt;""),"●","")</x:f>
      </x:c>
      <x:c r="Q403" s="165" t="str">
        <x:f>IF(AND(Q$5&gt;=$C403,Q$5&lt;=$D403,$A403&lt;&gt;""),"●","")</x:f>
      </x:c>
      <x:c r="R403" s="165" t="str">
        <x:f>IF(AND(R$5&gt;=$C403,R$5&lt;=$D403,$A403&lt;&gt;""),"●","")</x:f>
      </x:c>
      <x:c r="S403" s="165" t="str">
        <x:f>IF(AND(S$5&gt;=$C403,S$5&lt;=$D403,$A403&lt;&gt;""),"●","")</x:f>
      </x:c>
      <x:c r="T403" s="165" t="str">
        <x:f>IF(AND(T$5&gt;=$C403,T$5&lt;=$D403,$A403&lt;&gt;""),"●","")</x:f>
      </x:c>
      <x:c r="U403" s="165" t="str">
        <x:f>IF(AND(U$5&gt;=$C403,U$5&lt;=$D403,$A403&lt;&gt;""),"●","")</x:f>
      </x:c>
      <x:c r="V403" s="165" t="str">
        <x:f>IF(AND(V$5&gt;=$C403,V$5&lt;=$D403,$A403&lt;&gt;""),"●","")</x:f>
      </x:c>
      <x:c r="W403" s="165" t="str">
        <x:f>IF(AND(W$5&gt;=$C403,W$5&lt;=$D403,$A403&lt;&gt;""),"●","")</x:f>
      </x:c>
      <x:c r="X403" s="165" t="str">
        <x:f>IF(AND(X$5&gt;=$C403,X$5&lt;=$D403,$A403&lt;&gt;""),"●","")</x:f>
      </x:c>
      <x:c r="Y403" s="165" t="str">
        <x:f>IF(AND(Y$5&gt;=$C403,Y$5&lt;=$D403,$A403&lt;&gt;""),"●","")</x:f>
      </x:c>
      <x:c r="Z403" s="165" t="str">
        <x:f>IF(AND(Z$5&gt;=$C403,Z$5&lt;=$D403,$A403&lt;&gt;""),"●","")</x:f>
      </x:c>
      <x:c r="AA403" s="165" t="str">
        <x:f>IF(AND(AA$5&gt;=$C403,AA$5&lt;=$D403,$A403&lt;&gt;""),"●","")</x:f>
      </x:c>
      <x:c r="AB403" s="165" t="str">
        <x:f>IF(AND(AB$5&gt;=$C403,AB$5&lt;=$D403,$A403&lt;&gt;""),"●","")</x:f>
      </x:c>
      <x:c r="AC403" s="165" t="str">
        <x:f>IF(AND(AC$5&gt;=$C403,AC$5&lt;=$D403,$A403&lt;&gt;""),"●","")</x:f>
      </x:c>
      <x:c r="AD403" s="165" t="str">
        <x:f>IF(AND(AD$5&gt;=$C403,AD$5&lt;=$D403,$A403&lt;&gt;""),"●","")</x:f>
      </x:c>
      <x:c r="AE403" s="165" t="str">
        <x:f>IF(AND(AE$5&gt;=$C403,AE$5&lt;=$D403,$A403&lt;&gt;""),"●","")</x:f>
      </x:c>
      <x:c r="AF403" s="165" t="str">
        <x:f>IF(AND(AF$5&gt;=$C403,AF$5&lt;=$D403,$A403&lt;&gt;""),"●","")</x:f>
      </x:c>
      <x:c r="AG403" s="165" t="str">
        <x:f>IF(AND(AG$5&gt;=$C403,AG$5&lt;=$D403,$A403&lt;&gt;""),"●","")</x:f>
      </x:c>
      <x:c r="AH403" s="165" t="str">
        <x:f>IF(AND(AH$5&gt;=$C403,AH$5&lt;=$D403,$A403&lt;&gt;""),"●","")</x:f>
      </x:c>
      <x:c r="AI403" s="165" t="str">
        <x:f>IF(AND(AI$5&gt;=$C403,AI$5&lt;=$D403,$A403&lt;&gt;""),"●","")</x:f>
      </x:c>
      <x:c r="AJ403" s="165" t="str">
        <x:f>IF(AND(AJ$5&gt;=$C403,AJ$5&lt;=$D403,$A403&lt;&gt;""),"●","")</x:f>
      </x:c>
      <x:c r="AK403" s="165" t="str">
        <x:f>IF(AND(AK$5&gt;=$C403,AK$5&lt;=$D403,$A403&lt;&gt;""),"●","")</x:f>
      </x:c>
      <x:c r="AL403" s="165" t="str">
        <x:f>IF(AND(AL$5&gt;=$C403,AL$5&lt;=$D403,$A403&lt;&gt;""),"●","")</x:f>
      </x:c>
      <x:c r="AM403" s="165" t="str">
        <x:f>IF(AND(AM$5&gt;=$C403,AM$5&lt;=$D403,$A403&lt;&gt;""),"●","")</x:f>
      </x:c>
      <x:c r="AN403" s="165" t="str">
        <x:f>IF(AND(AN$5&gt;=$C403,AN$5&lt;=$D403,$A403&lt;&gt;""),"●","")</x:f>
      </x:c>
      <x:c r="AO403" s="165" t="str">
        <x:f>IF(AND(AO$5&gt;=$C403,AO$5&lt;=$D403,$A403&lt;&gt;""),"●","")</x:f>
      </x:c>
      <x:c r="AP403" s="165" t="str">
        <x:f>IF(AND(AP$5&gt;=$C403,AP$5&lt;=$D403,$A403&lt;&gt;""),"●","")</x:f>
      </x:c>
      <x:c r="AQ403" s="165" t="str">
        <x:f>IF(AND(AQ$5&gt;=$C403,AQ$5&lt;=$D403,$A403&lt;&gt;""),"●","")</x:f>
      </x:c>
      <x:c r="AR403" s="165" t="str">
        <x:f>IF(AND(AR$5&gt;=$C403,AR$5&lt;=$D403,$A403&lt;&gt;""),"●","")</x:f>
      </x:c>
      <x:c r="AS403" s="165" t="str">
        <x:f>IF(AND(AS$5&gt;=$C403,AS$5&lt;=$D403,$A403&lt;&gt;""),"●","")</x:f>
      </x:c>
      <x:c r="AT403" s="165" t="str">
        <x:f>IF(AND(AT$5&gt;=$C403,AT$5&lt;=$D403,$A403&lt;&gt;""),"●","")</x:f>
      </x:c>
      <x:c r="AU403" s="165" t="str">
        <x:f>IF(AND(AU$5&gt;=$C403,AU$5&lt;=$D403,$A403&lt;&gt;""),"●","")</x:f>
      </x:c>
      <x:c r="AV403" s="165" t="str">
        <x:f>IF(AND(AV$5&gt;=$C403,AV$5&lt;=$D403,$A403&lt;&gt;""),"●","")</x:f>
      </x:c>
      <x:c r="AW403" s="165" t="str">
        <x:f>IF(AND(AW$5&gt;=$C403,AW$5&lt;=$D403,$A403&lt;&gt;""),"●","")</x:f>
      </x:c>
      <x:c r="AX403" s="165" t="str">
        <x:f>IF(AND(AX$5&gt;=$C403,AX$5&lt;=$D403,$A403&lt;&gt;""),"●","")</x:f>
      </x:c>
      <x:c r="AY403" s="165" t="str">
        <x:f>IF(AND(AY$5&gt;=$C403,AY$5&lt;=$D403,$A403&lt;&gt;""),"●","")</x:f>
      </x:c>
      <x:c r="AZ403" s="165" t="str">
        <x:f>IF(AND(AZ$5&gt;=$C403,AZ$5&lt;=$D403,$A403&lt;&gt;""),"●","")</x:f>
      </x:c>
      <x:c r="BA403" s="165" t="str">
        <x:f>IF(AND(BA$5&gt;=$C403,BA$5&lt;=$D403,$A403&lt;&gt;""),"●","")</x:f>
      </x:c>
      <x:c r="BB403" s="165" t="str">
        <x:f>IF(AND(BB$5&gt;=$C403,BB$5&lt;=$D403,$A403&lt;&gt;""),"●","")</x:f>
      </x:c>
      <x:c r="BC403" s="165" t="str">
        <x:f>IF(AND(BC$5&gt;=$C403,BC$5&lt;=$D403,$A403&lt;&gt;""),"●","")</x:f>
      </x:c>
      <x:c r="BD403" s="165" t="str">
        <x:f>IF(AND(BD$5&gt;=$C403,BD$5&lt;=$D403,$A403&lt;&gt;""),"●","")</x:f>
      </x:c>
      <x:c r="BE403" s="165" t="str">
        <x:f>IF(AND(BE$5&gt;=$C403,BE$5&lt;=$D403,$A403&lt;&gt;""),"●","")</x:f>
      </x:c>
      <x:c r="BF403" s="165" t="str">
        <x:f>IF(AND(BF$5&gt;=$C403,BF$5&lt;=$D403,$A403&lt;&gt;""),"●","")</x:f>
      </x:c>
      <x:c r="BG403" s="165" t="str">
        <x:f>IF(AND(BG$5&gt;=$C403,BG$5&lt;=$D403,$A403&lt;&gt;""),"●","")</x:f>
      </x:c>
      <x:c r="BH403" s="165" t="str">
        <x:f>IF(AND(BH$5&gt;=$C403,BH$5&lt;=$D403,$A403&lt;&gt;""),"●","")</x:f>
      </x:c>
      <x:c r="BI403" s="165" t="str">
        <x:f>IF(AND(BI$5&gt;=$C403,BI$5&lt;=$D403,$A403&lt;&gt;""),"●","")</x:f>
      </x:c>
      <x:c r="BJ403" s="165" t="str">
        <x:f>IF(AND(BJ$5&gt;=$C403,BJ$5&lt;=$D403,$A403&lt;&gt;""),"●","")</x:f>
      </x:c>
      <x:c r="BK403" s="165" t="str">
        <x:f>IF(AND(BK$5&gt;=$C403,BK$5&lt;=$D403,$A403&lt;&gt;""),"●","")</x:f>
      </x:c>
      <x:c r="BL403" s="165" t="str">
        <x:f>IF(AND(BL$5&gt;=$C403,BL$5&lt;=$D403,$A403&lt;&gt;""),"●","")</x:f>
      </x:c>
      <x:c r="BM403" s="165" t="str">
        <x:f>IF(AND(BM$5&gt;=$C403,BM$5&lt;=$D403,$A403&lt;&gt;""),"●","")</x:f>
      </x:c>
      <x:c r="BN403" s="165" t="str">
        <x:f>IF(AND(BN$5&gt;=$C403,BN$5&lt;=$D403,$A403&lt;&gt;""),"●","")</x:f>
      </x:c>
      <x:c r="BO403" s="165" t="str">
        <x:f>IF(AND(BO$5&gt;=$C403,BO$5&lt;=$D403,$A403&lt;&gt;""),"●","")</x:f>
      </x:c>
      <x:c r="BP403" s="165" t="str">
        <x:f>IF(AND(BP$5&gt;=$C403,BP$5&lt;=$D403,$A403&lt;&gt;""),"●","")</x:f>
      </x:c>
      <x:c r="BQ403" s="165" t="str">
        <x:f>IF(AND(BQ$5&gt;=$C403,BQ$5&lt;=$D403,$A403&lt;&gt;""),"●","")</x:f>
      </x:c>
      <x:c r="BR403" s="165" t="str">
        <x:f>IF(AND(BR$5&gt;=$C403,BR$5&lt;=$D403,$A403&lt;&gt;""),"●","")</x:f>
      </x:c>
      <x:c r="BS403" s="165" t="str">
        <x:f>IF(AND(BS$5&gt;=$C403,BS$5&lt;=$D403,$A403&lt;&gt;""),"●","")</x:f>
      </x:c>
      <x:c r="BT403" s="165" t="str">
        <x:f>IF(AND(BT$5&gt;=$C403,BT$5&lt;=$D403,$A403&lt;&gt;""),"●","")</x:f>
      </x:c>
      <x:c r="BU403" s="165" t="str">
        <x:f>IF(AND(BU$5&gt;=$C403,BU$5&lt;=$D403,$A403&lt;&gt;""),"●","")</x:f>
      </x:c>
      <x:c r="BV403" s="165" t="str">
        <x:f>IF(AND(BV$5&gt;=$C403,BV$5&lt;=$D403,$A403&lt;&gt;""),"●","")</x:f>
      </x:c>
      <x:c r="BW403" s="165" t="str">
        <x:f>IF(AND(BW$5&gt;=$C403,BW$5&lt;=$D403,$A403&lt;&gt;""),"●","")</x:f>
      </x:c>
    </x:row>
    <x:row r="404">
      <x:c r="A404" s="159" t="str">
        <x:f>IF('รายการสัญญา'!A404="","",'รายการสัญญา'!A404)</x:f>
      </x:c>
      <x:c r="B404" s="159" t="str">
        <x:f>IF('รายการสัญญา'!A404="","",'รายการสัญญา'!C404)</x:f>
      </x:c>
      <x:c r="C404" s="162" t="str">
        <x:f>IF('รายการสัญญา'!A404="","",'รายการสัญญา'!E404)</x:f>
      </x:c>
      <x:c r="D404" s="162" t="str">
        <x:f>IF('รายการสัญญา'!A404="","",'รายการสัญญา'!G404)</x:f>
      </x:c>
      <x:c r="E404" s="159" t="str">
        <x:f>IF('รายการสัญญา'!A404="","",'รายการสัญญา'!K404)</x:f>
      </x:c>
      <x:c r="F404" s="165" t="str">
        <x:f>IF(AND(F$5&gt;=$C404,F$5&lt;=$D404,$A404&lt;&gt;""),"●","")</x:f>
      </x:c>
      <x:c r="G404" s="165" t="str">
        <x:f>IF(AND(G$5&gt;=$C404,G$5&lt;=$D404,$A404&lt;&gt;""),"●","")</x:f>
      </x:c>
      <x:c r="H404" s="165" t="str">
        <x:f>IF(AND(H$5&gt;=$C404,H$5&lt;=$D404,$A404&lt;&gt;""),"●","")</x:f>
      </x:c>
      <x:c r="I404" s="165" t="str">
        <x:f>IF(AND(I$5&gt;=$C404,I$5&lt;=$D404,$A404&lt;&gt;""),"●","")</x:f>
      </x:c>
      <x:c r="J404" s="165" t="str">
        <x:f>IF(AND(J$5&gt;=$C404,J$5&lt;=$D404,$A404&lt;&gt;""),"●","")</x:f>
      </x:c>
      <x:c r="K404" s="165" t="str">
        <x:f>IF(AND(K$5&gt;=$C404,K$5&lt;=$D404,$A404&lt;&gt;""),"●","")</x:f>
      </x:c>
      <x:c r="L404" s="165" t="str">
        <x:f>IF(AND(L$5&gt;=$C404,L$5&lt;=$D404,$A404&lt;&gt;""),"●","")</x:f>
      </x:c>
      <x:c r="M404" s="165" t="str">
        <x:f>IF(AND(M$5&gt;=$C404,M$5&lt;=$D404,$A404&lt;&gt;""),"●","")</x:f>
      </x:c>
      <x:c r="N404" s="165" t="str">
        <x:f>IF(AND(N$5&gt;=$C404,N$5&lt;=$D404,$A404&lt;&gt;""),"●","")</x:f>
      </x:c>
      <x:c r="O404" s="165" t="str">
        <x:f>IF(AND(O$5&gt;=$C404,O$5&lt;=$D404,$A404&lt;&gt;""),"●","")</x:f>
      </x:c>
      <x:c r="P404" s="165" t="str">
        <x:f>IF(AND(P$5&gt;=$C404,P$5&lt;=$D404,$A404&lt;&gt;""),"●","")</x:f>
      </x:c>
      <x:c r="Q404" s="165" t="str">
        <x:f>IF(AND(Q$5&gt;=$C404,Q$5&lt;=$D404,$A404&lt;&gt;""),"●","")</x:f>
      </x:c>
      <x:c r="R404" s="165" t="str">
        <x:f>IF(AND(R$5&gt;=$C404,R$5&lt;=$D404,$A404&lt;&gt;""),"●","")</x:f>
      </x:c>
      <x:c r="S404" s="165" t="str">
        <x:f>IF(AND(S$5&gt;=$C404,S$5&lt;=$D404,$A404&lt;&gt;""),"●","")</x:f>
      </x:c>
      <x:c r="T404" s="165" t="str">
        <x:f>IF(AND(T$5&gt;=$C404,T$5&lt;=$D404,$A404&lt;&gt;""),"●","")</x:f>
      </x:c>
      <x:c r="U404" s="165" t="str">
        <x:f>IF(AND(U$5&gt;=$C404,U$5&lt;=$D404,$A404&lt;&gt;""),"●","")</x:f>
      </x:c>
      <x:c r="V404" s="165" t="str">
        <x:f>IF(AND(V$5&gt;=$C404,V$5&lt;=$D404,$A404&lt;&gt;""),"●","")</x:f>
      </x:c>
      <x:c r="W404" s="165" t="str">
        <x:f>IF(AND(W$5&gt;=$C404,W$5&lt;=$D404,$A404&lt;&gt;""),"●","")</x:f>
      </x:c>
      <x:c r="X404" s="165" t="str">
        <x:f>IF(AND(X$5&gt;=$C404,X$5&lt;=$D404,$A404&lt;&gt;""),"●","")</x:f>
      </x:c>
      <x:c r="Y404" s="165" t="str">
        <x:f>IF(AND(Y$5&gt;=$C404,Y$5&lt;=$D404,$A404&lt;&gt;""),"●","")</x:f>
      </x:c>
      <x:c r="Z404" s="165" t="str">
        <x:f>IF(AND(Z$5&gt;=$C404,Z$5&lt;=$D404,$A404&lt;&gt;""),"●","")</x:f>
      </x:c>
      <x:c r="AA404" s="165" t="str">
        <x:f>IF(AND(AA$5&gt;=$C404,AA$5&lt;=$D404,$A404&lt;&gt;""),"●","")</x:f>
      </x:c>
      <x:c r="AB404" s="165" t="str">
        <x:f>IF(AND(AB$5&gt;=$C404,AB$5&lt;=$D404,$A404&lt;&gt;""),"●","")</x:f>
      </x:c>
      <x:c r="AC404" s="165" t="str">
        <x:f>IF(AND(AC$5&gt;=$C404,AC$5&lt;=$D404,$A404&lt;&gt;""),"●","")</x:f>
      </x:c>
      <x:c r="AD404" s="165" t="str">
        <x:f>IF(AND(AD$5&gt;=$C404,AD$5&lt;=$D404,$A404&lt;&gt;""),"●","")</x:f>
      </x:c>
      <x:c r="AE404" s="165" t="str">
        <x:f>IF(AND(AE$5&gt;=$C404,AE$5&lt;=$D404,$A404&lt;&gt;""),"●","")</x:f>
      </x:c>
      <x:c r="AF404" s="165" t="str">
        <x:f>IF(AND(AF$5&gt;=$C404,AF$5&lt;=$D404,$A404&lt;&gt;""),"●","")</x:f>
      </x:c>
      <x:c r="AG404" s="165" t="str">
        <x:f>IF(AND(AG$5&gt;=$C404,AG$5&lt;=$D404,$A404&lt;&gt;""),"●","")</x:f>
      </x:c>
      <x:c r="AH404" s="165" t="str">
        <x:f>IF(AND(AH$5&gt;=$C404,AH$5&lt;=$D404,$A404&lt;&gt;""),"●","")</x:f>
      </x:c>
      <x:c r="AI404" s="165" t="str">
        <x:f>IF(AND(AI$5&gt;=$C404,AI$5&lt;=$D404,$A404&lt;&gt;""),"●","")</x:f>
      </x:c>
      <x:c r="AJ404" s="165" t="str">
        <x:f>IF(AND(AJ$5&gt;=$C404,AJ$5&lt;=$D404,$A404&lt;&gt;""),"●","")</x:f>
      </x:c>
      <x:c r="AK404" s="165" t="str">
        <x:f>IF(AND(AK$5&gt;=$C404,AK$5&lt;=$D404,$A404&lt;&gt;""),"●","")</x:f>
      </x:c>
      <x:c r="AL404" s="165" t="str">
        <x:f>IF(AND(AL$5&gt;=$C404,AL$5&lt;=$D404,$A404&lt;&gt;""),"●","")</x:f>
      </x:c>
      <x:c r="AM404" s="165" t="str">
        <x:f>IF(AND(AM$5&gt;=$C404,AM$5&lt;=$D404,$A404&lt;&gt;""),"●","")</x:f>
      </x:c>
      <x:c r="AN404" s="165" t="str">
        <x:f>IF(AND(AN$5&gt;=$C404,AN$5&lt;=$D404,$A404&lt;&gt;""),"●","")</x:f>
      </x:c>
      <x:c r="AO404" s="165" t="str">
        <x:f>IF(AND(AO$5&gt;=$C404,AO$5&lt;=$D404,$A404&lt;&gt;""),"●","")</x:f>
      </x:c>
      <x:c r="AP404" s="165" t="str">
        <x:f>IF(AND(AP$5&gt;=$C404,AP$5&lt;=$D404,$A404&lt;&gt;""),"●","")</x:f>
      </x:c>
      <x:c r="AQ404" s="165" t="str">
        <x:f>IF(AND(AQ$5&gt;=$C404,AQ$5&lt;=$D404,$A404&lt;&gt;""),"●","")</x:f>
      </x:c>
      <x:c r="AR404" s="165" t="str">
        <x:f>IF(AND(AR$5&gt;=$C404,AR$5&lt;=$D404,$A404&lt;&gt;""),"●","")</x:f>
      </x:c>
      <x:c r="AS404" s="165" t="str">
        <x:f>IF(AND(AS$5&gt;=$C404,AS$5&lt;=$D404,$A404&lt;&gt;""),"●","")</x:f>
      </x:c>
      <x:c r="AT404" s="165" t="str">
        <x:f>IF(AND(AT$5&gt;=$C404,AT$5&lt;=$D404,$A404&lt;&gt;""),"●","")</x:f>
      </x:c>
      <x:c r="AU404" s="165" t="str">
        <x:f>IF(AND(AU$5&gt;=$C404,AU$5&lt;=$D404,$A404&lt;&gt;""),"●","")</x:f>
      </x:c>
      <x:c r="AV404" s="165" t="str">
        <x:f>IF(AND(AV$5&gt;=$C404,AV$5&lt;=$D404,$A404&lt;&gt;""),"●","")</x:f>
      </x:c>
      <x:c r="AW404" s="165" t="str">
        <x:f>IF(AND(AW$5&gt;=$C404,AW$5&lt;=$D404,$A404&lt;&gt;""),"●","")</x:f>
      </x:c>
      <x:c r="AX404" s="165" t="str">
        <x:f>IF(AND(AX$5&gt;=$C404,AX$5&lt;=$D404,$A404&lt;&gt;""),"●","")</x:f>
      </x:c>
      <x:c r="AY404" s="165" t="str">
        <x:f>IF(AND(AY$5&gt;=$C404,AY$5&lt;=$D404,$A404&lt;&gt;""),"●","")</x:f>
      </x:c>
      <x:c r="AZ404" s="165" t="str">
        <x:f>IF(AND(AZ$5&gt;=$C404,AZ$5&lt;=$D404,$A404&lt;&gt;""),"●","")</x:f>
      </x:c>
      <x:c r="BA404" s="165" t="str">
        <x:f>IF(AND(BA$5&gt;=$C404,BA$5&lt;=$D404,$A404&lt;&gt;""),"●","")</x:f>
      </x:c>
      <x:c r="BB404" s="165" t="str">
        <x:f>IF(AND(BB$5&gt;=$C404,BB$5&lt;=$D404,$A404&lt;&gt;""),"●","")</x:f>
      </x:c>
      <x:c r="BC404" s="165" t="str">
        <x:f>IF(AND(BC$5&gt;=$C404,BC$5&lt;=$D404,$A404&lt;&gt;""),"●","")</x:f>
      </x:c>
      <x:c r="BD404" s="165" t="str">
        <x:f>IF(AND(BD$5&gt;=$C404,BD$5&lt;=$D404,$A404&lt;&gt;""),"●","")</x:f>
      </x:c>
      <x:c r="BE404" s="165" t="str">
        <x:f>IF(AND(BE$5&gt;=$C404,BE$5&lt;=$D404,$A404&lt;&gt;""),"●","")</x:f>
      </x:c>
      <x:c r="BF404" s="165" t="str">
        <x:f>IF(AND(BF$5&gt;=$C404,BF$5&lt;=$D404,$A404&lt;&gt;""),"●","")</x:f>
      </x:c>
      <x:c r="BG404" s="165" t="str">
        <x:f>IF(AND(BG$5&gt;=$C404,BG$5&lt;=$D404,$A404&lt;&gt;""),"●","")</x:f>
      </x:c>
      <x:c r="BH404" s="165" t="str">
        <x:f>IF(AND(BH$5&gt;=$C404,BH$5&lt;=$D404,$A404&lt;&gt;""),"●","")</x:f>
      </x:c>
      <x:c r="BI404" s="165" t="str">
        <x:f>IF(AND(BI$5&gt;=$C404,BI$5&lt;=$D404,$A404&lt;&gt;""),"●","")</x:f>
      </x:c>
      <x:c r="BJ404" s="165" t="str">
        <x:f>IF(AND(BJ$5&gt;=$C404,BJ$5&lt;=$D404,$A404&lt;&gt;""),"●","")</x:f>
      </x:c>
      <x:c r="BK404" s="165" t="str">
        <x:f>IF(AND(BK$5&gt;=$C404,BK$5&lt;=$D404,$A404&lt;&gt;""),"●","")</x:f>
      </x:c>
      <x:c r="BL404" s="165" t="str">
        <x:f>IF(AND(BL$5&gt;=$C404,BL$5&lt;=$D404,$A404&lt;&gt;""),"●","")</x:f>
      </x:c>
      <x:c r="BM404" s="165" t="str">
        <x:f>IF(AND(BM$5&gt;=$C404,BM$5&lt;=$D404,$A404&lt;&gt;""),"●","")</x:f>
      </x:c>
      <x:c r="BN404" s="165" t="str">
        <x:f>IF(AND(BN$5&gt;=$C404,BN$5&lt;=$D404,$A404&lt;&gt;""),"●","")</x:f>
      </x:c>
      <x:c r="BO404" s="165" t="str">
        <x:f>IF(AND(BO$5&gt;=$C404,BO$5&lt;=$D404,$A404&lt;&gt;""),"●","")</x:f>
      </x:c>
      <x:c r="BP404" s="165" t="str">
        <x:f>IF(AND(BP$5&gt;=$C404,BP$5&lt;=$D404,$A404&lt;&gt;""),"●","")</x:f>
      </x:c>
      <x:c r="BQ404" s="165" t="str">
        <x:f>IF(AND(BQ$5&gt;=$C404,BQ$5&lt;=$D404,$A404&lt;&gt;""),"●","")</x:f>
      </x:c>
      <x:c r="BR404" s="165" t="str">
        <x:f>IF(AND(BR$5&gt;=$C404,BR$5&lt;=$D404,$A404&lt;&gt;""),"●","")</x:f>
      </x:c>
      <x:c r="BS404" s="165" t="str">
        <x:f>IF(AND(BS$5&gt;=$C404,BS$5&lt;=$D404,$A404&lt;&gt;""),"●","")</x:f>
      </x:c>
      <x:c r="BT404" s="165" t="str">
        <x:f>IF(AND(BT$5&gt;=$C404,BT$5&lt;=$D404,$A404&lt;&gt;""),"●","")</x:f>
      </x:c>
      <x:c r="BU404" s="165" t="str">
        <x:f>IF(AND(BU$5&gt;=$C404,BU$5&lt;=$D404,$A404&lt;&gt;""),"●","")</x:f>
      </x:c>
      <x:c r="BV404" s="165" t="str">
        <x:f>IF(AND(BV$5&gt;=$C404,BV$5&lt;=$D404,$A404&lt;&gt;""),"●","")</x:f>
      </x:c>
      <x:c r="BW404" s="165" t="str">
        <x:f>IF(AND(BW$5&gt;=$C404,BW$5&lt;=$D404,$A404&lt;&gt;""),"●","")</x:f>
      </x:c>
    </x:row>
    <x:row r="405">
      <x:c r="A405" s="159" t="str">
        <x:f>IF('รายการสัญญา'!A405="","",'รายการสัญญา'!A405)</x:f>
      </x:c>
      <x:c r="B405" s="159" t="str">
        <x:f>IF('รายการสัญญา'!A405="","",'รายการสัญญา'!C405)</x:f>
      </x:c>
      <x:c r="C405" s="162" t="str">
        <x:f>IF('รายการสัญญา'!A405="","",'รายการสัญญา'!E405)</x:f>
      </x:c>
      <x:c r="D405" s="162" t="str">
        <x:f>IF('รายการสัญญา'!A405="","",'รายการสัญญา'!G405)</x:f>
      </x:c>
      <x:c r="E405" s="159" t="str">
        <x:f>IF('รายการสัญญา'!A405="","",'รายการสัญญา'!K405)</x:f>
      </x:c>
      <x:c r="F405" s="165" t="str">
        <x:f>IF(AND(F$5&gt;=$C405,F$5&lt;=$D405,$A405&lt;&gt;""),"●","")</x:f>
      </x:c>
      <x:c r="G405" s="165" t="str">
        <x:f>IF(AND(G$5&gt;=$C405,G$5&lt;=$D405,$A405&lt;&gt;""),"●","")</x:f>
      </x:c>
      <x:c r="H405" s="165" t="str">
        <x:f>IF(AND(H$5&gt;=$C405,H$5&lt;=$D405,$A405&lt;&gt;""),"●","")</x:f>
      </x:c>
      <x:c r="I405" s="165" t="str">
        <x:f>IF(AND(I$5&gt;=$C405,I$5&lt;=$D405,$A405&lt;&gt;""),"●","")</x:f>
      </x:c>
      <x:c r="J405" s="165" t="str">
        <x:f>IF(AND(J$5&gt;=$C405,J$5&lt;=$D405,$A405&lt;&gt;""),"●","")</x:f>
      </x:c>
      <x:c r="K405" s="165" t="str">
        <x:f>IF(AND(K$5&gt;=$C405,K$5&lt;=$D405,$A405&lt;&gt;""),"●","")</x:f>
      </x:c>
      <x:c r="L405" s="165" t="str">
        <x:f>IF(AND(L$5&gt;=$C405,L$5&lt;=$D405,$A405&lt;&gt;""),"●","")</x:f>
      </x:c>
      <x:c r="M405" s="165" t="str">
        <x:f>IF(AND(M$5&gt;=$C405,M$5&lt;=$D405,$A405&lt;&gt;""),"●","")</x:f>
      </x:c>
      <x:c r="N405" s="165" t="str">
        <x:f>IF(AND(N$5&gt;=$C405,N$5&lt;=$D405,$A405&lt;&gt;""),"●","")</x:f>
      </x:c>
      <x:c r="O405" s="165" t="str">
        <x:f>IF(AND(O$5&gt;=$C405,O$5&lt;=$D405,$A405&lt;&gt;""),"●","")</x:f>
      </x:c>
      <x:c r="P405" s="165" t="str">
        <x:f>IF(AND(P$5&gt;=$C405,P$5&lt;=$D405,$A405&lt;&gt;""),"●","")</x:f>
      </x:c>
      <x:c r="Q405" s="165" t="str">
        <x:f>IF(AND(Q$5&gt;=$C405,Q$5&lt;=$D405,$A405&lt;&gt;""),"●","")</x:f>
      </x:c>
      <x:c r="R405" s="165" t="str">
        <x:f>IF(AND(R$5&gt;=$C405,R$5&lt;=$D405,$A405&lt;&gt;""),"●","")</x:f>
      </x:c>
      <x:c r="S405" s="165" t="str">
        <x:f>IF(AND(S$5&gt;=$C405,S$5&lt;=$D405,$A405&lt;&gt;""),"●","")</x:f>
      </x:c>
      <x:c r="T405" s="165" t="str">
        <x:f>IF(AND(T$5&gt;=$C405,T$5&lt;=$D405,$A405&lt;&gt;""),"●","")</x:f>
      </x:c>
      <x:c r="U405" s="165" t="str">
        <x:f>IF(AND(U$5&gt;=$C405,U$5&lt;=$D405,$A405&lt;&gt;""),"●","")</x:f>
      </x:c>
      <x:c r="V405" s="165" t="str">
        <x:f>IF(AND(V$5&gt;=$C405,V$5&lt;=$D405,$A405&lt;&gt;""),"●","")</x:f>
      </x:c>
      <x:c r="W405" s="165" t="str">
        <x:f>IF(AND(W$5&gt;=$C405,W$5&lt;=$D405,$A405&lt;&gt;""),"●","")</x:f>
      </x:c>
      <x:c r="X405" s="165" t="str">
        <x:f>IF(AND(X$5&gt;=$C405,X$5&lt;=$D405,$A405&lt;&gt;""),"●","")</x:f>
      </x:c>
      <x:c r="Y405" s="165" t="str">
        <x:f>IF(AND(Y$5&gt;=$C405,Y$5&lt;=$D405,$A405&lt;&gt;""),"●","")</x:f>
      </x:c>
      <x:c r="Z405" s="165" t="str">
        <x:f>IF(AND(Z$5&gt;=$C405,Z$5&lt;=$D405,$A405&lt;&gt;""),"●","")</x:f>
      </x:c>
      <x:c r="AA405" s="165" t="str">
        <x:f>IF(AND(AA$5&gt;=$C405,AA$5&lt;=$D405,$A405&lt;&gt;""),"●","")</x:f>
      </x:c>
      <x:c r="AB405" s="165" t="str">
        <x:f>IF(AND(AB$5&gt;=$C405,AB$5&lt;=$D405,$A405&lt;&gt;""),"●","")</x:f>
      </x:c>
      <x:c r="AC405" s="165" t="str">
        <x:f>IF(AND(AC$5&gt;=$C405,AC$5&lt;=$D405,$A405&lt;&gt;""),"●","")</x:f>
      </x:c>
      <x:c r="AD405" s="165" t="str">
        <x:f>IF(AND(AD$5&gt;=$C405,AD$5&lt;=$D405,$A405&lt;&gt;""),"●","")</x:f>
      </x:c>
      <x:c r="AE405" s="165" t="str">
        <x:f>IF(AND(AE$5&gt;=$C405,AE$5&lt;=$D405,$A405&lt;&gt;""),"●","")</x:f>
      </x:c>
      <x:c r="AF405" s="165" t="str">
        <x:f>IF(AND(AF$5&gt;=$C405,AF$5&lt;=$D405,$A405&lt;&gt;""),"●","")</x:f>
      </x:c>
      <x:c r="AG405" s="165" t="str">
        <x:f>IF(AND(AG$5&gt;=$C405,AG$5&lt;=$D405,$A405&lt;&gt;""),"●","")</x:f>
      </x:c>
      <x:c r="AH405" s="165" t="str">
        <x:f>IF(AND(AH$5&gt;=$C405,AH$5&lt;=$D405,$A405&lt;&gt;""),"●","")</x:f>
      </x:c>
      <x:c r="AI405" s="165" t="str">
        <x:f>IF(AND(AI$5&gt;=$C405,AI$5&lt;=$D405,$A405&lt;&gt;""),"●","")</x:f>
      </x:c>
      <x:c r="AJ405" s="165" t="str">
        <x:f>IF(AND(AJ$5&gt;=$C405,AJ$5&lt;=$D405,$A405&lt;&gt;""),"●","")</x:f>
      </x:c>
      <x:c r="AK405" s="165" t="str">
        <x:f>IF(AND(AK$5&gt;=$C405,AK$5&lt;=$D405,$A405&lt;&gt;""),"●","")</x:f>
      </x:c>
      <x:c r="AL405" s="165" t="str">
        <x:f>IF(AND(AL$5&gt;=$C405,AL$5&lt;=$D405,$A405&lt;&gt;""),"●","")</x:f>
      </x:c>
      <x:c r="AM405" s="165" t="str">
        <x:f>IF(AND(AM$5&gt;=$C405,AM$5&lt;=$D405,$A405&lt;&gt;""),"●","")</x:f>
      </x:c>
      <x:c r="AN405" s="165" t="str">
        <x:f>IF(AND(AN$5&gt;=$C405,AN$5&lt;=$D405,$A405&lt;&gt;""),"●","")</x:f>
      </x:c>
      <x:c r="AO405" s="165" t="str">
        <x:f>IF(AND(AO$5&gt;=$C405,AO$5&lt;=$D405,$A405&lt;&gt;""),"●","")</x:f>
      </x:c>
      <x:c r="AP405" s="165" t="str">
        <x:f>IF(AND(AP$5&gt;=$C405,AP$5&lt;=$D405,$A405&lt;&gt;""),"●","")</x:f>
      </x:c>
      <x:c r="AQ405" s="165" t="str">
        <x:f>IF(AND(AQ$5&gt;=$C405,AQ$5&lt;=$D405,$A405&lt;&gt;""),"●","")</x:f>
      </x:c>
      <x:c r="AR405" s="165" t="str">
        <x:f>IF(AND(AR$5&gt;=$C405,AR$5&lt;=$D405,$A405&lt;&gt;""),"●","")</x:f>
      </x:c>
      <x:c r="AS405" s="165" t="str">
        <x:f>IF(AND(AS$5&gt;=$C405,AS$5&lt;=$D405,$A405&lt;&gt;""),"●","")</x:f>
      </x:c>
      <x:c r="AT405" s="165" t="str">
        <x:f>IF(AND(AT$5&gt;=$C405,AT$5&lt;=$D405,$A405&lt;&gt;""),"●","")</x:f>
      </x:c>
      <x:c r="AU405" s="165" t="str">
        <x:f>IF(AND(AU$5&gt;=$C405,AU$5&lt;=$D405,$A405&lt;&gt;""),"●","")</x:f>
      </x:c>
      <x:c r="AV405" s="165" t="str">
        <x:f>IF(AND(AV$5&gt;=$C405,AV$5&lt;=$D405,$A405&lt;&gt;""),"●","")</x:f>
      </x:c>
      <x:c r="AW405" s="165" t="str">
        <x:f>IF(AND(AW$5&gt;=$C405,AW$5&lt;=$D405,$A405&lt;&gt;""),"●","")</x:f>
      </x:c>
      <x:c r="AX405" s="165" t="str">
        <x:f>IF(AND(AX$5&gt;=$C405,AX$5&lt;=$D405,$A405&lt;&gt;""),"●","")</x:f>
      </x:c>
      <x:c r="AY405" s="165" t="str">
        <x:f>IF(AND(AY$5&gt;=$C405,AY$5&lt;=$D405,$A405&lt;&gt;""),"●","")</x:f>
      </x:c>
      <x:c r="AZ405" s="165" t="str">
        <x:f>IF(AND(AZ$5&gt;=$C405,AZ$5&lt;=$D405,$A405&lt;&gt;""),"●","")</x:f>
      </x:c>
      <x:c r="BA405" s="165" t="str">
        <x:f>IF(AND(BA$5&gt;=$C405,BA$5&lt;=$D405,$A405&lt;&gt;""),"●","")</x:f>
      </x:c>
      <x:c r="BB405" s="165" t="str">
        <x:f>IF(AND(BB$5&gt;=$C405,BB$5&lt;=$D405,$A405&lt;&gt;""),"●","")</x:f>
      </x:c>
      <x:c r="BC405" s="165" t="str">
        <x:f>IF(AND(BC$5&gt;=$C405,BC$5&lt;=$D405,$A405&lt;&gt;""),"●","")</x:f>
      </x:c>
      <x:c r="BD405" s="165" t="str">
        <x:f>IF(AND(BD$5&gt;=$C405,BD$5&lt;=$D405,$A405&lt;&gt;""),"●","")</x:f>
      </x:c>
      <x:c r="BE405" s="165" t="str">
        <x:f>IF(AND(BE$5&gt;=$C405,BE$5&lt;=$D405,$A405&lt;&gt;""),"●","")</x:f>
      </x:c>
      <x:c r="BF405" s="165" t="str">
        <x:f>IF(AND(BF$5&gt;=$C405,BF$5&lt;=$D405,$A405&lt;&gt;""),"●","")</x:f>
      </x:c>
      <x:c r="BG405" s="165" t="str">
        <x:f>IF(AND(BG$5&gt;=$C405,BG$5&lt;=$D405,$A405&lt;&gt;""),"●","")</x:f>
      </x:c>
      <x:c r="BH405" s="165" t="str">
        <x:f>IF(AND(BH$5&gt;=$C405,BH$5&lt;=$D405,$A405&lt;&gt;""),"●","")</x:f>
      </x:c>
      <x:c r="BI405" s="165" t="str">
        <x:f>IF(AND(BI$5&gt;=$C405,BI$5&lt;=$D405,$A405&lt;&gt;""),"●","")</x:f>
      </x:c>
      <x:c r="BJ405" s="165" t="str">
        <x:f>IF(AND(BJ$5&gt;=$C405,BJ$5&lt;=$D405,$A405&lt;&gt;""),"●","")</x:f>
      </x:c>
      <x:c r="BK405" s="165" t="str">
        <x:f>IF(AND(BK$5&gt;=$C405,BK$5&lt;=$D405,$A405&lt;&gt;""),"●","")</x:f>
      </x:c>
      <x:c r="BL405" s="165" t="str">
        <x:f>IF(AND(BL$5&gt;=$C405,BL$5&lt;=$D405,$A405&lt;&gt;""),"●","")</x:f>
      </x:c>
      <x:c r="BM405" s="165" t="str">
        <x:f>IF(AND(BM$5&gt;=$C405,BM$5&lt;=$D405,$A405&lt;&gt;""),"●","")</x:f>
      </x:c>
      <x:c r="BN405" s="165" t="str">
        <x:f>IF(AND(BN$5&gt;=$C405,BN$5&lt;=$D405,$A405&lt;&gt;""),"●","")</x:f>
      </x:c>
      <x:c r="BO405" s="165" t="str">
        <x:f>IF(AND(BO$5&gt;=$C405,BO$5&lt;=$D405,$A405&lt;&gt;""),"●","")</x:f>
      </x:c>
      <x:c r="BP405" s="165" t="str">
        <x:f>IF(AND(BP$5&gt;=$C405,BP$5&lt;=$D405,$A405&lt;&gt;""),"●","")</x:f>
      </x:c>
      <x:c r="BQ405" s="165" t="str">
        <x:f>IF(AND(BQ$5&gt;=$C405,BQ$5&lt;=$D405,$A405&lt;&gt;""),"●","")</x:f>
      </x:c>
      <x:c r="BR405" s="165" t="str">
        <x:f>IF(AND(BR$5&gt;=$C405,BR$5&lt;=$D405,$A405&lt;&gt;""),"●","")</x:f>
      </x:c>
      <x:c r="BS405" s="165" t="str">
        <x:f>IF(AND(BS$5&gt;=$C405,BS$5&lt;=$D405,$A405&lt;&gt;""),"●","")</x:f>
      </x:c>
      <x:c r="BT405" s="165" t="str">
        <x:f>IF(AND(BT$5&gt;=$C405,BT$5&lt;=$D405,$A405&lt;&gt;""),"●","")</x:f>
      </x:c>
      <x:c r="BU405" s="165" t="str">
        <x:f>IF(AND(BU$5&gt;=$C405,BU$5&lt;=$D405,$A405&lt;&gt;""),"●","")</x:f>
      </x:c>
      <x:c r="BV405" s="165" t="str">
        <x:f>IF(AND(BV$5&gt;=$C405,BV$5&lt;=$D405,$A405&lt;&gt;""),"●","")</x:f>
      </x:c>
      <x:c r="BW405" s="165" t="str">
        <x:f>IF(AND(BW$5&gt;=$C405,BW$5&lt;=$D405,$A405&lt;&gt;""),"●","")</x:f>
      </x:c>
    </x:row>
    <x:row r="406">
      <x:c r="A406" s="159" t="str">
        <x:f>IF('รายการสัญญา'!A406="","",'รายการสัญญา'!A406)</x:f>
      </x:c>
      <x:c r="B406" s="159" t="str">
        <x:f>IF('รายการสัญญา'!A406="","",'รายการสัญญา'!C406)</x:f>
      </x:c>
      <x:c r="C406" s="162" t="str">
        <x:f>IF('รายการสัญญา'!A406="","",'รายการสัญญา'!E406)</x:f>
      </x:c>
      <x:c r="D406" s="162" t="str">
        <x:f>IF('รายการสัญญา'!A406="","",'รายการสัญญา'!G406)</x:f>
      </x:c>
      <x:c r="E406" s="159" t="str">
        <x:f>IF('รายการสัญญา'!A406="","",'รายการสัญญา'!K406)</x:f>
      </x:c>
      <x:c r="F406" s="165" t="str">
        <x:f>IF(AND(F$5&gt;=$C406,F$5&lt;=$D406,$A406&lt;&gt;""),"●","")</x:f>
      </x:c>
      <x:c r="G406" s="165" t="str">
        <x:f>IF(AND(G$5&gt;=$C406,G$5&lt;=$D406,$A406&lt;&gt;""),"●","")</x:f>
      </x:c>
      <x:c r="H406" s="165" t="str">
        <x:f>IF(AND(H$5&gt;=$C406,H$5&lt;=$D406,$A406&lt;&gt;""),"●","")</x:f>
      </x:c>
      <x:c r="I406" s="165" t="str">
        <x:f>IF(AND(I$5&gt;=$C406,I$5&lt;=$D406,$A406&lt;&gt;""),"●","")</x:f>
      </x:c>
      <x:c r="J406" s="165" t="str">
        <x:f>IF(AND(J$5&gt;=$C406,J$5&lt;=$D406,$A406&lt;&gt;""),"●","")</x:f>
      </x:c>
      <x:c r="K406" s="165" t="str">
        <x:f>IF(AND(K$5&gt;=$C406,K$5&lt;=$D406,$A406&lt;&gt;""),"●","")</x:f>
      </x:c>
      <x:c r="L406" s="165" t="str">
        <x:f>IF(AND(L$5&gt;=$C406,L$5&lt;=$D406,$A406&lt;&gt;""),"●","")</x:f>
      </x:c>
      <x:c r="M406" s="165" t="str">
        <x:f>IF(AND(M$5&gt;=$C406,M$5&lt;=$D406,$A406&lt;&gt;""),"●","")</x:f>
      </x:c>
      <x:c r="N406" s="165" t="str">
        <x:f>IF(AND(N$5&gt;=$C406,N$5&lt;=$D406,$A406&lt;&gt;""),"●","")</x:f>
      </x:c>
      <x:c r="O406" s="165" t="str">
        <x:f>IF(AND(O$5&gt;=$C406,O$5&lt;=$D406,$A406&lt;&gt;""),"●","")</x:f>
      </x:c>
      <x:c r="P406" s="165" t="str">
        <x:f>IF(AND(P$5&gt;=$C406,P$5&lt;=$D406,$A406&lt;&gt;""),"●","")</x:f>
      </x:c>
      <x:c r="Q406" s="165" t="str">
        <x:f>IF(AND(Q$5&gt;=$C406,Q$5&lt;=$D406,$A406&lt;&gt;""),"●","")</x:f>
      </x:c>
      <x:c r="R406" s="165" t="str">
        <x:f>IF(AND(R$5&gt;=$C406,R$5&lt;=$D406,$A406&lt;&gt;""),"●","")</x:f>
      </x:c>
      <x:c r="S406" s="165" t="str">
        <x:f>IF(AND(S$5&gt;=$C406,S$5&lt;=$D406,$A406&lt;&gt;""),"●","")</x:f>
      </x:c>
      <x:c r="T406" s="165" t="str">
        <x:f>IF(AND(T$5&gt;=$C406,T$5&lt;=$D406,$A406&lt;&gt;""),"●","")</x:f>
      </x:c>
      <x:c r="U406" s="165" t="str">
        <x:f>IF(AND(U$5&gt;=$C406,U$5&lt;=$D406,$A406&lt;&gt;""),"●","")</x:f>
      </x:c>
      <x:c r="V406" s="165" t="str">
        <x:f>IF(AND(V$5&gt;=$C406,V$5&lt;=$D406,$A406&lt;&gt;""),"●","")</x:f>
      </x:c>
      <x:c r="W406" s="165" t="str">
        <x:f>IF(AND(W$5&gt;=$C406,W$5&lt;=$D406,$A406&lt;&gt;""),"●","")</x:f>
      </x:c>
      <x:c r="X406" s="165" t="str">
        <x:f>IF(AND(X$5&gt;=$C406,X$5&lt;=$D406,$A406&lt;&gt;""),"●","")</x:f>
      </x:c>
      <x:c r="Y406" s="165" t="str">
        <x:f>IF(AND(Y$5&gt;=$C406,Y$5&lt;=$D406,$A406&lt;&gt;""),"●","")</x:f>
      </x:c>
      <x:c r="Z406" s="165" t="str">
        <x:f>IF(AND(Z$5&gt;=$C406,Z$5&lt;=$D406,$A406&lt;&gt;""),"●","")</x:f>
      </x:c>
      <x:c r="AA406" s="165" t="str">
        <x:f>IF(AND(AA$5&gt;=$C406,AA$5&lt;=$D406,$A406&lt;&gt;""),"●","")</x:f>
      </x:c>
      <x:c r="AB406" s="165" t="str">
        <x:f>IF(AND(AB$5&gt;=$C406,AB$5&lt;=$D406,$A406&lt;&gt;""),"●","")</x:f>
      </x:c>
      <x:c r="AC406" s="165" t="str">
        <x:f>IF(AND(AC$5&gt;=$C406,AC$5&lt;=$D406,$A406&lt;&gt;""),"●","")</x:f>
      </x:c>
      <x:c r="AD406" s="165" t="str">
        <x:f>IF(AND(AD$5&gt;=$C406,AD$5&lt;=$D406,$A406&lt;&gt;""),"●","")</x:f>
      </x:c>
      <x:c r="AE406" s="165" t="str">
        <x:f>IF(AND(AE$5&gt;=$C406,AE$5&lt;=$D406,$A406&lt;&gt;""),"●","")</x:f>
      </x:c>
      <x:c r="AF406" s="165" t="str">
        <x:f>IF(AND(AF$5&gt;=$C406,AF$5&lt;=$D406,$A406&lt;&gt;""),"●","")</x:f>
      </x:c>
      <x:c r="AG406" s="165" t="str">
        <x:f>IF(AND(AG$5&gt;=$C406,AG$5&lt;=$D406,$A406&lt;&gt;""),"●","")</x:f>
      </x:c>
      <x:c r="AH406" s="165" t="str">
        <x:f>IF(AND(AH$5&gt;=$C406,AH$5&lt;=$D406,$A406&lt;&gt;""),"●","")</x:f>
      </x:c>
      <x:c r="AI406" s="165" t="str">
        <x:f>IF(AND(AI$5&gt;=$C406,AI$5&lt;=$D406,$A406&lt;&gt;""),"●","")</x:f>
      </x:c>
      <x:c r="AJ406" s="165" t="str">
        <x:f>IF(AND(AJ$5&gt;=$C406,AJ$5&lt;=$D406,$A406&lt;&gt;""),"●","")</x:f>
      </x:c>
      <x:c r="AK406" s="165" t="str">
        <x:f>IF(AND(AK$5&gt;=$C406,AK$5&lt;=$D406,$A406&lt;&gt;""),"●","")</x:f>
      </x:c>
      <x:c r="AL406" s="165" t="str">
        <x:f>IF(AND(AL$5&gt;=$C406,AL$5&lt;=$D406,$A406&lt;&gt;""),"●","")</x:f>
      </x:c>
      <x:c r="AM406" s="165" t="str">
        <x:f>IF(AND(AM$5&gt;=$C406,AM$5&lt;=$D406,$A406&lt;&gt;""),"●","")</x:f>
      </x:c>
      <x:c r="AN406" s="165" t="str">
        <x:f>IF(AND(AN$5&gt;=$C406,AN$5&lt;=$D406,$A406&lt;&gt;""),"●","")</x:f>
      </x:c>
      <x:c r="AO406" s="165" t="str">
        <x:f>IF(AND(AO$5&gt;=$C406,AO$5&lt;=$D406,$A406&lt;&gt;""),"●","")</x:f>
      </x:c>
      <x:c r="AP406" s="165" t="str">
        <x:f>IF(AND(AP$5&gt;=$C406,AP$5&lt;=$D406,$A406&lt;&gt;""),"●","")</x:f>
      </x:c>
      <x:c r="AQ406" s="165" t="str">
        <x:f>IF(AND(AQ$5&gt;=$C406,AQ$5&lt;=$D406,$A406&lt;&gt;""),"●","")</x:f>
      </x:c>
      <x:c r="AR406" s="165" t="str">
        <x:f>IF(AND(AR$5&gt;=$C406,AR$5&lt;=$D406,$A406&lt;&gt;""),"●","")</x:f>
      </x:c>
      <x:c r="AS406" s="165" t="str">
        <x:f>IF(AND(AS$5&gt;=$C406,AS$5&lt;=$D406,$A406&lt;&gt;""),"●","")</x:f>
      </x:c>
      <x:c r="AT406" s="165" t="str">
        <x:f>IF(AND(AT$5&gt;=$C406,AT$5&lt;=$D406,$A406&lt;&gt;""),"●","")</x:f>
      </x:c>
      <x:c r="AU406" s="165" t="str">
        <x:f>IF(AND(AU$5&gt;=$C406,AU$5&lt;=$D406,$A406&lt;&gt;""),"●","")</x:f>
      </x:c>
      <x:c r="AV406" s="165" t="str">
        <x:f>IF(AND(AV$5&gt;=$C406,AV$5&lt;=$D406,$A406&lt;&gt;""),"●","")</x:f>
      </x:c>
      <x:c r="AW406" s="165" t="str">
        <x:f>IF(AND(AW$5&gt;=$C406,AW$5&lt;=$D406,$A406&lt;&gt;""),"●","")</x:f>
      </x:c>
      <x:c r="AX406" s="165" t="str">
        <x:f>IF(AND(AX$5&gt;=$C406,AX$5&lt;=$D406,$A406&lt;&gt;""),"●","")</x:f>
      </x:c>
      <x:c r="AY406" s="165" t="str">
        <x:f>IF(AND(AY$5&gt;=$C406,AY$5&lt;=$D406,$A406&lt;&gt;""),"●","")</x:f>
      </x:c>
      <x:c r="AZ406" s="165" t="str">
        <x:f>IF(AND(AZ$5&gt;=$C406,AZ$5&lt;=$D406,$A406&lt;&gt;""),"●","")</x:f>
      </x:c>
      <x:c r="BA406" s="165" t="str">
        <x:f>IF(AND(BA$5&gt;=$C406,BA$5&lt;=$D406,$A406&lt;&gt;""),"●","")</x:f>
      </x:c>
      <x:c r="BB406" s="165" t="str">
        <x:f>IF(AND(BB$5&gt;=$C406,BB$5&lt;=$D406,$A406&lt;&gt;""),"●","")</x:f>
      </x:c>
      <x:c r="BC406" s="165" t="str">
        <x:f>IF(AND(BC$5&gt;=$C406,BC$5&lt;=$D406,$A406&lt;&gt;""),"●","")</x:f>
      </x:c>
      <x:c r="BD406" s="165" t="str">
        <x:f>IF(AND(BD$5&gt;=$C406,BD$5&lt;=$D406,$A406&lt;&gt;""),"●","")</x:f>
      </x:c>
      <x:c r="BE406" s="165" t="str">
        <x:f>IF(AND(BE$5&gt;=$C406,BE$5&lt;=$D406,$A406&lt;&gt;""),"●","")</x:f>
      </x:c>
      <x:c r="BF406" s="165" t="str">
        <x:f>IF(AND(BF$5&gt;=$C406,BF$5&lt;=$D406,$A406&lt;&gt;""),"●","")</x:f>
      </x:c>
      <x:c r="BG406" s="165" t="str">
        <x:f>IF(AND(BG$5&gt;=$C406,BG$5&lt;=$D406,$A406&lt;&gt;""),"●","")</x:f>
      </x:c>
      <x:c r="BH406" s="165" t="str">
        <x:f>IF(AND(BH$5&gt;=$C406,BH$5&lt;=$D406,$A406&lt;&gt;""),"●","")</x:f>
      </x:c>
      <x:c r="BI406" s="165" t="str">
        <x:f>IF(AND(BI$5&gt;=$C406,BI$5&lt;=$D406,$A406&lt;&gt;""),"●","")</x:f>
      </x:c>
      <x:c r="BJ406" s="165" t="str">
        <x:f>IF(AND(BJ$5&gt;=$C406,BJ$5&lt;=$D406,$A406&lt;&gt;""),"●","")</x:f>
      </x:c>
      <x:c r="BK406" s="165" t="str">
        <x:f>IF(AND(BK$5&gt;=$C406,BK$5&lt;=$D406,$A406&lt;&gt;""),"●","")</x:f>
      </x:c>
      <x:c r="BL406" s="165" t="str">
        <x:f>IF(AND(BL$5&gt;=$C406,BL$5&lt;=$D406,$A406&lt;&gt;""),"●","")</x:f>
      </x:c>
      <x:c r="BM406" s="165" t="str">
        <x:f>IF(AND(BM$5&gt;=$C406,BM$5&lt;=$D406,$A406&lt;&gt;""),"●","")</x:f>
      </x:c>
      <x:c r="BN406" s="165" t="str">
        <x:f>IF(AND(BN$5&gt;=$C406,BN$5&lt;=$D406,$A406&lt;&gt;""),"●","")</x:f>
      </x:c>
      <x:c r="BO406" s="165" t="str">
        <x:f>IF(AND(BO$5&gt;=$C406,BO$5&lt;=$D406,$A406&lt;&gt;""),"●","")</x:f>
      </x:c>
      <x:c r="BP406" s="165" t="str">
        <x:f>IF(AND(BP$5&gt;=$C406,BP$5&lt;=$D406,$A406&lt;&gt;""),"●","")</x:f>
      </x:c>
      <x:c r="BQ406" s="165" t="str">
        <x:f>IF(AND(BQ$5&gt;=$C406,BQ$5&lt;=$D406,$A406&lt;&gt;""),"●","")</x:f>
      </x:c>
      <x:c r="BR406" s="165" t="str">
        <x:f>IF(AND(BR$5&gt;=$C406,BR$5&lt;=$D406,$A406&lt;&gt;""),"●","")</x:f>
      </x:c>
      <x:c r="BS406" s="165" t="str">
        <x:f>IF(AND(BS$5&gt;=$C406,BS$5&lt;=$D406,$A406&lt;&gt;""),"●","")</x:f>
      </x:c>
      <x:c r="BT406" s="165" t="str">
        <x:f>IF(AND(BT$5&gt;=$C406,BT$5&lt;=$D406,$A406&lt;&gt;""),"●","")</x:f>
      </x:c>
      <x:c r="BU406" s="165" t="str">
        <x:f>IF(AND(BU$5&gt;=$C406,BU$5&lt;=$D406,$A406&lt;&gt;""),"●","")</x:f>
      </x:c>
      <x:c r="BV406" s="165" t="str">
        <x:f>IF(AND(BV$5&gt;=$C406,BV$5&lt;=$D406,$A406&lt;&gt;""),"●","")</x:f>
      </x:c>
      <x:c r="BW406" s="165" t="str">
        <x:f>IF(AND(BW$5&gt;=$C406,BW$5&lt;=$D406,$A406&lt;&gt;""),"●","")</x:f>
      </x:c>
    </x:row>
    <x:row r="407">
      <x:c r="A407" s="159" t="str">
        <x:f>IF('รายการสัญญา'!A407="","",'รายการสัญญา'!A407)</x:f>
      </x:c>
      <x:c r="B407" s="159" t="str">
        <x:f>IF('รายการสัญญา'!A407="","",'รายการสัญญา'!C407)</x:f>
      </x:c>
      <x:c r="C407" s="162" t="str">
        <x:f>IF('รายการสัญญา'!A407="","",'รายการสัญญา'!E407)</x:f>
      </x:c>
      <x:c r="D407" s="162" t="str">
        <x:f>IF('รายการสัญญา'!A407="","",'รายการสัญญา'!G407)</x:f>
      </x:c>
      <x:c r="E407" s="159" t="str">
        <x:f>IF('รายการสัญญา'!A407="","",'รายการสัญญา'!K407)</x:f>
      </x:c>
      <x:c r="F407" s="165" t="str">
        <x:f>IF(AND(F$5&gt;=$C407,F$5&lt;=$D407,$A407&lt;&gt;""),"●","")</x:f>
      </x:c>
      <x:c r="G407" s="165" t="str">
        <x:f>IF(AND(G$5&gt;=$C407,G$5&lt;=$D407,$A407&lt;&gt;""),"●","")</x:f>
      </x:c>
      <x:c r="H407" s="165" t="str">
        <x:f>IF(AND(H$5&gt;=$C407,H$5&lt;=$D407,$A407&lt;&gt;""),"●","")</x:f>
      </x:c>
      <x:c r="I407" s="165" t="str">
        <x:f>IF(AND(I$5&gt;=$C407,I$5&lt;=$D407,$A407&lt;&gt;""),"●","")</x:f>
      </x:c>
      <x:c r="J407" s="165" t="str">
        <x:f>IF(AND(J$5&gt;=$C407,J$5&lt;=$D407,$A407&lt;&gt;""),"●","")</x:f>
      </x:c>
      <x:c r="K407" s="165" t="str">
        <x:f>IF(AND(K$5&gt;=$C407,K$5&lt;=$D407,$A407&lt;&gt;""),"●","")</x:f>
      </x:c>
      <x:c r="L407" s="165" t="str">
        <x:f>IF(AND(L$5&gt;=$C407,L$5&lt;=$D407,$A407&lt;&gt;""),"●","")</x:f>
      </x:c>
      <x:c r="M407" s="165" t="str">
        <x:f>IF(AND(M$5&gt;=$C407,M$5&lt;=$D407,$A407&lt;&gt;""),"●","")</x:f>
      </x:c>
      <x:c r="N407" s="165" t="str">
        <x:f>IF(AND(N$5&gt;=$C407,N$5&lt;=$D407,$A407&lt;&gt;""),"●","")</x:f>
      </x:c>
      <x:c r="O407" s="165" t="str">
        <x:f>IF(AND(O$5&gt;=$C407,O$5&lt;=$D407,$A407&lt;&gt;""),"●","")</x:f>
      </x:c>
      <x:c r="P407" s="165" t="str">
        <x:f>IF(AND(P$5&gt;=$C407,P$5&lt;=$D407,$A407&lt;&gt;""),"●","")</x:f>
      </x:c>
      <x:c r="Q407" s="165" t="str">
        <x:f>IF(AND(Q$5&gt;=$C407,Q$5&lt;=$D407,$A407&lt;&gt;""),"●","")</x:f>
      </x:c>
      <x:c r="R407" s="165" t="str">
        <x:f>IF(AND(R$5&gt;=$C407,R$5&lt;=$D407,$A407&lt;&gt;""),"●","")</x:f>
      </x:c>
      <x:c r="S407" s="165" t="str">
        <x:f>IF(AND(S$5&gt;=$C407,S$5&lt;=$D407,$A407&lt;&gt;""),"●","")</x:f>
      </x:c>
      <x:c r="T407" s="165" t="str">
        <x:f>IF(AND(T$5&gt;=$C407,T$5&lt;=$D407,$A407&lt;&gt;""),"●","")</x:f>
      </x:c>
      <x:c r="U407" s="165" t="str">
        <x:f>IF(AND(U$5&gt;=$C407,U$5&lt;=$D407,$A407&lt;&gt;""),"●","")</x:f>
      </x:c>
      <x:c r="V407" s="165" t="str">
        <x:f>IF(AND(V$5&gt;=$C407,V$5&lt;=$D407,$A407&lt;&gt;""),"●","")</x:f>
      </x:c>
      <x:c r="W407" s="165" t="str">
        <x:f>IF(AND(W$5&gt;=$C407,W$5&lt;=$D407,$A407&lt;&gt;""),"●","")</x:f>
      </x:c>
      <x:c r="X407" s="165" t="str">
        <x:f>IF(AND(X$5&gt;=$C407,X$5&lt;=$D407,$A407&lt;&gt;""),"●","")</x:f>
      </x:c>
      <x:c r="Y407" s="165" t="str">
        <x:f>IF(AND(Y$5&gt;=$C407,Y$5&lt;=$D407,$A407&lt;&gt;""),"●","")</x:f>
      </x:c>
      <x:c r="Z407" s="165" t="str">
        <x:f>IF(AND(Z$5&gt;=$C407,Z$5&lt;=$D407,$A407&lt;&gt;""),"●","")</x:f>
      </x:c>
      <x:c r="AA407" s="165" t="str">
        <x:f>IF(AND(AA$5&gt;=$C407,AA$5&lt;=$D407,$A407&lt;&gt;""),"●","")</x:f>
      </x:c>
      <x:c r="AB407" s="165" t="str">
        <x:f>IF(AND(AB$5&gt;=$C407,AB$5&lt;=$D407,$A407&lt;&gt;""),"●","")</x:f>
      </x:c>
      <x:c r="AC407" s="165" t="str">
        <x:f>IF(AND(AC$5&gt;=$C407,AC$5&lt;=$D407,$A407&lt;&gt;""),"●","")</x:f>
      </x:c>
      <x:c r="AD407" s="165" t="str">
        <x:f>IF(AND(AD$5&gt;=$C407,AD$5&lt;=$D407,$A407&lt;&gt;""),"●","")</x:f>
      </x:c>
      <x:c r="AE407" s="165" t="str">
        <x:f>IF(AND(AE$5&gt;=$C407,AE$5&lt;=$D407,$A407&lt;&gt;""),"●","")</x:f>
      </x:c>
      <x:c r="AF407" s="165" t="str">
        <x:f>IF(AND(AF$5&gt;=$C407,AF$5&lt;=$D407,$A407&lt;&gt;""),"●","")</x:f>
      </x:c>
      <x:c r="AG407" s="165" t="str">
        <x:f>IF(AND(AG$5&gt;=$C407,AG$5&lt;=$D407,$A407&lt;&gt;""),"●","")</x:f>
      </x:c>
      <x:c r="AH407" s="165" t="str">
        <x:f>IF(AND(AH$5&gt;=$C407,AH$5&lt;=$D407,$A407&lt;&gt;""),"●","")</x:f>
      </x:c>
      <x:c r="AI407" s="165" t="str">
        <x:f>IF(AND(AI$5&gt;=$C407,AI$5&lt;=$D407,$A407&lt;&gt;""),"●","")</x:f>
      </x:c>
      <x:c r="AJ407" s="165" t="str">
        <x:f>IF(AND(AJ$5&gt;=$C407,AJ$5&lt;=$D407,$A407&lt;&gt;""),"●","")</x:f>
      </x:c>
      <x:c r="AK407" s="165" t="str">
        <x:f>IF(AND(AK$5&gt;=$C407,AK$5&lt;=$D407,$A407&lt;&gt;""),"●","")</x:f>
      </x:c>
      <x:c r="AL407" s="165" t="str">
        <x:f>IF(AND(AL$5&gt;=$C407,AL$5&lt;=$D407,$A407&lt;&gt;""),"●","")</x:f>
      </x:c>
      <x:c r="AM407" s="165" t="str">
        <x:f>IF(AND(AM$5&gt;=$C407,AM$5&lt;=$D407,$A407&lt;&gt;""),"●","")</x:f>
      </x:c>
      <x:c r="AN407" s="165" t="str">
        <x:f>IF(AND(AN$5&gt;=$C407,AN$5&lt;=$D407,$A407&lt;&gt;""),"●","")</x:f>
      </x:c>
      <x:c r="AO407" s="165" t="str">
        <x:f>IF(AND(AO$5&gt;=$C407,AO$5&lt;=$D407,$A407&lt;&gt;""),"●","")</x:f>
      </x:c>
      <x:c r="AP407" s="165" t="str">
        <x:f>IF(AND(AP$5&gt;=$C407,AP$5&lt;=$D407,$A407&lt;&gt;""),"●","")</x:f>
      </x:c>
      <x:c r="AQ407" s="165" t="str">
        <x:f>IF(AND(AQ$5&gt;=$C407,AQ$5&lt;=$D407,$A407&lt;&gt;""),"●","")</x:f>
      </x:c>
      <x:c r="AR407" s="165" t="str">
        <x:f>IF(AND(AR$5&gt;=$C407,AR$5&lt;=$D407,$A407&lt;&gt;""),"●","")</x:f>
      </x:c>
      <x:c r="AS407" s="165" t="str">
        <x:f>IF(AND(AS$5&gt;=$C407,AS$5&lt;=$D407,$A407&lt;&gt;""),"●","")</x:f>
      </x:c>
      <x:c r="AT407" s="165" t="str">
        <x:f>IF(AND(AT$5&gt;=$C407,AT$5&lt;=$D407,$A407&lt;&gt;""),"●","")</x:f>
      </x:c>
      <x:c r="AU407" s="165" t="str">
        <x:f>IF(AND(AU$5&gt;=$C407,AU$5&lt;=$D407,$A407&lt;&gt;""),"●","")</x:f>
      </x:c>
      <x:c r="AV407" s="165" t="str">
        <x:f>IF(AND(AV$5&gt;=$C407,AV$5&lt;=$D407,$A407&lt;&gt;""),"●","")</x:f>
      </x:c>
      <x:c r="AW407" s="165" t="str">
        <x:f>IF(AND(AW$5&gt;=$C407,AW$5&lt;=$D407,$A407&lt;&gt;""),"●","")</x:f>
      </x:c>
      <x:c r="AX407" s="165" t="str">
        <x:f>IF(AND(AX$5&gt;=$C407,AX$5&lt;=$D407,$A407&lt;&gt;""),"●","")</x:f>
      </x:c>
      <x:c r="AY407" s="165" t="str">
        <x:f>IF(AND(AY$5&gt;=$C407,AY$5&lt;=$D407,$A407&lt;&gt;""),"●","")</x:f>
      </x:c>
      <x:c r="AZ407" s="165" t="str">
        <x:f>IF(AND(AZ$5&gt;=$C407,AZ$5&lt;=$D407,$A407&lt;&gt;""),"●","")</x:f>
      </x:c>
      <x:c r="BA407" s="165" t="str">
        <x:f>IF(AND(BA$5&gt;=$C407,BA$5&lt;=$D407,$A407&lt;&gt;""),"●","")</x:f>
      </x:c>
      <x:c r="BB407" s="165" t="str">
        <x:f>IF(AND(BB$5&gt;=$C407,BB$5&lt;=$D407,$A407&lt;&gt;""),"●","")</x:f>
      </x:c>
      <x:c r="BC407" s="165" t="str">
        <x:f>IF(AND(BC$5&gt;=$C407,BC$5&lt;=$D407,$A407&lt;&gt;""),"●","")</x:f>
      </x:c>
      <x:c r="BD407" s="165" t="str">
        <x:f>IF(AND(BD$5&gt;=$C407,BD$5&lt;=$D407,$A407&lt;&gt;""),"●","")</x:f>
      </x:c>
      <x:c r="BE407" s="165" t="str">
        <x:f>IF(AND(BE$5&gt;=$C407,BE$5&lt;=$D407,$A407&lt;&gt;""),"●","")</x:f>
      </x:c>
      <x:c r="BF407" s="165" t="str">
        <x:f>IF(AND(BF$5&gt;=$C407,BF$5&lt;=$D407,$A407&lt;&gt;""),"●","")</x:f>
      </x:c>
      <x:c r="BG407" s="165" t="str">
        <x:f>IF(AND(BG$5&gt;=$C407,BG$5&lt;=$D407,$A407&lt;&gt;""),"●","")</x:f>
      </x:c>
      <x:c r="BH407" s="165" t="str">
        <x:f>IF(AND(BH$5&gt;=$C407,BH$5&lt;=$D407,$A407&lt;&gt;""),"●","")</x:f>
      </x:c>
      <x:c r="BI407" s="165" t="str">
        <x:f>IF(AND(BI$5&gt;=$C407,BI$5&lt;=$D407,$A407&lt;&gt;""),"●","")</x:f>
      </x:c>
      <x:c r="BJ407" s="165" t="str">
        <x:f>IF(AND(BJ$5&gt;=$C407,BJ$5&lt;=$D407,$A407&lt;&gt;""),"●","")</x:f>
      </x:c>
      <x:c r="BK407" s="165" t="str">
        <x:f>IF(AND(BK$5&gt;=$C407,BK$5&lt;=$D407,$A407&lt;&gt;""),"●","")</x:f>
      </x:c>
      <x:c r="BL407" s="165" t="str">
        <x:f>IF(AND(BL$5&gt;=$C407,BL$5&lt;=$D407,$A407&lt;&gt;""),"●","")</x:f>
      </x:c>
      <x:c r="BM407" s="165" t="str">
        <x:f>IF(AND(BM$5&gt;=$C407,BM$5&lt;=$D407,$A407&lt;&gt;""),"●","")</x:f>
      </x:c>
      <x:c r="BN407" s="165" t="str">
        <x:f>IF(AND(BN$5&gt;=$C407,BN$5&lt;=$D407,$A407&lt;&gt;""),"●","")</x:f>
      </x:c>
      <x:c r="BO407" s="165" t="str">
        <x:f>IF(AND(BO$5&gt;=$C407,BO$5&lt;=$D407,$A407&lt;&gt;""),"●","")</x:f>
      </x:c>
      <x:c r="BP407" s="165" t="str">
        <x:f>IF(AND(BP$5&gt;=$C407,BP$5&lt;=$D407,$A407&lt;&gt;""),"●","")</x:f>
      </x:c>
      <x:c r="BQ407" s="165" t="str">
        <x:f>IF(AND(BQ$5&gt;=$C407,BQ$5&lt;=$D407,$A407&lt;&gt;""),"●","")</x:f>
      </x:c>
      <x:c r="BR407" s="165" t="str">
        <x:f>IF(AND(BR$5&gt;=$C407,BR$5&lt;=$D407,$A407&lt;&gt;""),"●","")</x:f>
      </x:c>
      <x:c r="BS407" s="165" t="str">
        <x:f>IF(AND(BS$5&gt;=$C407,BS$5&lt;=$D407,$A407&lt;&gt;""),"●","")</x:f>
      </x:c>
      <x:c r="BT407" s="165" t="str">
        <x:f>IF(AND(BT$5&gt;=$C407,BT$5&lt;=$D407,$A407&lt;&gt;""),"●","")</x:f>
      </x:c>
      <x:c r="BU407" s="165" t="str">
        <x:f>IF(AND(BU$5&gt;=$C407,BU$5&lt;=$D407,$A407&lt;&gt;""),"●","")</x:f>
      </x:c>
      <x:c r="BV407" s="165" t="str">
        <x:f>IF(AND(BV$5&gt;=$C407,BV$5&lt;=$D407,$A407&lt;&gt;""),"●","")</x:f>
      </x:c>
      <x:c r="BW407" s="165" t="str">
        <x:f>IF(AND(BW$5&gt;=$C407,BW$5&lt;=$D407,$A407&lt;&gt;""),"●","")</x:f>
      </x:c>
    </x:row>
    <x:row r="408">
      <x:c r="A408" s="159" t="str">
        <x:f>IF('รายการสัญญา'!A408="","",'รายการสัญญา'!A408)</x:f>
      </x:c>
      <x:c r="B408" s="159" t="str">
        <x:f>IF('รายการสัญญา'!A408="","",'รายการสัญญา'!C408)</x:f>
      </x:c>
      <x:c r="C408" s="162" t="str">
        <x:f>IF('รายการสัญญา'!A408="","",'รายการสัญญา'!E408)</x:f>
      </x:c>
      <x:c r="D408" s="162" t="str">
        <x:f>IF('รายการสัญญา'!A408="","",'รายการสัญญา'!G408)</x:f>
      </x:c>
      <x:c r="E408" s="159" t="str">
        <x:f>IF('รายการสัญญา'!A408="","",'รายการสัญญา'!K408)</x:f>
      </x:c>
      <x:c r="F408" s="165" t="str">
        <x:f>IF(AND(F$5&gt;=$C408,F$5&lt;=$D408,$A408&lt;&gt;""),"●","")</x:f>
      </x:c>
      <x:c r="G408" s="165" t="str">
        <x:f>IF(AND(G$5&gt;=$C408,G$5&lt;=$D408,$A408&lt;&gt;""),"●","")</x:f>
      </x:c>
      <x:c r="H408" s="165" t="str">
        <x:f>IF(AND(H$5&gt;=$C408,H$5&lt;=$D408,$A408&lt;&gt;""),"●","")</x:f>
      </x:c>
      <x:c r="I408" s="165" t="str">
        <x:f>IF(AND(I$5&gt;=$C408,I$5&lt;=$D408,$A408&lt;&gt;""),"●","")</x:f>
      </x:c>
      <x:c r="J408" s="165" t="str">
        <x:f>IF(AND(J$5&gt;=$C408,J$5&lt;=$D408,$A408&lt;&gt;""),"●","")</x:f>
      </x:c>
      <x:c r="K408" s="165" t="str">
        <x:f>IF(AND(K$5&gt;=$C408,K$5&lt;=$D408,$A408&lt;&gt;""),"●","")</x:f>
      </x:c>
      <x:c r="L408" s="165" t="str">
        <x:f>IF(AND(L$5&gt;=$C408,L$5&lt;=$D408,$A408&lt;&gt;""),"●","")</x:f>
      </x:c>
      <x:c r="M408" s="165" t="str">
        <x:f>IF(AND(M$5&gt;=$C408,M$5&lt;=$D408,$A408&lt;&gt;""),"●","")</x:f>
      </x:c>
      <x:c r="N408" s="165" t="str">
        <x:f>IF(AND(N$5&gt;=$C408,N$5&lt;=$D408,$A408&lt;&gt;""),"●","")</x:f>
      </x:c>
      <x:c r="O408" s="165" t="str">
        <x:f>IF(AND(O$5&gt;=$C408,O$5&lt;=$D408,$A408&lt;&gt;""),"●","")</x:f>
      </x:c>
      <x:c r="P408" s="165" t="str">
        <x:f>IF(AND(P$5&gt;=$C408,P$5&lt;=$D408,$A408&lt;&gt;""),"●","")</x:f>
      </x:c>
      <x:c r="Q408" s="165" t="str">
        <x:f>IF(AND(Q$5&gt;=$C408,Q$5&lt;=$D408,$A408&lt;&gt;""),"●","")</x:f>
      </x:c>
      <x:c r="R408" s="165" t="str">
        <x:f>IF(AND(R$5&gt;=$C408,R$5&lt;=$D408,$A408&lt;&gt;""),"●","")</x:f>
      </x:c>
      <x:c r="S408" s="165" t="str">
        <x:f>IF(AND(S$5&gt;=$C408,S$5&lt;=$D408,$A408&lt;&gt;""),"●","")</x:f>
      </x:c>
      <x:c r="T408" s="165" t="str">
        <x:f>IF(AND(T$5&gt;=$C408,T$5&lt;=$D408,$A408&lt;&gt;""),"●","")</x:f>
      </x:c>
      <x:c r="U408" s="165" t="str">
        <x:f>IF(AND(U$5&gt;=$C408,U$5&lt;=$D408,$A408&lt;&gt;""),"●","")</x:f>
      </x:c>
      <x:c r="V408" s="165" t="str">
        <x:f>IF(AND(V$5&gt;=$C408,V$5&lt;=$D408,$A408&lt;&gt;""),"●","")</x:f>
      </x:c>
      <x:c r="W408" s="165" t="str">
        <x:f>IF(AND(W$5&gt;=$C408,W$5&lt;=$D408,$A408&lt;&gt;""),"●","")</x:f>
      </x:c>
      <x:c r="X408" s="165" t="str">
        <x:f>IF(AND(X$5&gt;=$C408,X$5&lt;=$D408,$A408&lt;&gt;""),"●","")</x:f>
      </x:c>
      <x:c r="Y408" s="165" t="str">
        <x:f>IF(AND(Y$5&gt;=$C408,Y$5&lt;=$D408,$A408&lt;&gt;""),"●","")</x:f>
      </x:c>
      <x:c r="Z408" s="165" t="str">
        <x:f>IF(AND(Z$5&gt;=$C408,Z$5&lt;=$D408,$A408&lt;&gt;""),"●","")</x:f>
      </x:c>
      <x:c r="AA408" s="165" t="str">
        <x:f>IF(AND(AA$5&gt;=$C408,AA$5&lt;=$D408,$A408&lt;&gt;""),"●","")</x:f>
      </x:c>
      <x:c r="AB408" s="165" t="str">
        <x:f>IF(AND(AB$5&gt;=$C408,AB$5&lt;=$D408,$A408&lt;&gt;""),"●","")</x:f>
      </x:c>
      <x:c r="AC408" s="165" t="str">
        <x:f>IF(AND(AC$5&gt;=$C408,AC$5&lt;=$D408,$A408&lt;&gt;""),"●","")</x:f>
      </x:c>
      <x:c r="AD408" s="165" t="str">
        <x:f>IF(AND(AD$5&gt;=$C408,AD$5&lt;=$D408,$A408&lt;&gt;""),"●","")</x:f>
      </x:c>
      <x:c r="AE408" s="165" t="str">
        <x:f>IF(AND(AE$5&gt;=$C408,AE$5&lt;=$D408,$A408&lt;&gt;""),"●","")</x:f>
      </x:c>
      <x:c r="AF408" s="165" t="str">
        <x:f>IF(AND(AF$5&gt;=$C408,AF$5&lt;=$D408,$A408&lt;&gt;""),"●","")</x:f>
      </x:c>
      <x:c r="AG408" s="165" t="str">
        <x:f>IF(AND(AG$5&gt;=$C408,AG$5&lt;=$D408,$A408&lt;&gt;""),"●","")</x:f>
      </x:c>
      <x:c r="AH408" s="165" t="str">
        <x:f>IF(AND(AH$5&gt;=$C408,AH$5&lt;=$D408,$A408&lt;&gt;""),"●","")</x:f>
      </x:c>
      <x:c r="AI408" s="165" t="str">
        <x:f>IF(AND(AI$5&gt;=$C408,AI$5&lt;=$D408,$A408&lt;&gt;""),"●","")</x:f>
      </x:c>
      <x:c r="AJ408" s="165" t="str">
        <x:f>IF(AND(AJ$5&gt;=$C408,AJ$5&lt;=$D408,$A408&lt;&gt;""),"●","")</x:f>
      </x:c>
      <x:c r="AK408" s="165" t="str">
        <x:f>IF(AND(AK$5&gt;=$C408,AK$5&lt;=$D408,$A408&lt;&gt;""),"●","")</x:f>
      </x:c>
      <x:c r="AL408" s="165" t="str">
        <x:f>IF(AND(AL$5&gt;=$C408,AL$5&lt;=$D408,$A408&lt;&gt;""),"●","")</x:f>
      </x:c>
      <x:c r="AM408" s="165" t="str">
        <x:f>IF(AND(AM$5&gt;=$C408,AM$5&lt;=$D408,$A408&lt;&gt;""),"●","")</x:f>
      </x:c>
      <x:c r="AN408" s="165" t="str">
        <x:f>IF(AND(AN$5&gt;=$C408,AN$5&lt;=$D408,$A408&lt;&gt;""),"●","")</x:f>
      </x:c>
      <x:c r="AO408" s="165" t="str">
        <x:f>IF(AND(AO$5&gt;=$C408,AO$5&lt;=$D408,$A408&lt;&gt;""),"●","")</x:f>
      </x:c>
      <x:c r="AP408" s="165" t="str">
        <x:f>IF(AND(AP$5&gt;=$C408,AP$5&lt;=$D408,$A408&lt;&gt;""),"●","")</x:f>
      </x:c>
      <x:c r="AQ408" s="165" t="str">
        <x:f>IF(AND(AQ$5&gt;=$C408,AQ$5&lt;=$D408,$A408&lt;&gt;""),"●","")</x:f>
      </x:c>
      <x:c r="AR408" s="165" t="str">
        <x:f>IF(AND(AR$5&gt;=$C408,AR$5&lt;=$D408,$A408&lt;&gt;""),"●","")</x:f>
      </x:c>
      <x:c r="AS408" s="165" t="str">
        <x:f>IF(AND(AS$5&gt;=$C408,AS$5&lt;=$D408,$A408&lt;&gt;""),"●","")</x:f>
      </x:c>
      <x:c r="AT408" s="165" t="str">
        <x:f>IF(AND(AT$5&gt;=$C408,AT$5&lt;=$D408,$A408&lt;&gt;""),"●","")</x:f>
      </x:c>
      <x:c r="AU408" s="165" t="str">
        <x:f>IF(AND(AU$5&gt;=$C408,AU$5&lt;=$D408,$A408&lt;&gt;""),"●","")</x:f>
      </x:c>
      <x:c r="AV408" s="165" t="str">
        <x:f>IF(AND(AV$5&gt;=$C408,AV$5&lt;=$D408,$A408&lt;&gt;""),"●","")</x:f>
      </x:c>
      <x:c r="AW408" s="165" t="str">
        <x:f>IF(AND(AW$5&gt;=$C408,AW$5&lt;=$D408,$A408&lt;&gt;""),"●","")</x:f>
      </x:c>
      <x:c r="AX408" s="165" t="str">
        <x:f>IF(AND(AX$5&gt;=$C408,AX$5&lt;=$D408,$A408&lt;&gt;""),"●","")</x:f>
      </x:c>
      <x:c r="AY408" s="165" t="str">
        <x:f>IF(AND(AY$5&gt;=$C408,AY$5&lt;=$D408,$A408&lt;&gt;""),"●","")</x:f>
      </x:c>
      <x:c r="AZ408" s="165" t="str">
        <x:f>IF(AND(AZ$5&gt;=$C408,AZ$5&lt;=$D408,$A408&lt;&gt;""),"●","")</x:f>
      </x:c>
      <x:c r="BA408" s="165" t="str">
        <x:f>IF(AND(BA$5&gt;=$C408,BA$5&lt;=$D408,$A408&lt;&gt;""),"●","")</x:f>
      </x:c>
      <x:c r="BB408" s="165" t="str">
        <x:f>IF(AND(BB$5&gt;=$C408,BB$5&lt;=$D408,$A408&lt;&gt;""),"●","")</x:f>
      </x:c>
      <x:c r="BC408" s="165" t="str">
        <x:f>IF(AND(BC$5&gt;=$C408,BC$5&lt;=$D408,$A408&lt;&gt;""),"●","")</x:f>
      </x:c>
      <x:c r="BD408" s="165" t="str">
        <x:f>IF(AND(BD$5&gt;=$C408,BD$5&lt;=$D408,$A408&lt;&gt;""),"●","")</x:f>
      </x:c>
      <x:c r="BE408" s="165" t="str">
        <x:f>IF(AND(BE$5&gt;=$C408,BE$5&lt;=$D408,$A408&lt;&gt;""),"●","")</x:f>
      </x:c>
      <x:c r="BF408" s="165" t="str">
        <x:f>IF(AND(BF$5&gt;=$C408,BF$5&lt;=$D408,$A408&lt;&gt;""),"●","")</x:f>
      </x:c>
      <x:c r="BG408" s="165" t="str">
        <x:f>IF(AND(BG$5&gt;=$C408,BG$5&lt;=$D408,$A408&lt;&gt;""),"●","")</x:f>
      </x:c>
      <x:c r="BH408" s="165" t="str">
        <x:f>IF(AND(BH$5&gt;=$C408,BH$5&lt;=$D408,$A408&lt;&gt;""),"●","")</x:f>
      </x:c>
      <x:c r="BI408" s="165" t="str">
        <x:f>IF(AND(BI$5&gt;=$C408,BI$5&lt;=$D408,$A408&lt;&gt;""),"●","")</x:f>
      </x:c>
      <x:c r="BJ408" s="165" t="str">
        <x:f>IF(AND(BJ$5&gt;=$C408,BJ$5&lt;=$D408,$A408&lt;&gt;""),"●","")</x:f>
      </x:c>
      <x:c r="BK408" s="165" t="str">
        <x:f>IF(AND(BK$5&gt;=$C408,BK$5&lt;=$D408,$A408&lt;&gt;""),"●","")</x:f>
      </x:c>
      <x:c r="BL408" s="165" t="str">
        <x:f>IF(AND(BL$5&gt;=$C408,BL$5&lt;=$D408,$A408&lt;&gt;""),"●","")</x:f>
      </x:c>
      <x:c r="BM408" s="165" t="str">
        <x:f>IF(AND(BM$5&gt;=$C408,BM$5&lt;=$D408,$A408&lt;&gt;""),"●","")</x:f>
      </x:c>
      <x:c r="BN408" s="165" t="str">
        <x:f>IF(AND(BN$5&gt;=$C408,BN$5&lt;=$D408,$A408&lt;&gt;""),"●","")</x:f>
      </x:c>
      <x:c r="BO408" s="165" t="str">
        <x:f>IF(AND(BO$5&gt;=$C408,BO$5&lt;=$D408,$A408&lt;&gt;""),"●","")</x:f>
      </x:c>
      <x:c r="BP408" s="165" t="str">
        <x:f>IF(AND(BP$5&gt;=$C408,BP$5&lt;=$D408,$A408&lt;&gt;""),"●","")</x:f>
      </x:c>
      <x:c r="BQ408" s="165" t="str">
        <x:f>IF(AND(BQ$5&gt;=$C408,BQ$5&lt;=$D408,$A408&lt;&gt;""),"●","")</x:f>
      </x:c>
      <x:c r="BR408" s="165" t="str">
        <x:f>IF(AND(BR$5&gt;=$C408,BR$5&lt;=$D408,$A408&lt;&gt;""),"●","")</x:f>
      </x:c>
      <x:c r="BS408" s="165" t="str">
        <x:f>IF(AND(BS$5&gt;=$C408,BS$5&lt;=$D408,$A408&lt;&gt;""),"●","")</x:f>
      </x:c>
      <x:c r="BT408" s="165" t="str">
        <x:f>IF(AND(BT$5&gt;=$C408,BT$5&lt;=$D408,$A408&lt;&gt;""),"●","")</x:f>
      </x:c>
      <x:c r="BU408" s="165" t="str">
        <x:f>IF(AND(BU$5&gt;=$C408,BU$5&lt;=$D408,$A408&lt;&gt;""),"●","")</x:f>
      </x:c>
      <x:c r="BV408" s="165" t="str">
        <x:f>IF(AND(BV$5&gt;=$C408,BV$5&lt;=$D408,$A408&lt;&gt;""),"●","")</x:f>
      </x:c>
      <x:c r="BW408" s="165" t="str">
        <x:f>IF(AND(BW$5&gt;=$C408,BW$5&lt;=$D408,$A408&lt;&gt;""),"●","")</x:f>
      </x:c>
    </x:row>
    <x:row r="409">
      <x:c r="A409" s="159" t="str">
        <x:f>IF('รายการสัญญา'!A409="","",'รายการสัญญา'!A409)</x:f>
      </x:c>
      <x:c r="B409" s="159" t="str">
        <x:f>IF('รายการสัญญา'!A409="","",'รายการสัญญา'!C409)</x:f>
      </x:c>
      <x:c r="C409" s="162" t="str">
        <x:f>IF('รายการสัญญา'!A409="","",'รายการสัญญา'!E409)</x:f>
      </x:c>
      <x:c r="D409" s="162" t="str">
        <x:f>IF('รายการสัญญา'!A409="","",'รายการสัญญา'!G409)</x:f>
      </x:c>
      <x:c r="E409" s="159" t="str">
        <x:f>IF('รายการสัญญา'!A409="","",'รายการสัญญา'!K409)</x:f>
      </x:c>
      <x:c r="F409" s="165" t="str">
        <x:f>IF(AND(F$5&gt;=$C409,F$5&lt;=$D409,$A409&lt;&gt;""),"●","")</x:f>
      </x:c>
      <x:c r="G409" s="165" t="str">
        <x:f>IF(AND(G$5&gt;=$C409,G$5&lt;=$D409,$A409&lt;&gt;""),"●","")</x:f>
      </x:c>
      <x:c r="H409" s="165" t="str">
        <x:f>IF(AND(H$5&gt;=$C409,H$5&lt;=$D409,$A409&lt;&gt;""),"●","")</x:f>
      </x:c>
      <x:c r="I409" s="165" t="str">
        <x:f>IF(AND(I$5&gt;=$C409,I$5&lt;=$D409,$A409&lt;&gt;""),"●","")</x:f>
      </x:c>
      <x:c r="J409" s="165" t="str">
        <x:f>IF(AND(J$5&gt;=$C409,J$5&lt;=$D409,$A409&lt;&gt;""),"●","")</x:f>
      </x:c>
      <x:c r="K409" s="165" t="str">
        <x:f>IF(AND(K$5&gt;=$C409,K$5&lt;=$D409,$A409&lt;&gt;""),"●","")</x:f>
      </x:c>
      <x:c r="L409" s="165" t="str">
        <x:f>IF(AND(L$5&gt;=$C409,L$5&lt;=$D409,$A409&lt;&gt;""),"●","")</x:f>
      </x:c>
      <x:c r="M409" s="165" t="str">
        <x:f>IF(AND(M$5&gt;=$C409,M$5&lt;=$D409,$A409&lt;&gt;""),"●","")</x:f>
      </x:c>
      <x:c r="N409" s="165" t="str">
        <x:f>IF(AND(N$5&gt;=$C409,N$5&lt;=$D409,$A409&lt;&gt;""),"●","")</x:f>
      </x:c>
      <x:c r="O409" s="165" t="str">
        <x:f>IF(AND(O$5&gt;=$C409,O$5&lt;=$D409,$A409&lt;&gt;""),"●","")</x:f>
      </x:c>
      <x:c r="P409" s="165" t="str">
        <x:f>IF(AND(P$5&gt;=$C409,P$5&lt;=$D409,$A409&lt;&gt;""),"●","")</x:f>
      </x:c>
      <x:c r="Q409" s="165" t="str">
        <x:f>IF(AND(Q$5&gt;=$C409,Q$5&lt;=$D409,$A409&lt;&gt;""),"●","")</x:f>
      </x:c>
      <x:c r="R409" s="165" t="str">
        <x:f>IF(AND(R$5&gt;=$C409,R$5&lt;=$D409,$A409&lt;&gt;""),"●","")</x:f>
      </x:c>
      <x:c r="S409" s="165" t="str">
        <x:f>IF(AND(S$5&gt;=$C409,S$5&lt;=$D409,$A409&lt;&gt;""),"●","")</x:f>
      </x:c>
      <x:c r="T409" s="165" t="str">
        <x:f>IF(AND(T$5&gt;=$C409,T$5&lt;=$D409,$A409&lt;&gt;""),"●","")</x:f>
      </x:c>
      <x:c r="U409" s="165" t="str">
        <x:f>IF(AND(U$5&gt;=$C409,U$5&lt;=$D409,$A409&lt;&gt;""),"●","")</x:f>
      </x:c>
      <x:c r="V409" s="165" t="str">
        <x:f>IF(AND(V$5&gt;=$C409,V$5&lt;=$D409,$A409&lt;&gt;""),"●","")</x:f>
      </x:c>
      <x:c r="W409" s="165" t="str">
        <x:f>IF(AND(W$5&gt;=$C409,W$5&lt;=$D409,$A409&lt;&gt;""),"●","")</x:f>
      </x:c>
      <x:c r="X409" s="165" t="str">
        <x:f>IF(AND(X$5&gt;=$C409,X$5&lt;=$D409,$A409&lt;&gt;""),"●","")</x:f>
      </x:c>
      <x:c r="Y409" s="165" t="str">
        <x:f>IF(AND(Y$5&gt;=$C409,Y$5&lt;=$D409,$A409&lt;&gt;""),"●","")</x:f>
      </x:c>
      <x:c r="Z409" s="165" t="str">
        <x:f>IF(AND(Z$5&gt;=$C409,Z$5&lt;=$D409,$A409&lt;&gt;""),"●","")</x:f>
      </x:c>
      <x:c r="AA409" s="165" t="str">
        <x:f>IF(AND(AA$5&gt;=$C409,AA$5&lt;=$D409,$A409&lt;&gt;""),"●","")</x:f>
      </x:c>
      <x:c r="AB409" s="165" t="str">
        <x:f>IF(AND(AB$5&gt;=$C409,AB$5&lt;=$D409,$A409&lt;&gt;""),"●","")</x:f>
      </x:c>
      <x:c r="AC409" s="165" t="str">
        <x:f>IF(AND(AC$5&gt;=$C409,AC$5&lt;=$D409,$A409&lt;&gt;""),"●","")</x:f>
      </x:c>
      <x:c r="AD409" s="165" t="str">
        <x:f>IF(AND(AD$5&gt;=$C409,AD$5&lt;=$D409,$A409&lt;&gt;""),"●","")</x:f>
      </x:c>
      <x:c r="AE409" s="165" t="str">
        <x:f>IF(AND(AE$5&gt;=$C409,AE$5&lt;=$D409,$A409&lt;&gt;""),"●","")</x:f>
      </x:c>
      <x:c r="AF409" s="165" t="str">
        <x:f>IF(AND(AF$5&gt;=$C409,AF$5&lt;=$D409,$A409&lt;&gt;""),"●","")</x:f>
      </x:c>
      <x:c r="AG409" s="165" t="str">
        <x:f>IF(AND(AG$5&gt;=$C409,AG$5&lt;=$D409,$A409&lt;&gt;""),"●","")</x:f>
      </x:c>
      <x:c r="AH409" s="165" t="str">
        <x:f>IF(AND(AH$5&gt;=$C409,AH$5&lt;=$D409,$A409&lt;&gt;""),"●","")</x:f>
      </x:c>
      <x:c r="AI409" s="165" t="str">
        <x:f>IF(AND(AI$5&gt;=$C409,AI$5&lt;=$D409,$A409&lt;&gt;""),"●","")</x:f>
      </x:c>
      <x:c r="AJ409" s="165" t="str">
        <x:f>IF(AND(AJ$5&gt;=$C409,AJ$5&lt;=$D409,$A409&lt;&gt;""),"●","")</x:f>
      </x:c>
      <x:c r="AK409" s="165" t="str">
        <x:f>IF(AND(AK$5&gt;=$C409,AK$5&lt;=$D409,$A409&lt;&gt;""),"●","")</x:f>
      </x:c>
      <x:c r="AL409" s="165" t="str">
        <x:f>IF(AND(AL$5&gt;=$C409,AL$5&lt;=$D409,$A409&lt;&gt;""),"●","")</x:f>
      </x:c>
      <x:c r="AM409" s="165" t="str">
        <x:f>IF(AND(AM$5&gt;=$C409,AM$5&lt;=$D409,$A409&lt;&gt;""),"●","")</x:f>
      </x:c>
      <x:c r="AN409" s="165" t="str">
        <x:f>IF(AND(AN$5&gt;=$C409,AN$5&lt;=$D409,$A409&lt;&gt;""),"●","")</x:f>
      </x:c>
      <x:c r="AO409" s="165" t="str">
        <x:f>IF(AND(AO$5&gt;=$C409,AO$5&lt;=$D409,$A409&lt;&gt;""),"●","")</x:f>
      </x:c>
      <x:c r="AP409" s="165" t="str">
        <x:f>IF(AND(AP$5&gt;=$C409,AP$5&lt;=$D409,$A409&lt;&gt;""),"●","")</x:f>
      </x:c>
      <x:c r="AQ409" s="165" t="str">
        <x:f>IF(AND(AQ$5&gt;=$C409,AQ$5&lt;=$D409,$A409&lt;&gt;""),"●","")</x:f>
      </x:c>
      <x:c r="AR409" s="165" t="str">
        <x:f>IF(AND(AR$5&gt;=$C409,AR$5&lt;=$D409,$A409&lt;&gt;""),"●","")</x:f>
      </x:c>
      <x:c r="AS409" s="165" t="str">
        <x:f>IF(AND(AS$5&gt;=$C409,AS$5&lt;=$D409,$A409&lt;&gt;""),"●","")</x:f>
      </x:c>
      <x:c r="AT409" s="165" t="str">
        <x:f>IF(AND(AT$5&gt;=$C409,AT$5&lt;=$D409,$A409&lt;&gt;""),"●","")</x:f>
      </x:c>
      <x:c r="AU409" s="165" t="str">
        <x:f>IF(AND(AU$5&gt;=$C409,AU$5&lt;=$D409,$A409&lt;&gt;""),"●","")</x:f>
      </x:c>
      <x:c r="AV409" s="165" t="str">
        <x:f>IF(AND(AV$5&gt;=$C409,AV$5&lt;=$D409,$A409&lt;&gt;""),"●","")</x:f>
      </x:c>
      <x:c r="AW409" s="165" t="str">
        <x:f>IF(AND(AW$5&gt;=$C409,AW$5&lt;=$D409,$A409&lt;&gt;""),"●","")</x:f>
      </x:c>
      <x:c r="AX409" s="165" t="str">
        <x:f>IF(AND(AX$5&gt;=$C409,AX$5&lt;=$D409,$A409&lt;&gt;""),"●","")</x:f>
      </x:c>
      <x:c r="AY409" s="165" t="str">
        <x:f>IF(AND(AY$5&gt;=$C409,AY$5&lt;=$D409,$A409&lt;&gt;""),"●","")</x:f>
      </x:c>
      <x:c r="AZ409" s="165" t="str">
        <x:f>IF(AND(AZ$5&gt;=$C409,AZ$5&lt;=$D409,$A409&lt;&gt;""),"●","")</x:f>
      </x:c>
      <x:c r="BA409" s="165" t="str">
        <x:f>IF(AND(BA$5&gt;=$C409,BA$5&lt;=$D409,$A409&lt;&gt;""),"●","")</x:f>
      </x:c>
      <x:c r="BB409" s="165" t="str">
        <x:f>IF(AND(BB$5&gt;=$C409,BB$5&lt;=$D409,$A409&lt;&gt;""),"●","")</x:f>
      </x:c>
      <x:c r="BC409" s="165" t="str">
        <x:f>IF(AND(BC$5&gt;=$C409,BC$5&lt;=$D409,$A409&lt;&gt;""),"●","")</x:f>
      </x:c>
      <x:c r="BD409" s="165" t="str">
        <x:f>IF(AND(BD$5&gt;=$C409,BD$5&lt;=$D409,$A409&lt;&gt;""),"●","")</x:f>
      </x:c>
      <x:c r="BE409" s="165" t="str">
        <x:f>IF(AND(BE$5&gt;=$C409,BE$5&lt;=$D409,$A409&lt;&gt;""),"●","")</x:f>
      </x:c>
      <x:c r="BF409" s="165" t="str">
        <x:f>IF(AND(BF$5&gt;=$C409,BF$5&lt;=$D409,$A409&lt;&gt;""),"●","")</x:f>
      </x:c>
      <x:c r="BG409" s="165" t="str">
        <x:f>IF(AND(BG$5&gt;=$C409,BG$5&lt;=$D409,$A409&lt;&gt;""),"●","")</x:f>
      </x:c>
      <x:c r="BH409" s="165" t="str">
        <x:f>IF(AND(BH$5&gt;=$C409,BH$5&lt;=$D409,$A409&lt;&gt;""),"●","")</x:f>
      </x:c>
      <x:c r="BI409" s="165" t="str">
        <x:f>IF(AND(BI$5&gt;=$C409,BI$5&lt;=$D409,$A409&lt;&gt;""),"●","")</x:f>
      </x:c>
      <x:c r="BJ409" s="165" t="str">
        <x:f>IF(AND(BJ$5&gt;=$C409,BJ$5&lt;=$D409,$A409&lt;&gt;""),"●","")</x:f>
      </x:c>
      <x:c r="BK409" s="165" t="str">
        <x:f>IF(AND(BK$5&gt;=$C409,BK$5&lt;=$D409,$A409&lt;&gt;""),"●","")</x:f>
      </x:c>
      <x:c r="BL409" s="165" t="str">
        <x:f>IF(AND(BL$5&gt;=$C409,BL$5&lt;=$D409,$A409&lt;&gt;""),"●","")</x:f>
      </x:c>
      <x:c r="BM409" s="165" t="str">
        <x:f>IF(AND(BM$5&gt;=$C409,BM$5&lt;=$D409,$A409&lt;&gt;""),"●","")</x:f>
      </x:c>
      <x:c r="BN409" s="165" t="str">
        <x:f>IF(AND(BN$5&gt;=$C409,BN$5&lt;=$D409,$A409&lt;&gt;""),"●","")</x:f>
      </x:c>
      <x:c r="BO409" s="165" t="str">
        <x:f>IF(AND(BO$5&gt;=$C409,BO$5&lt;=$D409,$A409&lt;&gt;""),"●","")</x:f>
      </x:c>
      <x:c r="BP409" s="165" t="str">
        <x:f>IF(AND(BP$5&gt;=$C409,BP$5&lt;=$D409,$A409&lt;&gt;""),"●","")</x:f>
      </x:c>
      <x:c r="BQ409" s="165" t="str">
        <x:f>IF(AND(BQ$5&gt;=$C409,BQ$5&lt;=$D409,$A409&lt;&gt;""),"●","")</x:f>
      </x:c>
      <x:c r="BR409" s="165" t="str">
        <x:f>IF(AND(BR$5&gt;=$C409,BR$5&lt;=$D409,$A409&lt;&gt;""),"●","")</x:f>
      </x:c>
      <x:c r="BS409" s="165" t="str">
        <x:f>IF(AND(BS$5&gt;=$C409,BS$5&lt;=$D409,$A409&lt;&gt;""),"●","")</x:f>
      </x:c>
      <x:c r="BT409" s="165" t="str">
        <x:f>IF(AND(BT$5&gt;=$C409,BT$5&lt;=$D409,$A409&lt;&gt;""),"●","")</x:f>
      </x:c>
      <x:c r="BU409" s="165" t="str">
        <x:f>IF(AND(BU$5&gt;=$C409,BU$5&lt;=$D409,$A409&lt;&gt;""),"●","")</x:f>
      </x:c>
      <x:c r="BV409" s="165" t="str">
        <x:f>IF(AND(BV$5&gt;=$C409,BV$5&lt;=$D409,$A409&lt;&gt;""),"●","")</x:f>
      </x:c>
      <x:c r="BW409" s="165" t="str">
        <x:f>IF(AND(BW$5&gt;=$C409,BW$5&lt;=$D409,$A409&lt;&gt;""),"●","")</x:f>
      </x:c>
    </x:row>
    <x:row r="410">
      <x:c r="A410" s="159" t="str">
        <x:f>IF('รายการสัญญา'!A410="","",'รายการสัญญา'!A410)</x:f>
      </x:c>
      <x:c r="B410" s="159" t="str">
        <x:f>IF('รายการสัญญา'!A410="","",'รายการสัญญา'!C410)</x:f>
      </x:c>
      <x:c r="C410" s="162" t="str">
        <x:f>IF('รายการสัญญา'!A410="","",'รายการสัญญา'!E410)</x:f>
      </x:c>
      <x:c r="D410" s="162" t="str">
        <x:f>IF('รายการสัญญา'!A410="","",'รายการสัญญา'!G410)</x:f>
      </x:c>
      <x:c r="E410" s="159" t="str">
        <x:f>IF('รายการสัญญา'!A410="","",'รายการสัญญา'!K410)</x:f>
      </x:c>
      <x:c r="F410" s="165" t="str">
        <x:f>IF(AND(F$5&gt;=$C410,F$5&lt;=$D410,$A410&lt;&gt;""),"●","")</x:f>
      </x:c>
      <x:c r="G410" s="165" t="str">
        <x:f>IF(AND(G$5&gt;=$C410,G$5&lt;=$D410,$A410&lt;&gt;""),"●","")</x:f>
      </x:c>
      <x:c r="H410" s="165" t="str">
        <x:f>IF(AND(H$5&gt;=$C410,H$5&lt;=$D410,$A410&lt;&gt;""),"●","")</x:f>
      </x:c>
      <x:c r="I410" s="165" t="str">
        <x:f>IF(AND(I$5&gt;=$C410,I$5&lt;=$D410,$A410&lt;&gt;""),"●","")</x:f>
      </x:c>
      <x:c r="J410" s="165" t="str">
        <x:f>IF(AND(J$5&gt;=$C410,J$5&lt;=$D410,$A410&lt;&gt;""),"●","")</x:f>
      </x:c>
      <x:c r="K410" s="165" t="str">
        <x:f>IF(AND(K$5&gt;=$C410,K$5&lt;=$D410,$A410&lt;&gt;""),"●","")</x:f>
      </x:c>
      <x:c r="L410" s="165" t="str">
        <x:f>IF(AND(L$5&gt;=$C410,L$5&lt;=$D410,$A410&lt;&gt;""),"●","")</x:f>
      </x:c>
      <x:c r="M410" s="165" t="str">
        <x:f>IF(AND(M$5&gt;=$C410,M$5&lt;=$D410,$A410&lt;&gt;""),"●","")</x:f>
      </x:c>
      <x:c r="N410" s="165" t="str">
        <x:f>IF(AND(N$5&gt;=$C410,N$5&lt;=$D410,$A410&lt;&gt;""),"●","")</x:f>
      </x:c>
      <x:c r="O410" s="165" t="str">
        <x:f>IF(AND(O$5&gt;=$C410,O$5&lt;=$D410,$A410&lt;&gt;""),"●","")</x:f>
      </x:c>
      <x:c r="P410" s="165" t="str">
        <x:f>IF(AND(P$5&gt;=$C410,P$5&lt;=$D410,$A410&lt;&gt;""),"●","")</x:f>
      </x:c>
      <x:c r="Q410" s="165" t="str">
        <x:f>IF(AND(Q$5&gt;=$C410,Q$5&lt;=$D410,$A410&lt;&gt;""),"●","")</x:f>
      </x:c>
      <x:c r="R410" s="165" t="str">
        <x:f>IF(AND(R$5&gt;=$C410,R$5&lt;=$D410,$A410&lt;&gt;""),"●","")</x:f>
      </x:c>
      <x:c r="S410" s="165" t="str">
        <x:f>IF(AND(S$5&gt;=$C410,S$5&lt;=$D410,$A410&lt;&gt;""),"●","")</x:f>
      </x:c>
      <x:c r="T410" s="165" t="str">
        <x:f>IF(AND(T$5&gt;=$C410,T$5&lt;=$D410,$A410&lt;&gt;""),"●","")</x:f>
      </x:c>
      <x:c r="U410" s="165" t="str">
        <x:f>IF(AND(U$5&gt;=$C410,U$5&lt;=$D410,$A410&lt;&gt;""),"●","")</x:f>
      </x:c>
      <x:c r="V410" s="165" t="str">
        <x:f>IF(AND(V$5&gt;=$C410,V$5&lt;=$D410,$A410&lt;&gt;""),"●","")</x:f>
      </x:c>
      <x:c r="W410" s="165" t="str">
        <x:f>IF(AND(W$5&gt;=$C410,W$5&lt;=$D410,$A410&lt;&gt;""),"●","")</x:f>
      </x:c>
      <x:c r="X410" s="165" t="str">
        <x:f>IF(AND(X$5&gt;=$C410,X$5&lt;=$D410,$A410&lt;&gt;""),"●","")</x:f>
      </x:c>
      <x:c r="Y410" s="165" t="str">
        <x:f>IF(AND(Y$5&gt;=$C410,Y$5&lt;=$D410,$A410&lt;&gt;""),"●","")</x:f>
      </x:c>
      <x:c r="Z410" s="165" t="str">
        <x:f>IF(AND(Z$5&gt;=$C410,Z$5&lt;=$D410,$A410&lt;&gt;""),"●","")</x:f>
      </x:c>
      <x:c r="AA410" s="165" t="str">
        <x:f>IF(AND(AA$5&gt;=$C410,AA$5&lt;=$D410,$A410&lt;&gt;""),"●","")</x:f>
      </x:c>
      <x:c r="AB410" s="165" t="str">
        <x:f>IF(AND(AB$5&gt;=$C410,AB$5&lt;=$D410,$A410&lt;&gt;""),"●","")</x:f>
      </x:c>
      <x:c r="AC410" s="165" t="str">
        <x:f>IF(AND(AC$5&gt;=$C410,AC$5&lt;=$D410,$A410&lt;&gt;""),"●","")</x:f>
      </x:c>
      <x:c r="AD410" s="165" t="str">
        <x:f>IF(AND(AD$5&gt;=$C410,AD$5&lt;=$D410,$A410&lt;&gt;""),"●","")</x:f>
      </x:c>
      <x:c r="AE410" s="165" t="str">
        <x:f>IF(AND(AE$5&gt;=$C410,AE$5&lt;=$D410,$A410&lt;&gt;""),"●","")</x:f>
      </x:c>
      <x:c r="AF410" s="165" t="str">
        <x:f>IF(AND(AF$5&gt;=$C410,AF$5&lt;=$D410,$A410&lt;&gt;""),"●","")</x:f>
      </x:c>
      <x:c r="AG410" s="165" t="str">
        <x:f>IF(AND(AG$5&gt;=$C410,AG$5&lt;=$D410,$A410&lt;&gt;""),"●","")</x:f>
      </x:c>
      <x:c r="AH410" s="165" t="str">
        <x:f>IF(AND(AH$5&gt;=$C410,AH$5&lt;=$D410,$A410&lt;&gt;""),"●","")</x:f>
      </x:c>
      <x:c r="AI410" s="165" t="str">
        <x:f>IF(AND(AI$5&gt;=$C410,AI$5&lt;=$D410,$A410&lt;&gt;""),"●","")</x:f>
      </x:c>
      <x:c r="AJ410" s="165" t="str">
        <x:f>IF(AND(AJ$5&gt;=$C410,AJ$5&lt;=$D410,$A410&lt;&gt;""),"●","")</x:f>
      </x:c>
      <x:c r="AK410" s="165" t="str">
        <x:f>IF(AND(AK$5&gt;=$C410,AK$5&lt;=$D410,$A410&lt;&gt;""),"●","")</x:f>
      </x:c>
      <x:c r="AL410" s="165" t="str">
        <x:f>IF(AND(AL$5&gt;=$C410,AL$5&lt;=$D410,$A410&lt;&gt;""),"●","")</x:f>
      </x:c>
      <x:c r="AM410" s="165" t="str">
        <x:f>IF(AND(AM$5&gt;=$C410,AM$5&lt;=$D410,$A410&lt;&gt;""),"●","")</x:f>
      </x:c>
      <x:c r="AN410" s="165" t="str">
        <x:f>IF(AND(AN$5&gt;=$C410,AN$5&lt;=$D410,$A410&lt;&gt;""),"●","")</x:f>
      </x:c>
      <x:c r="AO410" s="165" t="str">
        <x:f>IF(AND(AO$5&gt;=$C410,AO$5&lt;=$D410,$A410&lt;&gt;""),"●","")</x:f>
      </x:c>
      <x:c r="AP410" s="165" t="str">
        <x:f>IF(AND(AP$5&gt;=$C410,AP$5&lt;=$D410,$A410&lt;&gt;""),"●","")</x:f>
      </x:c>
      <x:c r="AQ410" s="165" t="str">
        <x:f>IF(AND(AQ$5&gt;=$C410,AQ$5&lt;=$D410,$A410&lt;&gt;""),"●","")</x:f>
      </x:c>
      <x:c r="AR410" s="165" t="str">
        <x:f>IF(AND(AR$5&gt;=$C410,AR$5&lt;=$D410,$A410&lt;&gt;""),"●","")</x:f>
      </x:c>
      <x:c r="AS410" s="165" t="str">
        <x:f>IF(AND(AS$5&gt;=$C410,AS$5&lt;=$D410,$A410&lt;&gt;""),"●","")</x:f>
      </x:c>
      <x:c r="AT410" s="165" t="str">
        <x:f>IF(AND(AT$5&gt;=$C410,AT$5&lt;=$D410,$A410&lt;&gt;""),"●","")</x:f>
      </x:c>
      <x:c r="AU410" s="165" t="str">
        <x:f>IF(AND(AU$5&gt;=$C410,AU$5&lt;=$D410,$A410&lt;&gt;""),"●","")</x:f>
      </x:c>
      <x:c r="AV410" s="165" t="str">
        <x:f>IF(AND(AV$5&gt;=$C410,AV$5&lt;=$D410,$A410&lt;&gt;""),"●","")</x:f>
      </x:c>
      <x:c r="AW410" s="165" t="str">
        <x:f>IF(AND(AW$5&gt;=$C410,AW$5&lt;=$D410,$A410&lt;&gt;""),"●","")</x:f>
      </x:c>
      <x:c r="AX410" s="165" t="str">
        <x:f>IF(AND(AX$5&gt;=$C410,AX$5&lt;=$D410,$A410&lt;&gt;""),"●","")</x:f>
      </x:c>
      <x:c r="AY410" s="165" t="str">
        <x:f>IF(AND(AY$5&gt;=$C410,AY$5&lt;=$D410,$A410&lt;&gt;""),"●","")</x:f>
      </x:c>
      <x:c r="AZ410" s="165" t="str">
        <x:f>IF(AND(AZ$5&gt;=$C410,AZ$5&lt;=$D410,$A410&lt;&gt;""),"●","")</x:f>
      </x:c>
      <x:c r="BA410" s="165" t="str">
        <x:f>IF(AND(BA$5&gt;=$C410,BA$5&lt;=$D410,$A410&lt;&gt;""),"●","")</x:f>
      </x:c>
      <x:c r="BB410" s="165" t="str">
        <x:f>IF(AND(BB$5&gt;=$C410,BB$5&lt;=$D410,$A410&lt;&gt;""),"●","")</x:f>
      </x:c>
      <x:c r="BC410" s="165" t="str">
        <x:f>IF(AND(BC$5&gt;=$C410,BC$5&lt;=$D410,$A410&lt;&gt;""),"●","")</x:f>
      </x:c>
      <x:c r="BD410" s="165" t="str">
        <x:f>IF(AND(BD$5&gt;=$C410,BD$5&lt;=$D410,$A410&lt;&gt;""),"●","")</x:f>
      </x:c>
      <x:c r="BE410" s="165" t="str">
        <x:f>IF(AND(BE$5&gt;=$C410,BE$5&lt;=$D410,$A410&lt;&gt;""),"●","")</x:f>
      </x:c>
      <x:c r="BF410" s="165" t="str">
        <x:f>IF(AND(BF$5&gt;=$C410,BF$5&lt;=$D410,$A410&lt;&gt;""),"●","")</x:f>
      </x:c>
      <x:c r="BG410" s="165" t="str">
        <x:f>IF(AND(BG$5&gt;=$C410,BG$5&lt;=$D410,$A410&lt;&gt;""),"●","")</x:f>
      </x:c>
      <x:c r="BH410" s="165" t="str">
        <x:f>IF(AND(BH$5&gt;=$C410,BH$5&lt;=$D410,$A410&lt;&gt;""),"●","")</x:f>
      </x:c>
      <x:c r="BI410" s="165" t="str">
        <x:f>IF(AND(BI$5&gt;=$C410,BI$5&lt;=$D410,$A410&lt;&gt;""),"●","")</x:f>
      </x:c>
      <x:c r="BJ410" s="165" t="str">
        <x:f>IF(AND(BJ$5&gt;=$C410,BJ$5&lt;=$D410,$A410&lt;&gt;""),"●","")</x:f>
      </x:c>
      <x:c r="BK410" s="165" t="str">
        <x:f>IF(AND(BK$5&gt;=$C410,BK$5&lt;=$D410,$A410&lt;&gt;""),"●","")</x:f>
      </x:c>
      <x:c r="BL410" s="165" t="str">
        <x:f>IF(AND(BL$5&gt;=$C410,BL$5&lt;=$D410,$A410&lt;&gt;""),"●","")</x:f>
      </x:c>
      <x:c r="BM410" s="165" t="str">
        <x:f>IF(AND(BM$5&gt;=$C410,BM$5&lt;=$D410,$A410&lt;&gt;""),"●","")</x:f>
      </x:c>
      <x:c r="BN410" s="165" t="str">
        <x:f>IF(AND(BN$5&gt;=$C410,BN$5&lt;=$D410,$A410&lt;&gt;""),"●","")</x:f>
      </x:c>
      <x:c r="BO410" s="165" t="str">
        <x:f>IF(AND(BO$5&gt;=$C410,BO$5&lt;=$D410,$A410&lt;&gt;""),"●","")</x:f>
      </x:c>
      <x:c r="BP410" s="165" t="str">
        <x:f>IF(AND(BP$5&gt;=$C410,BP$5&lt;=$D410,$A410&lt;&gt;""),"●","")</x:f>
      </x:c>
      <x:c r="BQ410" s="165" t="str">
        <x:f>IF(AND(BQ$5&gt;=$C410,BQ$5&lt;=$D410,$A410&lt;&gt;""),"●","")</x:f>
      </x:c>
      <x:c r="BR410" s="165" t="str">
        <x:f>IF(AND(BR$5&gt;=$C410,BR$5&lt;=$D410,$A410&lt;&gt;""),"●","")</x:f>
      </x:c>
      <x:c r="BS410" s="165" t="str">
        <x:f>IF(AND(BS$5&gt;=$C410,BS$5&lt;=$D410,$A410&lt;&gt;""),"●","")</x:f>
      </x:c>
      <x:c r="BT410" s="165" t="str">
        <x:f>IF(AND(BT$5&gt;=$C410,BT$5&lt;=$D410,$A410&lt;&gt;""),"●","")</x:f>
      </x:c>
      <x:c r="BU410" s="165" t="str">
        <x:f>IF(AND(BU$5&gt;=$C410,BU$5&lt;=$D410,$A410&lt;&gt;""),"●","")</x:f>
      </x:c>
      <x:c r="BV410" s="165" t="str">
        <x:f>IF(AND(BV$5&gt;=$C410,BV$5&lt;=$D410,$A410&lt;&gt;""),"●","")</x:f>
      </x:c>
      <x:c r="BW410" s="165" t="str">
        <x:f>IF(AND(BW$5&gt;=$C410,BW$5&lt;=$D410,$A410&lt;&gt;""),"●","")</x:f>
      </x:c>
    </x:row>
    <x:row r="411">
      <x:c r="A411" s="159" t="str">
        <x:f>IF('รายการสัญญา'!A411="","",'รายการสัญญา'!A411)</x:f>
      </x:c>
      <x:c r="B411" s="159" t="str">
        <x:f>IF('รายการสัญญา'!A411="","",'รายการสัญญา'!C411)</x:f>
      </x:c>
      <x:c r="C411" s="162" t="str">
        <x:f>IF('รายการสัญญา'!A411="","",'รายการสัญญา'!E411)</x:f>
      </x:c>
      <x:c r="D411" s="162" t="str">
        <x:f>IF('รายการสัญญา'!A411="","",'รายการสัญญา'!G411)</x:f>
      </x:c>
      <x:c r="E411" s="159" t="str">
        <x:f>IF('รายการสัญญา'!A411="","",'รายการสัญญา'!K411)</x:f>
      </x:c>
      <x:c r="F411" s="165" t="str">
        <x:f>IF(AND(F$5&gt;=$C411,F$5&lt;=$D411,$A411&lt;&gt;""),"●","")</x:f>
      </x:c>
      <x:c r="G411" s="165" t="str">
        <x:f>IF(AND(G$5&gt;=$C411,G$5&lt;=$D411,$A411&lt;&gt;""),"●","")</x:f>
      </x:c>
      <x:c r="H411" s="165" t="str">
        <x:f>IF(AND(H$5&gt;=$C411,H$5&lt;=$D411,$A411&lt;&gt;""),"●","")</x:f>
      </x:c>
      <x:c r="I411" s="165" t="str">
        <x:f>IF(AND(I$5&gt;=$C411,I$5&lt;=$D411,$A411&lt;&gt;""),"●","")</x:f>
      </x:c>
      <x:c r="J411" s="165" t="str">
        <x:f>IF(AND(J$5&gt;=$C411,J$5&lt;=$D411,$A411&lt;&gt;""),"●","")</x:f>
      </x:c>
      <x:c r="K411" s="165" t="str">
        <x:f>IF(AND(K$5&gt;=$C411,K$5&lt;=$D411,$A411&lt;&gt;""),"●","")</x:f>
      </x:c>
      <x:c r="L411" s="165" t="str">
        <x:f>IF(AND(L$5&gt;=$C411,L$5&lt;=$D411,$A411&lt;&gt;""),"●","")</x:f>
      </x:c>
      <x:c r="M411" s="165" t="str">
        <x:f>IF(AND(M$5&gt;=$C411,M$5&lt;=$D411,$A411&lt;&gt;""),"●","")</x:f>
      </x:c>
      <x:c r="N411" s="165" t="str">
        <x:f>IF(AND(N$5&gt;=$C411,N$5&lt;=$D411,$A411&lt;&gt;""),"●","")</x:f>
      </x:c>
      <x:c r="O411" s="165" t="str">
        <x:f>IF(AND(O$5&gt;=$C411,O$5&lt;=$D411,$A411&lt;&gt;""),"●","")</x:f>
      </x:c>
      <x:c r="P411" s="165" t="str">
        <x:f>IF(AND(P$5&gt;=$C411,P$5&lt;=$D411,$A411&lt;&gt;""),"●","")</x:f>
      </x:c>
      <x:c r="Q411" s="165" t="str">
        <x:f>IF(AND(Q$5&gt;=$C411,Q$5&lt;=$D411,$A411&lt;&gt;""),"●","")</x:f>
      </x:c>
      <x:c r="R411" s="165" t="str">
        <x:f>IF(AND(R$5&gt;=$C411,R$5&lt;=$D411,$A411&lt;&gt;""),"●","")</x:f>
      </x:c>
      <x:c r="S411" s="165" t="str">
        <x:f>IF(AND(S$5&gt;=$C411,S$5&lt;=$D411,$A411&lt;&gt;""),"●","")</x:f>
      </x:c>
      <x:c r="T411" s="165" t="str">
        <x:f>IF(AND(T$5&gt;=$C411,T$5&lt;=$D411,$A411&lt;&gt;""),"●","")</x:f>
      </x:c>
      <x:c r="U411" s="165" t="str">
        <x:f>IF(AND(U$5&gt;=$C411,U$5&lt;=$D411,$A411&lt;&gt;""),"●","")</x:f>
      </x:c>
      <x:c r="V411" s="165" t="str">
        <x:f>IF(AND(V$5&gt;=$C411,V$5&lt;=$D411,$A411&lt;&gt;""),"●","")</x:f>
      </x:c>
      <x:c r="W411" s="165" t="str">
        <x:f>IF(AND(W$5&gt;=$C411,W$5&lt;=$D411,$A411&lt;&gt;""),"●","")</x:f>
      </x:c>
      <x:c r="X411" s="165" t="str">
        <x:f>IF(AND(X$5&gt;=$C411,X$5&lt;=$D411,$A411&lt;&gt;""),"●","")</x:f>
      </x:c>
      <x:c r="Y411" s="165" t="str">
        <x:f>IF(AND(Y$5&gt;=$C411,Y$5&lt;=$D411,$A411&lt;&gt;""),"●","")</x:f>
      </x:c>
      <x:c r="Z411" s="165" t="str">
        <x:f>IF(AND(Z$5&gt;=$C411,Z$5&lt;=$D411,$A411&lt;&gt;""),"●","")</x:f>
      </x:c>
      <x:c r="AA411" s="165" t="str">
        <x:f>IF(AND(AA$5&gt;=$C411,AA$5&lt;=$D411,$A411&lt;&gt;""),"●","")</x:f>
      </x:c>
      <x:c r="AB411" s="165" t="str">
        <x:f>IF(AND(AB$5&gt;=$C411,AB$5&lt;=$D411,$A411&lt;&gt;""),"●","")</x:f>
      </x:c>
      <x:c r="AC411" s="165" t="str">
        <x:f>IF(AND(AC$5&gt;=$C411,AC$5&lt;=$D411,$A411&lt;&gt;""),"●","")</x:f>
      </x:c>
      <x:c r="AD411" s="165" t="str">
        <x:f>IF(AND(AD$5&gt;=$C411,AD$5&lt;=$D411,$A411&lt;&gt;""),"●","")</x:f>
      </x:c>
      <x:c r="AE411" s="165" t="str">
        <x:f>IF(AND(AE$5&gt;=$C411,AE$5&lt;=$D411,$A411&lt;&gt;""),"●","")</x:f>
      </x:c>
      <x:c r="AF411" s="165" t="str">
        <x:f>IF(AND(AF$5&gt;=$C411,AF$5&lt;=$D411,$A411&lt;&gt;""),"●","")</x:f>
      </x:c>
      <x:c r="AG411" s="165" t="str">
        <x:f>IF(AND(AG$5&gt;=$C411,AG$5&lt;=$D411,$A411&lt;&gt;""),"●","")</x:f>
      </x:c>
      <x:c r="AH411" s="165" t="str">
        <x:f>IF(AND(AH$5&gt;=$C411,AH$5&lt;=$D411,$A411&lt;&gt;""),"●","")</x:f>
      </x:c>
      <x:c r="AI411" s="165" t="str">
        <x:f>IF(AND(AI$5&gt;=$C411,AI$5&lt;=$D411,$A411&lt;&gt;""),"●","")</x:f>
      </x:c>
      <x:c r="AJ411" s="165" t="str">
        <x:f>IF(AND(AJ$5&gt;=$C411,AJ$5&lt;=$D411,$A411&lt;&gt;""),"●","")</x:f>
      </x:c>
      <x:c r="AK411" s="165" t="str">
        <x:f>IF(AND(AK$5&gt;=$C411,AK$5&lt;=$D411,$A411&lt;&gt;""),"●","")</x:f>
      </x:c>
      <x:c r="AL411" s="165" t="str">
        <x:f>IF(AND(AL$5&gt;=$C411,AL$5&lt;=$D411,$A411&lt;&gt;""),"●","")</x:f>
      </x:c>
      <x:c r="AM411" s="165" t="str">
        <x:f>IF(AND(AM$5&gt;=$C411,AM$5&lt;=$D411,$A411&lt;&gt;""),"●","")</x:f>
      </x:c>
      <x:c r="AN411" s="165" t="str">
        <x:f>IF(AND(AN$5&gt;=$C411,AN$5&lt;=$D411,$A411&lt;&gt;""),"●","")</x:f>
      </x:c>
      <x:c r="AO411" s="165" t="str">
        <x:f>IF(AND(AO$5&gt;=$C411,AO$5&lt;=$D411,$A411&lt;&gt;""),"●","")</x:f>
      </x:c>
      <x:c r="AP411" s="165" t="str">
        <x:f>IF(AND(AP$5&gt;=$C411,AP$5&lt;=$D411,$A411&lt;&gt;""),"●","")</x:f>
      </x:c>
      <x:c r="AQ411" s="165" t="str">
        <x:f>IF(AND(AQ$5&gt;=$C411,AQ$5&lt;=$D411,$A411&lt;&gt;""),"●","")</x:f>
      </x:c>
      <x:c r="AR411" s="165" t="str">
        <x:f>IF(AND(AR$5&gt;=$C411,AR$5&lt;=$D411,$A411&lt;&gt;""),"●","")</x:f>
      </x:c>
      <x:c r="AS411" s="165" t="str">
        <x:f>IF(AND(AS$5&gt;=$C411,AS$5&lt;=$D411,$A411&lt;&gt;""),"●","")</x:f>
      </x:c>
      <x:c r="AT411" s="165" t="str">
        <x:f>IF(AND(AT$5&gt;=$C411,AT$5&lt;=$D411,$A411&lt;&gt;""),"●","")</x:f>
      </x:c>
      <x:c r="AU411" s="165" t="str">
        <x:f>IF(AND(AU$5&gt;=$C411,AU$5&lt;=$D411,$A411&lt;&gt;""),"●","")</x:f>
      </x:c>
      <x:c r="AV411" s="165" t="str">
        <x:f>IF(AND(AV$5&gt;=$C411,AV$5&lt;=$D411,$A411&lt;&gt;""),"●","")</x:f>
      </x:c>
      <x:c r="AW411" s="165" t="str">
        <x:f>IF(AND(AW$5&gt;=$C411,AW$5&lt;=$D411,$A411&lt;&gt;""),"●","")</x:f>
      </x:c>
      <x:c r="AX411" s="165" t="str">
        <x:f>IF(AND(AX$5&gt;=$C411,AX$5&lt;=$D411,$A411&lt;&gt;""),"●","")</x:f>
      </x:c>
      <x:c r="AY411" s="165" t="str">
        <x:f>IF(AND(AY$5&gt;=$C411,AY$5&lt;=$D411,$A411&lt;&gt;""),"●","")</x:f>
      </x:c>
      <x:c r="AZ411" s="165" t="str">
        <x:f>IF(AND(AZ$5&gt;=$C411,AZ$5&lt;=$D411,$A411&lt;&gt;""),"●","")</x:f>
      </x:c>
      <x:c r="BA411" s="165" t="str">
        <x:f>IF(AND(BA$5&gt;=$C411,BA$5&lt;=$D411,$A411&lt;&gt;""),"●","")</x:f>
      </x:c>
      <x:c r="BB411" s="165" t="str">
        <x:f>IF(AND(BB$5&gt;=$C411,BB$5&lt;=$D411,$A411&lt;&gt;""),"●","")</x:f>
      </x:c>
      <x:c r="BC411" s="165" t="str">
        <x:f>IF(AND(BC$5&gt;=$C411,BC$5&lt;=$D411,$A411&lt;&gt;""),"●","")</x:f>
      </x:c>
      <x:c r="BD411" s="165" t="str">
        <x:f>IF(AND(BD$5&gt;=$C411,BD$5&lt;=$D411,$A411&lt;&gt;""),"●","")</x:f>
      </x:c>
      <x:c r="BE411" s="165" t="str">
        <x:f>IF(AND(BE$5&gt;=$C411,BE$5&lt;=$D411,$A411&lt;&gt;""),"●","")</x:f>
      </x:c>
      <x:c r="BF411" s="165" t="str">
        <x:f>IF(AND(BF$5&gt;=$C411,BF$5&lt;=$D411,$A411&lt;&gt;""),"●","")</x:f>
      </x:c>
      <x:c r="BG411" s="165" t="str">
        <x:f>IF(AND(BG$5&gt;=$C411,BG$5&lt;=$D411,$A411&lt;&gt;""),"●","")</x:f>
      </x:c>
      <x:c r="BH411" s="165" t="str">
        <x:f>IF(AND(BH$5&gt;=$C411,BH$5&lt;=$D411,$A411&lt;&gt;""),"●","")</x:f>
      </x:c>
      <x:c r="BI411" s="165" t="str">
        <x:f>IF(AND(BI$5&gt;=$C411,BI$5&lt;=$D411,$A411&lt;&gt;""),"●","")</x:f>
      </x:c>
      <x:c r="BJ411" s="165" t="str">
        <x:f>IF(AND(BJ$5&gt;=$C411,BJ$5&lt;=$D411,$A411&lt;&gt;""),"●","")</x:f>
      </x:c>
      <x:c r="BK411" s="165" t="str">
        <x:f>IF(AND(BK$5&gt;=$C411,BK$5&lt;=$D411,$A411&lt;&gt;""),"●","")</x:f>
      </x:c>
      <x:c r="BL411" s="165" t="str">
        <x:f>IF(AND(BL$5&gt;=$C411,BL$5&lt;=$D411,$A411&lt;&gt;""),"●","")</x:f>
      </x:c>
      <x:c r="BM411" s="165" t="str">
        <x:f>IF(AND(BM$5&gt;=$C411,BM$5&lt;=$D411,$A411&lt;&gt;""),"●","")</x:f>
      </x:c>
      <x:c r="BN411" s="165" t="str">
        <x:f>IF(AND(BN$5&gt;=$C411,BN$5&lt;=$D411,$A411&lt;&gt;""),"●","")</x:f>
      </x:c>
      <x:c r="BO411" s="165" t="str">
        <x:f>IF(AND(BO$5&gt;=$C411,BO$5&lt;=$D411,$A411&lt;&gt;""),"●","")</x:f>
      </x:c>
      <x:c r="BP411" s="165" t="str">
        <x:f>IF(AND(BP$5&gt;=$C411,BP$5&lt;=$D411,$A411&lt;&gt;""),"●","")</x:f>
      </x:c>
      <x:c r="BQ411" s="165" t="str">
        <x:f>IF(AND(BQ$5&gt;=$C411,BQ$5&lt;=$D411,$A411&lt;&gt;""),"●","")</x:f>
      </x:c>
      <x:c r="BR411" s="165" t="str">
        <x:f>IF(AND(BR$5&gt;=$C411,BR$5&lt;=$D411,$A411&lt;&gt;""),"●","")</x:f>
      </x:c>
      <x:c r="BS411" s="165" t="str">
        <x:f>IF(AND(BS$5&gt;=$C411,BS$5&lt;=$D411,$A411&lt;&gt;""),"●","")</x:f>
      </x:c>
      <x:c r="BT411" s="165" t="str">
        <x:f>IF(AND(BT$5&gt;=$C411,BT$5&lt;=$D411,$A411&lt;&gt;""),"●","")</x:f>
      </x:c>
      <x:c r="BU411" s="165" t="str">
        <x:f>IF(AND(BU$5&gt;=$C411,BU$5&lt;=$D411,$A411&lt;&gt;""),"●","")</x:f>
      </x:c>
      <x:c r="BV411" s="165" t="str">
        <x:f>IF(AND(BV$5&gt;=$C411,BV$5&lt;=$D411,$A411&lt;&gt;""),"●","")</x:f>
      </x:c>
      <x:c r="BW411" s="165" t="str">
        <x:f>IF(AND(BW$5&gt;=$C411,BW$5&lt;=$D411,$A411&lt;&gt;""),"●","")</x:f>
      </x:c>
    </x:row>
    <x:row r="412">
      <x:c r="A412" s="159" t="str">
        <x:f>IF('รายการสัญญา'!A412="","",'รายการสัญญา'!A412)</x:f>
      </x:c>
      <x:c r="B412" s="159" t="str">
        <x:f>IF('รายการสัญญา'!A412="","",'รายการสัญญา'!C412)</x:f>
      </x:c>
      <x:c r="C412" s="162" t="str">
        <x:f>IF('รายการสัญญา'!A412="","",'รายการสัญญา'!E412)</x:f>
      </x:c>
      <x:c r="D412" s="162" t="str">
        <x:f>IF('รายการสัญญา'!A412="","",'รายการสัญญา'!G412)</x:f>
      </x:c>
      <x:c r="E412" s="159" t="str">
        <x:f>IF('รายการสัญญา'!A412="","",'รายการสัญญา'!K412)</x:f>
      </x:c>
      <x:c r="F412" s="165" t="str">
        <x:f>IF(AND(F$5&gt;=$C412,F$5&lt;=$D412,$A412&lt;&gt;""),"●","")</x:f>
      </x:c>
      <x:c r="G412" s="165" t="str">
        <x:f>IF(AND(G$5&gt;=$C412,G$5&lt;=$D412,$A412&lt;&gt;""),"●","")</x:f>
      </x:c>
      <x:c r="H412" s="165" t="str">
        <x:f>IF(AND(H$5&gt;=$C412,H$5&lt;=$D412,$A412&lt;&gt;""),"●","")</x:f>
      </x:c>
      <x:c r="I412" s="165" t="str">
        <x:f>IF(AND(I$5&gt;=$C412,I$5&lt;=$D412,$A412&lt;&gt;""),"●","")</x:f>
      </x:c>
      <x:c r="J412" s="165" t="str">
        <x:f>IF(AND(J$5&gt;=$C412,J$5&lt;=$D412,$A412&lt;&gt;""),"●","")</x:f>
      </x:c>
      <x:c r="K412" s="165" t="str">
        <x:f>IF(AND(K$5&gt;=$C412,K$5&lt;=$D412,$A412&lt;&gt;""),"●","")</x:f>
      </x:c>
      <x:c r="L412" s="165" t="str">
        <x:f>IF(AND(L$5&gt;=$C412,L$5&lt;=$D412,$A412&lt;&gt;""),"●","")</x:f>
      </x:c>
      <x:c r="M412" s="165" t="str">
        <x:f>IF(AND(M$5&gt;=$C412,M$5&lt;=$D412,$A412&lt;&gt;""),"●","")</x:f>
      </x:c>
      <x:c r="N412" s="165" t="str">
        <x:f>IF(AND(N$5&gt;=$C412,N$5&lt;=$D412,$A412&lt;&gt;""),"●","")</x:f>
      </x:c>
      <x:c r="O412" s="165" t="str">
        <x:f>IF(AND(O$5&gt;=$C412,O$5&lt;=$D412,$A412&lt;&gt;""),"●","")</x:f>
      </x:c>
      <x:c r="P412" s="165" t="str">
        <x:f>IF(AND(P$5&gt;=$C412,P$5&lt;=$D412,$A412&lt;&gt;""),"●","")</x:f>
      </x:c>
      <x:c r="Q412" s="165" t="str">
        <x:f>IF(AND(Q$5&gt;=$C412,Q$5&lt;=$D412,$A412&lt;&gt;""),"●","")</x:f>
      </x:c>
      <x:c r="R412" s="165" t="str">
        <x:f>IF(AND(R$5&gt;=$C412,R$5&lt;=$D412,$A412&lt;&gt;""),"●","")</x:f>
      </x:c>
      <x:c r="S412" s="165" t="str">
        <x:f>IF(AND(S$5&gt;=$C412,S$5&lt;=$D412,$A412&lt;&gt;""),"●","")</x:f>
      </x:c>
      <x:c r="T412" s="165" t="str">
        <x:f>IF(AND(T$5&gt;=$C412,T$5&lt;=$D412,$A412&lt;&gt;""),"●","")</x:f>
      </x:c>
      <x:c r="U412" s="165" t="str">
        <x:f>IF(AND(U$5&gt;=$C412,U$5&lt;=$D412,$A412&lt;&gt;""),"●","")</x:f>
      </x:c>
      <x:c r="V412" s="165" t="str">
        <x:f>IF(AND(V$5&gt;=$C412,V$5&lt;=$D412,$A412&lt;&gt;""),"●","")</x:f>
      </x:c>
      <x:c r="W412" s="165" t="str">
        <x:f>IF(AND(W$5&gt;=$C412,W$5&lt;=$D412,$A412&lt;&gt;""),"●","")</x:f>
      </x:c>
      <x:c r="X412" s="165" t="str">
        <x:f>IF(AND(X$5&gt;=$C412,X$5&lt;=$D412,$A412&lt;&gt;""),"●","")</x:f>
      </x:c>
      <x:c r="Y412" s="165" t="str">
        <x:f>IF(AND(Y$5&gt;=$C412,Y$5&lt;=$D412,$A412&lt;&gt;""),"●","")</x:f>
      </x:c>
      <x:c r="Z412" s="165" t="str">
        <x:f>IF(AND(Z$5&gt;=$C412,Z$5&lt;=$D412,$A412&lt;&gt;""),"●","")</x:f>
      </x:c>
      <x:c r="AA412" s="165" t="str">
        <x:f>IF(AND(AA$5&gt;=$C412,AA$5&lt;=$D412,$A412&lt;&gt;""),"●","")</x:f>
      </x:c>
      <x:c r="AB412" s="165" t="str">
        <x:f>IF(AND(AB$5&gt;=$C412,AB$5&lt;=$D412,$A412&lt;&gt;""),"●","")</x:f>
      </x:c>
      <x:c r="AC412" s="165" t="str">
        <x:f>IF(AND(AC$5&gt;=$C412,AC$5&lt;=$D412,$A412&lt;&gt;""),"●","")</x:f>
      </x:c>
      <x:c r="AD412" s="165" t="str">
        <x:f>IF(AND(AD$5&gt;=$C412,AD$5&lt;=$D412,$A412&lt;&gt;""),"●","")</x:f>
      </x:c>
      <x:c r="AE412" s="165" t="str">
        <x:f>IF(AND(AE$5&gt;=$C412,AE$5&lt;=$D412,$A412&lt;&gt;""),"●","")</x:f>
      </x:c>
      <x:c r="AF412" s="165" t="str">
        <x:f>IF(AND(AF$5&gt;=$C412,AF$5&lt;=$D412,$A412&lt;&gt;""),"●","")</x:f>
      </x:c>
      <x:c r="AG412" s="165" t="str">
        <x:f>IF(AND(AG$5&gt;=$C412,AG$5&lt;=$D412,$A412&lt;&gt;""),"●","")</x:f>
      </x:c>
      <x:c r="AH412" s="165" t="str">
        <x:f>IF(AND(AH$5&gt;=$C412,AH$5&lt;=$D412,$A412&lt;&gt;""),"●","")</x:f>
      </x:c>
      <x:c r="AI412" s="165" t="str">
        <x:f>IF(AND(AI$5&gt;=$C412,AI$5&lt;=$D412,$A412&lt;&gt;""),"●","")</x:f>
      </x:c>
      <x:c r="AJ412" s="165" t="str">
        <x:f>IF(AND(AJ$5&gt;=$C412,AJ$5&lt;=$D412,$A412&lt;&gt;""),"●","")</x:f>
      </x:c>
      <x:c r="AK412" s="165" t="str">
        <x:f>IF(AND(AK$5&gt;=$C412,AK$5&lt;=$D412,$A412&lt;&gt;""),"●","")</x:f>
      </x:c>
      <x:c r="AL412" s="165" t="str">
        <x:f>IF(AND(AL$5&gt;=$C412,AL$5&lt;=$D412,$A412&lt;&gt;""),"●","")</x:f>
      </x:c>
      <x:c r="AM412" s="165" t="str">
        <x:f>IF(AND(AM$5&gt;=$C412,AM$5&lt;=$D412,$A412&lt;&gt;""),"●","")</x:f>
      </x:c>
      <x:c r="AN412" s="165" t="str">
        <x:f>IF(AND(AN$5&gt;=$C412,AN$5&lt;=$D412,$A412&lt;&gt;""),"●","")</x:f>
      </x:c>
      <x:c r="AO412" s="165" t="str">
        <x:f>IF(AND(AO$5&gt;=$C412,AO$5&lt;=$D412,$A412&lt;&gt;""),"●","")</x:f>
      </x:c>
      <x:c r="AP412" s="165" t="str">
        <x:f>IF(AND(AP$5&gt;=$C412,AP$5&lt;=$D412,$A412&lt;&gt;""),"●","")</x:f>
      </x:c>
      <x:c r="AQ412" s="165" t="str">
        <x:f>IF(AND(AQ$5&gt;=$C412,AQ$5&lt;=$D412,$A412&lt;&gt;""),"●","")</x:f>
      </x:c>
      <x:c r="AR412" s="165" t="str">
        <x:f>IF(AND(AR$5&gt;=$C412,AR$5&lt;=$D412,$A412&lt;&gt;""),"●","")</x:f>
      </x:c>
      <x:c r="AS412" s="165" t="str">
        <x:f>IF(AND(AS$5&gt;=$C412,AS$5&lt;=$D412,$A412&lt;&gt;""),"●","")</x:f>
      </x:c>
      <x:c r="AT412" s="165" t="str">
        <x:f>IF(AND(AT$5&gt;=$C412,AT$5&lt;=$D412,$A412&lt;&gt;""),"●","")</x:f>
      </x:c>
      <x:c r="AU412" s="165" t="str">
        <x:f>IF(AND(AU$5&gt;=$C412,AU$5&lt;=$D412,$A412&lt;&gt;""),"●","")</x:f>
      </x:c>
      <x:c r="AV412" s="165" t="str">
        <x:f>IF(AND(AV$5&gt;=$C412,AV$5&lt;=$D412,$A412&lt;&gt;""),"●","")</x:f>
      </x:c>
      <x:c r="AW412" s="165" t="str">
        <x:f>IF(AND(AW$5&gt;=$C412,AW$5&lt;=$D412,$A412&lt;&gt;""),"●","")</x:f>
      </x:c>
      <x:c r="AX412" s="165" t="str">
        <x:f>IF(AND(AX$5&gt;=$C412,AX$5&lt;=$D412,$A412&lt;&gt;""),"●","")</x:f>
      </x:c>
      <x:c r="AY412" s="165" t="str">
        <x:f>IF(AND(AY$5&gt;=$C412,AY$5&lt;=$D412,$A412&lt;&gt;""),"●","")</x:f>
      </x:c>
      <x:c r="AZ412" s="165" t="str">
        <x:f>IF(AND(AZ$5&gt;=$C412,AZ$5&lt;=$D412,$A412&lt;&gt;""),"●","")</x:f>
      </x:c>
      <x:c r="BA412" s="165" t="str">
        <x:f>IF(AND(BA$5&gt;=$C412,BA$5&lt;=$D412,$A412&lt;&gt;""),"●","")</x:f>
      </x:c>
      <x:c r="BB412" s="165" t="str">
        <x:f>IF(AND(BB$5&gt;=$C412,BB$5&lt;=$D412,$A412&lt;&gt;""),"●","")</x:f>
      </x:c>
      <x:c r="BC412" s="165" t="str">
        <x:f>IF(AND(BC$5&gt;=$C412,BC$5&lt;=$D412,$A412&lt;&gt;""),"●","")</x:f>
      </x:c>
      <x:c r="BD412" s="165" t="str">
        <x:f>IF(AND(BD$5&gt;=$C412,BD$5&lt;=$D412,$A412&lt;&gt;""),"●","")</x:f>
      </x:c>
      <x:c r="BE412" s="165" t="str">
        <x:f>IF(AND(BE$5&gt;=$C412,BE$5&lt;=$D412,$A412&lt;&gt;""),"●","")</x:f>
      </x:c>
      <x:c r="BF412" s="165" t="str">
        <x:f>IF(AND(BF$5&gt;=$C412,BF$5&lt;=$D412,$A412&lt;&gt;""),"●","")</x:f>
      </x:c>
      <x:c r="BG412" s="165" t="str">
        <x:f>IF(AND(BG$5&gt;=$C412,BG$5&lt;=$D412,$A412&lt;&gt;""),"●","")</x:f>
      </x:c>
      <x:c r="BH412" s="165" t="str">
        <x:f>IF(AND(BH$5&gt;=$C412,BH$5&lt;=$D412,$A412&lt;&gt;""),"●","")</x:f>
      </x:c>
      <x:c r="BI412" s="165" t="str">
        <x:f>IF(AND(BI$5&gt;=$C412,BI$5&lt;=$D412,$A412&lt;&gt;""),"●","")</x:f>
      </x:c>
      <x:c r="BJ412" s="165" t="str">
        <x:f>IF(AND(BJ$5&gt;=$C412,BJ$5&lt;=$D412,$A412&lt;&gt;""),"●","")</x:f>
      </x:c>
      <x:c r="BK412" s="165" t="str">
        <x:f>IF(AND(BK$5&gt;=$C412,BK$5&lt;=$D412,$A412&lt;&gt;""),"●","")</x:f>
      </x:c>
      <x:c r="BL412" s="165" t="str">
        <x:f>IF(AND(BL$5&gt;=$C412,BL$5&lt;=$D412,$A412&lt;&gt;""),"●","")</x:f>
      </x:c>
      <x:c r="BM412" s="165" t="str">
        <x:f>IF(AND(BM$5&gt;=$C412,BM$5&lt;=$D412,$A412&lt;&gt;""),"●","")</x:f>
      </x:c>
      <x:c r="BN412" s="165" t="str">
        <x:f>IF(AND(BN$5&gt;=$C412,BN$5&lt;=$D412,$A412&lt;&gt;""),"●","")</x:f>
      </x:c>
      <x:c r="BO412" s="165" t="str">
        <x:f>IF(AND(BO$5&gt;=$C412,BO$5&lt;=$D412,$A412&lt;&gt;""),"●","")</x:f>
      </x:c>
      <x:c r="BP412" s="165" t="str">
        <x:f>IF(AND(BP$5&gt;=$C412,BP$5&lt;=$D412,$A412&lt;&gt;""),"●","")</x:f>
      </x:c>
      <x:c r="BQ412" s="165" t="str">
        <x:f>IF(AND(BQ$5&gt;=$C412,BQ$5&lt;=$D412,$A412&lt;&gt;""),"●","")</x:f>
      </x:c>
      <x:c r="BR412" s="165" t="str">
        <x:f>IF(AND(BR$5&gt;=$C412,BR$5&lt;=$D412,$A412&lt;&gt;""),"●","")</x:f>
      </x:c>
      <x:c r="BS412" s="165" t="str">
        <x:f>IF(AND(BS$5&gt;=$C412,BS$5&lt;=$D412,$A412&lt;&gt;""),"●","")</x:f>
      </x:c>
      <x:c r="BT412" s="165" t="str">
        <x:f>IF(AND(BT$5&gt;=$C412,BT$5&lt;=$D412,$A412&lt;&gt;""),"●","")</x:f>
      </x:c>
      <x:c r="BU412" s="165" t="str">
        <x:f>IF(AND(BU$5&gt;=$C412,BU$5&lt;=$D412,$A412&lt;&gt;""),"●","")</x:f>
      </x:c>
      <x:c r="BV412" s="165" t="str">
        <x:f>IF(AND(BV$5&gt;=$C412,BV$5&lt;=$D412,$A412&lt;&gt;""),"●","")</x:f>
      </x:c>
      <x:c r="BW412" s="165" t="str">
        <x:f>IF(AND(BW$5&gt;=$C412,BW$5&lt;=$D412,$A412&lt;&gt;""),"●","")</x:f>
      </x:c>
    </x:row>
    <x:row r="413">
      <x:c r="A413" s="159" t="str">
        <x:f>IF('รายการสัญญา'!A413="","",'รายการสัญญา'!A413)</x:f>
      </x:c>
      <x:c r="B413" s="159" t="str">
        <x:f>IF('รายการสัญญา'!A413="","",'รายการสัญญา'!C413)</x:f>
      </x:c>
      <x:c r="C413" s="162" t="str">
        <x:f>IF('รายการสัญญา'!A413="","",'รายการสัญญา'!E413)</x:f>
      </x:c>
      <x:c r="D413" s="162" t="str">
        <x:f>IF('รายการสัญญา'!A413="","",'รายการสัญญา'!G413)</x:f>
      </x:c>
      <x:c r="E413" s="159" t="str">
        <x:f>IF('รายการสัญญา'!A413="","",'รายการสัญญา'!K413)</x:f>
      </x:c>
      <x:c r="F413" s="165" t="str">
        <x:f>IF(AND(F$5&gt;=$C413,F$5&lt;=$D413,$A413&lt;&gt;""),"●","")</x:f>
      </x:c>
      <x:c r="G413" s="165" t="str">
        <x:f>IF(AND(G$5&gt;=$C413,G$5&lt;=$D413,$A413&lt;&gt;""),"●","")</x:f>
      </x:c>
      <x:c r="H413" s="165" t="str">
        <x:f>IF(AND(H$5&gt;=$C413,H$5&lt;=$D413,$A413&lt;&gt;""),"●","")</x:f>
      </x:c>
      <x:c r="I413" s="165" t="str">
        <x:f>IF(AND(I$5&gt;=$C413,I$5&lt;=$D413,$A413&lt;&gt;""),"●","")</x:f>
      </x:c>
      <x:c r="J413" s="165" t="str">
        <x:f>IF(AND(J$5&gt;=$C413,J$5&lt;=$D413,$A413&lt;&gt;""),"●","")</x:f>
      </x:c>
      <x:c r="K413" s="165" t="str">
        <x:f>IF(AND(K$5&gt;=$C413,K$5&lt;=$D413,$A413&lt;&gt;""),"●","")</x:f>
      </x:c>
      <x:c r="L413" s="165" t="str">
        <x:f>IF(AND(L$5&gt;=$C413,L$5&lt;=$D413,$A413&lt;&gt;""),"●","")</x:f>
      </x:c>
      <x:c r="M413" s="165" t="str">
        <x:f>IF(AND(M$5&gt;=$C413,M$5&lt;=$D413,$A413&lt;&gt;""),"●","")</x:f>
      </x:c>
      <x:c r="N413" s="165" t="str">
        <x:f>IF(AND(N$5&gt;=$C413,N$5&lt;=$D413,$A413&lt;&gt;""),"●","")</x:f>
      </x:c>
      <x:c r="O413" s="165" t="str">
        <x:f>IF(AND(O$5&gt;=$C413,O$5&lt;=$D413,$A413&lt;&gt;""),"●","")</x:f>
      </x:c>
      <x:c r="P413" s="165" t="str">
        <x:f>IF(AND(P$5&gt;=$C413,P$5&lt;=$D413,$A413&lt;&gt;""),"●","")</x:f>
      </x:c>
      <x:c r="Q413" s="165" t="str">
        <x:f>IF(AND(Q$5&gt;=$C413,Q$5&lt;=$D413,$A413&lt;&gt;""),"●","")</x:f>
      </x:c>
      <x:c r="R413" s="165" t="str">
        <x:f>IF(AND(R$5&gt;=$C413,R$5&lt;=$D413,$A413&lt;&gt;""),"●","")</x:f>
      </x:c>
      <x:c r="S413" s="165" t="str">
        <x:f>IF(AND(S$5&gt;=$C413,S$5&lt;=$D413,$A413&lt;&gt;""),"●","")</x:f>
      </x:c>
      <x:c r="T413" s="165" t="str">
        <x:f>IF(AND(T$5&gt;=$C413,T$5&lt;=$D413,$A413&lt;&gt;""),"●","")</x:f>
      </x:c>
      <x:c r="U413" s="165" t="str">
        <x:f>IF(AND(U$5&gt;=$C413,U$5&lt;=$D413,$A413&lt;&gt;""),"●","")</x:f>
      </x:c>
      <x:c r="V413" s="165" t="str">
        <x:f>IF(AND(V$5&gt;=$C413,V$5&lt;=$D413,$A413&lt;&gt;""),"●","")</x:f>
      </x:c>
      <x:c r="W413" s="165" t="str">
        <x:f>IF(AND(W$5&gt;=$C413,W$5&lt;=$D413,$A413&lt;&gt;""),"●","")</x:f>
      </x:c>
      <x:c r="X413" s="165" t="str">
        <x:f>IF(AND(X$5&gt;=$C413,X$5&lt;=$D413,$A413&lt;&gt;""),"●","")</x:f>
      </x:c>
      <x:c r="Y413" s="165" t="str">
        <x:f>IF(AND(Y$5&gt;=$C413,Y$5&lt;=$D413,$A413&lt;&gt;""),"●","")</x:f>
      </x:c>
      <x:c r="Z413" s="165" t="str">
        <x:f>IF(AND(Z$5&gt;=$C413,Z$5&lt;=$D413,$A413&lt;&gt;""),"●","")</x:f>
      </x:c>
      <x:c r="AA413" s="165" t="str">
        <x:f>IF(AND(AA$5&gt;=$C413,AA$5&lt;=$D413,$A413&lt;&gt;""),"●","")</x:f>
      </x:c>
      <x:c r="AB413" s="165" t="str">
        <x:f>IF(AND(AB$5&gt;=$C413,AB$5&lt;=$D413,$A413&lt;&gt;""),"●","")</x:f>
      </x:c>
      <x:c r="AC413" s="165" t="str">
        <x:f>IF(AND(AC$5&gt;=$C413,AC$5&lt;=$D413,$A413&lt;&gt;""),"●","")</x:f>
      </x:c>
      <x:c r="AD413" s="165" t="str">
        <x:f>IF(AND(AD$5&gt;=$C413,AD$5&lt;=$D413,$A413&lt;&gt;""),"●","")</x:f>
      </x:c>
      <x:c r="AE413" s="165" t="str">
        <x:f>IF(AND(AE$5&gt;=$C413,AE$5&lt;=$D413,$A413&lt;&gt;""),"●","")</x:f>
      </x:c>
      <x:c r="AF413" s="165" t="str">
        <x:f>IF(AND(AF$5&gt;=$C413,AF$5&lt;=$D413,$A413&lt;&gt;""),"●","")</x:f>
      </x:c>
      <x:c r="AG413" s="165" t="str">
        <x:f>IF(AND(AG$5&gt;=$C413,AG$5&lt;=$D413,$A413&lt;&gt;""),"●","")</x:f>
      </x:c>
      <x:c r="AH413" s="165" t="str">
        <x:f>IF(AND(AH$5&gt;=$C413,AH$5&lt;=$D413,$A413&lt;&gt;""),"●","")</x:f>
      </x:c>
      <x:c r="AI413" s="165" t="str">
        <x:f>IF(AND(AI$5&gt;=$C413,AI$5&lt;=$D413,$A413&lt;&gt;""),"●","")</x:f>
      </x:c>
      <x:c r="AJ413" s="165" t="str">
        <x:f>IF(AND(AJ$5&gt;=$C413,AJ$5&lt;=$D413,$A413&lt;&gt;""),"●","")</x:f>
      </x:c>
      <x:c r="AK413" s="165" t="str">
        <x:f>IF(AND(AK$5&gt;=$C413,AK$5&lt;=$D413,$A413&lt;&gt;""),"●","")</x:f>
      </x:c>
      <x:c r="AL413" s="165" t="str">
        <x:f>IF(AND(AL$5&gt;=$C413,AL$5&lt;=$D413,$A413&lt;&gt;""),"●","")</x:f>
      </x:c>
      <x:c r="AM413" s="165" t="str">
        <x:f>IF(AND(AM$5&gt;=$C413,AM$5&lt;=$D413,$A413&lt;&gt;""),"●","")</x:f>
      </x:c>
      <x:c r="AN413" s="165" t="str">
        <x:f>IF(AND(AN$5&gt;=$C413,AN$5&lt;=$D413,$A413&lt;&gt;""),"●","")</x:f>
      </x:c>
      <x:c r="AO413" s="165" t="str">
        <x:f>IF(AND(AO$5&gt;=$C413,AO$5&lt;=$D413,$A413&lt;&gt;""),"●","")</x:f>
      </x:c>
      <x:c r="AP413" s="165" t="str">
        <x:f>IF(AND(AP$5&gt;=$C413,AP$5&lt;=$D413,$A413&lt;&gt;""),"●","")</x:f>
      </x:c>
      <x:c r="AQ413" s="165" t="str">
        <x:f>IF(AND(AQ$5&gt;=$C413,AQ$5&lt;=$D413,$A413&lt;&gt;""),"●","")</x:f>
      </x:c>
      <x:c r="AR413" s="165" t="str">
        <x:f>IF(AND(AR$5&gt;=$C413,AR$5&lt;=$D413,$A413&lt;&gt;""),"●","")</x:f>
      </x:c>
      <x:c r="AS413" s="165" t="str">
        <x:f>IF(AND(AS$5&gt;=$C413,AS$5&lt;=$D413,$A413&lt;&gt;""),"●","")</x:f>
      </x:c>
      <x:c r="AT413" s="165" t="str">
        <x:f>IF(AND(AT$5&gt;=$C413,AT$5&lt;=$D413,$A413&lt;&gt;""),"●","")</x:f>
      </x:c>
      <x:c r="AU413" s="165" t="str">
        <x:f>IF(AND(AU$5&gt;=$C413,AU$5&lt;=$D413,$A413&lt;&gt;""),"●","")</x:f>
      </x:c>
      <x:c r="AV413" s="165" t="str">
        <x:f>IF(AND(AV$5&gt;=$C413,AV$5&lt;=$D413,$A413&lt;&gt;""),"●","")</x:f>
      </x:c>
      <x:c r="AW413" s="165" t="str">
        <x:f>IF(AND(AW$5&gt;=$C413,AW$5&lt;=$D413,$A413&lt;&gt;""),"●","")</x:f>
      </x:c>
      <x:c r="AX413" s="165" t="str">
        <x:f>IF(AND(AX$5&gt;=$C413,AX$5&lt;=$D413,$A413&lt;&gt;""),"●","")</x:f>
      </x:c>
      <x:c r="AY413" s="165" t="str">
        <x:f>IF(AND(AY$5&gt;=$C413,AY$5&lt;=$D413,$A413&lt;&gt;""),"●","")</x:f>
      </x:c>
      <x:c r="AZ413" s="165" t="str">
        <x:f>IF(AND(AZ$5&gt;=$C413,AZ$5&lt;=$D413,$A413&lt;&gt;""),"●","")</x:f>
      </x:c>
      <x:c r="BA413" s="165" t="str">
        <x:f>IF(AND(BA$5&gt;=$C413,BA$5&lt;=$D413,$A413&lt;&gt;""),"●","")</x:f>
      </x:c>
      <x:c r="BB413" s="165" t="str">
        <x:f>IF(AND(BB$5&gt;=$C413,BB$5&lt;=$D413,$A413&lt;&gt;""),"●","")</x:f>
      </x:c>
      <x:c r="BC413" s="165" t="str">
        <x:f>IF(AND(BC$5&gt;=$C413,BC$5&lt;=$D413,$A413&lt;&gt;""),"●","")</x:f>
      </x:c>
      <x:c r="BD413" s="165" t="str">
        <x:f>IF(AND(BD$5&gt;=$C413,BD$5&lt;=$D413,$A413&lt;&gt;""),"●","")</x:f>
      </x:c>
      <x:c r="BE413" s="165" t="str">
        <x:f>IF(AND(BE$5&gt;=$C413,BE$5&lt;=$D413,$A413&lt;&gt;""),"●","")</x:f>
      </x:c>
      <x:c r="BF413" s="165" t="str">
        <x:f>IF(AND(BF$5&gt;=$C413,BF$5&lt;=$D413,$A413&lt;&gt;""),"●","")</x:f>
      </x:c>
      <x:c r="BG413" s="165" t="str">
        <x:f>IF(AND(BG$5&gt;=$C413,BG$5&lt;=$D413,$A413&lt;&gt;""),"●","")</x:f>
      </x:c>
      <x:c r="BH413" s="165" t="str">
        <x:f>IF(AND(BH$5&gt;=$C413,BH$5&lt;=$D413,$A413&lt;&gt;""),"●","")</x:f>
      </x:c>
      <x:c r="BI413" s="165" t="str">
        <x:f>IF(AND(BI$5&gt;=$C413,BI$5&lt;=$D413,$A413&lt;&gt;""),"●","")</x:f>
      </x:c>
      <x:c r="BJ413" s="165" t="str">
        <x:f>IF(AND(BJ$5&gt;=$C413,BJ$5&lt;=$D413,$A413&lt;&gt;""),"●","")</x:f>
      </x:c>
      <x:c r="BK413" s="165" t="str">
        <x:f>IF(AND(BK$5&gt;=$C413,BK$5&lt;=$D413,$A413&lt;&gt;""),"●","")</x:f>
      </x:c>
      <x:c r="BL413" s="165" t="str">
        <x:f>IF(AND(BL$5&gt;=$C413,BL$5&lt;=$D413,$A413&lt;&gt;""),"●","")</x:f>
      </x:c>
      <x:c r="BM413" s="165" t="str">
        <x:f>IF(AND(BM$5&gt;=$C413,BM$5&lt;=$D413,$A413&lt;&gt;""),"●","")</x:f>
      </x:c>
      <x:c r="BN413" s="165" t="str">
        <x:f>IF(AND(BN$5&gt;=$C413,BN$5&lt;=$D413,$A413&lt;&gt;""),"●","")</x:f>
      </x:c>
      <x:c r="BO413" s="165" t="str">
        <x:f>IF(AND(BO$5&gt;=$C413,BO$5&lt;=$D413,$A413&lt;&gt;""),"●","")</x:f>
      </x:c>
      <x:c r="BP413" s="165" t="str">
        <x:f>IF(AND(BP$5&gt;=$C413,BP$5&lt;=$D413,$A413&lt;&gt;""),"●","")</x:f>
      </x:c>
      <x:c r="BQ413" s="165" t="str">
        <x:f>IF(AND(BQ$5&gt;=$C413,BQ$5&lt;=$D413,$A413&lt;&gt;""),"●","")</x:f>
      </x:c>
      <x:c r="BR413" s="165" t="str">
        <x:f>IF(AND(BR$5&gt;=$C413,BR$5&lt;=$D413,$A413&lt;&gt;""),"●","")</x:f>
      </x:c>
      <x:c r="BS413" s="165" t="str">
        <x:f>IF(AND(BS$5&gt;=$C413,BS$5&lt;=$D413,$A413&lt;&gt;""),"●","")</x:f>
      </x:c>
      <x:c r="BT413" s="165" t="str">
        <x:f>IF(AND(BT$5&gt;=$C413,BT$5&lt;=$D413,$A413&lt;&gt;""),"●","")</x:f>
      </x:c>
      <x:c r="BU413" s="165" t="str">
        <x:f>IF(AND(BU$5&gt;=$C413,BU$5&lt;=$D413,$A413&lt;&gt;""),"●","")</x:f>
      </x:c>
      <x:c r="BV413" s="165" t="str">
        <x:f>IF(AND(BV$5&gt;=$C413,BV$5&lt;=$D413,$A413&lt;&gt;""),"●","")</x:f>
      </x:c>
      <x:c r="BW413" s="165" t="str">
        <x:f>IF(AND(BW$5&gt;=$C413,BW$5&lt;=$D413,$A413&lt;&gt;""),"●","")</x:f>
      </x:c>
    </x:row>
    <x:row r="414">
      <x:c r="A414" s="159" t="str">
        <x:f>IF('รายการสัญญา'!A414="","",'รายการสัญญา'!A414)</x:f>
      </x:c>
      <x:c r="B414" s="159" t="str">
        <x:f>IF('รายการสัญญา'!A414="","",'รายการสัญญา'!C414)</x:f>
      </x:c>
      <x:c r="C414" s="162" t="str">
        <x:f>IF('รายการสัญญา'!A414="","",'รายการสัญญา'!E414)</x:f>
      </x:c>
      <x:c r="D414" s="162" t="str">
        <x:f>IF('รายการสัญญา'!A414="","",'รายการสัญญา'!G414)</x:f>
      </x:c>
      <x:c r="E414" s="159" t="str">
        <x:f>IF('รายการสัญญา'!A414="","",'รายการสัญญา'!K414)</x:f>
      </x:c>
      <x:c r="F414" s="165" t="str">
        <x:f>IF(AND(F$5&gt;=$C414,F$5&lt;=$D414,$A414&lt;&gt;""),"●","")</x:f>
      </x:c>
      <x:c r="G414" s="165" t="str">
        <x:f>IF(AND(G$5&gt;=$C414,G$5&lt;=$D414,$A414&lt;&gt;""),"●","")</x:f>
      </x:c>
      <x:c r="H414" s="165" t="str">
        <x:f>IF(AND(H$5&gt;=$C414,H$5&lt;=$D414,$A414&lt;&gt;""),"●","")</x:f>
      </x:c>
      <x:c r="I414" s="165" t="str">
        <x:f>IF(AND(I$5&gt;=$C414,I$5&lt;=$D414,$A414&lt;&gt;""),"●","")</x:f>
      </x:c>
      <x:c r="J414" s="165" t="str">
        <x:f>IF(AND(J$5&gt;=$C414,J$5&lt;=$D414,$A414&lt;&gt;""),"●","")</x:f>
      </x:c>
      <x:c r="K414" s="165" t="str">
        <x:f>IF(AND(K$5&gt;=$C414,K$5&lt;=$D414,$A414&lt;&gt;""),"●","")</x:f>
      </x:c>
      <x:c r="L414" s="165" t="str">
        <x:f>IF(AND(L$5&gt;=$C414,L$5&lt;=$D414,$A414&lt;&gt;""),"●","")</x:f>
      </x:c>
      <x:c r="M414" s="165" t="str">
        <x:f>IF(AND(M$5&gt;=$C414,M$5&lt;=$D414,$A414&lt;&gt;""),"●","")</x:f>
      </x:c>
      <x:c r="N414" s="165" t="str">
        <x:f>IF(AND(N$5&gt;=$C414,N$5&lt;=$D414,$A414&lt;&gt;""),"●","")</x:f>
      </x:c>
      <x:c r="O414" s="165" t="str">
        <x:f>IF(AND(O$5&gt;=$C414,O$5&lt;=$D414,$A414&lt;&gt;""),"●","")</x:f>
      </x:c>
      <x:c r="P414" s="165" t="str">
        <x:f>IF(AND(P$5&gt;=$C414,P$5&lt;=$D414,$A414&lt;&gt;""),"●","")</x:f>
      </x:c>
      <x:c r="Q414" s="165" t="str">
        <x:f>IF(AND(Q$5&gt;=$C414,Q$5&lt;=$D414,$A414&lt;&gt;""),"●","")</x:f>
      </x:c>
      <x:c r="R414" s="165" t="str">
        <x:f>IF(AND(R$5&gt;=$C414,R$5&lt;=$D414,$A414&lt;&gt;""),"●","")</x:f>
      </x:c>
      <x:c r="S414" s="165" t="str">
        <x:f>IF(AND(S$5&gt;=$C414,S$5&lt;=$D414,$A414&lt;&gt;""),"●","")</x:f>
      </x:c>
      <x:c r="T414" s="165" t="str">
        <x:f>IF(AND(T$5&gt;=$C414,T$5&lt;=$D414,$A414&lt;&gt;""),"●","")</x:f>
      </x:c>
      <x:c r="U414" s="165" t="str">
        <x:f>IF(AND(U$5&gt;=$C414,U$5&lt;=$D414,$A414&lt;&gt;""),"●","")</x:f>
      </x:c>
      <x:c r="V414" s="165" t="str">
        <x:f>IF(AND(V$5&gt;=$C414,V$5&lt;=$D414,$A414&lt;&gt;""),"●","")</x:f>
      </x:c>
      <x:c r="W414" s="165" t="str">
        <x:f>IF(AND(W$5&gt;=$C414,W$5&lt;=$D414,$A414&lt;&gt;""),"●","")</x:f>
      </x:c>
      <x:c r="X414" s="165" t="str">
        <x:f>IF(AND(X$5&gt;=$C414,X$5&lt;=$D414,$A414&lt;&gt;""),"●","")</x:f>
      </x:c>
      <x:c r="Y414" s="165" t="str">
        <x:f>IF(AND(Y$5&gt;=$C414,Y$5&lt;=$D414,$A414&lt;&gt;""),"●","")</x:f>
      </x:c>
      <x:c r="Z414" s="165" t="str">
        <x:f>IF(AND(Z$5&gt;=$C414,Z$5&lt;=$D414,$A414&lt;&gt;""),"●","")</x:f>
      </x:c>
      <x:c r="AA414" s="165" t="str">
        <x:f>IF(AND(AA$5&gt;=$C414,AA$5&lt;=$D414,$A414&lt;&gt;""),"●","")</x:f>
      </x:c>
      <x:c r="AB414" s="165" t="str">
        <x:f>IF(AND(AB$5&gt;=$C414,AB$5&lt;=$D414,$A414&lt;&gt;""),"●","")</x:f>
      </x:c>
      <x:c r="AC414" s="165" t="str">
        <x:f>IF(AND(AC$5&gt;=$C414,AC$5&lt;=$D414,$A414&lt;&gt;""),"●","")</x:f>
      </x:c>
      <x:c r="AD414" s="165" t="str">
        <x:f>IF(AND(AD$5&gt;=$C414,AD$5&lt;=$D414,$A414&lt;&gt;""),"●","")</x:f>
      </x:c>
      <x:c r="AE414" s="165" t="str">
        <x:f>IF(AND(AE$5&gt;=$C414,AE$5&lt;=$D414,$A414&lt;&gt;""),"●","")</x:f>
      </x:c>
      <x:c r="AF414" s="165" t="str">
        <x:f>IF(AND(AF$5&gt;=$C414,AF$5&lt;=$D414,$A414&lt;&gt;""),"●","")</x:f>
      </x:c>
      <x:c r="AG414" s="165" t="str">
        <x:f>IF(AND(AG$5&gt;=$C414,AG$5&lt;=$D414,$A414&lt;&gt;""),"●","")</x:f>
      </x:c>
      <x:c r="AH414" s="165" t="str">
        <x:f>IF(AND(AH$5&gt;=$C414,AH$5&lt;=$D414,$A414&lt;&gt;""),"●","")</x:f>
      </x:c>
      <x:c r="AI414" s="165" t="str">
        <x:f>IF(AND(AI$5&gt;=$C414,AI$5&lt;=$D414,$A414&lt;&gt;""),"●","")</x:f>
      </x:c>
      <x:c r="AJ414" s="165" t="str">
        <x:f>IF(AND(AJ$5&gt;=$C414,AJ$5&lt;=$D414,$A414&lt;&gt;""),"●","")</x:f>
      </x:c>
      <x:c r="AK414" s="165" t="str">
        <x:f>IF(AND(AK$5&gt;=$C414,AK$5&lt;=$D414,$A414&lt;&gt;""),"●","")</x:f>
      </x:c>
      <x:c r="AL414" s="165" t="str">
        <x:f>IF(AND(AL$5&gt;=$C414,AL$5&lt;=$D414,$A414&lt;&gt;""),"●","")</x:f>
      </x:c>
      <x:c r="AM414" s="165" t="str">
        <x:f>IF(AND(AM$5&gt;=$C414,AM$5&lt;=$D414,$A414&lt;&gt;""),"●","")</x:f>
      </x:c>
      <x:c r="AN414" s="165" t="str">
        <x:f>IF(AND(AN$5&gt;=$C414,AN$5&lt;=$D414,$A414&lt;&gt;""),"●","")</x:f>
      </x:c>
      <x:c r="AO414" s="165" t="str">
        <x:f>IF(AND(AO$5&gt;=$C414,AO$5&lt;=$D414,$A414&lt;&gt;""),"●","")</x:f>
      </x:c>
      <x:c r="AP414" s="165" t="str">
        <x:f>IF(AND(AP$5&gt;=$C414,AP$5&lt;=$D414,$A414&lt;&gt;""),"●","")</x:f>
      </x:c>
      <x:c r="AQ414" s="165" t="str">
        <x:f>IF(AND(AQ$5&gt;=$C414,AQ$5&lt;=$D414,$A414&lt;&gt;""),"●","")</x:f>
      </x:c>
      <x:c r="AR414" s="165" t="str">
        <x:f>IF(AND(AR$5&gt;=$C414,AR$5&lt;=$D414,$A414&lt;&gt;""),"●","")</x:f>
      </x:c>
      <x:c r="AS414" s="165" t="str">
        <x:f>IF(AND(AS$5&gt;=$C414,AS$5&lt;=$D414,$A414&lt;&gt;""),"●","")</x:f>
      </x:c>
      <x:c r="AT414" s="165" t="str">
        <x:f>IF(AND(AT$5&gt;=$C414,AT$5&lt;=$D414,$A414&lt;&gt;""),"●","")</x:f>
      </x:c>
      <x:c r="AU414" s="165" t="str">
        <x:f>IF(AND(AU$5&gt;=$C414,AU$5&lt;=$D414,$A414&lt;&gt;""),"●","")</x:f>
      </x:c>
      <x:c r="AV414" s="165" t="str">
        <x:f>IF(AND(AV$5&gt;=$C414,AV$5&lt;=$D414,$A414&lt;&gt;""),"●","")</x:f>
      </x:c>
      <x:c r="AW414" s="165" t="str">
        <x:f>IF(AND(AW$5&gt;=$C414,AW$5&lt;=$D414,$A414&lt;&gt;""),"●","")</x:f>
      </x:c>
      <x:c r="AX414" s="165" t="str">
        <x:f>IF(AND(AX$5&gt;=$C414,AX$5&lt;=$D414,$A414&lt;&gt;""),"●","")</x:f>
      </x:c>
      <x:c r="AY414" s="165" t="str">
        <x:f>IF(AND(AY$5&gt;=$C414,AY$5&lt;=$D414,$A414&lt;&gt;""),"●","")</x:f>
      </x:c>
      <x:c r="AZ414" s="165" t="str">
        <x:f>IF(AND(AZ$5&gt;=$C414,AZ$5&lt;=$D414,$A414&lt;&gt;""),"●","")</x:f>
      </x:c>
      <x:c r="BA414" s="165" t="str">
        <x:f>IF(AND(BA$5&gt;=$C414,BA$5&lt;=$D414,$A414&lt;&gt;""),"●","")</x:f>
      </x:c>
      <x:c r="BB414" s="165" t="str">
        <x:f>IF(AND(BB$5&gt;=$C414,BB$5&lt;=$D414,$A414&lt;&gt;""),"●","")</x:f>
      </x:c>
      <x:c r="BC414" s="165" t="str">
        <x:f>IF(AND(BC$5&gt;=$C414,BC$5&lt;=$D414,$A414&lt;&gt;""),"●","")</x:f>
      </x:c>
      <x:c r="BD414" s="165" t="str">
        <x:f>IF(AND(BD$5&gt;=$C414,BD$5&lt;=$D414,$A414&lt;&gt;""),"●","")</x:f>
      </x:c>
      <x:c r="BE414" s="165" t="str">
        <x:f>IF(AND(BE$5&gt;=$C414,BE$5&lt;=$D414,$A414&lt;&gt;""),"●","")</x:f>
      </x:c>
      <x:c r="BF414" s="165" t="str">
        <x:f>IF(AND(BF$5&gt;=$C414,BF$5&lt;=$D414,$A414&lt;&gt;""),"●","")</x:f>
      </x:c>
      <x:c r="BG414" s="165" t="str">
        <x:f>IF(AND(BG$5&gt;=$C414,BG$5&lt;=$D414,$A414&lt;&gt;""),"●","")</x:f>
      </x:c>
      <x:c r="BH414" s="165" t="str">
        <x:f>IF(AND(BH$5&gt;=$C414,BH$5&lt;=$D414,$A414&lt;&gt;""),"●","")</x:f>
      </x:c>
      <x:c r="BI414" s="165" t="str">
        <x:f>IF(AND(BI$5&gt;=$C414,BI$5&lt;=$D414,$A414&lt;&gt;""),"●","")</x:f>
      </x:c>
      <x:c r="BJ414" s="165" t="str">
        <x:f>IF(AND(BJ$5&gt;=$C414,BJ$5&lt;=$D414,$A414&lt;&gt;""),"●","")</x:f>
      </x:c>
      <x:c r="BK414" s="165" t="str">
        <x:f>IF(AND(BK$5&gt;=$C414,BK$5&lt;=$D414,$A414&lt;&gt;""),"●","")</x:f>
      </x:c>
      <x:c r="BL414" s="165" t="str">
        <x:f>IF(AND(BL$5&gt;=$C414,BL$5&lt;=$D414,$A414&lt;&gt;""),"●","")</x:f>
      </x:c>
      <x:c r="BM414" s="165" t="str">
        <x:f>IF(AND(BM$5&gt;=$C414,BM$5&lt;=$D414,$A414&lt;&gt;""),"●","")</x:f>
      </x:c>
      <x:c r="BN414" s="165" t="str">
        <x:f>IF(AND(BN$5&gt;=$C414,BN$5&lt;=$D414,$A414&lt;&gt;""),"●","")</x:f>
      </x:c>
      <x:c r="BO414" s="165" t="str">
        <x:f>IF(AND(BO$5&gt;=$C414,BO$5&lt;=$D414,$A414&lt;&gt;""),"●","")</x:f>
      </x:c>
      <x:c r="BP414" s="165" t="str">
        <x:f>IF(AND(BP$5&gt;=$C414,BP$5&lt;=$D414,$A414&lt;&gt;""),"●","")</x:f>
      </x:c>
      <x:c r="BQ414" s="165" t="str">
        <x:f>IF(AND(BQ$5&gt;=$C414,BQ$5&lt;=$D414,$A414&lt;&gt;""),"●","")</x:f>
      </x:c>
      <x:c r="BR414" s="165" t="str">
        <x:f>IF(AND(BR$5&gt;=$C414,BR$5&lt;=$D414,$A414&lt;&gt;""),"●","")</x:f>
      </x:c>
      <x:c r="BS414" s="165" t="str">
        <x:f>IF(AND(BS$5&gt;=$C414,BS$5&lt;=$D414,$A414&lt;&gt;""),"●","")</x:f>
      </x:c>
      <x:c r="BT414" s="165" t="str">
        <x:f>IF(AND(BT$5&gt;=$C414,BT$5&lt;=$D414,$A414&lt;&gt;""),"●","")</x:f>
      </x:c>
      <x:c r="BU414" s="165" t="str">
        <x:f>IF(AND(BU$5&gt;=$C414,BU$5&lt;=$D414,$A414&lt;&gt;""),"●","")</x:f>
      </x:c>
      <x:c r="BV414" s="165" t="str">
        <x:f>IF(AND(BV$5&gt;=$C414,BV$5&lt;=$D414,$A414&lt;&gt;""),"●","")</x:f>
      </x:c>
      <x:c r="BW414" s="165" t="str">
        <x:f>IF(AND(BW$5&gt;=$C414,BW$5&lt;=$D414,$A414&lt;&gt;""),"●","")</x:f>
      </x:c>
    </x:row>
    <x:row r="415">
      <x:c r="A415" s="159" t="str">
        <x:f>IF('รายการสัญญา'!A415="","",'รายการสัญญา'!A415)</x:f>
      </x:c>
      <x:c r="B415" s="159" t="str">
        <x:f>IF('รายการสัญญา'!A415="","",'รายการสัญญา'!C415)</x:f>
      </x:c>
      <x:c r="C415" s="162" t="str">
        <x:f>IF('รายการสัญญา'!A415="","",'รายการสัญญา'!E415)</x:f>
      </x:c>
      <x:c r="D415" s="162" t="str">
        <x:f>IF('รายการสัญญา'!A415="","",'รายการสัญญา'!G415)</x:f>
      </x:c>
      <x:c r="E415" s="159" t="str">
        <x:f>IF('รายการสัญญา'!A415="","",'รายการสัญญา'!K415)</x:f>
      </x:c>
      <x:c r="F415" s="165" t="str">
        <x:f>IF(AND(F$5&gt;=$C415,F$5&lt;=$D415,$A415&lt;&gt;""),"●","")</x:f>
      </x:c>
      <x:c r="G415" s="165" t="str">
        <x:f>IF(AND(G$5&gt;=$C415,G$5&lt;=$D415,$A415&lt;&gt;""),"●","")</x:f>
      </x:c>
      <x:c r="H415" s="165" t="str">
        <x:f>IF(AND(H$5&gt;=$C415,H$5&lt;=$D415,$A415&lt;&gt;""),"●","")</x:f>
      </x:c>
      <x:c r="I415" s="165" t="str">
        <x:f>IF(AND(I$5&gt;=$C415,I$5&lt;=$D415,$A415&lt;&gt;""),"●","")</x:f>
      </x:c>
      <x:c r="J415" s="165" t="str">
        <x:f>IF(AND(J$5&gt;=$C415,J$5&lt;=$D415,$A415&lt;&gt;""),"●","")</x:f>
      </x:c>
      <x:c r="K415" s="165" t="str">
        <x:f>IF(AND(K$5&gt;=$C415,K$5&lt;=$D415,$A415&lt;&gt;""),"●","")</x:f>
      </x:c>
      <x:c r="L415" s="165" t="str">
        <x:f>IF(AND(L$5&gt;=$C415,L$5&lt;=$D415,$A415&lt;&gt;""),"●","")</x:f>
      </x:c>
      <x:c r="M415" s="165" t="str">
        <x:f>IF(AND(M$5&gt;=$C415,M$5&lt;=$D415,$A415&lt;&gt;""),"●","")</x:f>
      </x:c>
      <x:c r="N415" s="165" t="str">
        <x:f>IF(AND(N$5&gt;=$C415,N$5&lt;=$D415,$A415&lt;&gt;""),"●","")</x:f>
      </x:c>
      <x:c r="O415" s="165" t="str">
        <x:f>IF(AND(O$5&gt;=$C415,O$5&lt;=$D415,$A415&lt;&gt;""),"●","")</x:f>
      </x:c>
      <x:c r="P415" s="165" t="str">
        <x:f>IF(AND(P$5&gt;=$C415,P$5&lt;=$D415,$A415&lt;&gt;""),"●","")</x:f>
      </x:c>
      <x:c r="Q415" s="165" t="str">
        <x:f>IF(AND(Q$5&gt;=$C415,Q$5&lt;=$D415,$A415&lt;&gt;""),"●","")</x:f>
      </x:c>
      <x:c r="R415" s="165" t="str">
        <x:f>IF(AND(R$5&gt;=$C415,R$5&lt;=$D415,$A415&lt;&gt;""),"●","")</x:f>
      </x:c>
      <x:c r="S415" s="165" t="str">
        <x:f>IF(AND(S$5&gt;=$C415,S$5&lt;=$D415,$A415&lt;&gt;""),"●","")</x:f>
      </x:c>
      <x:c r="T415" s="165" t="str">
        <x:f>IF(AND(T$5&gt;=$C415,T$5&lt;=$D415,$A415&lt;&gt;""),"●","")</x:f>
      </x:c>
      <x:c r="U415" s="165" t="str">
        <x:f>IF(AND(U$5&gt;=$C415,U$5&lt;=$D415,$A415&lt;&gt;""),"●","")</x:f>
      </x:c>
      <x:c r="V415" s="165" t="str">
        <x:f>IF(AND(V$5&gt;=$C415,V$5&lt;=$D415,$A415&lt;&gt;""),"●","")</x:f>
      </x:c>
      <x:c r="W415" s="165" t="str">
        <x:f>IF(AND(W$5&gt;=$C415,W$5&lt;=$D415,$A415&lt;&gt;""),"●","")</x:f>
      </x:c>
      <x:c r="X415" s="165" t="str">
        <x:f>IF(AND(X$5&gt;=$C415,X$5&lt;=$D415,$A415&lt;&gt;""),"●","")</x:f>
      </x:c>
      <x:c r="Y415" s="165" t="str">
        <x:f>IF(AND(Y$5&gt;=$C415,Y$5&lt;=$D415,$A415&lt;&gt;""),"●","")</x:f>
      </x:c>
      <x:c r="Z415" s="165" t="str">
        <x:f>IF(AND(Z$5&gt;=$C415,Z$5&lt;=$D415,$A415&lt;&gt;""),"●","")</x:f>
      </x:c>
      <x:c r="AA415" s="165" t="str">
        <x:f>IF(AND(AA$5&gt;=$C415,AA$5&lt;=$D415,$A415&lt;&gt;""),"●","")</x:f>
      </x:c>
      <x:c r="AB415" s="165" t="str">
        <x:f>IF(AND(AB$5&gt;=$C415,AB$5&lt;=$D415,$A415&lt;&gt;""),"●","")</x:f>
      </x:c>
      <x:c r="AC415" s="165" t="str">
        <x:f>IF(AND(AC$5&gt;=$C415,AC$5&lt;=$D415,$A415&lt;&gt;""),"●","")</x:f>
      </x:c>
      <x:c r="AD415" s="165" t="str">
        <x:f>IF(AND(AD$5&gt;=$C415,AD$5&lt;=$D415,$A415&lt;&gt;""),"●","")</x:f>
      </x:c>
      <x:c r="AE415" s="165" t="str">
        <x:f>IF(AND(AE$5&gt;=$C415,AE$5&lt;=$D415,$A415&lt;&gt;""),"●","")</x:f>
      </x:c>
      <x:c r="AF415" s="165" t="str">
        <x:f>IF(AND(AF$5&gt;=$C415,AF$5&lt;=$D415,$A415&lt;&gt;""),"●","")</x:f>
      </x:c>
      <x:c r="AG415" s="165" t="str">
        <x:f>IF(AND(AG$5&gt;=$C415,AG$5&lt;=$D415,$A415&lt;&gt;""),"●","")</x:f>
      </x:c>
      <x:c r="AH415" s="165" t="str">
        <x:f>IF(AND(AH$5&gt;=$C415,AH$5&lt;=$D415,$A415&lt;&gt;""),"●","")</x:f>
      </x:c>
      <x:c r="AI415" s="165" t="str">
        <x:f>IF(AND(AI$5&gt;=$C415,AI$5&lt;=$D415,$A415&lt;&gt;""),"●","")</x:f>
      </x:c>
      <x:c r="AJ415" s="165" t="str">
        <x:f>IF(AND(AJ$5&gt;=$C415,AJ$5&lt;=$D415,$A415&lt;&gt;""),"●","")</x:f>
      </x:c>
      <x:c r="AK415" s="165" t="str">
        <x:f>IF(AND(AK$5&gt;=$C415,AK$5&lt;=$D415,$A415&lt;&gt;""),"●","")</x:f>
      </x:c>
      <x:c r="AL415" s="165" t="str">
        <x:f>IF(AND(AL$5&gt;=$C415,AL$5&lt;=$D415,$A415&lt;&gt;""),"●","")</x:f>
      </x:c>
      <x:c r="AM415" s="165" t="str">
        <x:f>IF(AND(AM$5&gt;=$C415,AM$5&lt;=$D415,$A415&lt;&gt;""),"●","")</x:f>
      </x:c>
      <x:c r="AN415" s="165" t="str">
        <x:f>IF(AND(AN$5&gt;=$C415,AN$5&lt;=$D415,$A415&lt;&gt;""),"●","")</x:f>
      </x:c>
      <x:c r="AO415" s="165" t="str">
        <x:f>IF(AND(AO$5&gt;=$C415,AO$5&lt;=$D415,$A415&lt;&gt;""),"●","")</x:f>
      </x:c>
      <x:c r="AP415" s="165" t="str">
        <x:f>IF(AND(AP$5&gt;=$C415,AP$5&lt;=$D415,$A415&lt;&gt;""),"●","")</x:f>
      </x:c>
      <x:c r="AQ415" s="165" t="str">
        <x:f>IF(AND(AQ$5&gt;=$C415,AQ$5&lt;=$D415,$A415&lt;&gt;""),"●","")</x:f>
      </x:c>
      <x:c r="AR415" s="165" t="str">
        <x:f>IF(AND(AR$5&gt;=$C415,AR$5&lt;=$D415,$A415&lt;&gt;""),"●","")</x:f>
      </x:c>
      <x:c r="AS415" s="165" t="str">
        <x:f>IF(AND(AS$5&gt;=$C415,AS$5&lt;=$D415,$A415&lt;&gt;""),"●","")</x:f>
      </x:c>
      <x:c r="AT415" s="165" t="str">
        <x:f>IF(AND(AT$5&gt;=$C415,AT$5&lt;=$D415,$A415&lt;&gt;""),"●","")</x:f>
      </x:c>
      <x:c r="AU415" s="165" t="str">
        <x:f>IF(AND(AU$5&gt;=$C415,AU$5&lt;=$D415,$A415&lt;&gt;""),"●","")</x:f>
      </x:c>
      <x:c r="AV415" s="165" t="str">
        <x:f>IF(AND(AV$5&gt;=$C415,AV$5&lt;=$D415,$A415&lt;&gt;""),"●","")</x:f>
      </x:c>
      <x:c r="AW415" s="165" t="str">
        <x:f>IF(AND(AW$5&gt;=$C415,AW$5&lt;=$D415,$A415&lt;&gt;""),"●","")</x:f>
      </x:c>
      <x:c r="AX415" s="165" t="str">
        <x:f>IF(AND(AX$5&gt;=$C415,AX$5&lt;=$D415,$A415&lt;&gt;""),"●","")</x:f>
      </x:c>
      <x:c r="AY415" s="165" t="str">
        <x:f>IF(AND(AY$5&gt;=$C415,AY$5&lt;=$D415,$A415&lt;&gt;""),"●","")</x:f>
      </x:c>
      <x:c r="AZ415" s="165" t="str">
        <x:f>IF(AND(AZ$5&gt;=$C415,AZ$5&lt;=$D415,$A415&lt;&gt;""),"●","")</x:f>
      </x:c>
      <x:c r="BA415" s="165" t="str">
        <x:f>IF(AND(BA$5&gt;=$C415,BA$5&lt;=$D415,$A415&lt;&gt;""),"●","")</x:f>
      </x:c>
      <x:c r="BB415" s="165" t="str">
        <x:f>IF(AND(BB$5&gt;=$C415,BB$5&lt;=$D415,$A415&lt;&gt;""),"●","")</x:f>
      </x:c>
      <x:c r="BC415" s="165" t="str">
        <x:f>IF(AND(BC$5&gt;=$C415,BC$5&lt;=$D415,$A415&lt;&gt;""),"●","")</x:f>
      </x:c>
      <x:c r="BD415" s="165" t="str">
        <x:f>IF(AND(BD$5&gt;=$C415,BD$5&lt;=$D415,$A415&lt;&gt;""),"●","")</x:f>
      </x:c>
      <x:c r="BE415" s="165" t="str">
        <x:f>IF(AND(BE$5&gt;=$C415,BE$5&lt;=$D415,$A415&lt;&gt;""),"●","")</x:f>
      </x:c>
      <x:c r="BF415" s="165" t="str">
        <x:f>IF(AND(BF$5&gt;=$C415,BF$5&lt;=$D415,$A415&lt;&gt;""),"●","")</x:f>
      </x:c>
      <x:c r="BG415" s="165" t="str">
        <x:f>IF(AND(BG$5&gt;=$C415,BG$5&lt;=$D415,$A415&lt;&gt;""),"●","")</x:f>
      </x:c>
      <x:c r="BH415" s="165" t="str">
        <x:f>IF(AND(BH$5&gt;=$C415,BH$5&lt;=$D415,$A415&lt;&gt;""),"●","")</x:f>
      </x:c>
      <x:c r="BI415" s="165" t="str">
        <x:f>IF(AND(BI$5&gt;=$C415,BI$5&lt;=$D415,$A415&lt;&gt;""),"●","")</x:f>
      </x:c>
      <x:c r="BJ415" s="165" t="str">
        <x:f>IF(AND(BJ$5&gt;=$C415,BJ$5&lt;=$D415,$A415&lt;&gt;""),"●","")</x:f>
      </x:c>
      <x:c r="BK415" s="165" t="str">
        <x:f>IF(AND(BK$5&gt;=$C415,BK$5&lt;=$D415,$A415&lt;&gt;""),"●","")</x:f>
      </x:c>
      <x:c r="BL415" s="165" t="str">
        <x:f>IF(AND(BL$5&gt;=$C415,BL$5&lt;=$D415,$A415&lt;&gt;""),"●","")</x:f>
      </x:c>
      <x:c r="BM415" s="165" t="str">
        <x:f>IF(AND(BM$5&gt;=$C415,BM$5&lt;=$D415,$A415&lt;&gt;""),"●","")</x:f>
      </x:c>
      <x:c r="BN415" s="165" t="str">
        <x:f>IF(AND(BN$5&gt;=$C415,BN$5&lt;=$D415,$A415&lt;&gt;""),"●","")</x:f>
      </x:c>
      <x:c r="BO415" s="165" t="str">
        <x:f>IF(AND(BO$5&gt;=$C415,BO$5&lt;=$D415,$A415&lt;&gt;""),"●","")</x:f>
      </x:c>
      <x:c r="BP415" s="165" t="str">
        <x:f>IF(AND(BP$5&gt;=$C415,BP$5&lt;=$D415,$A415&lt;&gt;""),"●","")</x:f>
      </x:c>
      <x:c r="BQ415" s="165" t="str">
        <x:f>IF(AND(BQ$5&gt;=$C415,BQ$5&lt;=$D415,$A415&lt;&gt;""),"●","")</x:f>
      </x:c>
      <x:c r="BR415" s="165" t="str">
        <x:f>IF(AND(BR$5&gt;=$C415,BR$5&lt;=$D415,$A415&lt;&gt;""),"●","")</x:f>
      </x:c>
      <x:c r="BS415" s="165" t="str">
        <x:f>IF(AND(BS$5&gt;=$C415,BS$5&lt;=$D415,$A415&lt;&gt;""),"●","")</x:f>
      </x:c>
      <x:c r="BT415" s="165" t="str">
        <x:f>IF(AND(BT$5&gt;=$C415,BT$5&lt;=$D415,$A415&lt;&gt;""),"●","")</x:f>
      </x:c>
      <x:c r="BU415" s="165" t="str">
        <x:f>IF(AND(BU$5&gt;=$C415,BU$5&lt;=$D415,$A415&lt;&gt;""),"●","")</x:f>
      </x:c>
      <x:c r="BV415" s="165" t="str">
        <x:f>IF(AND(BV$5&gt;=$C415,BV$5&lt;=$D415,$A415&lt;&gt;""),"●","")</x:f>
      </x:c>
      <x:c r="BW415" s="165" t="str">
        <x:f>IF(AND(BW$5&gt;=$C415,BW$5&lt;=$D415,$A415&lt;&gt;""),"●","")</x:f>
      </x:c>
    </x:row>
    <x:row r="416">
      <x:c r="A416" s="159" t="str">
        <x:f>IF('รายการสัญญา'!A416="","",'รายการสัญญา'!A416)</x:f>
      </x:c>
      <x:c r="B416" s="159" t="str">
        <x:f>IF('รายการสัญญา'!A416="","",'รายการสัญญา'!C416)</x:f>
      </x:c>
      <x:c r="C416" s="162" t="str">
        <x:f>IF('รายการสัญญา'!A416="","",'รายการสัญญา'!E416)</x:f>
      </x:c>
      <x:c r="D416" s="162" t="str">
        <x:f>IF('รายการสัญญา'!A416="","",'รายการสัญญา'!G416)</x:f>
      </x:c>
      <x:c r="E416" s="159" t="str">
        <x:f>IF('รายการสัญญา'!A416="","",'รายการสัญญา'!K416)</x:f>
      </x:c>
      <x:c r="F416" s="165" t="str">
        <x:f>IF(AND(F$5&gt;=$C416,F$5&lt;=$D416,$A416&lt;&gt;""),"●","")</x:f>
      </x:c>
      <x:c r="G416" s="165" t="str">
        <x:f>IF(AND(G$5&gt;=$C416,G$5&lt;=$D416,$A416&lt;&gt;""),"●","")</x:f>
      </x:c>
      <x:c r="H416" s="165" t="str">
        <x:f>IF(AND(H$5&gt;=$C416,H$5&lt;=$D416,$A416&lt;&gt;""),"●","")</x:f>
      </x:c>
      <x:c r="I416" s="165" t="str">
        <x:f>IF(AND(I$5&gt;=$C416,I$5&lt;=$D416,$A416&lt;&gt;""),"●","")</x:f>
      </x:c>
      <x:c r="J416" s="165" t="str">
        <x:f>IF(AND(J$5&gt;=$C416,J$5&lt;=$D416,$A416&lt;&gt;""),"●","")</x:f>
      </x:c>
      <x:c r="K416" s="165" t="str">
        <x:f>IF(AND(K$5&gt;=$C416,K$5&lt;=$D416,$A416&lt;&gt;""),"●","")</x:f>
      </x:c>
      <x:c r="L416" s="165" t="str">
        <x:f>IF(AND(L$5&gt;=$C416,L$5&lt;=$D416,$A416&lt;&gt;""),"●","")</x:f>
      </x:c>
      <x:c r="M416" s="165" t="str">
        <x:f>IF(AND(M$5&gt;=$C416,M$5&lt;=$D416,$A416&lt;&gt;""),"●","")</x:f>
      </x:c>
      <x:c r="N416" s="165" t="str">
        <x:f>IF(AND(N$5&gt;=$C416,N$5&lt;=$D416,$A416&lt;&gt;""),"●","")</x:f>
      </x:c>
      <x:c r="O416" s="165" t="str">
        <x:f>IF(AND(O$5&gt;=$C416,O$5&lt;=$D416,$A416&lt;&gt;""),"●","")</x:f>
      </x:c>
      <x:c r="P416" s="165" t="str">
        <x:f>IF(AND(P$5&gt;=$C416,P$5&lt;=$D416,$A416&lt;&gt;""),"●","")</x:f>
      </x:c>
      <x:c r="Q416" s="165" t="str">
        <x:f>IF(AND(Q$5&gt;=$C416,Q$5&lt;=$D416,$A416&lt;&gt;""),"●","")</x:f>
      </x:c>
      <x:c r="R416" s="165" t="str">
        <x:f>IF(AND(R$5&gt;=$C416,R$5&lt;=$D416,$A416&lt;&gt;""),"●","")</x:f>
      </x:c>
      <x:c r="S416" s="165" t="str">
        <x:f>IF(AND(S$5&gt;=$C416,S$5&lt;=$D416,$A416&lt;&gt;""),"●","")</x:f>
      </x:c>
      <x:c r="T416" s="165" t="str">
        <x:f>IF(AND(T$5&gt;=$C416,T$5&lt;=$D416,$A416&lt;&gt;""),"●","")</x:f>
      </x:c>
      <x:c r="U416" s="165" t="str">
        <x:f>IF(AND(U$5&gt;=$C416,U$5&lt;=$D416,$A416&lt;&gt;""),"●","")</x:f>
      </x:c>
      <x:c r="V416" s="165" t="str">
        <x:f>IF(AND(V$5&gt;=$C416,V$5&lt;=$D416,$A416&lt;&gt;""),"●","")</x:f>
      </x:c>
      <x:c r="W416" s="165" t="str">
        <x:f>IF(AND(W$5&gt;=$C416,W$5&lt;=$D416,$A416&lt;&gt;""),"●","")</x:f>
      </x:c>
      <x:c r="X416" s="165" t="str">
        <x:f>IF(AND(X$5&gt;=$C416,X$5&lt;=$D416,$A416&lt;&gt;""),"●","")</x:f>
      </x:c>
      <x:c r="Y416" s="165" t="str">
        <x:f>IF(AND(Y$5&gt;=$C416,Y$5&lt;=$D416,$A416&lt;&gt;""),"●","")</x:f>
      </x:c>
      <x:c r="Z416" s="165" t="str">
        <x:f>IF(AND(Z$5&gt;=$C416,Z$5&lt;=$D416,$A416&lt;&gt;""),"●","")</x:f>
      </x:c>
      <x:c r="AA416" s="165" t="str">
        <x:f>IF(AND(AA$5&gt;=$C416,AA$5&lt;=$D416,$A416&lt;&gt;""),"●","")</x:f>
      </x:c>
      <x:c r="AB416" s="165" t="str">
        <x:f>IF(AND(AB$5&gt;=$C416,AB$5&lt;=$D416,$A416&lt;&gt;""),"●","")</x:f>
      </x:c>
      <x:c r="AC416" s="165" t="str">
        <x:f>IF(AND(AC$5&gt;=$C416,AC$5&lt;=$D416,$A416&lt;&gt;""),"●","")</x:f>
      </x:c>
      <x:c r="AD416" s="165" t="str">
        <x:f>IF(AND(AD$5&gt;=$C416,AD$5&lt;=$D416,$A416&lt;&gt;""),"●","")</x:f>
      </x:c>
      <x:c r="AE416" s="165" t="str">
        <x:f>IF(AND(AE$5&gt;=$C416,AE$5&lt;=$D416,$A416&lt;&gt;""),"●","")</x:f>
      </x:c>
      <x:c r="AF416" s="165" t="str">
        <x:f>IF(AND(AF$5&gt;=$C416,AF$5&lt;=$D416,$A416&lt;&gt;""),"●","")</x:f>
      </x:c>
      <x:c r="AG416" s="165" t="str">
        <x:f>IF(AND(AG$5&gt;=$C416,AG$5&lt;=$D416,$A416&lt;&gt;""),"●","")</x:f>
      </x:c>
      <x:c r="AH416" s="165" t="str">
        <x:f>IF(AND(AH$5&gt;=$C416,AH$5&lt;=$D416,$A416&lt;&gt;""),"●","")</x:f>
      </x:c>
      <x:c r="AI416" s="165" t="str">
        <x:f>IF(AND(AI$5&gt;=$C416,AI$5&lt;=$D416,$A416&lt;&gt;""),"●","")</x:f>
      </x:c>
      <x:c r="AJ416" s="165" t="str">
        <x:f>IF(AND(AJ$5&gt;=$C416,AJ$5&lt;=$D416,$A416&lt;&gt;""),"●","")</x:f>
      </x:c>
      <x:c r="AK416" s="165" t="str">
        <x:f>IF(AND(AK$5&gt;=$C416,AK$5&lt;=$D416,$A416&lt;&gt;""),"●","")</x:f>
      </x:c>
      <x:c r="AL416" s="165" t="str">
        <x:f>IF(AND(AL$5&gt;=$C416,AL$5&lt;=$D416,$A416&lt;&gt;""),"●","")</x:f>
      </x:c>
      <x:c r="AM416" s="165" t="str">
        <x:f>IF(AND(AM$5&gt;=$C416,AM$5&lt;=$D416,$A416&lt;&gt;""),"●","")</x:f>
      </x:c>
      <x:c r="AN416" s="165" t="str">
        <x:f>IF(AND(AN$5&gt;=$C416,AN$5&lt;=$D416,$A416&lt;&gt;""),"●","")</x:f>
      </x:c>
      <x:c r="AO416" s="165" t="str">
        <x:f>IF(AND(AO$5&gt;=$C416,AO$5&lt;=$D416,$A416&lt;&gt;""),"●","")</x:f>
      </x:c>
      <x:c r="AP416" s="165" t="str">
        <x:f>IF(AND(AP$5&gt;=$C416,AP$5&lt;=$D416,$A416&lt;&gt;""),"●","")</x:f>
      </x:c>
      <x:c r="AQ416" s="165" t="str">
        <x:f>IF(AND(AQ$5&gt;=$C416,AQ$5&lt;=$D416,$A416&lt;&gt;""),"●","")</x:f>
      </x:c>
      <x:c r="AR416" s="165" t="str">
        <x:f>IF(AND(AR$5&gt;=$C416,AR$5&lt;=$D416,$A416&lt;&gt;""),"●","")</x:f>
      </x:c>
      <x:c r="AS416" s="165" t="str">
        <x:f>IF(AND(AS$5&gt;=$C416,AS$5&lt;=$D416,$A416&lt;&gt;""),"●","")</x:f>
      </x:c>
      <x:c r="AT416" s="165" t="str">
        <x:f>IF(AND(AT$5&gt;=$C416,AT$5&lt;=$D416,$A416&lt;&gt;""),"●","")</x:f>
      </x:c>
      <x:c r="AU416" s="165" t="str">
        <x:f>IF(AND(AU$5&gt;=$C416,AU$5&lt;=$D416,$A416&lt;&gt;""),"●","")</x:f>
      </x:c>
      <x:c r="AV416" s="165" t="str">
        <x:f>IF(AND(AV$5&gt;=$C416,AV$5&lt;=$D416,$A416&lt;&gt;""),"●","")</x:f>
      </x:c>
      <x:c r="AW416" s="165" t="str">
        <x:f>IF(AND(AW$5&gt;=$C416,AW$5&lt;=$D416,$A416&lt;&gt;""),"●","")</x:f>
      </x:c>
      <x:c r="AX416" s="165" t="str">
        <x:f>IF(AND(AX$5&gt;=$C416,AX$5&lt;=$D416,$A416&lt;&gt;""),"●","")</x:f>
      </x:c>
      <x:c r="AY416" s="165" t="str">
        <x:f>IF(AND(AY$5&gt;=$C416,AY$5&lt;=$D416,$A416&lt;&gt;""),"●","")</x:f>
      </x:c>
      <x:c r="AZ416" s="165" t="str">
        <x:f>IF(AND(AZ$5&gt;=$C416,AZ$5&lt;=$D416,$A416&lt;&gt;""),"●","")</x:f>
      </x:c>
      <x:c r="BA416" s="165" t="str">
        <x:f>IF(AND(BA$5&gt;=$C416,BA$5&lt;=$D416,$A416&lt;&gt;""),"●","")</x:f>
      </x:c>
      <x:c r="BB416" s="165" t="str">
        <x:f>IF(AND(BB$5&gt;=$C416,BB$5&lt;=$D416,$A416&lt;&gt;""),"●","")</x:f>
      </x:c>
      <x:c r="BC416" s="165" t="str">
        <x:f>IF(AND(BC$5&gt;=$C416,BC$5&lt;=$D416,$A416&lt;&gt;""),"●","")</x:f>
      </x:c>
      <x:c r="BD416" s="165" t="str">
        <x:f>IF(AND(BD$5&gt;=$C416,BD$5&lt;=$D416,$A416&lt;&gt;""),"●","")</x:f>
      </x:c>
      <x:c r="BE416" s="165" t="str">
        <x:f>IF(AND(BE$5&gt;=$C416,BE$5&lt;=$D416,$A416&lt;&gt;""),"●","")</x:f>
      </x:c>
      <x:c r="BF416" s="165" t="str">
        <x:f>IF(AND(BF$5&gt;=$C416,BF$5&lt;=$D416,$A416&lt;&gt;""),"●","")</x:f>
      </x:c>
      <x:c r="BG416" s="165" t="str">
        <x:f>IF(AND(BG$5&gt;=$C416,BG$5&lt;=$D416,$A416&lt;&gt;""),"●","")</x:f>
      </x:c>
      <x:c r="BH416" s="165" t="str">
        <x:f>IF(AND(BH$5&gt;=$C416,BH$5&lt;=$D416,$A416&lt;&gt;""),"●","")</x:f>
      </x:c>
      <x:c r="BI416" s="165" t="str">
        <x:f>IF(AND(BI$5&gt;=$C416,BI$5&lt;=$D416,$A416&lt;&gt;""),"●","")</x:f>
      </x:c>
      <x:c r="BJ416" s="165" t="str">
        <x:f>IF(AND(BJ$5&gt;=$C416,BJ$5&lt;=$D416,$A416&lt;&gt;""),"●","")</x:f>
      </x:c>
      <x:c r="BK416" s="165" t="str">
        <x:f>IF(AND(BK$5&gt;=$C416,BK$5&lt;=$D416,$A416&lt;&gt;""),"●","")</x:f>
      </x:c>
      <x:c r="BL416" s="165" t="str">
        <x:f>IF(AND(BL$5&gt;=$C416,BL$5&lt;=$D416,$A416&lt;&gt;""),"●","")</x:f>
      </x:c>
      <x:c r="BM416" s="165" t="str">
        <x:f>IF(AND(BM$5&gt;=$C416,BM$5&lt;=$D416,$A416&lt;&gt;""),"●","")</x:f>
      </x:c>
      <x:c r="BN416" s="165" t="str">
        <x:f>IF(AND(BN$5&gt;=$C416,BN$5&lt;=$D416,$A416&lt;&gt;""),"●","")</x:f>
      </x:c>
      <x:c r="BO416" s="165" t="str">
        <x:f>IF(AND(BO$5&gt;=$C416,BO$5&lt;=$D416,$A416&lt;&gt;""),"●","")</x:f>
      </x:c>
      <x:c r="BP416" s="165" t="str">
        <x:f>IF(AND(BP$5&gt;=$C416,BP$5&lt;=$D416,$A416&lt;&gt;""),"●","")</x:f>
      </x:c>
      <x:c r="BQ416" s="165" t="str">
        <x:f>IF(AND(BQ$5&gt;=$C416,BQ$5&lt;=$D416,$A416&lt;&gt;""),"●","")</x:f>
      </x:c>
      <x:c r="BR416" s="165" t="str">
        <x:f>IF(AND(BR$5&gt;=$C416,BR$5&lt;=$D416,$A416&lt;&gt;""),"●","")</x:f>
      </x:c>
      <x:c r="BS416" s="165" t="str">
        <x:f>IF(AND(BS$5&gt;=$C416,BS$5&lt;=$D416,$A416&lt;&gt;""),"●","")</x:f>
      </x:c>
      <x:c r="BT416" s="165" t="str">
        <x:f>IF(AND(BT$5&gt;=$C416,BT$5&lt;=$D416,$A416&lt;&gt;""),"●","")</x:f>
      </x:c>
      <x:c r="BU416" s="165" t="str">
        <x:f>IF(AND(BU$5&gt;=$C416,BU$5&lt;=$D416,$A416&lt;&gt;""),"●","")</x:f>
      </x:c>
      <x:c r="BV416" s="165" t="str">
        <x:f>IF(AND(BV$5&gt;=$C416,BV$5&lt;=$D416,$A416&lt;&gt;""),"●","")</x:f>
      </x:c>
      <x:c r="BW416" s="165" t="str">
        <x:f>IF(AND(BW$5&gt;=$C416,BW$5&lt;=$D416,$A416&lt;&gt;""),"●","")</x:f>
      </x:c>
    </x:row>
    <x:row r="417">
      <x:c r="A417" s="159" t="str">
        <x:f>IF('รายการสัญญา'!A417="","",'รายการสัญญา'!A417)</x:f>
      </x:c>
      <x:c r="B417" s="159" t="str">
        <x:f>IF('รายการสัญญา'!A417="","",'รายการสัญญา'!C417)</x:f>
      </x:c>
      <x:c r="C417" s="162" t="str">
        <x:f>IF('รายการสัญญา'!A417="","",'รายการสัญญา'!E417)</x:f>
      </x:c>
      <x:c r="D417" s="162" t="str">
        <x:f>IF('รายการสัญญา'!A417="","",'รายการสัญญา'!G417)</x:f>
      </x:c>
      <x:c r="E417" s="159" t="str">
        <x:f>IF('รายการสัญญา'!A417="","",'รายการสัญญา'!K417)</x:f>
      </x:c>
      <x:c r="F417" s="165" t="str">
        <x:f>IF(AND(F$5&gt;=$C417,F$5&lt;=$D417,$A417&lt;&gt;""),"●","")</x:f>
      </x:c>
      <x:c r="G417" s="165" t="str">
        <x:f>IF(AND(G$5&gt;=$C417,G$5&lt;=$D417,$A417&lt;&gt;""),"●","")</x:f>
      </x:c>
      <x:c r="H417" s="165" t="str">
        <x:f>IF(AND(H$5&gt;=$C417,H$5&lt;=$D417,$A417&lt;&gt;""),"●","")</x:f>
      </x:c>
      <x:c r="I417" s="165" t="str">
        <x:f>IF(AND(I$5&gt;=$C417,I$5&lt;=$D417,$A417&lt;&gt;""),"●","")</x:f>
      </x:c>
      <x:c r="J417" s="165" t="str">
        <x:f>IF(AND(J$5&gt;=$C417,J$5&lt;=$D417,$A417&lt;&gt;""),"●","")</x:f>
      </x:c>
      <x:c r="K417" s="165" t="str">
        <x:f>IF(AND(K$5&gt;=$C417,K$5&lt;=$D417,$A417&lt;&gt;""),"●","")</x:f>
      </x:c>
      <x:c r="L417" s="165" t="str">
        <x:f>IF(AND(L$5&gt;=$C417,L$5&lt;=$D417,$A417&lt;&gt;""),"●","")</x:f>
      </x:c>
      <x:c r="M417" s="165" t="str">
        <x:f>IF(AND(M$5&gt;=$C417,M$5&lt;=$D417,$A417&lt;&gt;""),"●","")</x:f>
      </x:c>
      <x:c r="N417" s="165" t="str">
        <x:f>IF(AND(N$5&gt;=$C417,N$5&lt;=$D417,$A417&lt;&gt;""),"●","")</x:f>
      </x:c>
      <x:c r="O417" s="165" t="str">
        <x:f>IF(AND(O$5&gt;=$C417,O$5&lt;=$D417,$A417&lt;&gt;""),"●","")</x:f>
      </x:c>
      <x:c r="P417" s="165" t="str">
        <x:f>IF(AND(P$5&gt;=$C417,P$5&lt;=$D417,$A417&lt;&gt;""),"●","")</x:f>
      </x:c>
      <x:c r="Q417" s="165" t="str">
        <x:f>IF(AND(Q$5&gt;=$C417,Q$5&lt;=$D417,$A417&lt;&gt;""),"●","")</x:f>
      </x:c>
      <x:c r="R417" s="165" t="str">
        <x:f>IF(AND(R$5&gt;=$C417,R$5&lt;=$D417,$A417&lt;&gt;""),"●","")</x:f>
      </x:c>
      <x:c r="S417" s="165" t="str">
        <x:f>IF(AND(S$5&gt;=$C417,S$5&lt;=$D417,$A417&lt;&gt;""),"●","")</x:f>
      </x:c>
      <x:c r="T417" s="165" t="str">
        <x:f>IF(AND(T$5&gt;=$C417,T$5&lt;=$D417,$A417&lt;&gt;""),"●","")</x:f>
      </x:c>
      <x:c r="U417" s="165" t="str">
        <x:f>IF(AND(U$5&gt;=$C417,U$5&lt;=$D417,$A417&lt;&gt;""),"●","")</x:f>
      </x:c>
      <x:c r="V417" s="165" t="str">
        <x:f>IF(AND(V$5&gt;=$C417,V$5&lt;=$D417,$A417&lt;&gt;""),"●","")</x:f>
      </x:c>
      <x:c r="W417" s="165" t="str">
        <x:f>IF(AND(W$5&gt;=$C417,W$5&lt;=$D417,$A417&lt;&gt;""),"●","")</x:f>
      </x:c>
      <x:c r="X417" s="165" t="str">
        <x:f>IF(AND(X$5&gt;=$C417,X$5&lt;=$D417,$A417&lt;&gt;""),"●","")</x:f>
      </x:c>
      <x:c r="Y417" s="165" t="str">
        <x:f>IF(AND(Y$5&gt;=$C417,Y$5&lt;=$D417,$A417&lt;&gt;""),"●","")</x:f>
      </x:c>
      <x:c r="Z417" s="165" t="str">
        <x:f>IF(AND(Z$5&gt;=$C417,Z$5&lt;=$D417,$A417&lt;&gt;""),"●","")</x:f>
      </x:c>
      <x:c r="AA417" s="165" t="str">
        <x:f>IF(AND(AA$5&gt;=$C417,AA$5&lt;=$D417,$A417&lt;&gt;""),"●","")</x:f>
      </x:c>
      <x:c r="AB417" s="165" t="str">
        <x:f>IF(AND(AB$5&gt;=$C417,AB$5&lt;=$D417,$A417&lt;&gt;""),"●","")</x:f>
      </x:c>
      <x:c r="AC417" s="165" t="str">
        <x:f>IF(AND(AC$5&gt;=$C417,AC$5&lt;=$D417,$A417&lt;&gt;""),"●","")</x:f>
      </x:c>
      <x:c r="AD417" s="165" t="str">
        <x:f>IF(AND(AD$5&gt;=$C417,AD$5&lt;=$D417,$A417&lt;&gt;""),"●","")</x:f>
      </x:c>
      <x:c r="AE417" s="165" t="str">
        <x:f>IF(AND(AE$5&gt;=$C417,AE$5&lt;=$D417,$A417&lt;&gt;""),"●","")</x:f>
      </x:c>
      <x:c r="AF417" s="165" t="str">
        <x:f>IF(AND(AF$5&gt;=$C417,AF$5&lt;=$D417,$A417&lt;&gt;""),"●","")</x:f>
      </x:c>
      <x:c r="AG417" s="165" t="str">
        <x:f>IF(AND(AG$5&gt;=$C417,AG$5&lt;=$D417,$A417&lt;&gt;""),"●","")</x:f>
      </x:c>
      <x:c r="AH417" s="165" t="str">
        <x:f>IF(AND(AH$5&gt;=$C417,AH$5&lt;=$D417,$A417&lt;&gt;""),"●","")</x:f>
      </x:c>
      <x:c r="AI417" s="165" t="str">
        <x:f>IF(AND(AI$5&gt;=$C417,AI$5&lt;=$D417,$A417&lt;&gt;""),"●","")</x:f>
      </x:c>
      <x:c r="AJ417" s="165" t="str">
        <x:f>IF(AND(AJ$5&gt;=$C417,AJ$5&lt;=$D417,$A417&lt;&gt;""),"●","")</x:f>
      </x:c>
      <x:c r="AK417" s="165" t="str">
        <x:f>IF(AND(AK$5&gt;=$C417,AK$5&lt;=$D417,$A417&lt;&gt;""),"●","")</x:f>
      </x:c>
      <x:c r="AL417" s="165" t="str">
        <x:f>IF(AND(AL$5&gt;=$C417,AL$5&lt;=$D417,$A417&lt;&gt;""),"●","")</x:f>
      </x:c>
      <x:c r="AM417" s="165" t="str">
        <x:f>IF(AND(AM$5&gt;=$C417,AM$5&lt;=$D417,$A417&lt;&gt;""),"●","")</x:f>
      </x:c>
      <x:c r="AN417" s="165" t="str">
        <x:f>IF(AND(AN$5&gt;=$C417,AN$5&lt;=$D417,$A417&lt;&gt;""),"●","")</x:f>
      </x:c>
      <x:c r="AO417" s="165" t="str">
        <x:f>IF(AND(AO$5&gt;=$C417,AO$5&lt;=$D417,$A417&lt;&gt;""),"●","")</x:f>
      </x:c>
      <x:c r="AP417" s="165" t="str">
        <x:f>IF(AND(AP$5&gt;=$C417,AP$5&lt;=$D417,$A417&lt;&gt;""),"●","")</x:f>
      </x:c>
      <x:c r="AQ417" s="165" t="str">
        <x:f>IF(AND(AQ$5&gt;=$C417,AQ$5&lt;=$D417,$A417&lt;&gt;""),"●","")</x:f>
      </x:c>
      <x:c r="AR417" s="165" t="str">
        <x:f>IF(AND(AR$5&gt;=$C417,AR$5&lt;=$D417,$A417&lt;&gt;""),"●","")</x:f>
      </x:c>
      <x:c r="AS417" s="165" t="str">
        <x:f>IF(AND(AS$5&gt;=$C417,AS$5&lt;=$D417,$A417&lt;&gt;""),"●","")</x:f>
      </x:c>
      <x:c r="AT417" s="165" t="str">
        <x:f>IF(AND(AT$5&gt;=$C417,AT$5&lt;=$D417,$A417&lt;&gt;""),"●","")</x:f>
      </x:c>
      <x:c r="AU417" s="165" t="str">
        <x:f>IF(AND(AU$5&gt;=$C417,AU$5&lt;=$D417,$A417&lt;&gt;""),"●","")</x:f>
      </x:c>
      <x:c r="AV417" s="165" t="str">
        <x:f>IF(AND(AV$5&gt;=$C417,AV$5&lt;=$D417,$A417&lt;&gt;""),"●","")</x:f>
      </x:c>
      <x:c r="AW417" s="165" t="str">
        <x:f>IF(AND(AW$5&gt;=$C417,AW$5&lt;=$D417,$A417&lt;&gt;""),"●","")</x:f>
      </x:c>
      <x:c r="AX417" s="165" t="str">
        <x:f>IF(AND(AX$5&gt;=$C417,AX$5&lt;=$D417,$A417&lt;&gt;""),"●","")</x:f>
      </x:c>
      <x:c r="AY417" s="165" t="str">
        <x:f>IF(AND(AY$5&gt;=$C417,AY$5&lt;=$D417,$A417&lt;&gt;""),"●","")</x:f>
      </x:c>
      <x:c r="AZ417" s="165" t="str">
        <x:f>IF(AND(AZ$5&gt;=$C417,AZ$5&lt;=$D417,$A417&lt;&gt;""),"●","")</x:f>
      </x:c>
      <x:c r="BA417" s="165" t="str">
        <x:f>IF(AND(BA$5&gt;=$C417,BA$5&lt;=$D417,$A417&lt;&gt;""),"●","")</x:f>
      </x:c>
      <x:c r="BB417" s="165" t="str">
        <x:f>IF(AND(BB$5&gt;=$C417,BB$5&lt;=$D417,$A417&lt;&gt;""),"●","")</x:f>
      </x:c>
      <x:c r="BC417" s="165" t="str">
        <x:f>IF(AND(BC$5&gt;=$C417,BC$5&lt;=$D417,$A417&lt;&gt;""),"●","")</x:f>
      </x:c>
      <x:c r="BD417" s="165" t="str">
        <x:f>IF(AND(BD$5&gt;=$C417,BD$5&lt;=$D417,$A417&lt;&gt;""),"●","")</x:f>
      </x:c>
      <x:c r="BE417" s="165" t="str">
        <x:f>IF(AND(BE$5&gt;=$C417,BE$5&lt;=$D417,$A417&lt;&gt;""),"●","")</x:f>
      </x:c>
      <x:c r="BF417" s="165" t="str">
        <x:f>IF(AND(BF$5&gt;=$C417,BF$5&lt;=$D417,$A417&lt;&gt;""),"●","")</x:f>
      </x:c>
      <x:c r="BG417" s="165" t="str">
        <x:f>IF(AND(BG$5&gt;=$C417,BG$5&lt;=$D417,$A417&lt;&gt;""),"●","")</x:f>
      </x:c>
      <x:c r="BH417" s="165" t="str">
        <x:f>IF(AND(BH$5&gt;=$C417,BH$5&lt;=$D417,$A417&lt;&gt;""),"●","")</x:f>
      </x:c>
      <x:c r="BI417" s="165" t="str">
        <x:f>IF(AND(BI$5&gt;=$C417,BI$5&lt;=$D417,$A417&lt;&gt;""),"●","")</x:f>
      </x:c>
      <x:c r="BJ417" s="165" t="str">
        <x:f>IF(AND(BJ$5&gt;=$C417,BJ$5&lt;=$D417,$A417&lt;&gt;""),"●","")</x:f>
      </x:c>
      <x:c r="BK417" s="165" t="str">
        <x:f>IF(AND(BK$5&gt;=$C417,BK$5&lt;=$D417,$A417&lt;&gt;""),"●","")</x:f>
      </x:c>
      <x:c r="BL417" s="165" t="str">
        <x:f>IF(AND(BL$5&gt;=$C417,BL$5&lt;=$D417,$A417&lt;&gt;""),"●","")</x:f>
      </x:c>
      <x:c r="BM417" s="165" t="str">
        <x:f>IF(AND(BM$5&gt;=$C417,BM$5&lt;=$D417,$A417&lt;&gt;""),"●","")</x:f>
      </x:c>
      <x:c r="BN417" s="165" t="str">
        <x:f>IF(AND(BN$5&gt;=$C417,BN$5&lt;=$D417,$A417&lt;&gt;""),"●","")</x:f>
      </x:c>
      <x:c r="BO417" s="165" t="str">
        <x:f>IF(AND(BO$5&gt;=$C417,BO$5&lt;=$D417,$A417&lt;&gt;""),"●","")</x:f>
      </x:c>
      <x:c r="BP417" s="165" t="str">
        <x:f>IF(AND(BP$5&gt;=$C417,BP$5&lt;=$D417,$A417&lt;&gt;""),"●","")</x:f>
      </x:c>
      <x:c r="BQ417" s="165" t="str">
        <x:f>IF(AND(BQ$5&gt;=$C417,BQ$5&lt;=$D417,$A417&lt;&gt;""),"●","")</x:f>
      </x:c>
      <x:c r="BR417" s="165" t="str">
        <x:f>IF(AND(BR$5&gt;=$C417,BR$5&lt;=$D417,$A417&lt;&gt;""),"●","")</x:f>
      </x:c>
      <x:c r="BS417" s="165" t="str">
        <x:f>IF(AND(BS$5&gt;=$C417,BS$5&lt;=$D417,$A417&lt;&gt;""),"●","")</x:f>
      </x:c>
      <x:c r="BT417" s="165" t="str">
        <x:f>IF(AND(BT$5&gt;=$C417,BT$5&lt;=$D417,$A417&lt;&gt;""),"●","")</x:f>
      </x:c>
      <x:c r="BU417" s="165" t="str">
        <x:f>IF(AND(BU$5&gt;=$C417,BU$5&lt;=$D417,$A417&lt;&gt;""),"●","")</x:f>
      </x:c>
      <x:c r="BV417" s="165" t="str">
        <x:f>IF(AND(BV$5&gt;=$C417,BV$5&lt;=$D417,$A417&lt;&gt;""),"●","")</x:f>
      </x:c>
      <x:c r="BW417" s="165" t="str">
        <x:f>IF(AND(BW$5&gt;=$C417,BW$5&lt;=$D417,$A417&lt;&gt;""),"●","")</x:f>
      </x:c>
    </x:row>
    <x:row r="418">
      <x:c r="A418" s="159" t="str">
        <x:f>IF('รายการสัญญา'!A418="","",'รายการสัญญา'!A418)</x:f>
      </x:c>
      <x:c r="B418" s="159" t="str">
        <x:f>IF('รายการสัญญา'!A418="","",'รายการสัญญา'!C418)</x:f>
      </x:c>
      <x:c r="C418" s="162" t="str">
        <x:f>IF('รายการสัญญา'!A418="","",'รายการสัญญา'!E418)</x:f>
      </x:c>
      <x:c r="D418" s="162" t="str">
        <x:f>IF('รายการสัญญา'!A418="","",'รายการสัญญา'!G418)</x:f>
      </x:c>
      <x:c r="E418" s="159" t="str">
        <x:f>IF('รายการสัญญา'!A418="","",'รายการสัญญา'!K418)</x:f>
      </x:c>
      <x:c r="F418" s="165" t="str">
        <x:f>IF(AND(F$5&gt;=$C418,F$5&lt;=$D418,$A418&lt;&gt;""),"●","")</x:f>
      </x:c>
      <x:c r="G418" s="165" t="str">
        <x:f>IF(AND(G$5&gt;=$C418,G$5&lt;=$D418,$A418&lt;&gt;""),"●","")</x:f>
      </x:c>
      <x:c r="H418" s="165" t="str">
        <x:f>IF(AND(H$5&gt;=$C418,H$5&lt;=$D418,$A418&lt;&gt;""),"●","")</x:f>
      </x:c>
      <x:c r="I418" s="165" t="str">
        <x:f>IF(AND(I$5&gt;=$C418,I$5&lt;=$D418,$A418&lt;&gt;""),"●","")</x:f>
      </x:c>
      <x:c r="J418" s="165" t="str">
        <x:f>IF(AND(J$5&gt;=$C418,J$5&lt;=$D418,$A418&lt;&gt;""),"●","")</x:f>
      </x:c>
      <x:c r="K418" s="165" t="str">
        <x:f>IF(AND(K$5&gt;=$C418,K$5&lt;=$D418,$A418&lt;&gt;""),"●","")</x:f>
      </x:c>
      <x:c r="L418" s="165" t="str">
        <x:f>IF(AND(L$5&gt;=$C418,L$5&lt;=$D418,$A418&lt;&gt;""),"●","")</x:f>
      </x:c>
      <x:c r="M418" s="165" t="str">
        <x:f>IF(AND(M$5&gt;=$C418,M$5&lt;=$D418,$A418&lt;&gt;""),"●","")</x:f>
      </x:c>
      <x:c r="N418" s="165" t="str">
        <x:f>IF(AND(N$5&gt;=$C418,N$5&lt;=$D418,$A418&lt;&gt;""),"●","")</x:f>
      </x:c>
      <x:c r="O418" s="165" t="str">
        <x:f>IF(AND(O$5&gt;=$C418,O$5&lt;=$D418,$A418&lt;&gt;""),"●","")</x:f>
      </x:c>
      <x:c r="P418" s="165" t="str">
        <x:f>IF(AND(P$5&gt;=$C418,P$5&lt;=$D418,$A418&lt;&gt;""),"●","")</x:f>
      </x:c>
      <x:c r="Q418" s="165" t="str">
        <x:f>IF(AND(Q$5&gt;=$C418,Q$5&lt;=$D418,$A418&lt;&gt;""),"●","")</x:f>
      </x:c>
      <x:c r="R418" s="165" t="str">
        <x:f>IF(AND(R$5&gt;=$C418,R$5&lt;=$D418,$A418&lt;&gt;""),"●","")</x:f>
      </x:c>
      <x:c r="S418" s="165" t="str">
        <x:f>IF(AND(S$5&gt;=$C418,S$5&lt;=$D418,$A418&lt;&gt;""),"●","")</x:f>
      </x:c>
      <x:c r="T418" s="165" t="str">
        <x:f>IF(AND(T$5&gt;=$C418,T$5&lt;=$D418,$A418&lt;&gt;""),"●","")</x:f>
      </x:c>
      <x:c r="U418" s="165" t="str">
        <x:f>IF(AND(U$5&gt;=$C418,U$5&lt;=$D418,$A418&lt;&gt;""),"●","")</x:f>
      </x:c>
      <x:c r="V418" s="165" t="str">
        <x:f>IF(AND(V$5&gt;=$C418,V$5&lt;=$D418,$A418&lt;&gt;""),"●","")</x:f>
      </x:c>
      <x:c r="W418" s="165" t="str">
        <x:f>IF(AND(W$5&gt;=$C418,W$5&lt;=$D418,$A418&lt;&gt;""),"●","")</x:f>
      </x:c>
      <x:c r="X418" s="165" t="str">
        <x:f>IF(AND(X$5&gt;=$C418,X$5&lt;=$D418,$A418&lt;&gt;""),"●","")</x:f>
      </x:c>
      <x:c r="Y418" s="165" t="str">
        <x:f>IF(AND(Y$5&gt;=$C418,Y$5&lt;=$D418,$A418&lt;&gt;""),"●","")</x:f>
      </x:c>
      <x:c r="Z418" s="165" t="str">
        <x:f>IF(AND(Z$5&gt;=$C418,Z$5&lt;=$D418,$A418&lt;&gt;""),"●","")</x:f>
      </x:c>
      <x:c r="AA418" s="165" t="str">
        <x:f>IF(AND(AA$5&gt;=$C418,AA$5&lt;=$D418,$A418&lt;&gt;""),"●","")</x:f>
      </x:c>
      <x:c r="AB418" s="165" t="str">
        <x:f>IF(AND(AB$5&gt;=$C418,AB$5&lt;=$D418,$A418&lt;&gt;""),"●","")</x:f>
      </x:c>
      <x:c r="AC418" s="165" t="str">
        <x:f>IF(AND(AC$5&gt;=$C418,AC$5&lt;=$D418,$A418&lt;&gt;""),"●","")</x:f>
      </x:c>
      <x:c r="AD418" s="165" t="str">
        <x:f>IF(AND(AD$5&gt;=$C418,AD$5&lt;=$D418,$A418&lt;&gt;""),"●","")</x:f>
      </x:c>
      <x:c r="AE418" s="165" t="str">
        <x:f>IF(AND(AE$5&gt;=$C418,AE$5&lt;=$D418,$A418&lt;&gt;""),"●","")</x:f>
      </x:c>
      <x:c r="AF418" s="165" t="str">
        <x:f>IF(AND(AF$5&gt;=$C418,AF$5&lt;=$D418,$A418&lt;&gt;""),"●","")</x:f>
      </x:c>
      <x:c r="AG418" s="165" t="str">
        <x:f>IF(AND(AG$5&gt;=$C418,AG$5&lt;=$D418,$A418&lt;&gt;""),"●","")</x:f>
      </x:c>
      <x:c r="AH418" s="165" t="str">
        <x:f>IF(AND(AH$5&gt;=$C418,AH$5&lt;=$D418,$A418&lt;&gt;""),"●","")</x:f>
      </x:c>
      <x:c r="AI418" s="165" t="str">
        <x:f>IF(AND(AI$5&gt;=$C418,AI$5&lt;=$D418,$A418&lt;&gt;""),"●","")</x:f>
      </x:c>
      <x:c r="AJ418" s="165" t="str">
        <x:f>IF(AND(AJ$5&gt;=$C418,AJ$5&lt;=$D418,$A418&lt;&gt;""),"●","")</x:f>
      </x:c>
      <x:c r="AK418" s="165" t="str">
        <x:f>IF(AND(AK$5&gt;=$C418,AK$5&lt;=$D418,$A418&lt;&gt;""),"●","")</x:f>
      </x:c>
      <x:c r="AL418" s="165" t="str">
        <x:f>IF(AND(AL$5&gt;=$C418,AL$5&lt;=$D418,$A418&lt;&gt;""),"●","")</x:f>
      </x:c>
      <x:c r="AM418" s="165" t="str">
        <x:f>IF(AND(AM$5&gt;=$C418,AM$5&lt;=$D418,$A418&lt;&gt;""),"●","")</x:f>
      </x:c>
      <x:c r="AN418" s="165" t="str">
        <x:f>IF(AND(AN$5&gt;=$C418,AN$5&lt;=$D418,$A418&lt;&gt;""),"●","")</x:f>
      </x:c>
      <x:c r="AO418" s="165" t="str">
        <x:f>IF(AND(AO$5&gt;=$C418,AO$5&lt;=$D418,$A418&lt;&gt;""),"●","")</x:f>
      </x:c>
      <x:c r="AP418" s="165" t="str">
        <x:f>IF(AND(AP$5&gt;=$C418,AP$5&lt;=$D418,$A418&lt;&gt;""),"●","")</x:f>
      </x:c>
      <x:c r="AQ418" s="165" t="str">
        <x:f>IF(AND(AQ$5&gt;=$C418,AQ$5&lt;=$D418,$A418&lt;&gt;""),"●","")</x:f>
      </x:c>
      <x:c r="AR418" s="165" t="str">
        <x:f>IF(AND(AR$5&gt;=$C418,AR$5&lt;=$D418,$A418&lt;&gt;""),"●","")</x:f>
      </x:c>
      <x:c r="AS418" s="165" t="str">
        <x:f>IF(AND(AS$5&gt;=$C418,AS$5&lt;=$D418,$A418&lt;&gt;""),"●","")</x:f>
      </x:c>
      <x:c r="AT418" s="165" t="str">
        <x:f>IF(AND(AT$5&gt;=$C418,AT$5&lt;=$D418,$A418&lt;&gt;""),"●","")</x:f>
      </x:c>
      <x:c r="AU418" s="165" t="str">
        <x:f>IF(AND(AU$5&gt;=$C418,AU$5&lt;=$D418,$A418&lt;&gt;""),"●","")</x:f>
      </x:c>
      <x:c r="AV418" s="165" t="str">
        <x:f>IF(AND(AV$5&gt;=$C418,AV$5&lt;=$D418,$A418&lt;&gt;""),"●","")</x:f>
      </x:c>
      <x:c r="AW418" s="165" t="str">
        <x:f>IF(AND(AW$5&gt;=$C418,AW$5&lt;=$D418,$A418&lt;&gt;""),"●","")</x:f>
      </x:c>
      <x:c r="AX418" s="165" t="str">
        <x:f>IF(AND(AX$5&gt;=$C418,AX$5&lt;=$D418,$A418&lt;&gt;""),"●","")</x:f>
      </x:c>
      <x:c r="AY418" s="165" t="str">
        <x:f>IF(AND(AY$5&gt;=$C418,AY$5&lt;=$D418,$A418&lt;&gt;""),"●","")</x:f>
      </x:c>
      <x:c r="AZ418" s="165" t="str">
        <x:f>IF(AND(AZ$5&gt;=$C418,AZ$5&lt;=$D418,$A418&lt;&gt;""),"●","")</x:f>
      </x:c>
      <x:c r="BA418" s="165" t="str">
        <x:f>IF(AND(BA$5&gt;=$C418,BA$5&lt;=$D418,$A418&lt;&gt;""),"●","")</x:f>
      </x:c>
      <x:c r="BB418" s="165" t="str">
        <x:f>IF(AND(BB$5&gt;=$C418,BB$5&lt;=$D418,$A418&lt;&gt;""),"●","")</x:f>
      </x:c>
      <x:c r="BC418" s="165" t="str">
        <x:f>IF(AND(BC$5&gt;=$C418,BC$5&lt;=$D418,$A418&lt;&gt;""),"●","")</x:f>
      </x:c>
      <x:c r="BD418" s="165" t="str">
        <x:f>IF(AND(BD$5&gt;=$C418,BD$5&lt;=$D418,$A418&lt;&gt;""),"●","")</x:f>
      </x:c>
      <x:c r="BE418" s="165" t="str">
        <x:f>IF(AND(BE$5&gt;=$C418,BE$5&lt;=$D418,$A418&lt;&gt;""),"●","")</x:f>
      </x:c>
      <x:c r="BF418" s="165" t="str">
        <x:f>IF(AND(BF$5&gt;=$C418,BF$5&lt;=$D418,$A418&lt;&gt;""),"●","")</x:f>
      </x:c>
      <x:c r="BG418" s="165" t="str">
        <x:f>IF(AND(BG$5&gt;=$C418,BG$5&lt;=$D418,$A418&lt;&gt;""),"●","")</x:f>
      </x:c>
      <x:c r="BH418" s="165" t="str">
        <x:f>IF(AND(BH$5&gt;=$C418,BH$5&lt;=$D418,$A418&lt;&gt;""),"●","")</x:f>
      </x:c>
      <x:c r="BI418" s="165" t="str">
        <x:f>IF(AND(BI$5&gt;=$C418,BI$5&lt;=$D418,$A418&lt;&gt;""),"●","")</x:f>
      </x:c>
      <x:c r="BJ418" s="165" t="str">
        <x:f>IF(AND(BJ$5&gt;=$C418,BJ$5&lt;=$D418,$A418&lt;&gt;""),"●","")</x:f>
      </x:c>
      <x:c r="BK418" s="165" t="str">
        <x:f>IF(AND(BK$5&gt;=$C418,BK$5&lt;=$D418,$A418&lt;&gt;""),"●","")</x:f>
      </x:c>
      <x:c r="BL418" s="165" t="str">
        <x:f>IF(AND(BL$5&gt;=$C418,BL$5&lt;=$D418,$A418&lt;&gt;""),"●","")</x:f>
      </x:c>
      <x:c r="BM418" s="165" t="str">
        <x:f>IF(AND(BM$5&gt;=$C418,BM$5&lt;=$D418,$A418&lt;&gt;""),"●","")</x:f>
      </x:c>
      <x:c r="BN418" s="165" t="str">
        <x:f>IF(AND(BN$5&gt;=$C418,BN$5&lt;=$D418,$A418&lt;&gt;""),"●","")</x:f>
      </x:c>
      <x:c r="BO418" s="165" t="str">
        <x:f>IF(AND(BO$5&gt;=$C418,BO$5&lt;=$D418,$A418&lt;&gt;""),"●","")</x:f>
      </x:c>
      <x:c r="BP418" s="165" t="str">
        <x:f>IF(AND(BP$5&gt;=$C418,BP$5&lt;=$D418,$A418&lt;&gt;""),"●","")</x:f>
      </x:c>
      <x:c r="BQ418" s="165" t="str">
        <x:f>IF(AND(BQ$5&gt;=$C418,BQ$5&lt;=$D418,$A418&lt;&gt;""),"●","")</x:f>
      </x:c>
      <x:c r="BR418" s="165" t="str">
        <x:f>IF(AND(BR$5&gt;=$C418,BR$5&lt;=$D418,$A418&lt;&gt;""),"●","")</x:f>
      </x:c>
      <x:c r="BS418" s="165" t="str">
        <x:f>IF(AND(BS$5&gt;=$C418,BS$5&lt;=$D418,$A418&lt;&gt;""),"●","")</x:f>
      </x:c>
      <x:c r="BT418" s="165" t="str">
        <x:f>IF(AND(BT$5&gt;=$C418,BT$5&lt;=$D418,$A418&lt;&gt;""),"●","")</x:f>
      </x:c>
      <x:c r="BU418" s="165" t="str">
        <x:f>IF(AND(BU$5&gt;=$C418,BU$5&lt;=$D418,$A418&lt;&gt;""),"●","")</x:f>
      </x:c>
      <x:c r="BV418" s="165" t="str">
        <x:f>IF(AND(BV$5&gt;=$C418,BV$5&lt;=$D418,$A418&lt;&gt;""),"●","")</x:f>
      </x:c>
      <x:c r="BW418" s="165" t="str">
        <x:f>IF(AND(BW$5&gt;=$C418,BW$5&lt;=$D418,$A418&lt;&gt;""),"●","")</x:f>
      </x:c>
    </x:row>
    <x:row r="419">
      <x:c r="A419" s="159" t="str">
        <x:f>IF('รายการสัญญา'!A419="","",'รายการสัญญา'!A419)</x:f>
      </x:c>
      <x:c r="B419" s="159" t="str">
        <x:f>IF('รายการสัญญา'!A419="","",'รายการสัญญา'!C419)</x:f>
      </x:c>
      <x:c r="C419" s="162" t="str">
        <x:f>IF('รายการสัญญา'!A419="","",'รายการสัญญา'!E419)</x:f>
      </x:c>
      <x:c r="D419" s="162" t="str">
        <x:f>IF('รายการสัญญา'!A419="","",'รายการสัญญา'!G419)</x:f>
      </x:c>
      <x:c r="E419" s="159" t="str">
        <x:f>IF('รายการสัญญา'!A419="","",'รายการสัญญา'!K419)</x:f>
      </x:c>
      <x:c r="F419" s="165" t="str">
        <x:f>IF(AND(F$5&gt;=$C419,F$5&lt;=$D419,$A419&lt;&gt;""),"●","")</x:f>
      </x:c>
      <x:c r="G419" s="165" t="str">
        <x:f>IF(AND(G$5&gt;=$C419,G$5&lt;=$D419,$A419&lt;&gt;""),"●","")</x:f>
      </x:c>
      <x:c r="H419" s="165" t="str">
        <x:f>IF(AND(H$5&gt;=$C419,H$5&lt;=$D419,$A419&lt;&gt;""),"●","")</x:f>
      </x:c>
      <x:c r="I419" s="165" t="str">
        <x:f>IF(AND(I$5&gt;=$C419,I$5&lt;=$D419,$A419&lt;&gt;""),"●","")</x:f>
      </x:c>
      <x:c r="J419" s="165" t="str">
        <x:f>IF(AND(J$5&gt;=$C419,J$5&lt;=$D419,$A419&lt;&gt;""),"●","")</x:f>
      </x:c>
      <x:c r="K419" s="165" t="str">
        <x:f>IF(AND(K$5&gt;=$C419,K$5&lt;=$D419,$A419&lt;&gt;""),"●","")</x:f>
      </x:c>
      <x:c r="L419" s="165" t="str">
        <x:f>IF(AND(L$5&gt;=$C419,L$5&lt;=$D419,$A419&lt;&gt;""),"●","")</x:f>
      </x:c>
      <x:c r="M419" s="165" t="str">
        <x:f>IF(AND(M$5&gt;=$C419,M$5&lt;=$D419,$A419&lt;&gt;""),"●","")</x:f>
      </x:c>
      <x:c r="N419" s="165" t="str">
        <x:f>IF(AND(N$5&gt;=$C419,N$5&lt;=$D419,$A419&lt;&gt;""),"●","")</x:f>
      </x:c>
      <x:c r="O419" s="165" t="str">
        <x:f>IF(AND(O$5&gt;=$C419,O$5&lt;=$D419,$A419&lt;&gt;""),"●","")</x:f>
      </x:c>
      <x:c r="P419" s="165" t="str">
        <x:f>IF(AND(P$5&gt;=$C419,P$5&lt;=$D419,$A419&lt;&gt;""),"●","")</x:f>
      </x:c>
      <x:c r="Q419" s="165" t="str">
        <x:f>IF(AND(Q$5&gt;=$C419,Q$5&lt;=$D419,$A419&lt;&gt;""),"●","")</x:f>
      </x:c>
      <x:c r="R419" s="165" t="str">
        <x:f>IF(AND(R$5&gt;=$C419,R$5&lt;=$D419,$A419&lt;&gt;""),"●","")</x:f>
      </x:c>
      <x:c r="S419" s="165" t="str">
        <x:f>IF(AND(S$5&gt;=$C419,S$5&lt;=$D419,$A419&lt;&gt;""),"●","")</x:f>
      </x:c>
      <x:c r="T419" s="165" t="str">
        <x:f>IF(AND(T$5&gt;=$C419,T$5&lt;=$D419,$A419&lt;&gt;""),"●","")</x:f>
      </x:c>
      <x:c r="U419" s="165" t="str">
        <x:f>IF(AND(U$5&gt;=$C419,U$5&lt;=$D419,$A419&lt;&gt;""),"●","")</x:f>
      </x:c>
      <x:c r="V419" s="165" t="str">
        <x:f>IF(AND(V$5&gt;=$C419,V$5&lt;=$D419,$A419&lt;&gt;""),"●","")</x:f>
      </x:c>
      <x:c r="W419" s="165" t="str">
        <x:f>IF(AND(W$5&gt;=$C419,W$5&lt;=$D419,$A419&lt;&gt;""),"●","")</x:f>
      </x:c>
      <x:c r="X419" s="165" t="str">
        <x:f>IF(AND(X$5&gt;=$C419,X$5&lt;=$D419,$A419&lt;&gt;""),"●","")</x:f>
      </x:c>
      <x:c r="Y419" s="165" t="str">
        <x:f>IF(AND(Y$5&gt;=$C419,Y$5&lt;=$D419,$A419&lt;&gt;""),"●","")</x:f>
      </x:c>
      <x:c r="Z419" s="165" t="str">
        <x:f>IF(AND(Z$5&gt;=$C419,Z$5&lt;=$D419,$A419&lt;&gt;""),"●","")</x:f>
      </x:c>
      <x:c r="AA419" s="165" t="str">
        <x:f>IF(AND(AA$5&gt;=$C419,AA$5&lt;=$D419,$A419&lt;&gt;""),"●","")</x:f>
      </x:c>
      <x:c r="AB419" s="165" t="str">
        <x:f>IF(AND(AB$5&gt;=$C419,AB$5&lt;=$D419,$A419&lt;&gt;""),"●","")</x:f>
      </x:c>
      <x:c r="AC419" s="165" t="str">
        <x:f>IF(AND(AC$5&gt;=$C419,AC$5&lt;=$D419,$A419&lt;&gt;""),"●","")</x:f>
      </x:c>
      <x:c r="AD419" s="165" t="str">
        <x:f>IF(AND(AD$5&gt;=$C419,AD$5&lt;=$D419,$A419&lt;&gt;""),"●","")</x:f>
      </x:c>
      <x:c r="AE419" s="165" t="str">
        <x:f>IF(AND(AE$5&gt;=$C419,AE$5&lt;=$D419,$A419&lt;&gt;""),"●","")</x:f>
      </x:c>
      <x:c r="AF419" s="165" t="str">
        <x:f>IF(AND(AF$5&gt;=$C419,AF$5&lt;=$D419,$A419&lt;&gt;""),"●","")</x:f>
      </x:c>
      <x:c r="AG419" s="165" t="str">
        <x:f>IF(AND(AG$5&gt;=$C419,AG$5&lt;=$D419,$A419&lt;&gt;""),"●","")</x:f>
      </x:c>
      <x:c r="AH419" s="165" t="str">
        <x:f>IF(AND(AH$5&gt;=$C419,AH$5&lt;=$D419,$A419&lt;&gt;""),"●","")</x:f>
      </x:c>
      <x:c r="AI419" s="165" t="str">
        <x:f>IF(AND(AI$5&gt;=$C419,AI$5&lt;=$D419,$A419&lt;&gt;""),"●","")</x:f>
      </x:c>
      <x:c r="AJ419" s="165" t="str">
        <x:f>IF(AND(AJ$5&gt;=$C419,AJ$5&lt;=$D419,$A419&lt;&gt;""),"●","")</x:f>
      </x:c>
      <x:c r="AK419" s="165" t="str">
        <x:f>IF(AND(AK$5&gt;=$C419,AK$5&lt;=$D419,$A419&lt;&gt;""),"●","")</x:f>
      </x:c>
      <x:c r="AL419" s="165" t="str">
        <x:f>IF(AND(AL$5&gt;=$C419,AL$5&lt;=$D419,$A419&lt;&gt;""),"●","")</x:f>
      </x:c>
      <x:c r="AM419" s="165" t="str">
        <x:f>IF(AND(AM$5&gt;=$C419,AM$5&lt;=$D419,$A419&lt;&gt;""),"●","")</x:f>
      </x:c>
      <x:c r="AN419" s="165" t="str">
        <x:f>IF(AND(AN$5&gt;=$C419,AN$5&lt;=$D419,$A419&lt;&gt;""),"●","")</x:f>
      </x:c>
      <x:c r="AO419" s="165" t="str">
        <x:f>IF(AND(AO$5&gt;=$C419,AO$5&lt;=$D419,$A419&lt;&gt;""),"●","")</x:f>
      </x:c>
      <x:c r="AP419" s="165" t="str">
        <x:f>IF(AND(AP$5&gt;=$C419,AP$5&lt;=$D419,$A419&lt;&gt;""),"●","")</x:f>
      </x:c>
      <x:c r="AQ419" s="165" t="str">
        <x:f>IF(AND(AQ$5&gt;=$C419,AQ$5&lt;=$D419,$A419&lt;&gt;""),"●","")</x:f>
      </x:c>
      <x:c r="AR419" s="165" t="str">
        <x:f>IF(AND(AR$5&gt;=$C419,AR$5&lt;=$D419,$A419&lt;&gt;""),"●","")</x:f>
      </x:c>
      <x:c r="AS419" s="165" t="str">
        <x:f>IF(AND(AS$5&gt;=$C419,AS$5&lt;=$D419,$A419&lt;&gt;""),"●","")</x:f>
      </x:c>
      <x:c r="AT419" s="165" t="str">
        <x:f>IF(AND(AT$5&gt;=$C419,AT$5&lt;=$D419,$A419&lt;&gt;""),"●","")</x:f>
      </x:c>
      <x:c r="AU419" s="165" t="str">
        <x:f>IF(AND(AU$5&gt;=$C419,AU$5&lt;=$D419,$A419&lt;&gt;""),"●","")</x:f>
      </x:c>
      <x:c r="AV419" s="165" t="str">
        <x:f>IF(AND(AV$5&gt;=$C419,AV$5&lt;=$D419,$A419&lt;&gt;""),"●","")</x:f>
      </x:c>
      <x:c r="AW419" s="165" t="str">
        <x:f>IF(AND(AW$5&gt;=$C419,AW$5&lt;=$D419,$A419&lt;&gt;""),"●","")</x:f>
      </x:c>
      <x:c r="AX419" s="165" t="str">
        <x:f>IF(AND(AX$5&gt;=$C419,AX$5&lt;=$D419,$A419&lt;&gt;""),"●","")</x:f>
      </x:c>
      <x:c r="AY419" s="165" t="str">
        <x:f>IF(AND(AY$5&gt;=$C419,AY$5&lt;=$D419,$A419&lt;&gt;""),"●","")</x:f>
      </x:c>
      <x:c r="AZ419" s="165" t="str">
        <x:f>IF(AND(AZ$5&gt;=$C419,AZ$5&lt;=$D419,$A419&lt;&gt;""),"●","")</x:f>
      </x:c>
      <x:c r="BA419" s="165" t="str">
        <x:f>IF(AND(BA$5&gt;=$C419,BA$5&lt;=$D419,$A419&lt;&gt;""),"●","")</x:f>
      </x:c>
      <x:c r="BB419" s="165" t="str">
        <x:f>IF(AND(BB$5&gt;=$C419,BB$5&lt;=$D419,$A419&lt;&gt;""),"●","")</x:f>
      </x:c>
      <x:c r="BC419" s="165" t="str">
        <x:f>IF(AND(BC$5&gt;=$C419,BC$5&lt;=$D419,$A419&lt;&gt;""),"●","")</x:f>
      </x:c>
      <x:c r="BD419" s="165" t="str">
        <x:f>IF(AND(BD$5&gt;=$C419,BD$5&lt;=$D419,$A419&lt;&gt;""),"●","")</x:f>
      </x:c>
      <x:c r="BE419" s="165" t="str">
        <x:f>IF(AND(BE$5&gt;=$C419,BE$5&lt;=$D419,$A419&lt;&gt;""),"●","")</x:f>
      </x:c>
      <x:c r="BF419" s="165" t="str">
        <x:f>IF(AND(BF$5&gt;=$C419,BF$5&lt;=$D419,$A419&lt;&gt;""),"●","")</x:f>
      </x:c>
      <x:c r="BG419" s="165" t="str">
        <x:f>IF(AND(BG$5&gt;=$C419,BG$5&lt;=$D419,$A419&lt;&gt;""),"●","")</x:f>
      </x:c>
      <x:c r="BH419" s="165" t="str">
        <x:f>IF(AND(BH$5&gt;=$C419,BH$5&lt;=$D419,$A419&lt;&gt;""),"●","")</x:f>
      </x:c>
      <x:c r="BI419" s="165" t="str">
        <x:f>IF(AND(BI$5&gt;=$C419,BI$5&lt;=$D419,$A419&lt;&gt;""),"●","")</x:f>
      </x:c>
      <x:c r="BJ419" s="165" t="str">
        <x:f>IF(AND(BJ$5&gt;=$C419,BJ$5&lt;=$D419,$A419&lt;&gt;""),"●","")</x:f>
      </x:c>
      <x:c r="BK419" s="165" t="str">
        <x:f>IF(AND(BK$5&gt;=$C419,BK$5&lt;=$D419,$A419&lt;&gt;""),"●","")</x:f>
      </x:c>
      <x:c r="BL419" s="165" t="str">
        <x:f>IF(AND(BL$5&gt;=$C419,BL$5&lt;=$D419,$A419&lt;&gt;""),"●","")</x:f>
      </x:c>
      <x:c r="BM419" s="165" t="str">
        <x:f>IF(AND(BM$5&gt;=$C419,BM$5&lt;=$D419,$A419&lt;&gt;""),"●","")</x:f>
      </x:c>
      <x:c r="BN419" s="165" t="str">
        <x:f>IF(AND(BN$5&gt;=$C419,BN$5&lt;=$D419,$A419&lt;&gt;""),"●","")</x:f>
      </x:c>
      <x:c r="BO419" s="165" t="str">
        <x:f>IF(AND(BO$5&gt;=$C419,BO$5&lt;=$D419,$A419&lt;&gt;""),"●","")</x:f>
      </x:c>
      <x:c r="BP419" s="165" t="str">
        <x:f>IF(AND(BP$5&gt;=$C419,BP$5&lt;=$D419,$A419&lt;&gt;""),"●","")</x:f>
      </x:c>
      <x:c r="BQ419" s="165" t="str">
        <x:f>IF(AND(BQ$5&gt;=$C419,BQ$5&lt;=$D419,$A419&lt;&gt;""),"●","")</x:f>
      </x:c>
      <x:c r="BR419" s="165" t="str">
        <x:f>IF(AND(BR$5&gt;=$C419,BR$5&lt;=$D419,$A419&lt;&gt;""),"●","")</x:f>
      </x:c>
      <x:c r="BS419" s="165" t="str">
        <x:f>IF(AND(BS$5&gt;=$C419,BS$5&lt;=$D419,$A419&lt;&gt;""),"●","")</x:f>
      </x:c>
      <x:c r="BT419" s="165" t="str">
        <x:f>IF(AND(BT$5&gt;=$C419,BT$5&lt;=$D419,$A419&lt;&gt;""),"●","")</x:f>
      </x:c>
      <x:c r="BU419" s="165" t="str">
        <x:f>IF(AND(BU$5&gt;=$C419,BU$5&lt;=$D419,$A419&lt;&gt;""),"●","")</x:f>
      </x:c>
      <x:c r="BV419" s="165" t="str">
        <x:f>IF(AND(BV$5&gt;=$C419,BV$5&lt;=$D419,$A419&lt;&gt;""),"●","")</x:f>
      </x:c>
      <x:c r="BW419" s="165" t="str">
        <x:f>IF(AND(BW$5&gt;=$C419,BW$5&lt;=$D419,$A419&lt;&gt;""),"●","")</x:f>
      </x:c>
    </x:row>
    <x:row r="420">
      <x:c r="A420" s="159" t="str">
        <x:f>IF('รายการสัญญา'!A420="","",'รายการสัญญา'!A420)</x:f>
      </x:c>
      <x:c r="B420" s="159" t="str">
        <x:f>IF('รายการสัญญา'!A420="","",'รายการสัญญา'!C420)</x:f>
      </x:c>
      <x:c r="C420" s="162" t="str">
        <x:f>IF('รายการสัญญา'!A420="","",'รายการสัญญา'!E420)</x:f>
      </x:c>
      <x:c r="D420" s="162" t="str">
        <x:f>IF('รายการสัญญา'!A420="","",'รายการสัญญา'!G420)</x:f>
      </x:c>
      <x:c r="E420" s="159" t="str">
        <x:f>IF('รายการสัญญา'!A420="","",'รายการสัญญา'!K420)</x:f>
      </x:c>
      <x:c r="F420" s="165" t="str">
        <x:f>IF(AND(F$5&gt;=$C420,F$5&lt;=$D420,$A420&lt;&gt;""),"●","")</x:f>
      </x:c>
      <x:c r="G420" s="165" t="str">
        <x:f>IF(AND(G$5&gt;=$C420,G$5&lt;=$D420,$A420&lt;&gt;""),"●","")</x:f>
      </x:c>
      <x:c r="H420" s="165" t="str">
        <x:f>IF(AND(H$5&gt;=$C420,H$5&lt;=$D420,$A420&lt;&gt;""),"●","")</x:f>
      </x:c>
      <x:c r="I420" s="165" t="str">
        <x:f>IF(AND(I$5&gt;=$C420,I$5&lt;=$D420,$A420&lt;&gt;""),"●","")</x:f>
      </x:c>
      <x:c r="J420" s="165" t="str">
        <x:f>IF(AND(J$5&gt;=$C420,J$5&lt;=$D420,$A420&lt;&gt;""),"●","")</x:f>
      </x:c>
      <x:c r="K420" s="165" t="str">
        <x:f>IF(AND(K$5&gt;=$C420,K$5&lt;=$D420,$A420&lt;&gt;""),"●","")</x:f>
      </x:c>
      <x:c r="L420" s="165" t="str">
        <x:f>IF(AND(L$5&gt;=$C420,L$5&lt;=$D420,$A420&lt;&gt;""),"●","")</x:f>
      </x:c>
      <x:c r="M420" s="165" t="str">
        <x:f>IF(AND(M$5&gt;=$C420,M$5&lt;=$D420,$A420&lt;&gt;""),"●","")</x:f>
      </x:c>
      <x:c r="N420" s="165" t="str">
        <x:f>IF(AND(N$5&gt;=$C420,N$5&lt;=$D420,$A420&lt;&gt;""),"●","")</x:f>
      </x:c>
      <x:c r="O420" s="165" t="str">
        <x:f>IF(AND(O$5&gt;=$C420,O$5&lt;=$D420,$A420&lt;&gt;""),"●","")</x:f>
      </x:c>
      <x:c r="P420" s="165" t="str">
        <x:f>IF(AND(P$5&gt;=$C420,P$5&lt;=$D420,$A420&lt;&gt;""),"●","")</x:f>
      </x:c>
      <x:c r="Q420" s="165" t="str">
        <x:f>IF(AND(Q$5&gt;=$C420,Q$5&lt;=$D420,$A420&lt;&gt;""),"●","")</x:f>
      </x:c>
      <x:c r="R420" s="165" t="str">
        <x:f>IF(AND(R$5&gt;=$C420,R$5&lt;=$D420,$A420&lt;&gt;""),"●","")</x:f>
      </x:c>
      <x:c r="S420" s="165" t="str">
        <x:f>IF(AND(S$5&gt;=$C420,S$5&lt;=$D420,$A420&lt;&gt;""),"●","")</x:f>
      </x:c>
      <x:c r="T420" s="165" t="str">
        <x:f>IF(AND(T$5&gt;=$C420,T$5&lt;=$D420,$A420&lt;&gt;""),"●","")</x:f>
      </x:c>
      <x:c r="U420" s="165" t="str">
        <x:f>IF(AND(U$5&gt;=$C420,U$5&lt;=$D420,$A420&lt;&gt;""),"●","")</x:f>
      </x:c>
      <x:c r="V420" s="165" t="str">
        <x:f>IF(AND(V$5&gt;=$C420,V$5&lt;=$D420,$A420&lt;&gt;""),"●","")</x:f>
      </x:c>
      <x:c r="W420" s="165" t="str">
        <x:f>IF(AND(W$5&gt;=$C420,W$5&lt;=$D420,$A420&lt;&gt;""),"●","")</x:f>
      </x:c>
      <x:c r="X420" s="165" t="str">
        <x:f>IF(AND(X$5&gt;=$C420,X$5&lt;=$D420,$A420&lt;&gt;""),"●","")</x:f>
      </x:c>
      <x:c r="Y420" s="165" t="str">
        <x:f>IF(AND(Y$5&gt;=$C420,Y$5&lt;=$D420,$A420&lt;&gt;""),"●","")</x:f>
      </x:c>
      <x:c r="Z420" s="165" t="str">
        <x:f>IF(AND(Z$5&gt;=$C420,Z$5&lt;=$D420,$A420&lt;&gt;""),"●","")</x:f>
      </x:c>
      <x:c r="AA420" s="165" t="str">
        <x:f>IF(AND(AA$5&gt;=$C420,AA$5&lt;=$D420,$A420&lt;&gt;""),"●","")</x:f>
      </x:c>
      <x:c r="AB420" s="165" t="str">
        <x:f>IF(AND(AB$5&gt;=$C420,AB$5&lt;=$D420,$A420&lt;&gt;""),"●","")</x:f>
      </x:c>
      <x:c r="AC420" s="165" t="str">
        <x:f>IF(AND(AC$5&gt;=$C420,AC$5&lt;=$D420,$A420&lt;&gt;""),"●","")</x:f>
      </x:c>
      <x:c r="AD420" s="165" t="str">
        <x:f>IF(AND(AD$5&gt;=$C420,AD$5&lt;=$D420,$A420&lt;&gt;""),"●","")</x:f>
      </x:c>
      <x:c r="AE420" s="165" t="str">
        <x:f>IF(AND(AE$5&gt;=$C420,AE$5&lt;=$D420,$A420&lt;&gt;""),"●","")</x:f>
      </x:c>
      <x:c r="AF420" s="165" t="str">
        <x:f>IF(AND(AF$5&gt;=$C420,AF$5&lt;=$D420,$A420&lt;&gt;""),"●","")</x:f>
      </x:c>
      <x:c r="AG420" s="165" t="str">
        <x:f>IF(AND(AG$5&gt;=$C420,AG$5&lt;=$D420,$A420&lt;&gt;""),"●","")</x:f>
      </x:c>
      <x:c r="AH420" s="165" t="str">
        <x:f>IF(AND(AH$5&gt;=$C420,AH$5&lt;=$D420,$A420&lt;&gt;""),"●","")</x:f>
      </x:c>
      <x:c r="AI420" s="165" t="str">
        <x:f>IF(AND(AI$5&gt;=$C420,AI$5&lt;=$D420,$A420&lt;&gt;""),"●","")</x:f>
      </x:c>
      <x:c r="AJ420" s="165" t="str">
        <x:f>IF(AND(AJ$5&gt;=$C420,AJ$5&lt;=$D420,$A420&lt;&gt;""),"●","")</x:f>
      </x:c>
      <x:c r="AK420" s="165" t="str">
        <x:f>IF(AND(AK$5&gt;=$C420,AK$5&lt;=$D420,$A420&lt;&gt;""),"●","")</x:f>
      </x:c>
      <x:c r="AL420" s="165" t="str">
        <x:f>IF(AND(AL$5&gt;=$C420,AL$5&lt;=$D420,$A420&lt;&gt;""),"●","")</x:f>
      </x:c>
      <x:c r="AM420" s="165" t="str">
        <x:f>IF(AND(AM$5&gt;=$C420,AM$5&lt;=$D420,$A420&lt;&gt;""),"●","")</x:f>
      </x:c>
      <x:c r="AN420" s="165" t="str">
        <x:f>IF(AND(AN$5&gt;=$C420,AN$5&lt;=$D420,$A420&lt;&gt;""),"●","")</x:f>
      </x:c>
      <x:c r="AO420" s="165" t="str">
        <x:f>IF(AND(AO$5&gt;=$C420,AO$5&lt;=$D420,$A420&lt;&gt;""),"●","")</x:f>
      </x:c>
      <x:c r="AP420" s="165" t="str">
        <x:f>IF(AND(AP$5&gt;=$C420,AP$5&lt;=$D420,$A420&lt;&gt;""),"●","")</x:f>
      </x:c>
      <x:c r="AQ420" s="165" t="str">
        <x:f>IF(AND(AQ$5&gt;=$C420,AQ$5&lt;=$D420,$A420&lt;&gt;""),"●","")</x:f>
      </x:c>
      <x:c r="AR420" s="165" t="str">
        <x:f>IF(AND(AR$5&gt;=$C420,AR$5&lt;=$D420,$A420&lt;&gt;""),"●","")</x:f>
      </x:c>
      <x:c r="AS420" s="165" t="str">
        <x:f>IF(AND(AS$5&gt;=$C420,AS$5&lt;=$D420,$A420&lt;&gt;""),"●","")</x:f>
      </x:c>
      <x:c r="AT420" s="165" t="str">
        <x:f>IF(AND(AT$5&gt;=$C420,AT$5&lt;=$D420,$A420&lt;&gt;""),"●","")</x:f>
      </x:c>
      <x:c r="AU420" s="165" t="str">
        <x:f>IF(AND(AU$5&gt;=$C420,AU$5&lt;=$D420,$A420&lt;&gt;""),"●","")</x:f>
      </x:c>
      <x:c r="AV420" s="165" t="str">
        <x:f>IF(AND(AV$5&gt;=$C420,AV$5&lt;=$D420,$A420&lt;&gt;""),"●","")</x:f>
      </x:c>
      <x:c r="AW420" s="165" t="str">
        <x:f>IF(AND(AW$5&gt;=$C420,AW$5&lt;=$D420,$A420&lt;&gt;""),"●","")</x:f>
      </x:c>
      <x:c r="AX420" s="165" t="str">
        <x:f>IF(AND(AX$5&gt;=$C420,AX$5&lt;=$D420,$A420&lt;&gt;""),"●","")</x:f>
      </x:c>
      <x:c r="AY420" s="165" t="str">
        <x:f>IF(AND(AY$5&gt;=$C420,AY$5&lt;=$D420,$A420&lt;&gt;""),"●","")</x:f>
      </x:c>
      <x:c r="AZ420" s="165" t="str">
        <x:f>IF(AND(AZ$5&gt;=$C420,AZ$5&lt;=$D420,$A420&lt;&gt;""),"●","")</x:f>
      </x:c>
      <x:c r="BA420" s="165" t="str">
        <x:f>IF(AND(BA$5&gt;=$C420,BA$5&lt;=$D420,$A420&lt;&gt;""),"●","")</x:f>
      </x:c>
      <x:c r="BB420" s="165" t="str">
        <x:f>IF(AND(BB$5&gt;=$C420,BB$5&lt;=$D420,$A420&lt;&gt;""),"●","")</x:f>
      </x:c>
      <x:c r="BC420" s="165" t="str">
        <x:f>IF(AND(BC$5&gt;=$C420,BC$5&lt;=$D420,$A420&lt;&gt;""),"●","")</x:f>
      </x:c>
      <x:c r="BD420" s="165" t="str">
        <x:f>IF(AND(BD$5&gt;=$C420,BD$5&lt;=$D420,$A420&lt;&gt;""),"●","")</x:f>
      </x:c>
      <x:c r="BE420" s="165" t="str">
        <x:f>IF(AND(BE$5&gt;=$C420,BE$5&lt;=$D420,$A420&lt;&gt;""),"●","")</x:f>
      </x:c>
      <x:c r="BF420" s="165" t="str">
        <x:f>IF(AND(BF$5&gt;=$C420,BF$5&lt;=$D420,$A420&lt;&gt;""),"●","")</x:f>
      </x:c>
      <x:c r="BG420" s="165" t="str">
        <x:f>IF(AND(BG$5&gt;=$C420,BG$5&lt;=$D420,$A420&lt;&gt;""),"●","")</x:f>
      </x:c>
      <x:c r="BH420" s="165" t="str">
        <x:f>IF(AND(BH$5&gt;=$C420,BH$5&lt;=$D420,$A420&lt;&gt;""),"●","")</x:f>
      </x:c>
      <x:c r="BI420" s="165" t="str">
        <x:f>IF(AND(BI$5&gt;=$C420,BI$5&lt;=$D420,$A420&lt;&gt;""),"●","")</x:f>
      </x:c>
      <x:c r="BJ420" s="165" t="str">
        <x:f>IF(AND(BJ$5&gt;=$C420,BJ$5&lt;=$D420,$A420&lt;&gt;""),"●","")</x:f>
      </x:c>
      <x:c r="BK420" s="165" t="str">
        <x:f>IF(AND(BK$5&gt;=$C420,BK$5&lt;=$D420,$A420&lt;&gt;""),"●","")</x:f>
      </x:c>
      <x:c r="BL420" s="165" t="str">
        <x:f>IF(AND(BL$5&gt;=$C420,BL$5&lt;=$D420,$A420&lt;&gt;""),"●","")</x:f>
      </x:c>
      <x:c r="BM420" s="165" t="str">
        <x:f>IF(AND(BM$5&gt;=$C420,BM$5&lt;=$D420,$A420&lt;&gt;""),"●","")</x:f>
      </x:c>
      <x:c r="BN420" s="165" t="str">
        <x:f>IF(AND(BN$5&gt;=$C420,BN$5&lt;=$D420,$A420&lt;&gt;""),"●","")</x:f>
      </x:c>
      <x:c r="BO420" s="165" t="str">
        <x:f>IF(AND(BO$5&gt;=$C420,BO$5&lt;=$D420,$A420&lt;&gt;""),"●","")</x:f>
      </x:c>
      <x:c r="BP420" s="165" t="str">
        <x:f>IF(AND(BP$5&gt;=$C420,BP$5&lt;=$D420,$A420&lt;&gt;""),"●","")</x:f>
      </x:c>
      <x:c r="BQ420" s="165" t="str">
        <x:f>IF(AND(BQ$5&gt;=$C420,BQ$5&lt;=$D420,$A420&lt;&gt;""),"●","")</x:f>
      </x:c>
      <x:c r="BR420" s="165" t="str">
        <x:f>IF(AND(BR$5&gt;=$C420,BR$5&lt;=$D420,$A420&lt;&gt;""),"●","")</x:f>
      </x:c>
      <x:c r="BS420" s="165" t="str">
        <x:f>IF(AND(BS$5&gt;=$C420,BS$5&lt;=$D420,$A420&lt;&gt;""),"●","")</x:f>
      </x:c>
      <x:c r="BT420" s="165" t="str">
        <x:f>IF(AND(BT$5&gt;=$C420,BT$5&lt;=$D420,$A420&lt;&gt;""),"●","")</x:f>
      </x:c>
      <x:c r="BU420" s="165" t="str">
        <x:f>IF(AND(BU$5&gt;=$C420,BU$5&lt;=$D420,$A420&lt;&gt;""),"●","")</x:f>
      </x:c>
      <x:c r="BV420" s="165" t="str">
        <x:f>IF(AND(BV$5&gt;=$C420,BV$5&lt;=$D420,$A420&lt;&gt;""),"●","")</x:f>
      </x:c>
      <x:c r="BW420" s="165" t="str">
        <x:f>IF(AND(BW$5&gt;=$C420,BW$5&lt;=$D420,$A420&lt;&gt;""),"●","")</x:f>
      </x:c>
    </x:row>
    <x:row r="421">
      <x:c r="A421" s="159" t="str">
        <x:f>IF('รายการสัญญา'!A421="","",'รายการสัญญา'!A421)</x:f>
      </x:c>
      <x:c r="B421" s="159" t="str">
        <x:f>IF('รายการสัญญา'!A421="","",'รายการสัญญา'!C421)</x:f>
      </x:c>
      <x:c r="C421" s="162" t="str">
        <x:f>IF('รายการสัญญา'!A421="","",'รายการสัญญา'!E421)</x:f>
      </x:c>
      <x:c r="D421" s="162" t="str">
        <x:f>IF('รายการสัญญา'!A421="","",'รายการสัญญา'!G421)</x:f>
      </x:c>
      <x:c r="E421" s="159" t="str">
        <x:f>IF('รายการสัญญา'!A421="","",'รายการสัญญา'!K421)</x:f>
      </x:c>
      <x:c r="F421" s="165" t="str">
        <x:f>IF(AND(F$5&gt;=$C421,F$5&lt;=$D421,$A421&lt;&gt;""),"●","")</x:f>
      </x:c>
      <x:c r="G421" s="165" t="str">
        <x:f>IF(AND(G$5&gt;=$C421,G$5&lt;=$D421,$A421&lt;&gt;""),"●","")</x:f>
      </x:c>
      <x:c r="H421" s="165" t="str">
        <x:f>IF(AND(H$5&gt;=$C421,H$5&lt;=$D421,$A421&lt;&gt;""),"●","")</x:f>
      </x:c>
      <x:c r="I421" s="165" t="str">
        <x:f>IF(AND(I$5&gt;=$C421,I$5&lt;=$D421,$A421&lt;&gt;""),"●","")</x:f>
      </x:c>
      <x:c r="J421" s="165" t="str">
        <x:f>IF(AND(J$5&gt;=$C421,J$5&lt;=$D421,$A421&lt;&gt;""),"●","")</x:f>
      </x:c>
      <x:c r="K421" s="165" t="str">
        <x:f>IF(AND(K$5&gt;=$C421,K$5&lt;=$D421,$A421&lt;&gt;""),"●","")</x:f>
      </x:c>
      <x:c r="L421" s="165" t="str">
        <x:f>IF(AND(L$5&gt;=$C421,L$5&lt;=$D421,$A421&lt;&gt;""),"●","")</x:f>
      </x:c>
      <x:c r="M421" s="165" t="str">
        <x:f>IF(AND(M$5&gt;=$C421,M$5&lt;=$D421,$A421&lt;&gt;""),"●","")</x:f>
      </x:c>
      <x:c r="N421" s="165" t="str">
        <x:f>IF(AND(N$5&gt;=$C421,N$5&lt;=$D421,$A421&lt;&gt;""),"●","")</x:f>
      </x:c>
      <x:c r="O421" s="165" t="str">
        <x:f>IF(AND(O$5&gt;=$C421,O$5&lt;=$D421,$A421&lt;&gt;""),"●","")</x:f>
      </x:c>
      <x:c r="P421" s="165" t="str">
        <x:f>IF(AND(P$5&gt;=$C421,P$5&lt;=$D421,$A421&lt;&gt;""),"●","")</x:f>
      </x:c>
      <x:c r="Q421" s="165" t="str">
        <x:f>IF(AND(Q$5&gt;=$C421,Q$5&lt;=$D421,$A421&lt;&gt;""),"●","")</x:f>
      </x:c>
      <x:c r="R421" s="165" t="str">
        <x:f>IF(AND(R$5&gt;=$C421,R$5&lt;=$D421,$A421&lt;&gt;""),"●","")</x:f>
      </x:c>
      <x:c r="S421" s="165" t="str">
        <x:f>IF(AND(S$5&gt;=$C421,S$5&lt;=$D421,$A421&lt;&gt;""),"●","")</x:f>
      </x:c>
      <x:c r="T421" s="165" t="str">
        <x:f>IF(AND(T$5&gt;=$C421,T$5&lt;=$D421,$A421&lt;&gt;""),"●","")</x:f>
      </x:c>
      <x:c r="U421" s="165" t="str">
        <x:f>IF(AND(U$5&gt;=$C421,U$5&lt;=$D421,$A421&lt;&gt;""),"●","")</x:f>
      </x:c>
      <x:c r="V421" s="165" t="str">
        <x:f>IF(AND(V$5&gt;=$C421,V$5&lt;=$D421,$A421&lt;&gt;""),"●","")</x:f>
      </x:c>
      <x:c r="W421" s="165" t="str">
        <x:f>IF(AND(W$5&gt;=$C421,W$5&lt;=$D421,$A421&lt;&gt;""),"●","")</x:f>
      </x:c>
      <x:c r="X421" s="165" t="str">
        <x:f>IF(AND(X$5&gt;=$C421,X$5&lt;=$D421,$A421&lt;&gt;""),"●","")</x:f>
      </x:c>
      <x:c r="Y421" s="165" t="str">
        <x:f>IF(AND(Y$5&gt;=$C421,Y$5&lt;=$D421,$A421&lt;&gt;""),"●","")</x:f>
      </x:c>
      <x:c r="Z421" s="165" t="str">
        <x:f>IF(AND(Z$5&gt;=$C421,Z$5&lt;=$D421,$A421&lt;&gt;""),"●","")</x:f>
      </x:c>
      <x:c r="AA421" s="165" t="str">
        <x:f>IF(AND(AA$5&gt;=$C421,AA$5&lt;=$D421,$A421&lt;&gt;""),"●","")</x:f>
      </x:c>
      <x:c r="AB421" s="165" t="str">
        <x:f>IF(AND(AB$5&gt;=$C421,AB$5&lt;=$D421,$A421&lt;&gt;""),"●","")</x:f>
      </x:c>
      <x:c r="AC421" s="165" t="str">
        <x:f>IF(AND(AC$5&gt;=$C421,AC$5&lt;=$D421,$A421&lt;&gt;""),"●","")</x:f>
      </x:c>
      <x:c r="AD421" s="165" t="str">
        <x:f>IF(AND(AD$5&gt;=$C421,AD$5&lt;=$D421,$A421&lt;&gt;""),"●","")</x:f>
      </x:c>
      <x:c r="AE421" s="165" t="str">
        <x:f>IF(AND(AE$5&gt;=$C421,AE$5&lt;=$D421,$A421&lt;&gt;""),"●","")</x:f>
      </x:c>
      <x:c r="AF421" s="165" t="str">
        <x:f>IF(AND(AF$5&gt;=$C421,AF$5&lt;=$D421,$A421&lt;&gt;""),"●","")</x:f>
      </x:c>
      <x:c r="AG421" s="165" t="str">
        <x:f>IF(AND(AG$5&gt;=$C421,AG$5&lt;=$D421,$A421&lt;&gt;""),"●","")</x:f>
      </x:c>
      <x:c r="AH421" s="165" t="str">
        <x:f>IF(AND(AH$5&gt;=$C421,AH$5&lt;=$D421,$A421&lt;&gt;""),"●","")</x:f>
      </x:c>
      <x:c r="AI421" s="165" t="str">
        <x:f>IF(AND(AI$5&gt;=$C421,AI$5&lt;=$D421,$A421&lt;&gt;""),"●","")</x:f>
      </x:c>
      <x:c r="AJ421" s="165" t="str">
        <x:f>IF(AND(AJ$5&gt;=$C421,AJ$5&lt;=$D421,$A421&lt;&gt;""),"●","")</x:f>
      </x:c>
      <x:c r="AK421" s="165" t="str">
        <x:f>IF(AND(AK$5&gt;=$C421,AK$5&lt;=$D421,$A421&lt;&gt;""),"●","")</x:f>
      </x:c>
      <x:c r="AL421" s="165" t="str">
        <x:f>IF(AND(AL$5&gt;=$C421,AL$5&lt;=$D421,$A421&lt;&gt;""),"●","")</x:f>
      </x:c>
      <x:c r="AM421" s="165" t="str">
        <x:f>IF(AND(AM$5&gt;=$C421,AM$5&lt;=$D421,$A421&lt;&gt;""),"●","")</x:f>
      </x:c>
      <x:c r="AN421" s="165" t="str">
        <x:f>IF(AND(AN$5&gt;=$C421,AN$5&lt;=$D421,$A421&lt;&gt;""),"●","")</x:f>
      </x:c>
      <x:c r="AO421" s="165" t="str">
        <x:f>IF(AND(AO$5&gt;=$C421,AO$5&lt;=$D421,$A421&lt;&gt;""),"●","")</x:f>
      </x:c>
      <x:c r="AP421" s="165" t="str">
        <x:f>IF(AND(AP$5&gt;=$C421,AP$5&lt;=$D421,$A421&lt;&gt;""),"●","")</x:f>
      </x:c>
      <x:c r="AQ421" s="165" t="str">
        <x:f>IF(AND(AQ$5&gt;=$C421,AQ$5&lt;=$D421,$A421&lt;&gt;""),"●","")</x:f>
      </x:c>
      <x:c r="AR421" s="165" t="str">
        <x:f>IF(AND(AR$5&gt;=$C421,AR$5&lt;=$D421,$A421&lt;&gt;""),"●","")</x:f>
      </x:c>
      <x:c r="AS421" s="165" t="str">
        <x:f>IF(AND(AS$5&gt;=$C421,AS$5&lt;=$D421,$A421&lt;&gt;""),"●","")</x:f>
      </x:c>
      <x:c r="AT421" s="165" t="str">
        <x:f>IF(AND(AT$5&gt;=$C421,AT$5&lt;=$D421,$A421&lt;&gt;""),"●","")</x:f>
      </x:c>
      <x:c r="AU421" s="165" t="str">
        <x:f>IF(AND(AU$5&gt;=$C421,AU$5&lt;=$D421,$A421&lt;&gt;""),"●","")</x:f>
      </x:c>
      <x:c r="AV421" s="165" t="str">
        <x:f>IF(AND(AV$5&gt;=$C421,AV$5&lt;=$D421,$A421&lt;&gt;""),"●","")</x:f>
      </x:c>
      <x:c r="AW421" s="165" t="str">
        <x:f>IF(AND(AW$5&gt;=$C421,AW$5&lt;=$D421,$A421&lt;&gt;""),"●","")</x:f>
      </x:c>
      <x:c r="AX421" s="165" t="str">
        <x:f>IF(AND(AX$5&gt;=$C421,AX$5&lt;=$D421,$A421&lt;&gt;""),"●","")</x:f>
      </x:c>
      <x:c r="AY421" s="165" t="str">
        <x:f>IF(AND(AY$5&gt;=$C421,AY$5&lt;=$D421,$A421&lt;&gt;""),"●","")</x:f>
      </x:c>
      <x:c r="AZ421" s="165" t="str">
        <x:f>IF(AND(AZ$5&gt;=$C421,AZ$5&lt;=$D421,$A421&lt;&gt;""),"●","")</x:f>
      </x:c>
      <x:c r="BA421" s="165" t="str">
        <x:f>IF(AND(BA$5&gt;=$C421,BA$5&lt;=$D421,$A421&lt;&gt;""),"●","")</x:f>
      </x:c>
      <x:c r="BB421" s="165" t="str">
        <x:f>IF(AND(BB$5&gt;=$C421,BB$5&lt;=$D421,$A421&lt;&gt;""),"●","")</x:f>
      </x:c>
      <x:c r="BC421" s="165" t="str">
        <x:f>IF(AND(BC$5&gt;=$C421,BC$5&lt;=$D421,$A421&lt;&gt;""),"●","")</x:f>
      </x:c>
      <x:c r="BD421" s="165" t="str">
        <x:f>IF(AND(BD$5&gt;=$C421,BD$5&lt;=$D421,$A421&lt;&gt;""),"●","")</x:f>
      </x:c>
      <x:c r="BE421" s="165" t="str">
        <x:f>IF(AND(BE$5&gt;=$C421,BE$5&lt;=$D421,$A421&lt;&gt;""),"●","")</x:f>
      </x:c>
      <x:c r="BF421" s="165" t="str">
        <x:f>IF(AND(BF$5&gt;=$C421,BF$5&lt;=$D421,$A421&lt;&gt;""),"●","")</x:f>
      </x:c>
      <x:c r="BG421" s="165" t="str">
        <x:f>IF(AND(BG$5&gt;=$C421,BG$5&lt;=$D421,$A421&lt;&gt;""),"●","")</x:f>
      </x:c>
      <x:c r="BH421" s="165" t="str">
        <x:f>IF(AND(BH$5&gt;=$C421,BH$5&lt;=$D421,$A421&lt;&gt;""),"●","")</x:f>
      </x:c>
      <x:c r="BI421" s="165" t="str">
        <x:f>IF(AND(BI$5&gt;=$C421,BI$5&lt;=$D421,$A421&lt;&gt;""),"●","")</x:f>
      </x:c>
      <x:c r="BJ421" s="165" t="str">
        <x:f>IF(AND(BJ$5&gt;=$C421,BJ$5&lt;=$D421,$A421&lt;&gt;""),"●","")</x:f>
      </x:c>
      <x:c r="BK421" s="165" t="str">
        <x:f>IF(AND(BK$5&gt;=$C421,BK$5&lt;=$D421,$A421&lt;&gt;""),"●","")</x:f>
      </x:c>
      <x:c r="BL421" s="165" t="str">
        <x:f>IF(AND(BL$5&gt;=$C421,BL$5&lt;=$D421,$A421&lt;&gt;""),"●","")</x:f>
      </x:c>
      <x:c r="BM421" s="165" t="str">
        <x:f>IF(AND(BM$5&gt;=$C421,BM$5&lt;=$D421,$A421&lt;&gt;""),"●","")</x:f>
      </x:c>
      <x:c r="BN421" s="165" t="str">
        <x:f>IF(AND(BN$5&gt;=$C421,BN$5&lt;=$D421,$A421&lt;&gt;""),"●","")</x:f>
      </x:c>
      <x:c r="BO421" s="165" t="str">
        <x:f>IF(AND(BO$5&gt;=$C421,BO$5&lt;=$D421,$A421&lt;&gt;""),"●","")</x:f>
      </x:c>
      <x:c r="BP421" s="165" t="str">
        <x:f>IF(AND(BP$5&gt;=$C421,BP$5&lt;=$D421,$A421&lt;&gt;""),"●","")</x:f>
      </x:c>
      <x:c r="BQ421" s="165" t="str">
        <x:f>IF(AND(BQ$5&gt;=$C421,BQ$5&lt;=$D421,$A421&lt;&gt;""),"●","")</x:f>
      </x:c>
      <x:c r="BR421" s="165" t="str">
        <x:f>IF(AND(BR$5&gt;=$C421,BR$5&lt;=$D421,$A421&lt;&gt;""),"●","")</x:f>
      </x:c>
      <x:c r="BS421" s="165" t="str">
        <x:f>IF(AND(BS$5&gt;=$C421,BS$5&lt;=$D421,$A421&lt;&gt;""),"●","")</x:f>
      </x:c>
      <x:c r="BT421" s="165" t="str">
        <x:f>IF(AND(BT$5&gt;=$C421,BT$5&lt;=$D421,$A421&lt;&gt;""),"●","")</x:f>
      </x:c>
      <x:c r="BU421" s="165" t="str">
        <x:f>IF(AND(BU$5&gt;=$C421,BU$5&lt;=$D421,$A421&lt;&gt;""),"●","")</x:f>
      </x:c>
      <x:c r="BV421" s="165" t="str">
        <x:f>IF(AND(BV$5&gt;=$C421,BV$5&lt;=$D421,$A421&lt;&gt;""),"●","")</x:f>
      </x:c>
      <x:c r="BW421" s="165" t="str">
        <x:f>IF(AND(BW$5&gt;=$C421,BW$5&lt;=$D421,$A421&lt;&gt;""),"●","")</x:f>
      </x:c>
    </x:row>
    <x:row r="422">
      <x:c r="A422" s="159" t="str">
        <x:f>IF('รายการสัญญา'!A422="","",'รายการสัญญา'!A422)</x:f>
      </x:c>
      <x:c r="B422" s="159" t="str">
        <x:f>IF('รายการสัญญา'!A422="","",'รายการสัญญา'!C422)</x:f>
      </x:c>
      <x:c r="C422" s="162" t="str">
        <x:f>IF('รายการสัญญา'!A422="","",'รายการสัญญา'!E422)</x:f>
      </x:c>
      <x:c r="D422" s="162" t="str">
        <x:f>IF('รายการสัญญา'!A422="","",'รายการสัญญา'!G422)</x:f>
      </x:c>
      <x:c r="E422" s="159" t="str">
        <x:f>IF('รายการสัญญา'!A422="","",'รายการสัญญา'!K422)</x:f>
      </x:c>
      <x:c r="F422" s="165" t="str">
        <x:f>IF(AND(F$5&gt;=$C422,F$5&lt;=$D422,$A422&lt;&gt;""),"●","")</x:f>
      </x:c>
      <x:c r="G422" s="165" t="str">
        <x:f>IF(AND(G$5&gt;=$C422,G$5&lt;=$D422,$A422&lt;&gt;""),"●","")</x:f>
      </x:c>
      <x:c r="H422" s="165" t="str">
        <x:f>IF(AND(H$5&gt;=$C422,H$5&lt;=$D422,$A422&lt;&gt;""),"●","")</x:f>
      </x:c>
      <x:c r="I422" s="165" t="str">
        <x:f>IF(AND(I$5&gt;=$C422,I$5&lt;=$D422,$A422&lt;&gt;""),"●","")</x:f>
      </x:c>
      <x:c r="J422" s="165" t="str">
        <x:f>IF(AND(J$5&gt;=$C422,J$5&lt;=$D422,$A422&lt;&gt;""),"●","")</x:f>
      </x:c>
      <x:c r="K422" s="165" t="str">
        <x:f>IF(AND(K$5&gt;=$C422,K$5&lt;=$D422,$A422&lt;&gt;""),"●","")</x:f>
      </x:c>
      <x:c r="L422" s="165" t="str">
        <x:f>IF(AND(L$5&gt;=$C422,L$5&lt;=$D422,$A422&lt;&gt;""),"●","")</x:f>
      </x:c>
      <x:c r="M422" s="165" t="str">
        <x:f>IF(AND(M$5&gt;=$C422,M$5&lt;=$D422,$A422&lt;&gt;""),"●","")</x:f>
      </x:c>
      <x:c r="N422" s="165" t="str">
        <x:f>IF(AND(N$5&gt;=$C422,N$5&lt;=$D422,$A422&lt;&gt;""),"●","")</x:f>
      </x:c>
      <x:c r="O422" s="165" t="str">
        <x:f>IF(AND(O$5&gt;=$C422,O$5&lt;=$D422,$A422&lt;&gt;""),"●","")</x:f>
      </x:c>
      <x:c r="P422" s="165" t="str">
        <x:f>IF(AND(P$5&gt;=$C422,P$5&lt;=$D422,$A422&lt;&gt;""),"●","")</x:f>
      </x:c>
      <x:c r="Q422" s="165" t="str">
        <x:f>IF(AND(Q$5&gt;=$C422,Q$5&lt;=$D422,$A422&lt;&gt;""),"●","")</x:f>
      </x:c>
      <x:c r="R422" s="165" t="str">
        <x:f>IF(AND(R$5&gt;=$C422,R$5&lt;=$D422,$A422&lt;&gt;""),"●","")</x:f>
      </x:c>
      <x:c r="S422" s="165" t="str">
        <x:f>IF(AND(S$5&gt;=$C422,S$5&lt;=$D422,$A422&lt;&gt;""),"●","")</x:f>
      </x:c>
      <x:c r="T422" s="165" t="str">
        <x:f>IF(AND(T$5&gt;=$C422,T$5&lt;=$D422,$A422&lt;&gt;""),"●","")</x:f>
      </x:c>
      <x:c r="U422" s="165" t="str">
        <x:f>IF(AND(U$5&gt;=$C422,U$5&lt;=$D422,$A422&lt;&gt;""),"●","")</x:f>
      </x:c>
      <x:c r="V422" s="165" t="str">
        <x:f>IF(AND(V$5&gt;=$C422,V$5&lt;=$D422,$A422&lt;&gt;""),"●","")</x:f>
      </x:c>
      <x:c r="W422" s="165" t="str">
        <x:f>IF(AND(W$5&gt;=$C422,W$5&lt;=$D422,$A422&lt;&gt;""),"●","")</x:f>
      </x:c>
      <x:c r="X422" s="165" t="str">
        <x:f>IF(AND(X$5&gt;=$C422,X$5&lt;=$D422,$A422&lt;&gt;""),"●","")</x:f>
      </x:c>
      <x:c r="Y422" s="165" t="str">
        <x:f>IF(AND(Y$5&gt;=$C422,Y$5&lt;=$D422,$A422&lt;&gt;""),"●","")</x:f>
      </x:c>
      <x:c r="Z422" s="165" t="str">
        <x:f>IF(AND(Z$5&gt;=$C422,Z$5&lt;=$D422,$A422&lt;&gt;""),"●","")</x:f>
      </x:c>
      <x:c r="AA422" s="165" t="str">
        <x:f>IF(AND(AA$5&gt;=$C422,AA$5&lt;=$D422,$A422&lt;&gt;""),"●","")</x:f>
      </x:c>
      <x:c r="AB422" s="165" t="str">
        <x:f>IF(AND(AB$5&gt;=$C422,AB$5&lt;=$D422,$A422&lt;&gt;""),"●","")</x:f>
      </x:c>
      <x:c r="AC422" s="165" t="str">
        <x:f>IF(AND(AC$5&gt;=$C422,AC$5&lt;=$D422,$A422&lt;&gt;""),"●","")</x:f>
      </x:c>
      <x:c r="AD422" s="165" t="str">
        <x:f>IF(AND(AD$5&gt;=$C422,AD$5&lt;=$D422,$A422&lt;&gt;""),"●","")</x:f>
      </x:c>
      <x:c r="AE422" s="165" t="str">
        <x:f>IF(AND(AE$5&gt;=$C422,AE$5&lt;=$D422,$A422&lt;&gt;""),"●","")</x:f>
      </x:c>
      <x:c r="AF422" s="165" t="str">
        <x:f>IF(AND(AF$5&gt;=$C422,AF$5&lt;=$D422,$A422&lt;&gt;""),"●","")</x:f>
      </x:c>
      <x:c r="AG422" s="165" t="str">
        <x:f>IF(AND(AG$5&gt;=$C422,AG$5&lt;=$D422,$A422&lt;&gt;""),"●","")</x:f>
      </x:c>
      <x:c r="AH422" s="165" t="str">
        <x:f>IF(AND(AH$5&gt;=$C422,AH$5&lt;=$D422,$A422&lt;&gt;""),"●","")</x:f>
      </x:c>
      <x:c r="AI422" s="165" t="str">
        <x:f>IF(AND(AI$5&gt;=$C422,AI$5&lt;=$D422,$A422&lt;&gt;""),"●","")</x:f>
      </x:c>
      <x:c r="AJ422" s="165" t="str">
        <x:f>IF(AND(AJ$5&gt;=$C422,AJ$5&lt;=$D422,$A422&lt;&gt;""),"●","")</x:f>
      </x:c>
      <x:c r="AK422" s="165" t="str">
        <x:f>IF(AND(AK$5&gt;=$C422,AK$5&lt;=$D422,$A422&lt;&gt;""),"●","")</x:f>
      </x:c>
      <x:c r="AL422" s="165" t="str">
        <x:f>IF(AND(AL$5&gt;=$C422,AL$5&lt;=$D422,$A422&lt;&gt;""),"●","")</x:f>
      </x:c>
      <x:c r="AM422" s="165" t="str">
        <x:f>IF(AND(AM$5&gt;=$C422,AM$5&lt;=$D422,$A422&lt;&gt;""),"●","")</x:f>
      </x:c>
      <x:c r="AN422" s="165" t="str">
        <x:f>IF(AND(AN$5&gt;=$C422,AN$5&lt;=$D422,$A422&lt;&gt;""),"●","")</x:f>
      </x:c>
      <x:c r="AO422" s="165" t="str">
        <x:f>IF(AND(AO$5&gt;=$C422,AO$5&lt;=$D422,$A422&lt;&gt;""),"●","")</x:f>
      </x:c>
      <x:c r="AP422" s="165" t="str">
        <x:f>IF(AND(AP$5&gt;=$C422,AP$5&lt;=$D422,$A422&lt;&gt;""),"●","")</x:f>
      </x:c>
      <x:c r="AQ422" s="165" t="str">
        <x:f>IF(AND(AQ$5&gt;=$C422,AQ$5&lt;=$D422,$A422&lt;&gt;""),"●","")</x:f>
      </x:c>
      <x:c r="AR422" s="165" t="str">
        <x:f>IF(AND(AR$5&gt;=$C422,AR$5&lt;=$D422,$A422&lt;&gt;""),"●","")</x:f>
      </x:c>
      <x:c r="AS422" s="165" t="str">
        <x:f>IF(AND(AS$5&gt;=$C422,AS$5&lt;=$D422,$A422&lt;&gt;""),"●","")</x:f>
      </x:c>
      <x:c r="AT422" s="165" t="str">
        <x:f>IF(AND(AT$5&gt;=$C422,AT$5&lt;=$D422,$A422&lt;&gt;""),"●","")</x:f>
      </x:c>
      <x:c r="AU422" s="165" t="str">
        <x:f>IF(AND(AU$5&gt;=$C422,AU$5&lt;=$D422,$A422&lt;&gt;""),"●","")</x:f>
      </x:c>
      <x:c r="AV422" s="165" t="str">
        <x:f>IF(AND(AV$5&gt;=$C422,AV$5&lt;=$D422,$A422&lt;&gt;""),"●","")</x:f>
      </x:c>
      <x:c r="AW422" s="165" t="str">
        <x:f>IF(AND(AW$5&gt;=$C422,AW$5&lt;=$D422,$A422&lt;&gt;""),"●","")</x:f>
      </x:c>
      <x:c r="AX422" s="165" t="str">
        <x:f>IF(AND(AX$5&gt;=$C422,AX$5&lt;=$D422,$A422&lt;&gt;""),"●","")</x:f>
      </x:c>
      <x:c r="AY422" s="165" t="str">
        <x:f>IF(AND(AY$5&gt;=$C422,AY$5&lt;=$D422,$A422&lt;&gt;""),"●","")</x:f>
      </x:c>
      <x:c r="AZ422" s="165" t="str">
        <x:f>IF(AND(AZ$5&gt;=$C422,AZ$5&lt;=$D422,$A422&lt;&gt;""),"●","")</x:f>
      </x:c>
      <x:c r="BA422" s="165" t="str">
        <x:f>IF(AND(BA$5&gt;=$C422,BA$5&lt;=$D422,$A422&lt;&gt;""),"●","")</x:f>
      </x:c>
      <x:c r="BB422" s="165" t="str">
        <x:f>IF(AND(BB$5&gt;=$C422,BB$5&lt;=$D422,$A422&lt;&gt;""),"●","")</x:f>
      </x:c>
      <x:c r="BC422" s="165" t="str">
        <x:f>IF(AND(BC$5&gt;=$C422,BC$5&lt;=$D422,$A422&lt;&gt;""),"●","")</x:f>
      </x:c>
      <x:c r="BD422" s="165" t="str">
        <x:f>IF(AND(BD$5&gt;=$C422,BD$5&lt;=$D422,$A422&lt;&gt;""),"●","")</x:f>
      </x:c>
      <x:c r="BE422" s="165" t="str">
        <x:f>IF(AND(BE$5&gt;=$C422,BE$5&lt;=$D422,$A422&lt;&gt;""),"●","")</x:f>
      </x:c>
      <x:c r="BF422" s="165" t="str">
        <x:f>IF(AND(BF$5&gt;=$C422,BF$5&lt;=$D422,$A422&lt;&gt;""),"●","")</x:f>
      </x:c>
      <x:c r="BG422" s="165" t="str">
        <x:f>IF(AND(BG$5&gt;=$C422,BG$5&lt;=$D422,$A422&lt;&gt;""),"●","")</x:f>
      </x:c>
      <x:c r="BH422" s="165" t="str">
        <x:f>IF(AND(BH$5&gt;=$C422,BH$5&lt;=$D422,$A422&lt;&gt;""),"●","")</x:f>
      </x:c>
      <x:c r="BI422" s="165" t="str">
        <x:f>IF(AND(BI$5&gt;=$C422,BI$5&lt;=$D422,$A422&lt;&gt;""),"●","")</x:f>
      </x:c>
      <x:c r="BJ422" s="165" t="str">
        <x:f>IF(AND(BJ$5&gt;=$C422,BJ$5&lt;=$D422,$A422&lt;&gt;""),"●","")</x:f>
      </x:c>
      <x:c r="BK422" s="165" t="str">
        <x:f>IF(AND(BK$5&gt;=$C422,BK$5&lt;=$D422,$A422&lt;&gt;""),"●","")</x:f>
      </x:c>
      <x:c r="BL422" s="165" t="str">
        <x:f>IF(AND(BL$5&gt;=$C422,BL$5&lt;=$D422,$A422&lt;&gt;""),"●","")</x:f>
      </x:c>
      <x:c r="BM422" s="165" t="str">
        <x:f>IF(AND(BM$5&gt;=$C422,BM$5&lt;=$D422,$A422&lt;&gt;""),"●","")</x:f>
      </x:c>
      <x:c r="BN422" s="165" t="str">
        <x:f>IF(AND(BN$5&gt;=$C422,BN$5&lt;=$D422,$A422&lt;&gt;""),"●","")</x:f>
      </x:c>
      <x:c r="BO422" s="165" t="str">
        <x:f>IF(AND(BO$5&gt;=$C422,BO$5&lt;=$D422,$A422&lt;&gt;""),"●","")</x:f>
      </x:c>
      <x:c r="BP422" s="165" t="str">
        <x:f>IF(AND(BP$5&gt;=$C422,BP$5&lt;=$D422,$A422&lt;&gt;""),"●","")</x:f>
      </x:c>
      <x:c r="BQ422" s="165" t="str">
        <x:f>IF(AND(BQ$5&gt;=$C422,BQ$5&lt;=$D422,$A422&lt;&gt;""),"●","")</x:f>
      </x:c>
      <x:c r="BR422" s="165" t="str">
        <x:f>IF(AND(BR$5&gt;=$C422,BR$5&lt;=$D422,$A422&lt;&gt;""),"●","")</x:f>
      </x:c>
      <x:c r="BS422" s="165" t="str">
        <x:f>IF(AND(BS$5&gt;=$C422,BS$5&lt;=$D422,$A422&lt;&gt;""),"●","")</x:f>
      </x:c>
      <x:c r="BT422" s="165" t="str">
        <x:f>IF(AND(BT$5&gt;=$C422,BT$5&lt;=$D422,$A422&lt;&gt;""),"●","")</x:f>
      </x:c>
      <x:c r="BU422" s="165" t="str">
        <x:f>IF(AND(BU$5&gt;=$C422,BU$5&lt;=$D422,$A422&lt;&gt;""),"●","")</x:f>
      </x:c>
      <x:c r="BV422" s="165" t="str">
        <x:f>IF(AND(BV$5&gt;=$C422,BV$5&lt;=$D422,$A422&lt;&gt;""),"●","")</x:f>
      </x:c>
      <x:c r="BW422" s="165" t="str">
        <x:f>IF(AND(BW$5&gt;=$C422,BW$5&lt;=$D422,$A422&lt;&gt;""),"●","")</x:f>
      </x:c>
    </x:row>
    <x:row r="423">
      <x:c r="A423" s="159" t="str">
        <x:f>IF('รายการสัญญา'!A423="","",'รายการสัญญา'!A423)</x:f>
      </x:c>
      <x:c r="B423" s="159" t="str">
        <x:f>IF('รายการสัญญา'!A423="","",'รายการสัญญา'!C423)</x:f>
      </x:c>
      <x:c r="C423" s="162" t="str">
        <x:f>IF('รายการสัญญา'!A423="","",'รายการสัญญา'!E423)</x:f>
      </x:c>
      <x:c r="D423" s="162" t="str">
        <x:f>IF('รายการสัญญา'!A423="","",'รายการสัญญา'!G423)</x:f>
      </x:c>
      <x:c r="E423" s="159" t="str">
        <x:f>IF('รายการสัญญา'!A423="","",'รายการสัญญา'!K423)</x:f>
      </x:c>
      <x:c r="F423" s="165" t="str">
        <x:f>IF(AND(F$5&gt;=$C423,F$5&lt;=$D423,$A423&lt;&gt;""),"●","")</x:f>
      </x:c>
      <x:c r="G423" s="165" t="str">
        <x:f>IF(AND(G$5&gt;=$C423,G$5&lt;=$D423,$A423&lt;&gt;""),"●","")</x:f>
      </x:c>
      <x:c r="H423" s="165" t="str">
        <x:f>IF(AND(H$5&gt;=$C423,H$5&lt;=$D423,$A423&lt;&gt;""),"●","")</x:f>
      </x:c>
      <x:c r="I423" s="165" t="str">
        <x:f>IF(AND(I$5&gt;=$C423,I$5&lt;=$D423,$A423&lt;&gt;""),"●","")</x:f>
      </x:c>
      <x:c r="J423" s="165" t="str">
        <x:f>IF(AND(J$5&gt;=$C423,J$5&lt;=$D423,$A423&lt;&gt;""),"●","")</x:f>
      </x:c>
      <x:c r="K423" s="165" t="str">
        <x:f>IF(AND(K$5&gt;=$C423,K$5&lt;=$D423,$A423&lt;&gt;""),"●","")</x:f>
      </x:c>
      <x:c r="L423" s="165" t="str">
        <x:f>IF(AND(L$5&gt;=$C423,L$5&lt;=$D423,$A423&lt;&gt;""),"●","")</x:f>
      </x:c>
      <x:c r="M423" s="165" t="str">
        <x:f>IF(AND(M$5&gt;=$C423,M$5&lt;=$D423,$A423&lt;&gt;""),"●","")</x:f>
      </x:c>
      <x:c r="N423" s="165" t="str">
        <x:f>IF(AND(N$5&gt;=$C423,N$5&lt;=$D423,$A423&lt;&gt;""),"●","")</x:f>
      </x:c>
      <x:c r="O423" s="165" t="str">
        <x:f>IF(AND(O$5&gt;=$C423,O$5&lt;=$D423,$A423&lt;&gt;""),"●","")</x:f>
      </x:c>
      <x:c r="P423" s="165" t="str">
        <x:f>IF(AND(P$5&gt;=$C423,P$5&lt;=$D423,$A423&lt;&gt;""),"●","")</x:f>
      </x:c>
      <x:c r="Q423" s="165" t="str">
        <x:f>IF(AND(Q$5&gt;=$C423,Q$5&lt;=$D423,$A423&lt;&gt;""),"●","")</x:f>
      </x:c>
      <x:c r="R423" s="165" t="str">
        <x:f>IF(AND(R$5&gt;=$C423,R$5&lt;=$D423,$A423&lt;&gt;""),"●","")</x:f>
      </x:c>
      <x:c r="S423" s="165" t="str">
        <x:f>IF(AND(S$5&gt;=$C423,S$5&lt;=$D423,$A423&lt;&gt;""),"●","")</x:f>
      </x:c>
      <x:c r="T423" s="165" t="str">
        <x:f>IF(AND(T$5&gt;=$C423,T$5&lt;=$D423,$A423&lt;&gt;""),"●","")</x:f>
      </x:c>
      <x:c r="U423" s="165" t="str">
        <x:f>IF(AND(U$5&gt;=$C423,U$5&lt;=$D423,$A423&lt;&gt;""),"●","")</x:f>
      </x:c>
      <x:c r="V423" s="165" t="str">
        <x:f>IF(AND(V$5&gt;=$C423,V$5&lt;=$D423,$A423&lt;&gt;""),"●","")</x:f>
      </x:c>
      <x:c r="W423" s="165" t="str">
        <x:f>IF(AND(W$5&gt;=$C423,W$5&lt;=$D423,$A423&lt;&gt;""),"●","")</x:f>
      </x:c>
      <x:c r="X423" s="165" t="str">
        <x:f>IF(AND(X$5&gt;=$C423,X$5&lt;=$D423,$A423&lt;&gt;""),"●","")</x:f>
      </x:c>
      <x:c r="Y423" s="165" t="str">
        <x:f>IF(AND(Y$5&gt;=$C423,Y$5&lt;=$D423,$A423&lt;&gt;""),"●","")</x:f>
      </x:c>
      <x:c r="Z423" s="165" t="str">
        <x:f>IF(AND(Z$5&gt;=$C423,Z$5&lt;=$D423,$A423&lt;&gt;""),"●","")</x:f>
      </x:c>
      <x:c r="AA423" s="165" t="str">
        <x:f>IF(AND(AA$5&gt;=$C423,AA$5&lt;=$D423,$A423&lt;&gt;""),"●","")</x:f>
      </x:c>
      <x:c r="AB423" s="165" t="str">
        <x:f>IF(AND(AB$5&gt;=$C423,AB$5&lt;=$D423,$A423&lt;&gt;""),"●","")</x:f>
      </x:c>
      <x:c r="AC423" s="165" t="str">
        <x:f>IF(AND(AC$5&gt;=$C423,AC$5&lt;=$D423,$A423&lt;&gt;""),"●","")</x:f>
      </x:c>
      <x:c r="AD423" s="165" t="str">
        <x:f>IF(AND(AD$5&gt;=$C423,AD$5&lt;=$D423,$A423&lt;&gt;""),"●","")</x:f>
      </x:c>
      <x:c r="AE423" s="165" t="str">
        <x:f>IF(AND(AE$5&gt;=$C423,AE$5&lt;=$D423,$A423&lt;&gt;""),"●","")</x:f>
      </x:c>
      <x:c r="AF423" s="165" t="str">
        <x:f>IF(AND(AF$5&gt;=$C423,AF$5&lt;=$D423,$A423&lt;&gt;""),"●","")</x:f>
      </x:c>
      <x:c r="AG423" s="165" t="str">
        <x:f>IF(AND(AG$5&gt;=$C423,AG$5&lt;=$D423,$A423&lt;&gt;""),"●","")</x:f>
      </x:c>
      <x:c r="AH423" s="165" t="str">
        <x:f>IF(AND(AH$5&gt;=$C423,AH$5&lt;=$D423,$A423&lt;&gt;""),"●","")</x:f>
      </x:c>
      <x:c r="AI423" s="165" t="str">
        <x:f>IF(AND(AI$5&gt;=$C423,AI$5&lt;=$D423,$A423&lt;&gt;""),"●","")</x:f>
      </x:c>
      <x:c r="AJ423" s="165" t="str">
        <x:f>IF(AND(AJ$5&gt;=$C423,AJ$5&lt;=$D423,$A423&lt;&gt;""),"●","")</x:f>
      </x:c>
      <x:c r="AK423" s="165" t="str">
        <x:f>IF(AND(AK$5&gt;=$C423,AK$5&lt;=$D423,$A423&lt;&gt;""),"●","")</x:f>
      </x:c>
      <x:c r="AL423" s="165" t="str">
        <x:f>IF(AND(AL$5&gt;=$C423,AL$5&lt;=$D423,$A423&lt;&gt;""),"●","")</x:f>
      </x:c>
      <x:c r="AM423" s="165" t="str">
        <x:f>IF(AND(AM$5&gt;=$C423,AM$5&lt;=$D423,$A423&lt;&gt;""),"●","")</x:f>
      </x:c>
      <x:c r="AN423" s="165" t="str">
        <x:f>IF(AND(AN$5&gt;=$C423,AN$5&lt;=$D423,$A423&lt;&gt;""),"●","")</x:f>
      </x:c>
      <x:c r="AO423" s="165" t="str">
        <x:f>IF(AND(AO$5&gt;=$C423,AO$5&lt;=$D423,$A423&lt;&gt;""),"●","")</x:f>
      </x:c>
      <x:c r="AP423" s="165" t="str">
        <x:f>IF(AND(AP$5&gt;=$C423,AP$5&lt;=$D423,$A423&lt;&gt;""),"●","")</x:f>
      </x:c>
      <x:c r="AQ423" s="165" t="str">
        <x:f>IF(AND(AQ$5&gt;=$C423,AQ$5&lt;=$D423,$A423&lt;&gt;""),"●","")</x:f>
      </x:c>
      <x:c r="AR423" s="165" t="str">
        <x:f>IF(AND(AR$5&gt;=$C423,AR$5&lt;=$D423,$A423&lt;&gt;""),"●","")</x:f>
      </x:c>
      <x:c r="AS423" s="165" t="str">
        <x:f>IF(AND(AS$5&gt;=$C423,AS$5&lt;=$D423,$A423&lt;&gt;""),"●","")</x:f>
      </x:c>
      <x:c r="AT423" s="165" t="str">
        <x:f>IF(AND(AT$5&gt;=$C423,AT$5&lt;=$D423,$A423&lt;&gt;""),"●","")</x:f>
      </x:c>
      <x:c r="AU423" s="165" t="str">
        <x:f>IF(AND(AU$5&gt;=$C423,AU$5&lt;=$D423,$A423&lt;&gt;""),"●","")</x:f>
      </x:c>
      <x:c r="AV423" s="165" t="str">
        <x:f>IF(AND(AV$5&gt;=$C423,AV$5&lt;=$D423,$A423&lt;&gt;""),"●","")</x:f>
      </x:c>
      <x:c r="AW423" s="165" t="str">
        <x:f>IF(AND(AW$5&gt;=$C423,AW$5&lt;=$D423,$A423&lt;&gt;""),"●","")</x:f>
      </x:c>
      <x:c r="AX423" s="165" t="str">
        <x:f>IF(AND(AX$5&gt;=$C423,AX$5&lt;=$D423,$A423&lt;&gt;""),"●","")</x:f>
      </x:c>
      <x:c r="AY423" s="165" t="str">
        <x:f>IF(AND(AY$5&gt;=$C423,AY$5&lt;=$D423,$A423&lt;&gt;""),"●","")</x:f>
      </x:c>
      <x:c r="AZ423" s="165" t="str">
        <x:f>IF(AND(AZ$5&gt;=$C423,AZ$5&lt;=$D423,$A423&lt;&gt;""),"●","")</x:f>
      </x:c>
      <x:c r="BA423" s="165" t="str">
        <x:f>IF(AND(BA$5&gt;=$C423,BA$5&lt;=$D423,$A423&lt;&gt;""),"●","")</x:f>
      </x:c>
      <x:c r="BB423" s="165" t="str">
        <x:f>IF(AND(BB$5&gt;=$C423,BB$5&lt;=$D423,$A423&lt;&gt;""),"●","")</x:f>
      </x:c>
      <x:c r="BC423" s="165" t="str">
        <x:f>IF(AND(BC$5&gt;=$C423,BC$5&lt;=$D423,$A423&lt;&gt;""),"●","")</x:f>
      </x:c>
      <x:c r="BD423" s="165" t="str">
        <x:f>IF(AND(BD$5&gt;=$C423,BD$5&lt;=$D423,$A423&lt;&gt;""),"●","")</x:f>
      </x:c>
      <x:c r="BE423" s="165" t="str">
        <x:f>IF(AND(BE$5&gt;=$C423,BE$5&lt;=$D423,$A423&lt;&gt;""),"●","")</x:f>
      </x:c>
      <x:c r="BF423" s="165" t="str">
        <x:f>IF(AND(BF$5&gt;=$C423,BF$5&lt;=$D423,$A423&lt;&gt;""),"●","")</x:f>
      </x:c>
      <x:c r="BG423" s="165" t="str">
        <x:f>IF(AND(BG$5&gt;=$C423,BG$5&lt;=$D423,$A423&lt;&gt;""),"●","")</x:f>
      </x:c>
      <x:c r="BH423" s="165" t="str">
        <x:f>IF(AND(BH$5&gt;=$C423,BH$5&lt;=$D423,$A423&lt;&gt;""),"●","")</x:f>
      </x:c>
      <x:c r="BI423" s="165" t="str">
        <x:f>IF(AND(BI$5&gt;=$C423,BI$5&lt;=$D423,$A423&lt;&gt;""),"●","")</x:f>
      </x:c>
      <x:c r="BJ423" s="165" t="str">
        <x:f>IF(AND(BJ$5&gt;=$C423,BJ$5&lt;=$D423,$A423&lt;&gt;""),"●","")</x:f>
      </x:c>
      <x:c r="BK423" s="165" t="str">
        <x:f>IF(AND(BK$5&gt;=$C423,BK$5&lt;=$D423,$A423&lt;&gt;""),"●","")</x:f>
      </x:c>
      <x:c r="BL423" s="165" t="str">
        <x:f>IF(AND(BL$5&gt;=$C423,BL$5&lt;=$D423,$A423&lt;&gt;""),"●","")</x:f>
      </x:c>
      <x:c r="BM423" s="165" t="str">
        <x:f>IF(AND(BM$5&gt;=$C423,BM$5&lt;=$D423,$A423&lt;&gt;""),"●","")</x:f>
      </x:c>
      <x:c r="BN423" s="165" t="str">
        <x:f>IF(AND(BN$5&gt;=$C423,BN$5&lt;=$D423,$A423&lt;&gt;""),"●","")</x:f>
      </x:c>
      <x:c r="BO423" s="165" t="str">
        <x:f>IF(AND(BO$5&gt;=$C423,BO$5&lt;=$D423,$A423&lt;&gt;""),"●","")</x:f>
      </x:c>
      <x:c r="BP423" s="165" t="str">
        <x:f>IF(AND(BP$5&gt;=$C423,BP$5&lt;=$D423,$A423&lt;&gt;""),"●","")</x:f>
      </x:c>
      <x:c r="BQ423" s="165" t="str">
        <x:f>IF(AND(BQ$5&gt;=$C423,BQ$5&lt;=$D423,$A423&lt;&gt;""),"●","")</x:f>
      </x:c>
      <x:c r="BR423" s="165" t="str">
        <x:f>IF(AND(BR$5&gt;=$C423,BR$5&lt;=$D423,$A423&lt;&gt;""),"●","")</x:f>
      </x:c>
      <x:c r="BS423" s="165" t="str">
        <x:f>IF(AND(BS$5&gt;=$C423,BS$5&lt;=$D423,$A423&lt;&gt;""),"●","")</x:f>
      </x:c>
      <x:c r="BT423" s="165" t="str">
        <x:f>IF(AND(BT$5&gt;=$C423,BT$5&lt;=$D423,$A423&lt;&gt;""),"●","")</x:f>
      </x:c>
      <x:c r="BU423" s="165" t="str">
        <x:f>IF(AND(BU$5&gt;=$C423,BU$5&lt;=$D423,$A423&lt;&gt;""),"●","")</x:f>
      </x:c>
      <x:c r="BV423" s="165" t="str">
        <x:f>IF(AND(BV$5&gt;=$C423,BV$5&lt;=$D423,$A423&lt;&gt;""),"●","")</x:f>
      </x:c>
      <x:c r="BW423" s="165" t="str">
        <x:f>IF(AND(BW$5&gt;=$C423,BW$5&lt;=$D423,$A423&lt;&gt;""),"●","")</x:f>
      </x:c>
    </x:row>
    <x:row r="424">
      <x:c r="A424" s="159" t="str">
        <x:f>IF('รายการสัญญา'!A424="","",'รายการสัญญา'!A424)</x:f>
      </x:c>
      <x:c r="B424" s="159" t="str">
        <x:f>IF('รายการสัญญา'!A424="","",'รายการสัญญา'!C424)</x:f>
      </x:c>
      <x:c r="C424" s="162" t="str">
        <x:f>IF('รายการสัญญา'!A424="","",'รายการสัญญา'!E424)</x:f>
      </x:c>
      <x:c r="D424" s="162" t="str">
        <x:f>IF('รายการสัญญา'!A424="","",'รายการสัญญา'!G424)</x:f>
      </x:c>
      <x:c r="E424" s="159" t="str">
        <x:f>IF('รายการสัญญา'!A424="","",'รายการสัญญา'!K424)</x:f>
      </x:c>
      <x:c r="F424" s="165" t="str">
        <x:f>IF(AND(F$5&gt;=$C424,F$5&lt;=$D424,$A424&lt;&gt;""),"●","")</x:f>
      </x:c>
      <x:c r="G424" s="165" t="str">
        <x:f>IF(AND(G$5&gt;=$C424,G$5&lt;=$D424,$A424&lt;&gt;""),"●","")</x:f>
      </x:c>
      <x:c r="H424" s="165" t="str">
        <x:f>IF(AND(H$5&gt;=$C424,H$5&lt;=$D424,$A424&lt;&gt;""),"●","")</x:f>
      </x:c>
      <x:c r="I424" s="165" t="str">
        <x:f>IF(AND(I$5&gt;=$C424,I$5&lt;=$D424,$A424&lt;&gt;""),"●","")</x:f>
      </x:c>
      <x:c r="J424" s="165" t="str">
        <x:f>IF(AND(J$5&gt;=$C424,J$5&lt;=$D424,$A424&lt;&gt;""),"●","")</x:f>
      </x:c>
      <x:c r="K424" s="165" t="str">
        <x:f>IF(AND(K$5&gt;=$C424,K$5&lt;=$D424,$A424&lt;&gt;""),"●","")</x:f>
      </x:c>
      <x:c r="L424" s="165" t="str">
        <x:f>IF(AND(L$5&gt;=$C424,L$5&lt;=$D424,$A424&lt;&gt;""),"●","")</x:f>
      </x:c>
      <x:c r="M424" s="165" t="str">
        <x:f>IF(AND(M$5&gt;=$C424,M$5&lt;=$D424,$A424&lt;&gt;""),"●","")</x:f>
      </x:c>
      <x:c r="N424" s="165" t="str">
        <x:f>IF(AND(N$5&gt;=$C424,N$5&lt;=$D424,$A424&lt;&gt;""),"●","")</x:f>
      </x:c>
      <x:c r="O424" s="165" t="str">
        <x:f>IF(AND(O$5&gt;=$C424,O$5&lt;=$D424,$A424&lt;&gt;""),"●","")</x:f>
      </x:c>
      <x:c r="P424" s="165" t="str">
        <x:f>IF(AND(P$5&gt;=$C424,P$5&lt;=$D424,$A424&lt;&gt;""),"●","")</x:f>
      </x:c>
      <x:c r="Q424" s="165" t="str">
        <x:f>IF(AND(Q$5&gt;=$C424,Q$5&lt;=$D424,$A424&lt;&gt;""),"●","")</x:f>
      </x:c>
      <x:c r="R424" s="165" t="str">
        <x:f>IF(AND(R$5&gt;=$C424,R$5&lt;=$D424,$A424&lt;&gt;""),"●","")</x:f>
      </x:c>
      <x:c r="S424" s="165" t="str">
        <x:f>IF(AND(S$5&gt;=$C424,S$5&lt;=$D424,$A424&lt;&gt;""),"●","")</x:f>
      </x:c>
      <x:c r="T424" s="165" t="str">
        <x:f>IF(AND(T$5&gt;=$C424,T$5&lt;=$D424,$A424&lt;&gt;""),"●","")</x:f>
      </x:c>
      <x:c r="U424" s="165" t="str">
        <x:f>IF(AND(U$5&gt;=$C424,U$5&lt;=$D424,$A424&lt;&gt;""),"●","")</x:f>
      </x:c>
      <x:c r="V424" s="165" t="str">
        <x:f>IF(AND(V$5&gt;=$C424,V$5&lt;=$D424,$A424&lt;&gt;""),"●","")</x:f>
      </x:c>
      <x:c r="W424" s="165" t="str">
        <x:f>IF(AND(W$5&gt;=$C424,W$5&lt;=$D424,$A424&lt;&gt;""),"●","")</x:f>
      </x:c>
      <x:c r="X424" s="165" t="str">
        <x:f>IF(AND(X$5&gt;=$C424,X$5&lt;=$D424,$A424&lt;&gt;""),"●","")</x:f>
      </x:c>
      <x:c r="Y424" s="165" t="str">
        <x:f>IF(AND(Y$5&gt;=$C424,Y$5&lt;=$D424,$A424&lt;&gt;""),"●","")</x:f>
      </x:c>
      <x:c r="Z424" s="165" t="str">
        <x:f>IF(AND(Z$5&gt;=$C424,Z$5&lt;=$D424,$A424&lt;&gt;""),"●","")</x:f>
      </x:c>
      <x:c r="AA424" s="165" t="str">
        <x:f>IF(AND(AA$5&gt;=$C424,AA$5&lt;=$D424,$A424&lt;&gt;""),"●","")</x:f>
      </x:c>
      <x:c r="AB424" s="165" t="str">
        <x:f>IF(AND(AB$5&gt;=$C424,AB$5&lt;=$D424,$A424&lt;&gt;""),"●","")</x:f>
      </x:c>
      <x:c r="AC424" s="165" t="str">
        <x:f>IF(AND(AC$5&gt;=$C424,AC$5&lt;=$D424,$A424&lt;&gt;""),"●","")</x:f>
      </x:c>
      <x:c r="AD424" s="165" t="str">
        <x:f>IF(AND(AD$5&gt;=$C424,AD$5&lt;=$D424,$A424&lt;&gt;""),"●","")</x:f>
      </x:c>
      <x:c r="AE424" s="165" t="str">
        <x:f>IF(AND(AE$5&gt;=$C424,AE$5&lt;=$D424,$A424&lt;&gt;""),"●","")</x:f>
      </x:c>
      <x:c r="AF424" s="165" t="str">
        <x:f>IF(AND(AF$5&gt;=$C424,AF$5&lt;=$D424,$A424&lt;&gt;""),"●","")</x:f>
      </x:c>
      <x:c r="AG424" s="165" t="str">
        <x:f>IF(AND(AG$5&gt;=$C424,AG$5&lt;=$D424,$A424&lt;&gt;""),"●","")</x:f>
      </x:c>
      <x:c r="AH424" s="165" t="str">
        <x:f>IF(AND(AH$5&gt;=$C424,AH$5&lt;=$D424,$A424&lt;&gt;""),"●","")</x:f>
      </x:c>
      <x:c r="AI424" s="165" t="str">
        <x:f>IF(AND(AI$5&gt;=$C424,AI$5&lt;=$D424,$A424&lt;&gt;""),"●","")</x:f>
      </x:c>
      <x:c r="AJ424" s="165" t="str">
        <x:f>IF(AND(AJ$5&gt;=$C424,AJ$5&lt;=$D424,$A424&lt;&gt;""),"●","")</x:f>
      </x:c>
      <x:c r="AK424" s="165" t="str">
        <x:f>IF(AND(AK$5&gt;=$C424,AK$5&lt;=$D424,$A424&lt;&gt;""),"●","")</x:f>
      </x:c>
      <x:c r="AL424" s="165" t="str">
        <x:f>IF(AND(AL$5&gt;=$C424,AL$5&lt;=$D424,$A424&lt;&gt;""),"●","")</x:f>
      </x:c>
      <x:c r="AM424" s="165" t="str">
        <x:f>IF(AND(AM$5&gt;=$C424,AM$5&lt;=$D424,$A424&lt;&gt;""),"●","")</x:f>
      </x:c>
      <x:c r="AN424" s="165" t="str">
        <x:f>IF(AND(AN$5&gt;=$C424,AN$5&lt;=$D424,$A424&lt;&gt;""),"●","")</x:f>
      </x:c>
      <x:c r="AO424" s="165" t="str">
        <x:f>IF(AND(AO$5&gt;=$C424,AO$5&lt;=$D424,$A424&lt;&gt;""),"●","")</x:f>
      </x:c>
      <x:c r="AP424" s="165" t="str">
        <x:f>IF(AND(AP$5&gt;=$C424,AP$5&lt;=$D424,$A424&lt;&gt;""),"●","")</x:f>
      </x:c>
      <x:c r="AQ424" s="165" t="str">
        <x:f>IF(AND(AQ$5&gt;=$C424,AQ$5&lt;=$D424,$A424&lt;&gt;""),"●","")</x:f>
      </x:c>
      <x:c r="AR424" s="165" t="str">
        <x:f>IF(AND(AR$5&gt;=$C424,AR$5&lt;=$D424,$A424&lt;&gt;""),"●","")</x:f>
      </x:c>
      <x:c r="AS424" s="165" t="str">
        <x:f>IF(AND(AS$5&gt;=$C424,AS$5&lt;=$D424,$A424&lt;&gt;""),"●","")</x:f>
      </x:c>
      <x:c r="AT424" s="165" t="str">
        <x:f>IF(AND(AT$5&gt;=$C424,AT$5&lt;=$D424,$A424&lt;&gt;""),"●","")</x:f>
      </x:c>
      <x:c r="AU424" s="165" t="str">
        <x:f>IF(AND(AU$5&gt;=$C424,AU$5&lt;=$D424,$A424&lt;&gt;""),"●","")</x:f>
      </x:c>
      <x:c r="AV424" s="165" t="str">
        <x:f>IF(AND(AV$5&gt;=$C424,AV$5&lt;=$D424,$A424&lt;&gt;""),"●","")</x:f>
      </x:c>
      <x:c r="AW424" s="165" t="str">
        <x:f>IF(AND(AW$5&gt;=$C424,AW$5&lt;=$D424,$A424&lt;&gt;""),"●","")</x:f>
      </x:c>
      <x:c r="AX424" s="165" t="str">
        <x:f>IF(AND(AX$5&gt;=$C424,AX$5&lt;=$D424,$A424&lt;&gt;""),"●","")</x:f>
      </x:c>
      <x:c r="AY424" s="165" t="str">
        <x:f>IF(AND(AY$5&gt;=$C424,AY$5&lt;=$D424,$A424&lt;&gt;""),"●","")</x:f>
      </x:c>
      <x:c r="AZ424" s="165" t="str">
        <x:f>IF(AND(AZ$5&gt;=$C424,AZ$5&lt;=$D424,$A424&lt;&gt;""),"●","")</x:f>
      </x:c>
      <x:c r="BA424" s="165" t="str">
        <x:f>IF(AND(BA$5&gt;=$C424,BA$5&lt;=$D424,$A424&lt;&gt;""),"●","")</x:f>
      </x:c>
      <x:c r="BB424" s="165" t="str">
        <x:f>IF(AND(BB$5&gt;=$C424,BB$5&lt;=$D424,$A424&lt;&gt;""),"●","")</x:f>
      </x:c>
      <x:c r="BC424" s="165" t="str">
        <x:f>IF(AND(BC$5&gt;=$C424,BC$5&lt;=$D424,$A424&lt;&gt;""),"●","")</x:f>
      </x:c>
      <x:c r="BD424" s="165" t="str">
        <x:f>IF(AND(BD$5&gt;=$C424,BD$5&lt;=$D424,$A424&lt;&gt;""),"●","")</x:f>
      </x:c>
      <x:c r="BE424" s="165" t="str">
        <x:f>IF(AND(BE$5&gt;=$C424,BE$5&lt;=$D424,$A424&lt;&gt;""),"●","")</x:f>
      </x:c>
      <x:c r="BF424" s="165" t="str">
        <x:f>IF(AND(BF$5&gt;=$C424,BF$5&lt;=$D424,$A424&lt;&gt;""),"●","")</x:f>
      </x:c>
      <x:c r="BG424" s="165" t="str">
        <x:f>IF(AND(BG$5&gt;=$C424,BG$5&lt;=$D424,$A424&lt;&gt;""),"●","")</x:f>
      </x:c>
      <x:c r="BH424" s="165" t="str">
        <x:f>IF(AND(BH$5&gt;=$C424,BH$5&lt;=$D424,$A424&lt;&gt;""),"●","")</x:f>
      </x:c>
      <x:c r="BI424" s="165" t="str">
        <x:f>IF(AND(BI$5&gt;=$C424,BI$5&lt;=$D424,$A424&lt;&gt;""),"●","")</x:f>
      </x:c>
      <x:c r="BJ424" s="165" t="str">
        <x:f>IF(AND(BJ$5&gt;=$C424,BJ$5&lt;=$D424,$A424&lt;&gt;""),"●","")</x:f>
      </x:c>
      <x:c r="BK424" s="165" t="str">
        <x:f>IF(AND(BK$5&gt;=$C424,BK$5&lt;=$D424,$A424&lt;&gt;""),"●","")</x:f>
      </x:c>
      <x:c r="BL424" s="165" t="str">
        <x:f>IF(AND(BL$5&gt;=$C424,BL$5&lt;=$D424,$A424&lt;&gt;""),"●","")</x:f>
      </x:c>
      <x:c r="BM424" s="165" t="str">
        <x:f>IF(AND(BM$5&gt;=$C424,BM$5&lt;=$D424,$A424&lt;&gt;""),"●","")</x:f>
      </x:c>
      <x:c r="BN424" s="165" t="str">
        <x:f>IF(AND(BN$5&gt;=$C424,BN$5&lt;=$D424,$A424&lt;&gt;""),"●","")</x:f>
      </x:c>
      <x:c r="BO424" s="165" t="str">
        <x:f>IF(AND(BO$5&gt;=$C424,BO$5&lt;=$D424,$A424&lt;&gt;""),"●","")</x:f>
      </x:c>
      <x:c r="BP424" s="165" t="str">
        <x:f>IF(AND(BP$5&gt;=$C424,BP$5&lt;=$D424,$A424&lt;&gt;""),"●","")</x:f>
      </x:c>
      <x:c r="BQ424" s="165" t="str">
        <x:f>IF(AND(BQ$5&gt;=$C424,BQ$5&lt;=$D424,$A424&lt;&gt;""),"●","")</x:f>
      </x:c>
      <x:c r="BR424" s="165" t="str">
        <x:f>IF(AND(BR$5&gt;=$C424,BR$5&lt;=$D424,$A424&lt;&gt;""),"●","")</x:f>
      </x:c>
      <x:c r="BS424" s="165" t="str">
        <x:f>IF(AND(BS$5&gt;=$C424,BS$5&lt;=$D424,$A424&lt;&gt;""),"●","")</x:f>
      </x:c>
      <x:c r="BT424" s="165" t="str">
        <x:f>IF(AND(BT$5&gt;=$C424,BT$5&lt;=$D424,$A424&lt;&gt;""),"●","")</x:f>
      </x:c>
      <x:c r="BU424" s="165" t="str">
        <x:f>IF(AND(BU$5&gt;=$C424,BU$5&lt;=$D424,$A424&lt;&gt;""),"●","")</x:f>
      </x:c>
      <x:c r="BV424" s="165" t="str">
        <x:f>IF(AND(BV$5&gt;=$C424,BV$5&lt;=$D424,$A424&lt;&gt;""),"●","")</x:f>
      </x:c>
      <x:c r="BW424" s="165" t="str">
        <x:f>IF(AND(BW$5&gt;=$C424,BW$5&lt;=$D424,$A424&lt;&gt;""),"●","")</x:f>
      </x:c>
    </x:row>
    <x:row r="425">
      <x:c r="A425" s="159" t="str">
        <x:f>IF('รายการสัญญา'!A425="","",'รายการสัญญา'!A425)</x:f>
      </x:c>
      <x:c r="B425" s="159" t="str">
        <x:f>IF('รายการสัญญา'!A425="","",'รายการสัญญา'!C425)</x:f>
      </x:c>
      <x:c r="C425" s="162" t="str">
        <x:f>IF('รายการสัญญา'!A425="","",'รายการสัญญา'!E425)</x:f>
      </x:c>
      <x:c r="D425" s="162" t="str">
        <x:f>IF('รายการสัญญา'!A425="","",'รายการสัญญา'!G425)</x:f>
      </x:c>
      <x:c r="E425" s="159" t="str">
        <x:f>IF('รายการสัญญา'!A425="","",'รายการสัญญา'!K425)</x:f>
      </x:c>
      <x:c r="F425" s="165" t="str">
        <x:f>IF(AND(F$5&gt;=$C425,F$5&lt;=$D425,$A425&lt;&gt;""),"●","")</x:f>
      </x:c>
      <x:c r="G425" s="165" t="str">
        <x:f>IF(AND(G$5&gt;=$C425,G$5&lt;=$D425,$A425&lt;&gt;""),"●","")</x:f>
      </x:c>
      <x:c r="H425" s="165" t="str">
        <x:f>IF(AND(H$5&gt;=$C425,H$5&lt;=$D425,$A425&lt;&gt;""),"●","")</x:f>
      </x:c>
      <x:c r="I425" s="165" t="str">
        <x:f>IF(AND(I$5&gt;=$C425,I$5&lt;=$D425,$A425&lt;&gt;""),"●","")</x:f>
      </x:c>
      <x:c r="J425" s="165" t="str">
        <x:f>IF(AND(J$5&gt;=$C425,J$5&lt;=$D425,$A425&lt;&gt;""),"●","")</x:f>
      </x:c>
      <x:c r="K425" s="165" t="str">
        <x:f>IF(AND(K$5&gt;=$C425,K$5&lt;=$D425,$A425&lt;&gt;""),"●","")</x:f>
      </x:c>
      <x:c r="L425" s="165" t="str">
        <x:f>IF(AND(L$5&gt;=$C425,L$5&lt;=$D425,$A425&lt;&gt;""),"●","")</x:f>
      </x:c>
      <x:c r="M425" s="165" t="str">
        <x:f>IF(AND(M$5&gt;=$C425,M$5&lt;=$D425,$A425&lt;&gt;""),"●","")</x:f>
      </x:c>
      <x:c r="N425" s="165" t="str">
        <x:f>IF(AND(N$5&gt;=$C425,N$5&lt;=$D425,$A425&lt;&gt;""),"●","")</x:f>
      </x:c>
      <x:c r="O425" s="165" t="str">
        <x:f>IF(AND(O$5&gt;=$C425,O$5&lt;=$D425,$A425&lt;&gt;""),"●","")</x:f>
      </x:c>
      <x:c r="P425" s="165" t="str">
        <x:f>IF(AND(P$5&gt;=$C425,P$5&lt;=$D425,$A425&lt;&gt;""),"●","")</x:f>
      </x:c>
      <x:c r="Q425" s="165" t="str">
        <x:f>IF(AND(Q$5&gt;=$C425,Q$5&lt;=$D425,$A425&lt;&gt;""),"●","")</x:f>
      </x:c>
      <x:c r="R425" s="165" t="str">
        <x:f>IF(AND(R$5&gt;=$C425,R$5&lt;=$D425,$A425&lt;&gt;""),"●","")</x:f>
      </x:c>
      <x:c r="S425" s="165" t="str">
        <x:f>IF(AND(S$5&gt;=$C425,S$5&lt;=$D425,$A425&lt;&gt;""),"●","")</x:f>
      </x:c>
      <x:c r="T425" s="165" t="str">
        <x:f>IF(AND(T$5&gt;=$C425,T$5&lt;=$D425,$A425&lt;&gt;""),"●","")</x:f>
      </x:c>
      <x:c r="U425" s="165" t="str">
        <x:f>IF(AND(U$5&gt;=$C425,U$5&lt;=$D425,$A425&lt;&gt;""),"●","")</x:f>
      </x:c>
      <x:c r="V425" s="165" t="str">
        <x:f>IF(AND(V$5&gt;=$C425,V$5&lt;=$D425,$A425&lt;&gt;""),"●","")</x:f>
      </x:c>
      <x:c r="W425" s="165" t="str">
        <x:f>IF(AND(W$5&gt;=$C425,W$5&lt;=$D425,$A425&lt;&gt;""),"●","")</x:f>
      </x:c>
      <x:c r="X425" s="165" t="str">
        <x:f>IF(AND(X$5&gt;=$C425,X$5&lt;=$D425,$A425&lt;&gt;""),"●","")</x:f>
      </x:c>
      <x:c r="Y425" s="165" t="str">
        <x:f>IF(AND(Y$5&gt;=$C425,Y$5&lt;=$D425,$A425&lt;&gt;""),"●","")</x:f>
      </x:c>
      <x:c r="Z425" s="165" t="str">
        <x:f>IF(AND(Z$5&gt;=$C425,Z$5&lt;=$D425,$A425&lt;&gt;""),"●","")</x:f>
      </x:c>
      <x:c r="AA425" s="165" t="str">
        <x:f>IF(AND(AA$5&gt;=$C425,AA$5&lt;=$D425,$A425&lt;&gt;""),"●","")</x:f>
      </x:c>
      <x:c r="AB425" s="165" t="str">
        <x:f>IF(AND(AB$5&gt;=$C425,AB$5&lt;=$D425,$A425&lt;&gt;""),"●","")</x:f>
      </x:c>
      <x:c r="AC425" s="165" t="str">
        <x:f>IF(AND(AC$5&gt;=$C425,AC$5&lt;=$D425,$A425&lt;&gt;""),"●","")</x:f>
      </x:c>
      <x:c r="AD425" s="165" t="str">
        <x:f>IF(AND(AD$5&gt;=$C425,AD$5&lt;=$D425,$A425&lt;&gt;""),"●","")</x:f>
      </x:c>
      <x:c r="AE425" s="165" t="str">
        <x:f>IF(AND(AE$5&gt;=$C425,AE$5&lt;=$D425,$A425&lt;&gt;""),"●","")</x:f>
      </x:c>
      <x:c r="AF425" s="165" t="str">
        <x:f>IF(AND(AF$5&gt;=$C425,AF$5&lt;=$D425,$A425&lt;&gt;""),"●","")</x:f>
      </x:c>
      <x:c r="AG425" s="165" t="str">
        <x:f>IF(AND(AG$5&gt;=$C425,AG$5&lt;=$D425,$A425&lt;&gt;""),"●","")</x:f>
      </x:c>
      <x:c r="AH425" s="165" t="str">
        <x:f>IF(AND(AH$5&gt;=$C425,AH$5&lt;=$D425,$A425&lt;&gt;""),"●","")</x:f>
      </x:c>
      <x:c r="AI425" s="165" t="str">
        <x:f>IF(AND(AI$5&gt;=$C425,AI$5&lt;=$D425,$A425&lt;&gt;""),"●","")</x:f>
      </x:c>
      <x:c r="AJ425" s="165" t="str">
        <x:f>IF(AND(AJ$5&gt;=$C425,AJ$5&lt;=$D425,$A425&lt;&gt;""),"●","")</x:f>
      </x:c>
      <x:c r="AK425" s="165" t="str">
        <x:f>IF(AND(AK$5&gt;=$C425,AK$5&lt;=$D425,$A425&lt;&gt;""),"●","")</x:f>
      </x:c>
      <x:c r="AL425" s="165" t="str">
        <x:f>IF(AND(AL$5&gt;=$C425,AL$5&lt;=$D425,$A425&lt;&gt;""),"●","")</x:f>
      </x:c>
      <x:c r="AM425" s="165" t="str">
        <x:f>IF(AND(AM$5&gt;=$C425,AM$5&lt;=$D425,$A425&lt;&gt;""),"●","")</x:f>
      </x:c>
      <x:c r="AN425" s="165" t="str">
        <x:f>IF(AND(AN$5&gt;=$C425,AN$5&lt;=$D425,$A425&lt;&gt;""),"●","")</x:f>
      </x:c>
      <x:c r="AO425" s="165" t="str">
        <x:f>IF(AND(AO$5&gt;=$C425,AO$5&lt;=$D425,$A425&lt;&gt;""),"●","")</x:f>
      </x:c>
      <x:c r="AP425" s="165" t="str">
        <x:f>IF(AND(AP$5&gt;=$C425,AP$5&lt;=$D425,$A425&lt;&gt;""),"●","")</x:f>
      </x:c>
      <x:c r="AQ425" s="165" t="str">
        <x:f>IF(AND(AQ$5&gt;=$C425,AQ$5&lt;=$D425,$A425&lt;&gt;""),"●","")</x:f>
      </x:c>
      <x:c r="AR425" s="165" t="str">
        <x:f>IF(AND(AR$5&gt;=$C425,AR$5&lt;=$D425,$A425&lt;&gt;""),"●","")</x:f>
      </x:c>
      <x:c r="AS425" s="165" t="str">
        <x:f>IF(AND(AS$5&gt;=$C425,AS$5&lt;=$D425,$A425&lt;&gt;""),"●","")</x:f>
      </x:c>
      <x:c r="AT425" s="165" t="str">
        <x:f>IF(AND(AT$5&gt;=$C425,AT$5&lt;=$D425,$A425&lt;&gt;""),"●","")</x:f>
      </x:c>
      <x:c r="AU425" s="165" t="str">
        <x:f>IF(AND(AU$5&gt;=$C425,AU$5&lt;=$D425,$A425&lt;&gt;""),"●","")</x:f>
      </x:c>
      <x:c r="AV425" s="165" t="str">
        <x:f>IF(AND(AV$5&gt;=$C425,AV$5&lt;=$D425,$A425&lt;&gt;""),"●","")</x:f>
      </x:c>
      <x:c r="AW425" s="165" t="str">
        <x:f>IF(AND(AW$5&gt;=$C425,AW$5&lt;=$D425,$A425&lt;&gt;""),"●","")</x:f>
      </x:c>
      <x:c r="AX425" s="165" t="str">
        <x:f>IF(AND(AX$5&gt;=$C425,AX$5&lt;=$D425,$A425&lt;&gt;""),"●","")</x:f>
      </x:c>
      <x:c r="AY425" s="165" t="str">
        <x:f>IF(AND(AY$5&gt;=$C425,AY$5&lt;=$D425,$A425&lt;&gt;""),"●","")</x:f>
      </x:c>
      <x:c r="AZ425" s="165" t="str">
        <x:f>IF(AND(AZ$5&gt;=$C425,AZ$5&lt;=$D425,$A425&lt;&gt;""),"●","")</x:f>
      </x:c>
      <x:c r="BA425" s="165" t="str">
        <x:f>IF(AND(BA$5&gt;=$C425,BA$5&lt;=$D425,$A425&lt;&gt;""),"●","")</x:f>
      </x:c>
      <x:c r="BB425" s="165" t="str">
        <x:f>IF(AND(BB$5&gt;=$C425,BB$5&lt;=$D425,$A425&lt;&gt;""),"●","")</x:f>
      </x:c>
      <x:c r="BC425" s="165" t="str">
        <x:f>IF(AND(BC$5&gt;=$C425,BC$5&lt;=$D425,$A425&lt;&gt;""),"●","")</x:f>
      </x:c>
      <x:c r="BD425" s="165" t="str">
        <x:f>IF(AND(BD$5&gt;=$C425,BD$5&lt;=$D425,$A425&lt;&gt;""),"●","")</x:f>
      </x:c>
      <x:c r="BE425" s="165" t="str">
        <x:f>IF(AND(BE$5&gt;=$C425,BE$5&lt;=$D425,$A425&lt;&gt;""),"●","")</x:f>
      </x:c>
      <x:c r="BF425" s="165" t="str">
        <x:f>IF(AND(BF$5&gt;=$C425,BF$5&lt;=$D425,$A425&lt;&gt;""),"●","")</x:f>
      </x:c>
      <x:c r="BG425" s="165" t="str">
        <x:f>IF(AND(BG$5&gt;=$C425,BG$5&lt;=$D425,$A425&lt;&gt;""),"●","")</x:f>
      </x:c>
      <x:c r="BH425" s="165" t="str">
        <x:f>IF(AND(BH$5&gt;=$C425,BH$5&lt;=$D425,$A425&lt;&gt;""),"●","")</x:f>
      </x:c>
      <x:c r="BI425" s="165" t="str">
        <x:f>IF(AND(BI$5&gt;=$C425,BI$5&lt;=$D425,$A425&lt;&gt;""),"●","")</x:f>
      </x:c>
      <x:c r="BJ425" s="165" t="str">
        <x:f>IF(AND(BJ$5&gt;=$C425,BJ$5&lt;=$D425,$A425&lt;&gt;""),"●","")</x:f>
      </x:c>
      <x:c r="BK425" s="165" t="str">
        <x:f>IF(AND(BK$5&gt;=$C425,BK$5&lt;=$D425,$A425&lt;&gt;""),"●","")</x:f>
      </x:c>
      <x:c r="BL425" s="165" t="str">
        <x:f>IF(AND(BL$5&gt;=$C425,BL$5&lt;=$D425,$A425&lt;&gt;""),"●","")</x:f>
      </x:c>
      <x:c r="BM425" s="165" t="str">
        <x:f>IF(AND(BM$5&gt;=$C425,BM$5&lt;=$D425,$A425&lt;&gt;""),"●","")</x:f>
      </x:c>
      <x:c r="BN425" s="165" t="str">
        <x:f>IF(AND(BN$5&gt;=$C425,BN$5&lt;=$D425,$A425&lt;&gt;""),"●","")</x:f>
      </x:c>
      <x:c r="BO425" s="165" t="str">
        <x:f>IF(AND(BO$5&gt;=$C425,BO$5&lt;=$D425,$A425&lt;&gt;""),"●","")</x:f>
      </x:c>
      <x:c r="BP425" s="165" t="str">
        <x:f>IF(AND(BP$5&gt;=$C425,BP$5&lt;=$D425,$A425&lt;&gt;""),"●","")</x:f>
      </x:c>
      <x:c r="BQ425" s="165" t="str">
        <x:f>IF(AND(BQ$5&gt;=$C425,BQ$5&lt;=$D425,$A425&lt;&gt;""),"●","")</x:f>
      </x:c>
      <x:c r="BR425" s="165" t="str">
        <x:f>IF(AND(BR$5&gt;=$C425,BR$5&lt;=$D425,$A425&lt;&gt;""),"●","")</x:f>
      </x:c>
      <x:c r="BS425" s="165" t="str">
        <x:f>IF(AND(BS$5&gt;=$C425,BS$5&lt;=$D425,$A425&lt;&gt;""),"●","")</x:f>
      </x:c>
      <x:c r="BT425" s="165" t="str">
        <x:f>IF(AND(BT$5&gt;=$C425,BT$5&lt;=$D425,$A425&lt;&gt;""),"●","")</x:f>
      </x:c>
      <x:c r="BU425" s="165" t="str">
        <x:f>IF(AND(BU$5&gt;=$C425,BU$5&lt;=$D425,$A425&lt;&gt;""),"●","")</x:f>
      </x:c>
      <x:c r="BV425" s="165" t="str">
        <x:f>IF(AND(BV$5&gt;=$C425,BV$5&lt;=$D425,$A425&lt;&gt;""),"●","")</x:f>
      </x:c>
      <x:c r="BW425" s="165" t="str">
        <x:f>IF(AND(BW$5&gt;=$C425,BW$5&lt;=$D425,$A425&lt;&gt;""),"●","")</x:f>
      </x:c>
    </x:row>
    <x:row r="426">
      <x:c r="A426" s="159" t="str">
        <x:f>IF('รายการสัญญา'!A426="","",'รายการสัญญา'!A426)</x:f>
      </x:c>
      <x:c r="B426" s="159" t="str">
        <x:f>IF('รายการสัญญา'!A426="","",'รายการสัญญา'!C426)</x:f>
      </x:c>
      <x:c r="C426" s="162" t="str">
        <x:f>IF('รายการสัญญา'!A426="","",'รายการสัญญา'!E426)</x:f>
      </x:c>
      <x:c r="D426" s="162" t="str">
        <x:f>IF('รายการสัญญา'!A426="","",'รายการสัญญา'!G426)</x:f>
      </x:c>
      <x:c r="E426" s="159" t="str">
        <x:f>IF('รายการสัญญา'!A426="","",'รายการสัญญา'!K426)</x:f>
      </x:c>
      <x:c r="F426" s="165" t="str">
        <x:f>IF(AND(F$5&gt;=$C426,F$5&lt;=$D426,$A426&lt;&gt;""),"●","")</x:f>
      </x:c>
      <x:c r="G426" s="165" t="str">
        <x:f>IF(AND(G$5&gt;=$C426,G$5&lt;=$D426,$A426&lt;&gt;""),"●","")</x:f>
      </x:c>
      <x:c r="H426" s="165" t="str">
        <x:f>IF(AND(H$5&gt;=$C426,H$5&lt;=$D426,$A426&lt;&gt;""),"●","")</x:f>
      </x:c>
      <x:c r="I426" s="165" t="str">
        <x:f>IF(AND(I$5&gt;=$C426,I$5&lt;=$D426,$A426&lt;&gt;""),"●","")</x:f>
      </x:c>
      <x:c r="J426" s="165" t="str">
        <x:f>IF(AND(J$5&gt;=$C426,J$5&lt;=$D426,$A426&lt;&gt;""),"●","")</x:f>
      </x:c>
      <x:c r="K426" s="165" t="str">
        <x:f>IF(AND(K$5&gt;=$C426,K$5&lt;=$D426,$A426&lt;&gt;""),"●","")</x:f>
      </x:c>
      <x:c r="L426" s="165" t="str">
        <x:f>IF(AND(L$5&gt;=$C426,L$5&lt;=$D426,$A426&lt;&gt;""),"●","")</x:f>
      </x:c>
      <x:c r="M426" s="165" t="str">
        <x:f>IF(AND(M$5&gt;=$C426,M$5&lt;=$D426,$A426&lt;&gt;""),"●","")</x:f>
      </x:c>
      <x:c r="N426" s="165" t="str">
        <x:f>IF(AND(N$5&gt;=$C426,N$5&lt;=$D426,$A426&lt;&gt;""),"●","")</x:f>
      </x:c>
      <x:c r="O426" s="165" t="str">
        <x:f>IF(AND(O$5&gt;=$C426,O$5&lt;=$D426,$A426&lt;&gt;""),"●","")</x:f>
      </x:c>
      <x:c r="P426" s="165" t="str">
        <x:f>IF(AND(P$5&gt;=$C426,P$5&lt;=$D426,$A426&lt;&gt;""),"●","")</x:f>
      </x:c>
      <x:c r="Q426" s="165" t="str">
        <x:f>IF(AND(Q$5&gt;=$C426,Q$5&lt;=$D426,$A426&lt;&gt;""),"●","")</x:f>
      </x:c>
      <x:c r="R426" s="165" t="str">
        <x:f>IF(AND(R$5&gt;=$C426,R$5&lt;=$D426,$A426&lt;&gt;""),"●","")</x:f>
      </x:c>
      <x:c r="S426" s="165" t="str">
        <x:f>IF(AND(S$5&gt;=$C426,S$5&lt;=$D426,$A426&lt;&gt;""),"●","")</x:f>
      </x:c>
      <x:c r="T426" s="165" t="str">
        <x:f>IF(AND(T$5&gt;=$C426,T$5&lt;=$D426,$A426&lt;&gt;""),"●","")</x:f>
      </x:c>
      <x:c r="U426" s="165" t="str">
        <x:f>IF(AND(U$5&gt;=$C426,U$5&lt;=$D426,$A426&lt;&gt;""),"●","")</x:f>
      </x:c>
      <x:c r="V426" s="165" t="str">
        <x:f>IF(AND(V$5&gt;=$C426,V$5&lt;=$D426,$A426&lt;&gt;""),"●","")</x:f>
      </x:c>
      <x:c r="W426" s="165" t="str">
        <x:f>IF(AND(W$5&gt;=$C426,W$5&lt;=$D426,$A426&lt;&gt;""),"●","")</x:f>
      </x:c>
      <x:c r="X426" s="165" t="str">
        <x:f>IF(AND(X$5&gt;=$C426,X$5&lt;=$D426,$A426&lt;&gt;""),"●","")</x:f>
      </x:c>
      <x:c r="Y426" s="165" t="str">
        <x:f>IF(AND(Y$5&gt;=$C426,Y$5&lt;=$D426,$A426&lt;&gt;""),"●","")</x:f>
      </x:c>
      <x:c r="Z426" s="165" t="str">
        <x:f>IF(AND(Z$5&gt;=$C426,Z$5&lt;=$D426,$A426&lt;&gt;""),"●","")</x:f>
      </x:c>
      <x:c r="AA426" s="165" t="str">
        <x:f>IF(AND(AA$5&gt;=$C426,AA$5&lt;=$D426,$A426&lt;&gt;""),"●","")</x:f>
      </x:c>
      <x:c r="AB426" s="165" t="str">
        <x:f>IF(AND(AB$5&gt;=$C426,AB$5&lt;=$D426,$A426&lt;&gt;""),"●","")</x:f>
      </x:c>
      <x:c r="AC426" s="165" t="str">
        <x:f>IF(AND(AC$5&gt;=$C426,AC$5&lt;=$D426,$A426&lt;&gt;""),"●","")</x:f>
      </x:c>
      <x:c r="AD426" s="165" t="str">
        <x:f>IF(AND(AD$5&gt;=$C426,AD$5&lt;=$D426,$A426&lt;&gt;""),"●","")</x:f>
      </x:c>
      <x:c r="AE426" s="165" t="str">
        <x:f>IF(AND(AE$5&gt;=$C426,AE$5&lt;=$D426,$A426&lt;&gt;""),"●","")</x:f>
      </x:c>
      <x:c r="AF426" s="165" t="str">
        <x:f>IF(AND(AF$5&gt;=$C426,AF$5&lt;=$D426,$A426&lt;&gt;""),"●","")</x:f>
      </x:c>
      <x:c r="AG426" s="165" t="str">
        <x:f>IF(AND(AG$5&gt;=$C426,AG$5&lt;=$D426,$A426&lt;&gt;""),"●","")</x:f>
      </x:c>
      <x:c r="AH426" s="165" t="str">
        <x:f>IF(AND(AH$5&gt;=$C426,AH$5&lt;=$D426,$A426&lt;&gt;""),"●","")</x:f>
      </x:c>
      <x:c r="AI426" s="165" t="str">
        <x:f>IF(AND(AI$5&gt;=$C426,AI$5&lt;=$D426,$A426&lt;&gt;""),"●","")</x:f>
      </x:c>
      <x:c r="AJ426" s="165" t="str">
        <x:f>IF(AND(AJ$5&gt;=$C426,AJ$5&lt;=$D426,$A426&lt;&gt;""),"●","")</x:f>
      </x:c>
      <x:c r="AK426" s="165" t="str">
        <x:f>IF(AND(AK$5&gt;=$C426,AK$5&lt;=$D426,$A426&lt;&gt;""),"●","")</x:f>
      </x:c>
      <x:c r="AL426" s="165" t="str">
        <x:f>IF(AND(AL$5&gt;=$C426,AL$5&lt;=$D426,$A426&lt;&gt;""),"●","")</x:f>
      </x:c>
      <x:c r="AM426" s="165" t="str">
        <x:f>IF(AND(AM$5&gt;=$C426,AM$5&lt;=$D426,$A426&lt;&gt;""),"●","")</x:f>
      </x:c>
      <x:c r="AN426" s="165" t="str">
        <x:f>IF(AND(AN$5&gt;=$C426,AN$5&lt;=$D426,$A426&lt;&gt;""),"●","")</x:f>
      </x:c>
      <x:c r="AO426" s="165" t="str">
        <x:f>IF(AND(AO$5&gt;=$C426,AO$5&lt;=$D426,$A426&lt;&gt;""),"●","")</x:f>
      </x:c>
      <x:c r="AP426" s="165" t="str">
        <x:f>IF(AND(AP$5&gt;=$C426,AP$5&lt;=$D426,$A426&lt;&gt;""),"●","")</x:f>
      </x:c>
      <x:c r="AQ426" s="165" t="str">
        <x:f>IF(AND(AQ$5&gt;=$C426,AQ$5&lt;=$D426,$A426&lt;&gt;""),"●","")</x:f>
      </x:c>
      <x:c r="AR426" s="165" t="str">
        <x:f>IF(AND(AR$5&gt;=$C426,AR$5&lt;=$D426,$A426&lt;&gt;""),"●","")</x:f>
      </x:c>
      <x:c r="AS426" s="165" t="str">
        <x:f>IF(AND(AS$5&gt;=$C426,AS$5&lt;=$D426,$A426&lt;&gt;""),"●","")</x:f>
      </x:c>
      <x:c r="AT426" s="165" t="str">
        <x:f>IF(AND(AT$5&gt;=$C426,AT$5&lt;=$D426,$A426&lt;&gt;""),"●","")</x:f>
      </x:c>
      <x:c r="AU426" s="165" t="str">
        <x:f>IF(AND(AU$5&gt;=$C426,AU$5&lt;=$D426,$A426&lt;&gt;""),"●","")</x:f>
      </x:c>
      <x:c r="AV426" s="165" t="str">
        <x:f>IF(AND(AV$5&gt;=$C426,AV$5&lt;=$D426,$A426&lt;&gt;""),"●","")</x:f>
      </x:c>
      <x:c r="AW426" s="165" t="str">
        <x:f>IF(AND(AW$5&gt;=$C426,AW$5&lt;=$D426,$A426&lt;&gt;""),"●","")</x:f>
      </x:c>
      <x:c r="AX426" s="165" t="str">
        <x:f>IF(AND(AX$5&gt;=$C426,AX$5&lt;=$D426,$A426&lt;&gt;""),"●","")</x:f>
      </x:c>
      <x:c r="AY426" s="165" t="str">
        <x:f>IF(AND(AY$5&gt;=$C426,AY$5&lt;=$D426,$A426&lt;&gt;""),"●","")</x:f>
      </x:c>
      <x:c r="AZ426" s="165" t="str">
        <x:f>IF(AND(AZ$5&gt;=$C426,AZ$5&lt;=$D426,$A426&lt;&gt;""),"●","")</x:f>
      </x:c>
      <x:c r="BA426" s="165" t="str">
        <x:f>IF(AND(BA$5&gt;=$C426,BA$5&lt;=$D426,$A426&lt;&gt;""),"●","")</x:f>
      </x:c>
      <x:c r="BB426" s="165" t="str">
        <x:f>IF(AND(BB$5&gt;=$C426,BB$5&lt;=$D426,$A426&lt;&gt;""),"●","")</x:f>
      </x:c>
      <x:c r="BC426" s="165" t="str">
        <x:f>IF(AND(BC$5&gt;=$C426,BC$5&lt;=$D426,$A426&lt;&gt;""),"●","")</x:f>
      </x:c>
      <x:c r="BD426" s="165" t="str">
        <x:f>IF(AND(BD$5&gt;=$C426,BD$5&lt;=$D426,$A426&lt;&gt;""),"●","")</x:f>
      </x:c>
      <x:c r="BE426" s="165" t="str">
        <x:f>IF(AND(BE$5&gt;=$C426,BE$5&lt;=$D426,$A426&lt;&gt;""),"●","")</x:f>
      </x:c>
      <x:c r="BF426" s="165" t="str">
        <x:f>IF(AND(BF$5&gt;=$C426,BF$5&lt;=$D426,$A426&lt;&gt;""),"●","")</x:f>
      </x:c>
      <x:c r="BG426" s="165" t="str">
        <x:f>IF(AND(BG$5&gt;=$C426,BG$5&lt;=$D426,$A426&lt;&gt;""),"●","")</x:f>
      </x:c>
      <x:c r="BH426" s="165" t="str">
        <x:f>IF(AND(BH$5&gt;=$C426,BH$5&lt;=$D426,$A426&lt;&gt;""),"●","")</x:f>
      </x:c>
      <x:c r="BI426" s="165" t="str">
        <x:f>IF(AND(BI$5&gt;=$C426,BI$5&lt;=$D426,$A426&lt;&gt;""),"●","")</x:f>
      </x:c>
      <x:c r="BJ426" s="165" t="str">
        <x:f>IF(AND(BJ$5&gt;=$C426,BJ$5&lt;=$D426,$A426&lt;&gt;""),"●","")</x:f>
      </x:c>
      <x:c r="BK426" s="165" t="str">
        <x:f>IF(AND(BK$5&gt;=$C426,BK$5&lt;=$D426,$A426&lt;&gt;""),"●","")</x:f>
      </x:c>
      <x:c r="BL426" s="165" t="str">
        <x:f>IF(AND(BL$5&gt;=$C426,BL$5&lt;=$D426,$A426&lt;&gt;""),"●","")</x:f>
      </x:c>
      <x:c r="BM426" s="165" t="str">
        <x:f>IF(AND(BM$5&gt;=$C426,BM$5&lt;=$D426,$A426&lt;&gt;""),"●","")</x:f>
      </x:c>
      <x:c r="BN426" s="165" t="str">
        <x:f>IF(AND(BN$5&gt;=$C426,BN$5&lt;=$D426,$A426&lt;&gt;""),"●","")</x:f>
      </x:c>
      <x:c r="BO426" s="165" t="str">
        <x:f>IF(AND(BO$5&gt;=$C426,BO$5&lt;=$D426,$A426&lt;&gt;""),"●","")</x:f>
      </x:c>
      <x:c r="BP426" s="165" t="str">
        <x:f>IF(AND(BP$5&gt;=$C426,BP$5&lt;=$D426,$A426&lt;&gt;""),"●","")</x:f>
      </x:c>
      <x:c r="BQ426" s="165" t="str">
        <x:f>IF(AND(BQ$5&gt;=$C426,BQ$5&lt;=$D426,$A426&lt;&gt;""),"●","")</x:f>
      </x:c>
      <x:c r="BR426" s="165" t="str">
        <x:f>IF(AND(BR$5&gt;=$C426,BR$5&lt;=$D426,$A426&lt;&gt;""),"●","")</x:f>
      </x:c>
      <x:c r="BS426" s="165" t="str">
        <x:f>IF(AND(BS$5&gt;=$C426,BS$5&lt;=$D426,$A426&lt;&gt;""),"●","")</x:f>
      </x:c>
      <x:c r="BT426" s="165" t="str">
        <x:f>IF(AND(BT$5&gt;=$C426,BT$5&lt;=$D426,$A426&lt;&gt;""),"●","")</x:f>
      </x:c>
      <x:c r="BU426" s="165" t="str">
        <x:f>IF(AND(BU$5&gt;=$C426,BU$5&lt;=$D426,$A426&lt;&gt;""),"●","")</x:f>
      </x:c>
      <x:c r="BV426" s="165" t="str">
        <x:f>IF(AND(BV$5&gt;=$C426,BV$5&lt;=$D426,$A426&lt;&gt;""),"●","")</x:f>
      </x:c>
      <x:c r="BW426" s="165" t="str">
        <x:f>IF(AND(BW$5&gt;=$C426,BW$5&lt;=$D426,$A426&lt;&gt;""),"●","")</x:f>
      </x:c>
    </x:row>
    <x:row r="427">
      <x:c r="A427" s="159" t="str">
        <x:f>IF('รายการสัญญา'!A427="","",'รายการสัญญา'!A427)</x:f>
      </x:c>
      <x:c r="B427" s="159" t="str">
        <x:f>IF('รายการสัญญา'!A427="","",'รายการสัญญา'!C427)</x:f>
      </x:c>
      <x:c r="C427" s="162" t="str">
        <x:f>IF('รายการสัญญา'!A427="","",'รายการสัญญา'!E427)</x:f>
      </x:c>
      <x:c r="D427" s="162" t="str">
        <x:f>IF('รายการสัญญา'!A427="","",'รายการสัญญา'!G427)</x:f>
      </x:c>
      <x:c r="E427" s="159" t="str">
        <x:f>IF('รายการสัญญา'!A427="","",'รายการสัญญา'!K427)</x:f>
      </x:c>
      <x:c r="F427" s="165" t="str">
        <x:f>IF(AND(F$5&gt;=$C427,F$5&lt;=$D427,$A427&lt;&gt;""),"●","")</x:f>
      </x:c>
      <x:c r="G427" s="165" t="str">
        <x:f>IF(AND(G$5&gt;=$C427,G$5&lt;=$D427,$A427&lt;&gt;""),"●","")</x:f>
      </x:c>
      <x:c r="H427" s="165" t="str">
        <x:f>IF(AND(H$5&gt;=$C427,H$5&lt;=$D427,$A427&lt;&gt;""),"●","")</x:f>
      </x:c>
      <x:c r="I427" s="165" t="str">
        <x:f>IF(AND(I$5&gt;=$C427,I$5&lt;=$D427,$A427&lt;&gt;""),"●","")</x:f>
      </x:c>
      <x:c r="J427" s="165" t="str">
        <x:f>IF(AND(J$5&gt;=$C427,J$5&lt;=$D427,$A427&lt;&gt;""),"●","")</x:f>
      </x:c>
      <x:c r="K427" s="165" t="str">
        <x:f>IF(AND(K$5&gt;=$C427,K$5&lt;=$D427,$A427&lt;&gt;""),"●","")</x:f>
      </x:c>
      <x:c r="L427" s="165" t="str">
        <x:f>IF(AND(L$5&gt;=$C427,L$5&lt;=$D427,$A427&lt;&gt;""),"●","")</x:f>
      </x:c>
      <x:c r="M427" s="165" t="str">
        <x:f>IF(AND(M$5&gt;=$C427,M$5&lt;=$D427,$A427&lt;&gt;""),"●","")</x:f>
      </x:c>
      <x:c r="N427" s="165" t="str">
        <x:f>IF(AND(N$5&gt;=$C427,N$5&lt;=$D427,$A427&lt;&gt;""),"●","")</x:f>
      </x:c>
      <x:c r="O427" s="165" t="str">
        <x:f>IF(AND(O$5&gt;=$C427,O$5&lt;=$D427,$A427&lt;&gt;""),"●","")</x:f>
      </x:c>
      <x:c r="P427" s="165" t="str">
        <x:f>IF(AND(P$5&gt;=$C427,P$5&lt;=$D427,$A427&lt;&gt;""),"●","")</x:f>
      </x:c>
      <x:c r="Q427" s="165" t="str">
        <x:f>IF(AND(Q$5&gt;=$C427,Q$5&lt;=$D427,$A427&lt;&gt;""),"●","")</x:f>
      </x:c>
      <x:c r="R427" s="165" t="str">
        <x:f>IF(AND(R$5&gt;=$C427,R$5&lt;=$D427,$A427&lt;&gt;""),"●","")</x:f>
      </x:c>
      <x:c r="S427" s="165" t="str">
        <x:f>IF(AND(S$5&gt;=$C427,S$5&lt;=$D427,$A427&lt;&gt;""),"●","")</x:f>
      </x:c>
      <x:c r="T427" s="165" t="str">
        <x:f>IF(AND(T$5&gt;=$C427,T$5&lt;=$D427,$A427&lt;&gt;""),"●","")</x:f>
      </x:c>
      <x:c r="U427" s="165" t="str">
        <x:f>IF(AND(U$5&gt;=$C427,U$5&lt;=$D427,$A427&lt;&gt;""),"●","")</x:f>
      </x:c>
      <x:c r="V427" s="165" t="str">
        <x:f>IF(AND(V$5&gt;=$C427,V$5&lt;=$D427,$A427&lt;&gt;""),"●","")</x:f>
      </x:c>
      <x:c r="W427" s="165" t="str">
        <x:f>IF(AND(W$5&gt;=$C427,W$5&lt;=$D427,$A427&lt;&gt;""),"●","")</x:f>
      </x:c>
      <x:c r="X427" s="165" t="str">
        <x:f>IF(AND(X$5&gt;=$C427,X$5&lt;=$D427,$A427&lt;&gt;""),"●","")</x:f>
      </x:c>
      <x:c r="Y427" s="165" t="str">
        <x:f>IF(AND(Y$5&gt;=$C427,Y$5&lt;=$D427,$A427&lt;&gt;""),"●","")</x:f>
      </x:c>
      <x:c r="Z427" s="165" t="str">
        <x:f>IF(AND(Z$5&gt;=$C427,Z$5&lt;=$D427,$A427&lt;&gt;""),"●","")</x:f>
      </x:c>
      <x:c r="AA427" s="165" t="str">
        <x:f>IF(AND(AA$5&gt;=$C427,AA$5&lt;=$D427,$A427&lt;&gt;""),"●","")</x:f>
      </x:c>
      <x:c r="AB427" s="165" t="str">
        <x:f>IF(AND(AB$5&gt;=$C427,AB$5&lt;=$D427,$A427&lt;&gt;""),"●","")</x:f>
      </x:c>
      <x:c r="AC427" s="165" t="str">
        <x:f>IF(AND(AC$5&gt;=$C427,AC$5&lt;=$D427,$A427&lt;&gt;""),"●","")</x:f>
      </x:c>
      <x:c r="AD427" s="165" t="str">
        <x:f>IF(AND(AD$5&gt;=$C427,AD$5&lt;=$D427,$A427&lt;&gt;""),"●","")</x:f>
      </x:c>
      <x:c r="AE427" s="165" t="str">
        <x:f>IF(AND(AE$5&gt;=$C427,AE$5&lt;=$D427,$A427&lt;&gt;""),"●","")</x:f>
      </x:c>
      <x:c r="AF427" s="165" t="str">
        <x:f>IF(AND(AF$5&gt;=$C427,AF$5&lt;=$D427,$A427&lt;&gt;""),"●","")</x:f>
      </x:c>
      <x:c r="AG427" s="165" t="str">
        <x:f>IF(AND(AG$5&gt;=$C427,AG$5&lt;=$D427,$A427&lt;&gt;""),"●","")</x:f>
      </x:c>
      <x:c r="AH427" s="165" t="str">
        <x:f>IF(AND(AH$5&gt;=$C427,AH$5&lt;=$D427,$A427&lt;&gt;""),"●","")</x:f>
      </x:c>
      <x:c r="AI427" s="165" t="str">
        <x:f>IF(AND(AI$5&gt;=$C427,AI$5&lt;=$D427,$A427&lt;&gt;""),"●","")</x:f>
      </x:c>
      <x:c r="AJ427" s="165" t="str">
        <x:f>IF(AND(AJ$5&gt;=$C427,AJ$5&lt;=$D427,$A427&lt;&gt;""),"●","")</x:f>
      </x:c>
      <x:c r="AK427" s="165" t="str">
        <x:f>IF(AND(AK$5&gt;=$C427,AK$5&lt;=$D427,$A427&lt;&gt;""),"●","")</x:f>
      </x:c>
      <x:c r="AL427" s="165" t="str">
        <x:f>IF(AND(AL$5&gt;=$C427,AL$5&lt;=$D427,$A427&lt;&gt;""),"●","")</x:f>
      </x:c>
      <x:c r="AM427" s="165" t="str">
        <x:f>IF(AND(AM$5&gt;=$C427,AM$5&lt;=$D427,$A427&lt;&gt;""),"●","")</x:f>
      </x:c>
      <x:c r="AN427" s="165" t="str">
        <x:f>IF(AND(AN$5&gt;=$C427,AN$5&lt;=$D427,$A427&lt;&gt;""),"●","")</x:f>
      </x:c>
      <x:c r="AO427" s="165" t="str">
        <x:f>IF(AND(AO$5&gt;=$C427,AO$5&lt;=$D427,$A427&lt;&gt;""),"●","")</x:f>
      </x:c>
      <x:c r="AP427" s="165" t="str">
        <x:f>IF(AND(AP$5&gt;=$C427,AP$5&lt;=$D427,$A427&lt;&gt;""),"●","")</x:f>
      </x:c>
      <x:c r="AQ427" s="165" t="str">
        <x:f>IF(AND(AQ$5&gt;=$C427,AQ$5&lt;=$D427,$A427&lt;&gt;""),"●","")</x:f>
      </x:c>
      <x:c r="AR427" s="165" t="str">
        <x:f>IF(AND(AR$5&gt;=$C427,AR$5&lt;=$D427,$A427&lt;&gt;""),"●","")</x:f>
      </x:c>
      <x:c r="AS427" s="165" t="str">
        <x:f>IF(AND(AS$5&gt;=$C427,AS$5&lt;=$D427,$A427&lt;&gt;""),"●","")</x:f>
      </x:c>
      <x:c r="AT427" s="165" t="str">
        <x:f>IF(AND(AT$5&gt;=$C427,AT$5&lt;=$D427,$A427&lt;&gt;""),"●","")</x:f>
      </x:c>
      <x:c r="AU427" s="165" t="str">
        <x:f>IF(AND(AU$5&gt;=$C427,AU$5&lt;=$D427,$A427&lt;&gt;""),"●","")</x:f>
      </x:c>
      <x:c r="AV427" s="165" t="str">
        <x:f>IF(AND(AV$5&gt;=$C427,AV$5&lt;=$D427,$A427&lt;&gt;""),"●","")</x:f>
      </x:c>
      <x:c r="AW427" s="165" t="str">
        <x:f>IF(AND(AW$5&gt;=$C427,AW$5&lt;=$D427,$A427&lt;&gt;""),"●","")</x:f>
      </x:c>
      <x:c r="AX427" s="165" t="str">
        <x:f>IF(AND(AX$5&gt;=$C427,AX$5&lt;=$D427,$A427&lt;&gt;""),"●","")</x:f>
      </x:c>
      <x:c r="AY427" s="165" t="str">
        <x:f>IF(AND(AY$5&gt;=$C427,AY$5&lt;=$D427,$A427&lt;&gt;""),"●","")</x:f>
      </x:c>
      <x:c r="AZ427" s="165" t="str">
        <x:f>IF(AND(AZ$5&gt;=$C427,AZ$5&lt;=$D427,$A427&lt;&gt;""),"●","")</x:f>
      </x:c>
      <x:c r="BA427" s="165" t="str">
        <x:f>IF(AND(BA$5&gt;=$C427,BA$5&lt;=$D427,$A427&lt;&gt;""),"●","")</x:f>
      </x:c>
      <x:c r="BB427" s="165" t="str">
        <x:f>IF(AND(BB$5&gt;=$C427,BB$5&lt;=$D427,$A427&lt;&gt;""),"●","")</x:f>
      </x:c>
      <x:c r="BC427" s="165" t="str">
        <x:f>IF(AND(BC$5&gt;=$C427,BC$5&lt;=$D427,$A427&lt;&gt;""),"●","")</x:f>
      </x:c>
      <x:c r="BD427" s="165" t="str">
        <x:f>IF(AND(BD$5&gt;=$C427,BD$5&lt;=$D427,$A427&lt;&gt;""),"●","")</x:f>
      </x:c>
      <x:c r="BE427" s="165" t="str">
        <x:f>IF(AND(BE$5&gt;=$C427,BE$5&lt;=$D427,$A427&lt;&gt;""),"●","")</x:f>
      </x:c>
      <x:c r="BF427" s="165" t="str">
        <x:f>IF(AND(BF$5&gt;=$C427,BF$5&lt;=$D427,$A427&lt;&gt;""),"●","")</x:f>
      </x:c>
      <x:c r="BG427" s="165" t="str">
        <x:f>IF(AND(BG$5&gt;=$C427,BG$5&lt;=$D427,$A427&lt;&gt;""),"●","")</x:f>
      </x:c>
      <x:c r="BH427" s="165" t="str">
        <x:f>IF(AND(BH$5&gt;=$C427,BH$5&lt;=$D427,$A427&lt;&gt;""),"●","")</x:f>
      </x:c>
      <x:c r="BI427" s="165" t="str">
        <x:f>IF(AND(BI$5&gt;=$C427,BI$5&lt;=$D427,$A427&lt;&gt;""),"●","")</x:f>
      </x:c>
      <x:c r="BJ427" s="165" t="str">
        <x:f>IF(AND(BJ$5&gt;=$C427,BJ$5&lt;=$D427,$A427&lt;&gt;""),"●","")</x:f>
      </x:c>
      <x:c r="BK427" s="165" t="str">
        <x:f>IF(AND(BK$5&gt;=$C427,BK$5&lt;=$D427,$A427&lt;&gt;""),"●","")</x:f>
      </x:c>
      <x:c r="BL427" s="165" t="str">
        <x:f>IF(AND(BL$5&gt;=$C427,BL$5&lt;=$D427,$A427&lt;&gt;""),"●","")</x:f>
      </x:c>
      <x:c r="BM427" s="165" t="str">
        <x:f>IF(AND(BM$5&gt;=$C427,BM$5&lt;=$D427,$A427&lt;&gt;""),"●","")</x:f>
      </x:c>
      <x:c r="BN427" s="165" t="str">
        <x:f>IF(AND(BN$5&gt;=$C427,BN$5&lt;=$D427,$A427&lt;&gt;""),"●","")</x:f>
      </x:c>
      <x:c r="BO427" s="165" t="str">
        <x:f>IF(AND(BO$5&gt;=$C427,BO$5&lt;=$D427,$A427&lt;&gt;""),"●","")</x:f>
      </x:c>
      <x:c r="BP427" s="165" t="str">
        <x:f>IF(AND(BP$5&gt;=$C427,BP$5&lt;=$D427,$A427&lt;&gt;""),"●","")</x:f>
      </x:c>
      <x:c r="BQ427" s="165" t="str">
        <x:f>IF(AND(BQ$5&gt;=$C427,BQ$5&lt;=$D427,$A427&lt;&gt;""),"●","")</x:f>
      </x:c>
      <x:c r="BR427" s="165" t="str">
        <x:f>IF(AND(BR$5&gt;=$C427,BR$5&lt;=$D427,$A427&lt;&gt;""),"●","")</x:f>
      </x:c>
      <x:c r="BS427" s="165" t="str">
        <x:f>IF(AND(BS$5&gt;=$C427,BS$5&lt;=$D427,$A427&lt;&gt;""),"●","")</x:f>
      </x:c>
      <x:c r="BT427" s="165" t="str">
        <x:f>IF(AND(BT$5&gt;=$C427,BT$5&lt;=$D427,$A427&lt;&gt;""),"●","")</x:f>
      </x:c>
      <x:c r="BU427" s="165" t="str">
        <x:f>IF(AND(BU$5&gt;=$C427,BU$5&lt;=$D427,$A427&lt;&gt;""),"●","")</x:f>
      </x:c>
      <x:c r="BV427" s="165" t="str">
        <x:f>IF(AND(BV$5&gt;=$C427,BV$5&lt;=$D427,$A427&lt;&gt;""),"●","")</x:f>
      </x:c>
      <x:c r="BW427" s="165" t="str">
        <x:f>IF(AND(BW$5&gt;=$C427,BW$5&lt;=$D427,$A427&lt;&gt;""),"●","")</x:f>
      </x:c>
    </x:row>
    <x:row r="428">
      <x:c r="A428" s="159" t="str">
        <x:f>IF('รายการสัญญา'!A428="","",'รายการสัญญา'!A428)</x:f>
      </x:c>
      <x:c r="B428" s="159" t="str">
        <x:f>IF('รายการสัญญา'!A428="","",'รายการสัญญา'!C428)</x:f>
      </x:c>
      <x:c r="C428" s="162" t="str">
        <x:f>IF('รายการสัญญา'!A428="","",'รายการสัญญา'!E428)</x:f>
      </x:c>
      <x:c r="D428" s="162" t="str">
        <x:f>IF('รายการสัญญา'!A428="","",'รายการสัญญา'!G428)</x:f>
      </x:c>
      <x:c r="E428" s="159" t="str">
        <x:f>IF('รายการสัญญา'!A428="","",'รายการสัญญา'!K428)</x:f>
      </x:c>
      <x:c r="F428" s="165" t="str">
        <x:f>IF(AND(F$5&gt;=$C428,F$5&lt;=$D428,$A428&lt;&gt;""),"●","")</x:f>
      </x:c>
      <x:c r="G428" s="165" t="str">
        <x:f>IF(AND(G$5&gt;=$C428,G$5&lt;=$D428,$A428&lt;&gt;""),"●","")</x:f>
      </x:c>
      <x:c r="H428" s="165" t="str">
        <x:f>IF(AND(H$5&gt;=$C428,H$5&lt;=$D428,$A428&lt;&gt;""),"●","")</x:f>
      </x:c>
      <x:c r="I428" s="165" t="str">
        <x:f>IF(AND(I$5&gt;=$C428,I$5&lt;=$D428,$A428&lt;&gt;""),"●","")</x:f>
      </x:c>
      <x:c r="J428" s="165" t="str">
        <x:f>IF(AND(J$5&gt;=$C428,J$5&lt;=$D428,$A428&lt;&gt;""),"●","")</x:f>
      </x:c>
      <x:c r="K428" s="165" t="str">
        <x:f>IF(AND(K$5&gt;=$C428,K$5&lt;=$D428,$A428&lt;&gt;""),"●","")</x:f>
      </x:c>
      <x:c r="L428" s="165" t="str">
        <x:f>IF(AND(L$5&gt;=$C428,L$5&lt;=$D428,$A428&lt;&gt;""),"●","")</x:f>
      </x:c>
      <x:c r="M428" s="165" t="str">
        <x:f>IF(AND(M$5&gt;=$C428,M$5&lt;=$D428,$A428&lt;&gt;""),"●","")</x:f>
      </x:c>
      <x:c r="N428" s="165" t="str">
        <x:f>IF(AND(N$5&gt;=$C428,N$5&lt;=$D428,$A428&lt;&gt;""),"●","")</x:f>
      </x:c>
      <x:c r="O428" s="165" t="str">
        <x:f>IF(AND(O$5&gt;=$C428,O$5&lt;=$D428,$A428&lt;&gt;""),"●","")</x:f>
      </x:c>
      <x:c r="P428" s="165" t="str">
        <x:f>IF(AND(P$5&gt;=$C428,P$5&lt;=$D428,$A428&lt;&gt;""),"●","")</x:f>
      </x:c>
      <x:c r="Q428" s="165" t="str">
        <x:f>IF(AND(Q$5&gt;=$C428,Q$5&lt;=$D428,$A428&lt;&gt;""),"●","")</x:f>
      </x:c>
      <x:c r="R428" s="165" t="str">
        <x:f>IF(AND(R$5&gt;=$C428,R$5&lt;=$D428,$A428&lt;&gt;""),"●","")</x:f>
      </x:c>
      <x:c r="S428" s="165" t="str">
        <x:f>IF(AND(S$5&gt;=$C428,S$5&lt;=$D428,$A428&lt;&gt;""),"●","")</x:f>
      </x:c>
      <x:c r="T428" s="165" t="str">
        <x:f>IF(AND(T$5&gt;=$C428,T$5&lt;=$D428,$A428&lt;&gt;""),"●","")</x:f>
      </x:c>
      <x:c r="U428" s="165" t="str">
        <x:f>IF(AND(U$5&gt;=$C428,U$5&lt;=$D428,$A428&lt;&gt;""),"●","")</x:f>
      </x:c>
      <x:c r="V428" s="165" t="str">
        <x:f>IF(AND(V$5&gt;=$C428,V$5&lt;=$D428,$A428&lt;&gt;""),"●","")</x:f>
      </x:c>
      <x:c r="W428" s="165" t="str">
        <x:f>IF(AND(W$5&gt;=$C428,W$5&lt;=$D428,$A428&lt;&gt;""),"●","")</x:f>
      </x:c>
      <x:c r="X428" s="165" t="str">
        <x:f>IF(AND(X$5&gt;=$C428,X$5&lt;=$D428,$A428&lt;&gt;""),"●","")</x:f>
      </x:c>
      <x:c r="Y428" s="165" t="str">
        <x:f>IF(AND(Y$5&gt;=$C428,Y$5&lt;=$D428,$A428&lt;&gt;""),"●","")</x:f>
      </x:c>
      <x:c r="Z428" s="165" t="str">
        <x:f>IF(AND(Z$5&gt;=$C428,Z$5&lt;=$D428,$A428&lt;&gt;""),"●","")</x:f>
      </x:c>
      <x:c r="AA428" s="165" t="str">
        <x:f>IF(AND(AA$5&gt;=$C428,AA$5&lt;=$D428,$A428&lt;&gt;""),"●","")</x:f>
      </x:c>
      <x:c r="AB428" s="165" t="str">
        <x:f>IF(AND(AB$5&gt;=$C428,AB$5&lt;=$D428,$A428&lt;&gt;""),"●","")</x:f>
      </x:c>
      <x:c r="AC428" s="165" t="str">
        <x:f>IF(AND(AC$5&gt;=$C428,AC$5&lt;=$D428,$A428&lt;&gt;""),"●","")</x:f>
      </x:c>
      <x:c r="AD428" s="165" t="str">
        <x:f>IF(AND(AD$5&gt;=$C428,AD$5&lt;=$D428,$A428&lt;&gt;""),"●","")</x:f>
      </x:c>
      <x:c r="AE428" s="165" t="str">
        <x:f>IF(AND(AE$5&gt;=$C428,AE$5&lt;=$D428,$A428&lt;&gt;""),"●","")</x:f>
      </x:c>
      <x:c r="AF428" s="165" t="str">
        <x:f>IF(AND(AF$5&gt;=$C428,AF$5&lt;=$D428,$A428&lt;&gt;""),"●","")</x:f>
      </x:c>
      <x:c r="AG428" s="165" t="str">
        <x:f>IF(AND(AG$5&gt;=$C428,AG$5&lt;=$D428,$A428&lt;&gt;""),"●","")</x:f>
      </x:c>
      <x:c r="AH428" s="165" t="str">
        <x:f>IF(AND(AH$5&gt;=$C428,AH$5&lt;=$D428,$A428&lt;&gt;""),"●","")</x:f>
      </x:c>
      <x:c r="AI428" s="165" t="str">
        <x:f>IF(AND(AI$5&gt;=$C428,AI$5&lt;=$D428,$A428&lt;&gt;""),"●","")</x:f>
      </x:c>
      <x:c r="AJ428" s="165" t="str">
        <x:f>IF(AND(AJ$5&gt;=$C428,AJ$5&lt;=$D428,$A428&lt;&gt;""),"●","")</x:f>
      </x:c>
      <x:c r="AK428" s="165" t="str">
        <x:f>IF(AND(AK$5&gt;=$C428,AK$5&lt;=$D428,$A428&lt;&gt;""),"●","")</x:f>
      </x:c>
      <x:c r="AL428" s="165" t="str">
        <x:f>IF(AND(AL$5&gt;=$C428,AL$5&lt;=$D428,$A428&lt;&gt;""),"●","")</x:f>
      </x:c>
      <x:c r="AM428" s="165" t="str">
        <x:f>IF(AND(AM$5&gt;=$C428,AM$5&lt;=$D428,$A428&lt;&gt;""),"●","")</x:f>
      </x:c>
      <x:c r="AN428" s="165" t="str">
        <x:f>IF(AND(AN$5&gt;=$C428,AN$5&lt;=$D428,$A428&lt;&gt;""),"●","")</x:f>
      </x:c>
      <x:c r="AO428" s="165" t="str">
        <x:f>IF(AND(AO$5&gt;=$C428,AO$5&lt;=$D428,$A428&lt;&gt;""),"●","")</x:f>
      </x:c>
      <x:c r="AP428" s="165" t="str">
        <x:f>IF(AND(AP$5&gt;=$C428,AP$5&lt;=$D428,$A428&lt;&gt;""),"●","")</x:f>
      </x:c>
      <x:c r="AQ428" s="165" t="str">
        <x:f>IF(AND(AQ$5&gt;=$C428,AQ$5&lt;=$D428,$A428&lt;&gt;""),"●","")</x:f>
      </x:c>
      <x:c r="AR428" s="165" t="str">
        <x:f>IF(AND(AR$5&gt;=$C428,AR$5&lt;=$D428,$A428&lt;&gt;""),"●","")</x:f>
      </x:c>
      <x:c r="AS428" s="165" t="str">
        <x:f>IF(AND(AS$5&gt;=$C428,AS$5&lt;=$D428,$A428&lt;&gt;""),"●","")</x:f>
      </x:c>
      <x:c r="AT428" s="165" t="str">
        <x:f>IF(AND(AT$5&gt;=$C428,AT$5&lt;=$D428,$A428&lt;&gt;""),"●","")</x:f>
      </x:c>
      <x:c r="AU428" s="165" t="str">
        <x:f>IF(AND(AU$5&gt;=$C428,AU$5&lt;=$D428,$A428&lt;&gt;""),"●","")</x:f>
      </x:c>
      <x:c r="AV428" s="165" t="str">
        <x:f>IF(AND(AV$5&gt;=$C428,AV$5&lt;=$D428,$A428&lt;&gt;""),"●","")</x:f>
      </x:c>
      <x:c r="AW428" s="165" t="str">
        <x:f>IF(AND(AW$5&gt;=$C428,AW$5&lt;=$D428,$A428&lt;&gt;""),"●","")</x:f>
      </x:c>
      <x:c r="AX428" s="165" t="str">
        <x:f>IF(AND(AX$5&gt;=$C428,AX$5&lt;=$D428,$A428&lt;&gt;""),"●","")</x:f>
      </x:c>
      <x:c r="AY428" s="165" t="str">
        <x:f>IF(AND(AY$5&gt;=$C428,AY$5&lt;=$D428,$A428&lt;&gt;""),"●","")</x:f>
      </x:c>
      <x:c r="AZ428" s="165" t="str">
        <x:f>IF(AND(AZ$5&gt;=$C428,AZ$5&lt;=$D428,$A428&lt;&gt;""),"●","")</x:f>
      </x:c>
      <x:c r="BA428" s="165" t="str">
        <x:f>IF(AND(BA$5&gt;=$C428,BA$5&lt;=$D428,$A428&lt;&gt;""),"●","")</x:f>
      </x:c>
      <x:c r="BB428" s="165" t="str">
        <x:f>IF(AND(BB$5&gt;=$C428,BB$5&lt;=$D428,$A428&lt;&gt;""),"●","")</x:f>
      </x:c>
      <x:c r="BC428" s="165" t="str">
        <x:f>IF(AND(BC$5&gt;=$C428,BC$5&lt;=$D428,$A428&lt;&gt;""),"●","")</x:f>
      </x:c>
      <x:c r="BD428" s="165" t="str">
        <x:f>IF(AND(BD$5&gt;=$C428,BD$5&lt;=$D428,$A428&lt;&gt;""),"●","")</x:f>
      </x:c>
      <x:c r="BE428" s="165" t="str">
        <x:f>IF(AND(BE$5&gt;=$C428,BE$5&lt;=$D428,$A428&lt;&gt;""),"●","")</x:f>
      </x:c>
      <x:c r="BF428" s="165" t="str">
        <x:f>IF(AND(BF$5&gt;=$C428,BF$5&lt;=$D428,$A428&lt;&gt;""),"●","")</x:f>
      </x:c>
      <x:c r="BG428" s="165" t="str">
        <x:f>IF(AND(BG$5&gt;=$C428,BG$5&lt;=$D428,$A428&lt;&gt;""),"●","")</x:f>
      </x:c>
      <x:c r="BH428" s="165" t="str">
        <x:f>IF(AND(BH$5&gt;=$C428,BH$5&lt;=$D428,$A428&lt;&gt;""),"●","")</x:f>
      </x:c>
      <x:c r="BI428" s="165" t="str">
        <x:f>IF(AND(BI$5&gt;=$C428,BI$5&lt;=$D428,$A428&lt;&gt;""),"●","")</x:f>
      </x:c>
      <x:c r="BJ428" s="165" t="str">
        <x:f>IF(AND(BJ$5&gt;=$C428,BJ$5&lt;=$D428,$A428&lt;&gt;""),"●","")</x:f>
      </x:c>
      <x:c r="BK428" s="165" t="str">
        <x:f>IF(AND(BK$5&gt;=$C428,BK$5&lt;=$D428,$A428&lt;&gt;""),"●","")</x:f>
      </x:c>
      <x:c r="BL428" s="165" t="str">
        <x:f>IF(AND(BL$5&gt;=$C428,BL$5&lt;=$D428,$A428&lt;&gt;""),"●","")</x:f>
      </x:c>
      <x:c r="BM428" s="165" t="str">
        <x:f>IF(AND(BM$5&gt;=$C428,BM$5&lt;=$D428,$A428&lt;&gt;""),"●","")</x:f>
      </x:c>
      <x:c r="BN428" s="165" t="str">
        <x:f>IF(AND(BN$5&gt;=$C428,BN$5&lt;=$D428,$A428&lt;&gt;""),"●","")</x:f>
      </x:c>
      <x:c r="BO428" s="165" t="str">
        <x:f>IF(AND(BO$5&gt;=$C428,BO$5&lt;=$D428,$A428&lt;&gt;""),"●","")</x:f>
      </x:c>
      <x:c r="BP428" s="165" t="str">
        <x:f>IF(AND(BP$5&gt;=$C428,BP$5&lt;=$D428,$A428&lt;&gt;""),"●","")</x:f>
      </x:c>
      <x:c r="BQ428" s="165" t="str">
        <x:f>IF(AND(BQ$5&gt;=$C428,BQ$5&lt;=$D428,$A428&lt;&gt;""),"●","")</x:f>
      </x:c>
      <x:c r="BR428" s="165" t="str">
        <x:f>IF(AND(BR$5&gt;=$C428,BR$5&lt;=$D428,$A428&lt;&gt;""),"●","")</x:f>
      </x:c>
      <x:c r="BS428" s="165" t="str">
        <x:f>IF(AND(BS$5&gt;=$C428,BS$5&lt;=$D428,$A428&lt;&gt;""),"●","")</x:f>
      </x:c>
      <x:c r="BT428" s="165" t="str">
        <x:f>IF(AND(BT$5&gt;=$C428,BT$5&lt;=$D428,$A428&lt;&gt;""),"●","")</x:f>
      </x:c>
      <x:c r="BU428" s="165" t="str">
        <x:f>IF(AND(BU$5&gt;=$C428,BU$5&lt;=$D428,$A428&lt;&gt;""),"●","")</x:f>
      </x:c>
      <x:c r="BV428" s="165" t="str">
        <x:f>IF(AND(BV$5&gt;=$C428,BV$5&lt;=$D428,$A428&lt;&gt;""),"●","")</x:f>
      </x:c>
      <x:c r="BW428" s="165" t="str">
        <x:f>IF(AND(BW$5&gt;=$C428,BW$5&lt;=$D428,$A428&lt;&gt;""),"●","")</x:f>
      </x:c>
    </x:row>
    <x:row r="429">
      <x:c r="A429" s="159" t="str">
        <x:f>IF('รายการสัญญา'!A429="","",'รายการสัญญา'!A429)</x:f>
      </x:c>
      <x:c r="B429" s="159" t="str">
        <x:f>IF('รายการสัญญา'!A429="","",'รายการสัญญา'!C429)</x:f>
      </x:c>
      <x:c r="C429" s="162" t="str">
        <x:f>IF('รายการสัญญา'!A429="","",'รายการสัญญา'!E429)</x:f>
      </x:c>
      <x:c r="D429" s="162" t="str">
        <x:f>IF('รายการสัญญา'!A429="","",'รายการสัญญา'!G429)</x:f>
      </x:c>
      <x:c r="E429" s="159" t="str">
        <x:f>IF('รายการสัญญา'!A429="","",'รายการสัญญา'!K429)</x:f>
      </x:c>
      <x:c r="F429" s="165" t="str">
        <x:f>IF(AND(F$5&gt;=$C429,F$5&lt;=$D429,$A429&lt;&gt;""),"●","")</x:f>
      </x:c>
      <x:c r="G429" s="165" t="str">
        <x:f>IF(AND(G$5&gt;=$C429,G$5&lt;=$D429,$A429&lt;&gt;""),"●","")</x:f>
      </x:c>
      <x:c r="H429" s="165" t="str">
        <x:f>IF(AND(H$5&gt;=$C429,H$5&lt;=$D429,$A429&lt;&gt;""),"●","")</x:f>
      </x:c>
      <x:c r="I429" s="165" t="str">
        <x:f>IF(AND(I$5&gt;=$C429,I$5&lt;=$D429,$A429&lt;&gt;""),"●","")</x:f>
      </x:c>
      <x:c r="J429" s="165" t="str">
        <x:f>IF(AND(J$5&gt;=$C429,J$5&lt;=$D429,$A429&lt;&gt;""),"●","")</x:f>
      </x:c>
      <x:c r="K429" s="165" t="str">
        <x:f>IF(AND(K$5&gt;=$C429,K$5&lt;=$D429,$A429&lt;&gt;""),"●","")</x:f>
      </x:c>
      <x:c r="L429" s="165" t="str">
        <x:f>IF(AND(L$5&gt;=$C429,L$5&lt;=$D429,$A429&lt;&gt;""),"●","")</x:f>
      </x:c>
      <x:c r="M429" s="165" t="str">
        <x:f>IF(AND(M$5&gt;=$C429,M$5&lt;=$D429,$A429&lt;&gt;""),"●","")</x:f>
      </x:c>
      <x:c r="N429" s="165" t="str">
        <x:f>IF(AND(N$5&gt;=$C429,N$5&lt;=$D429,$A429&lt;&gt;""),"●","")</x:f>
      </x:c>
      <x:c r="O429" s="165" t="str">
        <x:f>IF(AND(O$5&gt;=$C429,O$5&lt;=$D429,$A429&lt;&gt;""),"●","")</x:f>
      </x:c>
      <x:c r="P429" s="165" t="str">
        <x:f>IF(AND(P$5&gt;=$C429,P$5&lt;=$D429,$A429&lt;&gt;""),"●","")</x:f>
      </x:c>
      <x:c r="Q429" s="165" t="str">
        <x:f>IF(AND(Q$5&gt;=$C429,Q$5&lt;=$D429,$A429&lt;&gt;""),"●","")</x:f>
      </x:c>
      <x:c r="R429" s="165" t="str">
        <x:f>IF(AND(R$5&gt;=$C429,R$5&lt;=$D429,$A429&lt;&gt;""),"●","")</x:f>
      </x:c>
      <x:c r="S429" s="165" t="str">
        <x:f>IF(AND(S$5&gt;=$C429,S$5&lt;=$D429,$A429&lt;&gt;""),"●","")</x:f>
      </x:c>
      <x:c r="T429" s="165" t="str">
        <x:f>IF(AND(T$5&gt;=$C429,T$5&lt;=$D429,$A429&lt;&gt;""),"●","")</x:f>
      </x:c>
      <x:c r="U429" s="165" t="str">
        <x:f>IF(AND(U$5&gt;=$C429,U$5&lt;=$D429,$A429&lt;&gt;""),"●","")</x:f>
      </x:c>
      <x:c r="V429" s="165" t="str">
        <x:f>IF(AND(V$5&gt;=$C429,V$5&lt;=$D429,$A429&lt;&gt;""),"●","")</x:f>
      </x:c>
      <x:c r="W429" s="165" t="str">
        <x:f>IF(AND(W$5&gt;=$C429,W$5&lt;=$D429,$A429&lt;&gt;""),"●","")</x:f>
      </x:c>
      <x:c r="X429" s="165" t="str">
        <x:f>IF(AND(X$5&gt;=$C429,X$5&lt;=$D429,$A429&lt;&gt;""),"●","")</x:f>
      </x:c>
      <x:c r="Y429" s="165" t="str">
        <x:f>IF(AND(Y$5&gt;=$C429,Y$5&lt;=$D429,$A429&lt;&gt;""),"●","")</x:f>
      </x:c>
      <x:c r="Z429" s="165" t="str">
        <x:f>IF(AND(Z$5&gt;=$C429,Z$5&lt;=$D429,$A429&lt;&gt;""),"●","")</x:f>
      </x:c>
      <x:c r="AA429" s="165" t="str">
        <x:f>IF(AND(AA$5&gt;=$C429,AA$5&lt;=$D429,$A429&lt;&gt;""),"●","")</x:f>
      </x:c>
      <x:c r="AB429" s="165" t="str">
        <x:f>IF(AND(AB$5&gt;=$C429,AB$5&lt;=$D429,$A429&lt;&gt;""),"●","")</x:f>
      </x:c>
      <x:c r="AC429" s="165" t="str">
        <x:f>IF(AND(AC$5&gt;=$C429,AC$5&lt;=$D429,$A429&lt;&gt;""),"●","")</x:f>
      </x:c>
      <x:c r="AD429" s="165" t="str">
        <x:f>IF(AND(AD$5&gt;=$C429,AD$5&lt;=$D429,$A429&lt;&gt;""),"●","")</x:f>
      </x:c>
      <x:c r="AE429" s="165" t="str">
        <x:f>IF(AND(AE$5&gt;=$C429,AE$5&lt;=$D429,$A429&lt;&gt;""),"●","")</x:f>
      </x:c>
      <x:c r="AF429" s="165" t="str">
        <x:f>IF(AND(AF$5&gt;=$C429,AF$5&lt;=$D429,$A429&lt;&gt;""),"●","")</x:f>
      </x:c>
      <x:c r="AG429" s="165" t="str">
        <x:f>IF(AND(AG$5&gt;=$C429,AG$5&lt;=$D429,$A429&lt;&gt;""),"●","")</x:f>
      </x:c>
      <x:c r="AH429" s="165" t="str">
        <x:f>IF(AND(AH$5&gt;=$C429,AH$5&lt;=$D429,$A429&lt;&gt;""),"●","")</x:f>
      </x:c>
      <x:c r="AI429" s="165" t="str">
        <x:f>IF(AND(AI$5&gt;=$C429,AI$5&lt;=$D429,$A429&lt;&gt;""),"●","")</x:f>
      </x:c>
      <x:c r="AJ429" s="165" t="str">
        <x:f>IF(AND(AJ$5&gt;=$C429,AJ$5&lt;=$D429,$A429&lt;&gt;""),"●","")</x:f>
      </x:c>
      <x:c r="AK429" s="165" t="str">
        <x:f>IF(AND(AK$5&gt;=$C429,AK$5&lt;=$D429,$A429&lt;&gt;""),"●","")</x:f>
      </x:c>
      <x:c r="AL429" s="165" t="str">
        <x:f>IF(AND(AL$5&gt;=$C429,AL$5&lt;=$D429,$A429&lt;&gt;""),"●","")</x:f>
      </x:c>
      <x:c r="AM429" s="165" t="str">
        <x:f>IF(AND(AM$5&gt;=$C429,AM$5&lt;=$D429,$A429&lt;&gt;""),"●","")</x:f>
      </x:c>
      <x:c r="AN429" s="165" t="str">
        <x:f>IF(AND(AN$5&gt;=$C429,AN$5&lt;=$D429,$A429&lt;&gt;""),"●","")</x:f>
      </x:c>
      <x:c r="AO429" s="165" t="str">
        <x:f>IF(AND(AO$5&gt;=$C429,AO$5&lt;=$D429,$A429&lt;&gt;""),"●","")</x:f>
      </x:c>
      <x:c r="AP429" s="165" t="str">
        <x:f>IF(AND(AP$5&gt;=$C429,AP$5&lt;=$D429,$A429&lt;&gt;""),"●","")</x:f>
      </x:c>
      <x:c r="AQ429" s="165" t="str">
        <x:f>IF(AND(AQ$5&gt;=$C429,AQ$5&lt;=$D429,$A429&lt;&gt;""),"●","")</x:f>
      </x:c>
      <x:c r="AR429" s="165" t="str">
        <x:f>IF(AND(AR$5&gt;=$C429,AR$5&lt;=$D429,$A429&lt;&gt;""),"●","")</x:f>
      </x:c>
      <x:c r="AS429" s="165" t="str">
        <x:f>IF(AND(AS$5&gt;=$C429,AS$5&lt;=$D429,$A429&lt;&gt;""),"●","")</x:f>
      </x:c>
      <x:c r="AT429" s="165" t="str">
        <x:f>IF(AND(AT$5&gt;=$C429,AT$5&lt;=$D429,$A429&lt;&gt;""),"●","")</x:f>
      </x:c>
      <x:c r="AU429" s="165" t="str">
        <x:f>IF(AND(AU$5&gt;=$C429,AU$5&lt;=$D429,$A429&lt;&gt;""),"●","")</x:f>
      </x:c>
      <x:c r="AV429" s="165" t="str">
        <x:f>IF(AND(AV$5&gt;=$C429,AV$5&lt;=$D429,$A429&lt;&gt;""),"●","")</x:f>
      </x:c>
      <x:c r="AW429" s="165" t="str">
        <x:f>IF(AND(AW$5&gt;=$C429,AW$5&lt;=$D429,$A429&lt;&gt;""),"●","")</x:f>
      </x:c>
      <x:c r="AX429" s="165" t="str">
        <x:f>IF(AND(AX$5&gt;=$C429,AX$5&lt;=$D429,$A429&lt;&gt;""),"●","")</x:f>
      </x:c>
      <x:c r="AY429" s="165" t="str">
        <x:f>IF(AND(AY$5&gt;=$C429,AY$5&lt;=$D429,$A429&lt;&gt;""),"●","")</x:f>
      </x:c>
      <x:c r="AZ429" s="165" t="str">
        <x:f>IF(AND(AZ$5&gt;=$C429,AZ$5&lt;=$D429,$A429&lt;&gt;""),"●","")</x:f>
      </x:c>
      <x:c r="BA429" s="165" t="str">
        <x:f>IF(AND(BA$5&gt;=$C429,BA$5&lt;=$D429,$A429&lt;&gt;""),"●","")</x:f>
      </x:c>
      <x:c r="BB429" s="165" t="str">
        <x:f>IF(AND(BB$5&gt;=$C429,BB$5&lt;=$D429,$A429&lt;&gt;""),"●","")</x:f>
      </x:c>
      <x:c r="BC429" s="165" t="str">
        <x:f>IF(AND(BC$5&gt;=$C429,BC$5&lt;=$D429,$A429&lt;&gt;""),"●","")</x:f>
      </x:c>
      <x:c r="BD429" s="165" t="str">
        <x:f>IF(AND(BD$5&gt;=$C429,BD$5&lt;=$D429,$A429&lt;&gt;""),"●","")</x:f>
      </x:c>
      <x:c r="BE429" s="165" t="str">
        <x:f>IF(AND(BE$5&gt;=$C429,BE$5&lt;=$D429,$A429&lt;&gt;""),"●","")</x:f>
      </x:c>
      <x:c r="BF429" s="165" t="str">
        <x:f>IF(AND(BF$5&gt;=$C429,BF$5&lt;=$D429,$A429&lt;&gt;""),"●","")</x:f>
      </x:c>
      <x:c r="BG429" s="165" t="str">
        <x:f>IF(AND(BG$5&gt;=$C429,BG$5&lt;=$D429,$A429&lt;&gt;""),"●","")</x:f>
      </x:c>
      <x:c r="BH429" s="165" t="str">
        <x:f>IF(AND(BH$5&gt;=$C429,BH$5&lt;=$D429,$A429&lt;&gt;""),"●","")</x:f>
      </x:c>
      <x:c r="BI429" s="165" t="str">
        <x:f>IF(AND(BI$5&gt;=$C429,BI$5&lt;=$D429,$A429&lt;&gt;""),"●","")</x:f>
      </x:c>
      <x:c r="BJ429" s="165" t="str">
        <x:f>IF(AND(BJ$5&gt;=$C429,BJ$5&lt;=$D429,$A429&lt;&gt;""),"●","")</x:f>
      </x:c>
      <x:c r="BK429" s="165" t="str">
        <x:f>IF(AND(BK$5&gt;=$C429,BK$5&lt;=$D429,$A429&lt;&gt;""),"●","")</x:f>
      </x:c>
      <x:c r="BL429" s="165" t="str">
        <x:f>IF(AND(BL$5&gt;=$C429,BL$5&lt;=$D429,$A429&lt;&gt;""),"●","")</x:f>
      </x:c>
      <x:c r="BM429" s="165" t="str">
        <x:f>IF(AND(BM$5&gt;=$C429,BM$5&lt;=$D429,$A429&lt;&gt;""),"●","")</x:f>
      </x:c>
      <x:c r="BN429" s="165" t="str">
        <x:f>IF(AND(BN$5&gt;=$C429,BN$5&lt;=$D429,$A429&lt;&gt;""),"●","")</x:f>
      </x:c>
      <x:c r="BO429" s="165" t="str">
        <x:f>IF(AND(BO$5&gt;=$C429,BO$5&lt;=$D429,$A429&lt;&gt;""),"●","")</x:f>
      </x:c>
      <x:c r="BP429" s="165" t="str">
        <x:f>IF(AND(BP$5&gt;=$C429,BP$5&lt;=$D429,$A429&lt;&gt;""),"●","")</x:f>
      </x:c>
      <x:c r="BQ429" s="165" t="str">
        <x:f>IF(AND(BQ$5&gt;=$C429,BQ$5&lt;=$D429,$A429&lt;&gt;""),"●","")</x:f>
      </x:c>
      <x:c r="BR429" s="165" t="str">
        <x:f>IF(AND(BR$5&gt;=$C429,BR$5&lt;=$D429,$A429&lt;&gt;""),"●","")</x:f>
      </x:c>
      <x:c r="BS429" s="165" t="str">
        <x:f>IF(AND(BS$5&gt;=$C429,BS$5&lt;=$D429,$A429&lt;&gt;""),"●","")</x:f>
      </x:c>
      <x:c r="BT429" s="165" t="str">
        <x:f>IF(AND(BT$5&gt;=$C429,BT$5&lt;=$D429,$A429&lt;&gt;""),"●","")</x:f>
      </x:c>
      <x:c r="BU429" s="165" t="str">
        <x:f>IF(AND(BU$5&gt;=$C429,BU$5&lt;=$D429,$A429&lt;&gt;""),"●","")</x:f>
      </x:c>
      <x:c r="BV429" s="165" t="str">
        <x:f>IF(AND(BV$5&gt;=$C429,BV$5&lt;=$D429,$A429&lt;&gt;""),"●","")</x:f>
      </x:c>
      <x:c r="BW429" s="165" t="str">
        <x:f>IF(AND(BW$5&gt;=$C429,BW$5&lt;=$D429,$A429&lt;&gt;""),"●","")</x:f>
      </x:c>
    </x:row>
    <x:row r="430">
      <x:c r="A430" s="159" t="str">
        <x:f>IF('รายการสัญญา'!A430="","",'รายการสัญญา'!A430)</x:f>
      </x:c>
      <x:c r="B430" s="159" t="str">
        <x:f>IF('รายการสัญญา'!A430="","",'รายการสัญญา'!C430)</x:f>
      </x:c>
      <x:c r="C430" s="162" t="str">
        <x:f>IF('รายการสัญญา'!A430="","",'รายการสัญญา'!E430)</x:f>
      </x:c>
      <x:c r="D430" s="162" t="str">
        <x:f>IF('รายการสัญญา'!A430="","",'รายการสัญญา'!G430)</x:f>
      </x:c>
      <x:c r="E430" s="159" t="str">
        <x:f>IF('รายการสัญญา'!A430="","",'รายการสัญญา'!K430)</x:f>
      </x:c>
      <x:c r="F430" s="165" t="str">
        <x:f>IF(AND(F$5&gt;=$C430,F$5&lt;=$D430,$A430&lt;&gt;""),"●","")</x:f>
      </x:c>
      <x:c r="G430" s="165" t="str">
        <x:f>IF(AND(G$5&gt;=$C430,G$5&lt;=$D430,$A430&lt;&gt;""),"●","")</x:f>
      </x:c>
      <x:c r="H430" s="165" t="str">
        <x:f>IF(AND(H$5&gt;=$C430,H$5&lt;=$D430,$A430&lt;&gt;""),"●","")</x:f>
      </x:c>
      <x:c r="I430" s="165" t="str">
        <x:f>IF(AND(I$5&gt;=$C430,I$5&lt;=$D430,$A430&lt;&gt;""),"●","")</x:f>
      </x:c>
      <x:c r="J430" s="165" t="str">
        <x:f>IF(AND(J$5&gt;=$C430,J$5&lt;=$D430,$A430&lt;&gt;""),"●","")</x:f>
      </x:c>
      <x:c r="K430" s="165" t="str">
        <x:f>IF(AND(K$5&gt;=$C430,K$5&lt;=$D430,$A430&lt;&gt;""),"●","")</x:f>
      </x:c>
      <x:c r="L430" s="165" t="str">
        <x:f>IF(AND(L$5&gt;=$C430,L$5&lt;=$D430,$A430&lt;&gt;""),"●","")</x:f>
      </x:c>
      <x:c r="M430" s="165" t="str">
        <x:f>IF(AND(M$5&gt;=$C430,M$5&lt;=$D430,$A430&lt;&gt;""),"●","")</x:f>
      </x:c>
      <x:c r="N430" s="165" t="str">
        <x:f>IF(AND(N$5&gt;=$C430,N$5&lt;=$D430,$A430&lt;&gt;""),"●","")</x:f>
      </x:c>
      <x:c r="O430" s="165" t="str">
        <x:f>IF(AND(O$5&gt;=$C430,O$5&lt;=$D430,$A430&lt;&gt;""),"●","")</x:f>
      </x:c>
      <x:c r="P430" s="165" t="str">
        <x:f>IF(AND(P$5&gt;=$C430,P$5&lt;=$D430,$A430&lt;&gt;""),"●","")</x:f>
      </x:c>
      <x:c r="Q430" s="165" t="str">
        <x:f>IF(AND(Q$5&gt;=$C430,Q$5&lt;=$D430,$A430&lt;&gt;""),"●","")</x:f>
      </x:c>
      <x:c r="R430" s="165" t="str">
        <x:f>IF(AND(R$5&gt;=$C430,R$5&lt;=$D430,$A430&lt;&gt;""),"●","")</x:f>
      </x:c>
      <x:c r="S430" s="165" t="str">
        <x:f>IF(AND(S$5&gt;=$C430,S$5&lt;=$D430,$A430&lt;&gt;""),"●","")</x:f>
      </x:c>
      <x:c r="T430" s="165" t="str">
        <x:f>IF(AND(T$5&gt;=$C430,T$5&lt;=$D430,$A430&lt;&gt;""),"●","")</x:f>
      </x:c>
      <x:c r="U430" s="165" t="str">
        <x:f>IF(AND(U$5&gt;=$C430,U$5&lt;=$D430,$A430&lt;&gt;""),"●","")</x:f>
      </x:c>
      <x:c r="V430" s="165" t="str">
        <x:f>IF(AND(V$5&gt;=$C430,V$5&lt;=$D430,$A430&lt;&gt;""),"●","")</x:f>
      </x:c>
      <x:c r="W430" s="165" t="str">
        <x:f>IF(AND(W$5&gt;=$C430,W$5&lt;=$D430,$A430&lt;&gt;""),"●","")</x:f>
      </x:c>
      <x:c r="X430" s="165" t="str">
        <x:f>IF(AND(X$5&gt;=$C430,X$5&lt;=$D430,$A430&lt;&gt;""),"●","")</x:f>
      </x:c>
      <x:c r="Y430" s="165" t="str">
        <x:f>IF(AND(Y$5&gt;=$C430,Y$5&lt;=$D430,$A430&lt;&gt;""),"●","")</x:f>
      </x:c>
      <x:c r="Z430" s="165" t="str">
        <x:f>IF(AND(Z$5&gt;=$C430,Z$5&lt;=$D430,$A430&lt;&gt;""),"●","")</x:f>
      </x:c>
      <x:c r="AA430" s="165" t="str">
        <x:f>IF(AND(AA$5&gt;=$C430,AA$5&lt;=$D430,$A430&lt;&gt;""),"●","")</x:f>
      </x:c>
      <x:c r="AB430" s="165" t="str">
        <x:f>IF(AND(AB$5&gt;=$C430,AB$5&lt;=$D430,$A430&lt;&gt;""),"●","")</x:f>
      </x:c>
      <x:c r="AC430" s="165" t="str">
        <x:f>IF(AND(AC$5&gt;=$C430,AC$5&lt;=$D430,$A430&lt;&gt;""),"●","")</x:f>
      </x:c>
      <x:c r="AD430" s="165" t="str">
        <x:f>IF(AND(AD$5&gt;=$C430,AD$5&lt;=$D430,$A430&lt;&gt;""),"●","")</x:f>
      </x:c>
      <x:c r="AE430" s="165" t="str">
        <x:f>IF(AND(AE$5&gt;=$C430,AE$5&lt;=$D430,$A430&lt;&gt;""),"●","")</x:f>
      </x:c>
      <x:c r="AF430" s="165" t="str">
        <x:f>IF(AND(AF$5&gt;=$C430,AF$5&lt;=$D430,$A430&lt;&gt;""),"●","")</x:f>
      </x:c>
      <x:c r="AG430" s="165" t="str">
        <x:f>IF(AND(AG$5&gt;=$C430,AG$5&lt;=$D430,$A430&lt;&gt;""),"●","")</x:f>
      </x:c>
      <x:c r="AH430" s="165" t="str">
        <x:f>IF(AND(AH$5&gt;=$C430,AH$5&lt;=$D430,$A430&lt;&gt;""),"●","")</x:f>
      </x:c>
      <x:c r="AI430" s="165" t="str">
        <x:f>IF(AND(AI$5&gt;=$C430,AI$5&lt;=$D430,$A430&lt;&gt;""),"●","")</x:f>
      </x:c>
      <x:c r="AJ430" s="165" t="str">
        <x:f>IF(AND(AJ$5&gt;=$C430,AJ$5&lt;=$D430,$A430&lt;&gt;""),"●","")</x:f>
      </x:c>
      <x:c r="AK430" s="165" t="str">
        <x:f>IF(AND(AK$5&gt;=$C430,AK$5&lt;=$D430,$A430&lt;&gt;""),"●","")</x:f>
      </x:c>
      <x:c r="AL430" s="165" t="str">
        <x:f>IF(AND(AL$5&gt;=$C430,AL$5&lt;=$D430,$A430&lt;&gt;""),"●","")</x:f>
      </x:c>
      <x:c r="AM430" s="165" t="str">
        <x:f>IF(AND(AM$5&gt;=$C430,AM$5&lt;=$D430,$A430&lt;&gt;""),"●","")</x:f>
      </x:c>
      <x:c r="AN430" s="165" t="str">
        <x:f>IF(AND(AN$5&gt;=$C430,AN$5&lt;=$D430,$A430&lt;&gt;""),"●","")</x:f>
      </x:c>
      <x:c r="AO430" s="165" t="str">
        <x:f>IF(AND(AO$5&gt;=$C430,AO$5&lt;=$D430,$A430&lt;&gt;""),"●","")</x:f>
      </x:c>
      <x:c r="AP430" s="165" t="str">
        <x:f>IF(AND(AP$5&gt;=$C430,AP$5&lt;=$D430,$A430&lt;&gt;""),"●","")</x:f>
      </x:c>
      <x:c r="AQ430" s="165" t="str">
        <x:f>IF(AND(AQ$5&gt;=$C430,AQ$5&lt;=$D430,$A430&lt;&gt;""),"●","")</x:f>
      </x:c>
      <x:c r="AR430" s="165" t="str">
        <x:f>IF(AND(AR$5&gt;=$C430,AR$5&lt;=$D430,$A430&lt;&gt;""),"●","")</x:f>
      </x:c>
      <x:c r="AS430" s="165" t="str">
        <x:f>IF(AND(AS$5&gt;=$C430,AS$5&lt;=$D430,$A430&lt;&gt;""),"●","")</x:f>
      </x:c>
      <x:c r="AT430" s="165" t="str">
        <x:f>IF(AND(AT$5&gt;=$C430,AT$5&lt;=$D430,$A430&lt;&gt;""),"●","")</x:f>
      </x:c>
      <x:c r="AU430" s="165" t="str">
        <x:f>IF(AND(AU$5&gt;=$C430,AU$5&lt;=$D430,$A430&lt;&gt;""),"●","")</x:f>
      </x:c>
      <x:c r="AV430" s="165" t="str">
        <x:f>IF(AND(AV$5&gt;=$C430,AV$5&lt;=$D430,$A430&lt;&gt;""),"●","")</x:f>
      </x:c>
      <x:c r="AW430" s="165" t="str">
        <x:f>IF(AND(AW$5&gt;=$C430,AW$5&lt;=$D430,$A430&lt;&gt;""),"●","")</x:f>
      </x:c>
      <x:c r="AX430" s="165" t="str">
        <x:f>IF(AND(AX$5&gt;=$C430,AX$5&lt;=$D430,$A430&lt;&gt;""),"●","")</x:f>
      </x:c>
      <x:c r="AY430" s="165" t="str">
        <x:f>IF(AND(AY$5&gt;=$C430,AY$5&lt;=$D430,$A430&lt;&gt;""),"●","")</x:f>
      </x:c>
      <x:c r="AZ430" s="165" t="str">
        <x:f>IF(AND(AZ$5&gt;=$C430,AZ$5&lt;=$D430,$A430&lt;&gt;""),"●","")</x:f>
      </x:c>
      <x:c r="BA430" s="165" t="str">
        <x:f>IF(AND(BA$5&gt;=$C430,BA$5&lt;=$D430,$A430&lt;&gt;""),"●","")</x:f>
      </x:c>
      <x:c r="BB430" s="165" t="str">
        <x:f>IF(AND(BB$5&gt;=$C430,BB$5&lt;=$D430,$A430&lt;&gt;""),"●","")</x:f>
      </x:c>
      <x:c r="BC430" s="165" t="str">
        <x:f>IF(AND(BC$5&gt;=$C430,BC$5&lt;=$D430,$A430&lt;&gt;""),"●","")</x:f>
      </x:c>
      <x:c r="BD430" s="165" t="str">
        <x:f>IF(AND(BD$5&gt;=$C430,BD$5&lt;=$D430,$A430&lt;&gt;""),"●","")</x:f>
      </x:c>
      <x:c r="BE430" s="165" t="str">
        <x:f>IF(AND(BE$5&gt;=$C430,BE$5&lt;=$D430,$A430&lt;&gt;""),"●","")</x:f>
      </x:c>
      <x:c r="BF430" s="165" t="str">
        <x:f>IF(AND(BF$5&gt;=$C430,BF$5&lt;=$D430,$A430&lt;&gt;""),"●","")</x:f>
      </x:c>
      <x:c r="BG430" s="165" t="str">
        <x:f>IF(AND(BG$5&gt;=$C430,BG$5&lt;=$D430,$A430&lt;&gt;""),"●","")</x:f>
      </x:c>
      <x:c r="BH430" s="165" t="str">
        <x:f>IF(AND(BH$5&gt;=$C430,BH$5&lt;=$D430,$A430&lt;&gt;""),"●","")</x:f>
      </x:c>
      <x:c r="BI430" s="165" t="str">
        <x:f>IF(AND(BI$5&gt;=$C430,BI$5&lt;=$D430,$A430&lt;&gt;""),"●","")</x:f>
      </x:c>
      <x:c r="BJ430" s="165" t="str">
        <x:f>IF(AND(BJ$5&gt;=$C430,BJ$5&lt;=$D430,$A430&lt;&gt;""),"●","")</x:f>
      </x:c>
      <x:c r="BK430" s="165" t="str">
        <x:f>IF(AND(BK$5&gt;=$C430,BK$5&lt;=$D430,$A430&lt;&gt;""),"●","")</x:f>
      </x:c>
      <x:c r="BL430" s="165" t="str">
        <x:f>IF(AND(BL$5&gt;=$C430,BL$5&lt;=$D430,$A430&lt;&gt;""),"●","")</x:f>
      </x:c>
      <x:c r="BM430" s="165" t="str">
        <x:f>IF(AND(BM$5&gt;=$C430,BM$5&lt;=$D430,$A430&lt;&gt;""),"●","")</x:f>
      </x:c>
      <x:c r="BN430" s="165" t="str">
        <x:f>IF(AND(BN$5&gt;=$C430,BN$5&lt;=$D430,$A430&lt;&gt;""),"●","")</x:f>
      </x:c>
      <x:c r="BO430" s="165" t="str">
        <x:f>IF(AND(BO$5&gt;=$C430,BO$5&lt;=$D430,$A430&lt;&gt;""),"●","")</x:f>
      </x:c>
      <x:c r="BP430" s="165" t="str">
        <x:f>IF(AND(BP$5&gt;=$C430,BP$5&lt;=$D430,$A430&lt;&gt;""),"●","")</x:f>
      </x:c>
      <x:c r="BQ430" s="165" t="str">
        <x:f>IF(AND(BQ$5&gt;=$C430,BQ$5&lt;=$D430,$A430&lt;&gt;""),"●","")</x:f>
      </x:c>
      <x:c r="BR430" s="165" t="str">
        <x:f>IF(AND(BR$5&gt;=$C430,BR$5&lt;=$D430,$A430&lt;&gt;""),"●","")</x:f>
      </x:c>
      <x:c r="BS430" s="165" t="str">
        <x:f>IF(AND(BS$5&gt;=$C430,BS$5&lt;=$D430,$A430&lt;&gt;""),"●","")</x:f>
      </x:c>
      <x:c r="BT430" s="165" t="str">
        <x:f>IF(AND(BT$5&gt;=$C430,BT$5&lt;=$D430,$A430&lt;&gt;""),"●","")</x:f>
      </x:c>
      <x:c r="BU430" s="165" t="str">
        <x:f>IF(AND(BU$5&gt;=$C430,BU$5&lt;=$D430,$A430&lt;&gt;""),"●","")</x:f>
      </x:c>
      <x:c r="BV430" s="165" t="str">
        <x:f>IF(AND(BV$5&gt;=$C430,BV$5&lt;=$D430,$A430&lt;&gt;""),"●","")</x:f>
      </x:c>
      <x:c r="BW430" s="165" t="str">
        <x:f>IF(AND(BW$5&gt;=$C430,BW$5&lt;=$D430,$A430&lt;&gt;""),"●","")</x:f>
      </x:c>
    </x:row>
    <x:row r="431">
      <x:c r="A431" s="159" t="str">
        <x:f>IF('รายการสัญญา'!A431="","",'รายการสัญญา'!A431)</x:f>
      </x:c>
      <x:c r="B431" s="159" t="str">
        <x:f>IF('รายการสัญญา'!A431="","",'รายการสัญญา'!C431)</x:f>
      </x:c>
      <x:c r="C431" s="162" t="str">
        <x:f>IF('รายการสัญญา'!A431="","",'รายการสัญญา'!E431)</x:f>
      </x:c>
      <x:c r="D431" s="162" t="str">
        <x:f>IF('รายการสัญญา'!A431="","",'รายการสัญญา'!G431)</x:f>
      </x:c>
      <x:c r="E431" s="159" t="str">
        <x:f>IF('รายการสัญญา'!A431="","",'รายการสัญญา'!K431)</x:f>
      </x:c>
      <x:c r="F431" s="165" t="str">
        <x:f>IF(AND(F$5&gt;=$C431,F$5&lt;=$D431,$A431&lt;&gt;""),"●","")</x:f>
      </x:c>
      <x:c r="G431" s="165" t="str">
        <x:f>IF(AND(G$5&gt;=$C431,G$5&lt;=$D431,$A431&lt;&gt;""),"●","")</x:f>
      </x:c>
      <x:c r="H431" s="165" t="str">
        <x:f>IF(AND(H$5&gt;=$C431,H$5&lt;=$D431,$A431&lt;&gt;""),"●","")</x:f>
      </x:c>
      <x:c r="I431" s="165" t="str">
        <x:f>IF(AND(I$5&gt;=$C431,I$5&lt;=$D431,$A431&lt;&gt;""),"●","")</x:f>
      </x:c>
      <x:c r="J431" s="165" t="str">
        <x:f>IF(AND(J$5&gt;=$C431,J$5&lt;=$D431,$A431&lt;&gt;""),"●","")</x:f>
      </x:c>
      <x:c r="K431" s="165" t="str">
        <x:f>IF(AND(K$5&gt;=$C431,K$5&lt;=$D431,$A431&lt;&gt;""),"●","")</x:f>
      </x:c>
      <x:c r="L431" s="165" t="str">
        <x:f>IF(AND(L$5&gt;=$C431,L$5&lt;=$D431,$A431&lt;&gt;""),"●","")</x:f>
      </x:c>
      <x:c r="M431" s="165" t="str">
        <x:f>IF(AND(M$5&gt;=$C431,M$5&lt;=$D431,$A431&lt;&gt;""),"●","")</x:f>
      </x:c>
      <x:c r="N431" s="165" t="str">
        <x:f>IF(AND(N$5&gt;=$C431,N$5&lt;=$D431,$A431&lt;&gt;""),"●","")</x:f>
      </x:c>
      <x:c r="O431" s="165" t="str">
        <x:f>IF(AND(O$5&gt;=$C431,O$5&lt;=$D431,$A431&lt;&gt;""),"●","")</x:f>
      </x:c>
      <x:c r="P431" s="165" t="str">
        <x:f>IF(AND(P$5&gt;=$C431,P$5&lt;=$D431,$A431&lt;&gt;""),"●","")</x:f>
      </x:c>
      <x:c r="Q431" s="165" t="str">
        <x:f>IF(AND(Q$5&gt;=$C431,Q$5&lt;=$D431,$A431&lt;&gt;""),"●","")</x:f>
      </x:c>
      <x:c r="R431" s="165" t="str">
        <x:f>IF(AND(R$5&gt;=$C431,R$5&lt;=$D431,$A431&lt;&gt;""),"●","")</x:f>
      </x:c>
      <x:c r="S431" s="165" t="str">
        <x:f>IF(AND(S$5&gt;=$C431,S$5&lt;=$D431,$A431&lt;&gt;""),"●","")</x:f>
      </x:c>
      <x:c r="T431" s="165" t="str">
        <x:f>IF(AND(T$5&gt;=$C431,T$5&lt;=$D431,$A431&lt;&gt;""),"●","")</x:f>
      </x:c>
      <x:c r="U431" s="165" t="str">
        <x:f>IF(AND(U$5&gt;=$C431,U$5&lt;=$D431,$A431&lt;&gt;""),"●","")</x:f>
      </x:c>
      <x:c r="V431" s="165" t="str">
        <x:f>IF(AND(V$5&gt;=$C431,V$5&lt;=$D431,$A431&lt;&gt;""),"●","")</x:f>
      </x:c>
      <x:c r="W431" s="165" t="str">
        <x:f>IF(AND(W$5&gt;=$C431,W$5&lt;=$D431,$A431&lt;&gt;""),"●","")</x:f>
      </x:c>
      <x:c r="X431" s="165" t="str">
        <x:f>IF(AND(X$5&gt;=$C431,X$5&lt;=$D431,$A431&lt;&gt;""),"●","")</x:f>
      </x:c>
      <x:c r="Y431" s="165" t="str">
        <x:f>IF(AND(Y$5&gt;=$C431,Y$5&lt;=$D431,$A431&lt;&gt;""),"●","")</x:f>
      </x:c>
      <x:c r="Z431" s="165" t="str">
        <x:f>IF(AND(Z$5&gt;=$C431,Z$5&lt;=$D431,$A431&lt;&gt;""),"●","")</x:f>
      </x:c>
      <x:c r="AA431" s="165" t="str">
        <x:f>IF(AND(AA$5&gt;=$C431,AA$5&lt;=$D431,$A431&lt;&gt;""),"●","")</x:f>
      </x:c>
      <x:c r="AB431" s="165" t="str">
        <x:f>IF(AND(AB$5&gt;=$C431,AB$5&lt;=$D431,$A431&lt;&gt;""),"●","")</x:f>
      </x:c>
      <x:c r="AC431" s="165" t="str">
        <x:f>IF(AND(AC$5&gt;=$C431,AC$5&lt;=$D431,$A431&lt;&gt;""),"●","")</x:f>
      </x:c>
      <x:c r="AD431" s="165" t="str">
        <x:f>IF(AND(AD$5&gt;=$C431,AD$5&lt;=$D431,$A431&lt;&gt;""),"●","")</x:f>
      </x:c>
      <x:c r="AE431" s="165" t="str">
        <x:f>IF(AND(AE$5&gt;=$C431,AE$5&lt;=$D431,$A431&lt;&gt;""),"●","")</x:f>
      </x:c>
      <x:c r="AF431" s="165" t="str">
        <x:f>IF(AND(AF$5&gt;=$C431,AF$5&lt;=$D431,$A431&lt;&gt;""),"●","")</x:f>
      </x:c>
      <x:c r="AG431" s="165" t="str">
        <x:f>IF(AND(AG$5&gt;=$C431,AG$5&lt;=$D431,$A431&lt;&gt;""),"●","")</x:f>
      </x:c>
      <x:c r="AH431" s="165" t="str">
        <x:f>IF(AND(AH$5&gt;=$C431,AH$5&lt;=$D431,$A431&lt;&gt;""),"●","")</x:f>
      </x:c>
      <x:c r="AI431" s="165" t="str">
        <x:f>IF(AND(AI$5&gt;=$C431,AI$5&lt;=$D431,$A431&lt;&gt;""),"●","")</x:f>
      </x:c>
      <x:c r="AJ431" s="165" t="str">
        <x:f>IF(AND(AJ$5&gt;=$C431,AJ$5&lt;=$D431,$A431&lt;&gt;""),"●","")</x:f>
      </x:c>
      <x:c r="AK431" s="165" t="str">
        <x:f>IF(AND(AK$5&gt;=$C431,AK$5&lt;=$D431,$A431&lt;&gt;""),"●","")</x:f>
      </x:c>
      <x:c r="AL431" s="165" t="str">
        <x:f>IF(AND(AL$5&gt;=$C431,AL$5&lt;=$D431,$A431&lt;&gt;""),"●","")</x:f>
      </x:c>
      <x:c r="AM431" s="165" t="str">
        <x:f>IF(AND(AM$5&gt;=$C431,AM$5&lt;=$D431,$A431&lt;&gt;""),"●","")</x:f>
      </x:c>
      <x:c r="AN431" s="165" t="str">
        <x:f>IF(AND(AN$5&gt;=$C431,AN$5&lt;=$D431,$A431&lt;&gt;""),"●","")</x:f>
      </x:c>
      <x:c r="AO431" s="165" t="str">
        <x:f>IF(AND(AO$5&gt;=$C431,AO$5&lt;=$D431,$A431&lt;&gt;""),"●","")</x:f>
      </x:c>
      <x:c r="AP431" s="165" t="str">
        <x:f>IF(AND(AP$5&gt;=$C431,AP$5&lt;=$D431,$A431&lt;&gt;""),"●","")</x:f>
      </x:c>
      <x:c r="AQ431" s="165" t="str">
        <x:f>IF(AND(AQ$5&gt;=$C431,AQ$5&lt;=$D431,$A431&lt;&gt;""),"●","")</x:f>
      </x:c>
      <x:c r="AR431" s="165" t="str">
        <x:f>IF(AND(AR$5&gt;=$C431,AR$5&lt;=$D431,$A431&lt;&gt;""),"●","")</x:f>
      </x:c>
      <x:c r="AS431" s="165" t="str">
        <x:f>IF(AND(AS$5&gt;=$C431,AS$5&lt;=$D431,$A431&lt;&gt;""),"●","")</x:f>
      </x:c>
      <x:c r="AT431" s="165" t="str">
        <x:f>IF(AND(AT$5&gt;=$C431,AT$5&lt;=$D431,$A431&lt;&gt;""),"●","")</x:f>
      </x:c>
      <x:c r="AU431" s="165" t="str">
        <x:f>IF(AND(AU$5&gt;=$C431,AU$5&lt;=$D431,$A431&lt;&gt;""),"●","")</x:f>
      </x:c>
      <x:c r="AV431" s="165" t="str">
        <x:f>IF(AND(AV$5&gt;=$C431,AV$5&lt;=$D431,$A431&lt;&gt;""),"●","")</x:f>
      </x:c>
      <x:c r="AW431" s="165" t="str">
        <x:f>IF(AND(AW$5&gt;=$C431,AW$5&lt;=$D431,$A431&lt;&gt;""),"●","")</x:f>
      </x:c>
      <x:c r="AX431" s="165" t="str">
        <x:f>IF(AND(AX$5&gt;=$C431,AX$5&lt;=$D431,$A431&lt;&gt;""),"●","")</x:f>
      </x:c>
      <x:c r="AY431" s="165" t="str">
        <x:f>IF(AND(AY$5&gt;=$C431,AY$5&lt;=$D431,$A431&lt;&gt;""),"●","")</x:f>
      </x:c>
      <x:c r="AZ431" s="165" t="str">
        <x:f>IF(AND(AZ$5&gt;=$C431,AZ$5&lt;=$D431,$A431&lt;&gt;""),"●","")</x:f>
      </x:c>
      <x:c r="BA431" s="165" t="str">
        <x:f>IF(AND(BA$5&gt;=$C431,BA$5&lt;=$D431,$A431&lt;&gt;""),"●","")</x:f>
      </x:c>
      <x:c r="BB431" s="165" t="str">
        <x:f>IF(AND(BB$5&gt;=$C431,BB$5&lt;=$D431,$A431&lt;&gt;""),"●","")</x:f>
      </x:c>
      <x:c r="BC431" s="165" t="str">
        <x:f>IF(AND(BC$5&gt;=$C431,BC$5&lt;=$D431,$A431&lt;&gt;""),"●","")</x:f>
      </x:c>
      <x:c r="BD431" s="165" t="str">
        <x:f>IF(AND(BD$5&gt;=$C431,BD$5&lt;=$D431,$A431&lt;&gt;""),"●","")</x:f>
      </x:c>
      <x:c r="BE431" s="165" t="str">
        <x:f>IF(AND(BE$5&gt;=$C431,BE$5&lt;=$D431,$A431&lt;&gt;""),"●","")</x:f>
      </x:c>
      <x:c r="BF431" s="165" t="str">
        <x:f>IF(AND(BF$5&gt;=$C431,BF$5&lt;=$D431,$A431&lt;&gt;""),"●","")</x:f>
      </x:c>
      <x:c r="BG431" s="165" t="str">
        <x:f>IF(AND(BG$5&gt;=$C431,BG$5&lt;=$D431,$A431&lt;&gt;""),"●","")</x:f>
      </x:c>
      <x:c r="BH431" s="165" t="str">
        <x:f>IF(AND(BH$5&gt;=$C431,BH$5&lt;=$D431,$A431&lt;&gt;""),"●","")</x:f>
      </x:c>
      <x:c r="BI431" s="165" t="str">
        <x:f>IF(AND(BI$5&gt;=$C431,BI$5&lt;=$D431,$A431&lt;&gt;""),"●","")</x:f>
      </x:c>
      <x:c r="BJ431" s="165" t="str">
        <x:f>IF(AND(BJ$5&gt;=$C431,BJ$5&lt;=$D431,$A431&lt;&gt;""),"●","")</x:f>
      </x:c>
      <x:c r="BK431" s="165" t="str">
        <x:f>IF(AND(BK$5&gt;=$C431,BK$5&lt;=$D431,$A431&lt;&gt;""),"●","")</x:f>
      </x:c>
      <x:c r="BL431" s="165" t="str">
        <x:f>IF(AND(BL$5&gt;=$C431,BL$5&lt;=$D431,$A431&lt;&gt;""),"●","")</x:f>
      </x:c>
      <x:c r="BM431" s="165" t="str">
        <x:f>IF(AND(BM$5&gt;=$C431,BM$5&lt;=$D431,$A431&lt;&gt;""),"●","")</x:f>
      </x:c>
      <x:c r="BN431" s="165" t="str">
        <x:f>IF(AND(BN$5&gt;=$C431,BN$5&lt;=$D431,$A431&lt;&gt;""),"●","")</x:f>
      </x:c>
      <x:c r="BO431" s="165" t="str">
        <x:f>IF(AND(BO$5&gt;=$C431,BO$5&lt;=$D431,$A431&lt;&gt;""),"●","")</x:f>
      </x:c>
      <x:c r="BP431" s="165" t="str">
        <x:f>IF(AND(BP$5&gt;=$C431,BP$5&lt;=$D431,$A431&lt;&gt;""),"●","")</x:f>
      </x:c>
      <x:c r="BQ431" s="165" t="str">
        <x:f>IF(AND(BQ$5&gt;=$C431,BQ$5&lt;=$D431,$A431&lt;&gt;""),"●","")</x:f>
      </x:c>
      <x:c r="BR431" s="165" t="str">
        <x:f>IF(AND(BR$5&gt;=$C431,BR$5&lt;=$D431,$A431&lt;&gt;""),"●","")</x:f>
      </x:c>
      <x:c r="BS431" s="165" t="str">
        <x:f>IF(AND(BS$5&gt;=$C431,BS$5&lt;=$D431,$A431&lt;&gt;""),"●","")</x:f>
      </x:c>
      <x:c r="BT431" s="165" t="str">
        <x:f>IF(AND(BT$5&gt;=$C431,BT$5&lt;=$D431,$A431&lt;&gt;""),"●","")</x:f>
      </x:c>
      <x:c r="BU431" s="165" t="str">
        <x:f>IF(AND(BU$5&gt;=$C431,BU$5&lt;=$D431,$A431&lt;&gt;""),"●","")</x:f>
      </x:c>
      <x:c r="BV431" s="165" t="str">
        <x:f>IF(AND(BV$5&gt;=$C431,BV$5&lt;=$D431,$A431&lt;&gt;""),"●","")</x:f>
      </x:c>
      <x:c r="BW431" s="165" t="str">
        <x:f>IF(AND(BW$5&gt;=$C431,BW$5&lt;=$D431,$A431&lt;&gt;""),"●","")</x:f>
      </x:c>
    </x:row>
    <x:row r="432">
      <x:c r="A432" s="159" t="str">
        <x:f>IF('รายการสัญญา'!A432="","",'รายการสัญญา'!A432)</x:f>
      </x:c>
      <x:c r="B432" s="159" t="str">
        <x:f>IF('รายการสัญญา'!A432="","",'รายการสัญญา'!C432)</x:f>
      </x:c>
      <x:c r="C432" s="162" t="str">
        <x:f>IF('รายการสัญญา'!A432="","",'รายการสัญญา'!E432)</x:f>
      </x:c>
      <x:c r="D432" s="162" t="str">
        <x:f>IF('รายการสัญญา'!A432="","",'รายการสัญญา'!G432)</x:f>
      </x:c>
      <x:c r="E432" s="159" t="str">
        <x:f>IF('รายการสัญญา'!A432="","",'รายการสัญญา'!K432)</x:f>
      </x:c>
      <x:c r="F432" s="165" t="str">
        <x:f>IF(AND(F$5&gt;=$C432,F$5&lt;=$D432,$A432&lt;&gt;""),"●","")</x:f>
      </x:c>
      <x:c r="G432" s="165" t="str">
        <x:f>IF(AND(G$5&gt;=$C432,G$5&lt;=$D432,$A432&lt;&gt;""),"●","")</x:f>
      </x:c>
      <x:c r="H432" s="165" t="str">
        <x:f>IF(AND(H$5&gt;=$C432,H$5&lt;=$D432,$A432&lt;&gt;""),"●","")</x:f>
      </x:c>
      <x:c r="I432" s="165" t="str">
        <x:f>IF(AND(I$5&gt;=$C432,I$5&lt;=$D432,$A432&lt;&gt;""),"●","")</x:f>
      </x:c>
      <x:c r="J432" s="165" t="str">
        <x:f>IF(AND(J$5&gt;=$C432,J$5&lt;=$D432,$A432&lt;&gt;""),"●","")</x:f>
      </x:c>
      <x:c r="K432" s="165" t="str">
        <x:f>IF(AND(K$5&gt;=$C432,K$5&lt;=$D432,$A432&lt;&gt;""),"●","")</x:f>
      </x:c>
      <x:c r="L432" s="165" t="str">
        <x:f>IF(AND(L$5&gt;=$C432,L$5&lt;=$D432,$A432&lt;&gt;""),"●","")</x:f>
      </x:c>
      <x:c r="M432" s="165" t="str">
        <x:f>IF(AND(M$5&gt;=$C432,M$5&lt;=$D432,$A432&lt;&gt;""),"●","")</x:f>
      </x:c>
      <x:c r="N432" s="165" t="str">
        <x:f>IF(AND(N$5&gt;=$C432,N$5&lt;=$D432,$A432&lt;&gt;""),"●","")</x:f>
      </x:c>
      <x:c r="O432" s="165" t="str">
        <x:f>IF(AND(O$5&gt;=$C432,O$5&lt;=$D432,$A432&lt;&gt;""),"●","")</x:f>
      </x:c>
      <x:c r="P432" s="165" t="str">
        <x:f>IF(AND(P$5&gt;=$C432,P$5&lt;=$D432,$A432&lt;&gt;""),"●","")</x:f>
      </x:c>
      <x:c r="Q432" s="165" t="str">
        <x:f>IF(AND(Q$5&gt;=$C432,Q$5&lt;=$D432,$A432&lt;&gt;""),"●","")</x:f>
      </x:c>
      <x:c r="R432" s="165" t="str">
        <x:f>IF(AND(R$5&gt;=$C432,R$5&lt;=$D432,$A432&lt;&gt;""),"●","")</x:f>
      </x:c>
      <x:c r="S432" s="165" t="str">
        <x:f>IF(AND(S$5&gt;=$C432,S$5&lt;=$D432,$A432&lt;&gt;""),"●","")</x:f>
      </x:c>
      <x:c r="T432" s="165" t="str">
        <x:f>IF(AND(T$5&gt;=$C432,T$5&lt;=$D432,$A432&lt;&gt;""),"●","")</x:f>
      </x:c>
      <x:c r="U432" s="165" t="str">
        <x:f>IF(AND(U$5&gt;=$C432,U$5&lt;=$D432,$A432&lt;&gt;""),"●","")</x:f>
      </x:c>
      <x:c r="V432" s="165" t="str">
        <x:f>IF(AND(V$5&gt;=$C432,V$5&lt;=$D432,$A432&lt;&gt;""),"●","")</x:f>
      </x:c>
      <x:c r="W432" s="165" t="str">
        <x:f>IF(AND(W$5&gt;=$C432,W$5&lt;=$D432,$A432&lt;&gt;""),"●","")</x:f>
      </x:c>
      <x:c r="X432" s="165" t="str">
        <x:f>IF(AND(X$5&gt;=$C432,X$5&lt;=$D432,$A432&lt;&gt;""),"●","")</x:f>
      </x:c>
      <x:c r="Y432" s="165" t="str">
        <x:f>IF(AND(Y$5&gt;=$C432,Y$5&lt;=$D432,$A432&lt;&gt;""),"●","")</x:f>
      </x:c>
      <x:c r="Z432" s="165" t="str">
        <x:f>IF(AND(Z$5&gt;=$C432,Z$5&lt;=$D432,$A432&lt;&gt;""),"●","")</x:f>
      </x:c>
      <x:c r="AA432" s="165" t="str">
        <x:f>IF(AND(AA$5&gt;=$C432,AA$5&lt;=$D432,$A432&lt;&gt;""),"●","")</x:f>
      </x:c>
      <x:c r="AB432" s="165" t="str">
        <x:f>IF(AND(AB$5&gt;=$C432,AB$5&lt;=$D432,$A432&lt;&gt;""),"●","")</x:f>
      </x:c>
      <x:c r="AC432" s="165" t="str">
        <x:f>IF(AND(AC$5&gt;=$C432,AC$5&lt;=$D432,$A432&lt;&gt;""),"●","")</x:f>
      </x:c>
      <x:c r="AD432" s="165" t="str">
        <x:f>IF(AND(AD$5&gt;=$C432,AD$5&lt;=$D432,$A432&lt;&gt;""),"●","")</x:f>
      </x:c>
      <x:c r="AE432" s="165" t="str">
        <x:f>IF(AND(AE$5&gt;=$C432,AE$5&lt;=$D432,$A432&lt;&gt;""),"●","")</x:f>
      </x:c>
      <x:c r="AF432" s="165" t="str">
        <x:f>IF(AND(AF$5&gt;=$C432,AF$5&lt;=$D432,$A432&lt;&gt;""),"●","")</x:f>
      </x:c>
      <x:c r="AG432" s="165" t="str">
        <x:f>IF(AND(AG$5&gt;=$C432,AG$5&lt;=$D432,$A432&lt;&gt;""),"●","")</x:f>
      </x:c>
      <x:c r="AH432" s="165" t="str">
        <x:f>IF(AND(AH$5&gt;=$C432,AH$5&lt;=$D432,$A432&lt;&gt;""),"●","")</x:f>
      </x:c>
      <x:c r="AI432" s="165" t="str">
        <x:f>IF(AND(AI$5&gt;=$C432,AI$5&lt;=$D432,$A432&lt;&gt;""),"●","")</x:f>
      </x:c>
      <x:c r="AJ432" s="165" t="str">
        <x:f>IF(AND(AJ$5&gt;=$C432,AJ$5&lt;=$D432,$A432&lt;&gt;""),"●","")</x:f>
      </x:c>
      <x:c r="AK432" s="165" t="str">
        <x:f>IF(AND(AK$5&gt;=$C432,AK$5&lt;=$D432,$A432&lt;&gt;""),"●","")</x:f>
      </x:c>
      <x:c r="AL432" s="165" t="str">
        <x:f>IF(AND(AL$5&gt;=$C432,AL$5&lt;=$D432,$A432&lt;&gt;""),"●","")</x:f>
      </x:c>
      <x:c r="AM432" s="165" t="str">
        <x:f>IF(AND(AM$5&gt;=$C432,AM$5&lt;=$D432,$A432&lt;&gt;""),"●","")</x:f>
      </x:c>
      <x:c r="AN432" s="165" t="str">
        <x:f>IF(AND(AN$5&gt;=$C432,AN$5&lt;=$D432,$A432&lt;&gt;""),"●","")</x:f>
      </x:c>
      <x:c r="AO432" s="165" t="str">
        <x:f>IF(AND(AO$5&gt;=$C432,AO$5&lt;=$D432,$A432&lt;&gt;""),"●","")</x:f>
      </x:c>
      <x:c r="AP432" s="165" t="str">
        <x:f>IF(AND(AP$5&gt;=$C432,AP$5&lt;=$D432,$A432&lt;&gt;""),"●","")</x:f>
      </x:c>
      <x:c r="AQ432" s="165" t="str">
        <x:f>IF(AND(AQ$5&gt;=$C432,AQ$5&lt;=$D432,$A432&lt;&gt;""),"●","")</x:f>
      </x:c>
      <x:c r="AR432" s="165" t="str">
        <x:f>IF(AND(AR$5&gt;=$C432,AR$5&lt;=$D432,$A432&lt;&gt;""),"●","")</x:f>
      </x:c>
      <x:c r="AS432" s="165" t="str">
        <x:f>IF(AND(AS$5&gt;=$C432,AS$5&lt;=$D432,$A432&lt;&gt;""),"●","")</x:f>
      </x:c>
      <x:c r="AT432" s="165" t="str">
        <x:f>IF(AND(AT$5&gt;=$C432,AT$5&lt;=$D432,$A432&lt;&gt;""),"●","")</x:f>
      </x:c>
      <x:c r="AU432" s="165" t="str">
        <x:f>IF(AND(AU$5&gt;=$C432,AU$5&lt;=$D432,$A432&lt;&gt;""),"●","")</x:f>
      </x:c>
      <x:c r="AV432" s="165" t="str">
        <x:f>IF(AND(AV$5&gt;=$C432,AV$5&lt;=$D432,$A432&lt;&gt;""),"●","")</x:f>
      </x:c>
      <x:c r="AW432" s="165" t="str">
        <x:f>IF(AND(AW$5&gt;=$C432,AW$5&lt;=$D432,$A432&lt;&gt;""),"●","")</x:f>
      </x:c>
      <x:c r="AX432" s="165" t="str">
        <x:f>IF(AND(AX$5&gt;=$C432,AX$5&lt;=$D432,$A432&lt;&gt;""),"●","")</x:f>
      </x:c>
      <x:c r="AY432" s="165" t="str">
        <x:f>IF(AND(AY$5&gt;=$C432,AY$5&lt;=$D432,$A432&lt;&gt;""),"●","")</x:f>
      </x:c>
      <x:c r="AZ432" s="165" t="str">
        <x:f>IF(AND(AZ$5&gt;=$C432,AZ$5&lt;=$D432,$A432&lt;&gt;""),"●","")</x:f>
      </x:c>
      <x:c r="BA432" s="165" t="str">
        <x:f>IF(AND(BA$5&gt;=$C432,BA$5&lt;=$D432,$A432&lt;&gt;""),"●","")</x:f>
      </x:c>
      <x:c r="BB432" s="165" t="str">
        <x:f>IF(AND(BB$5&gt;=$C432,BB$5&lt;=$D432,$A432&lt;&gt;""),"●","")</x:f>
      </x:c>
      <x:c r="BC432" s="165" t="str">
        <x:f>IF(AND(BC$5&gt;=$C432,BC$5&lt;=$D432,$A432&lt;&gt;""),"●","")</x:f>
      </x:c>
      <x:c r="BD432" s="165" t="str">
        <x:f>IF(AND(BD$5&gt;=$C432,BD$5&lt;=$D432,$A432&lt;&gt;""),"●","")</x:f>
      </x:c>
      <x:c r="BE432" s="165" t="str">
        <x:f>IF(AND(BE$5&gt;=$C432,BE$5&lt;=$D432,$A432&lt;&gt;""),"●","")</x:f>
      </x:c>
      <x:c r="BF432" s="165" t="str">
        <x:f>IF(AND(BF$5&gt;=$C432,BF$5&lt;=$D432,$A432&lt;&gt;""),"●","")</x:f>
      </x:c>
      <x:c r="BG432" s="165" t="str">
        <x:f>IF(AND(BG$5&gt;=$C432,BG$5&lt;=$D432,$A432&lt;&gt;""),"●","")</x:f>
      </x:c>
      <x:c r="BH432" s="165" t="str">
        <x:f>IF(AND(BH$5&gt;=$C432,BH$5&lt;=$D432,$A432&lt;&gt;""),"●","")</x:f>
      </x:c>
      <x:c r="BI432" s="165" t="str">
        <x:f>IF(AND(BI$5&gt;=$C432,BI$5&lt;=$D432,$A432&lt;&gt;""),"●","")</x:f>
      </x:c>
      <x:c r="BJ432" s="165" t="str">
        <x:f>IF(AND(BJ$5&gt;=$C432,BJ$5&lt;=$D432,$A432&lt;&gt;""),"●","")</x:f>
      </x:c>
      <x:c r="BK432" s="165" t="str">
        <x:f>IF(AND(BK$5&gt;=$C432,BK$5&lt;=$D432,$A432&lt;&gt;""),"●","")</x:f>
      </x:c>
      <x:c r="BL432" s="165" t="str">
        <x:f>IF(AND(BL$5&gt;=$C432,BL$5&lt;=$D432,$A432&lt;&gt;""),"●","")</x:f>
      </x:c>
      <x:c r="BM432" s="165" t="str">
        <x:f>IF(AND(BM$5&gt;=$C432,BM$5&lt;=$D432,$A432&lt;&gt;""),"●","")</x:f>
      </x:c>
      <x:c r="BN432" s="165" t="str">
        <x:f>IF(AND(BN$5&gt;=$C432,BN$5&lt;=$D432,$A432&lt;&gt;""),"●","")</x:f>
      </x:c>
      <x:c r="BO432" s="165" t="str">
        <x:f>IF(AND(BO$5&gt;=$C432,BO$5&lt;=$D432,$A432&lt;&gt;""),"●","")</x:f>
      </x:c>
      <x:c r="BP432" s="165" t="str">
        <x:f>IF(AND(BP$5&gt;=$C432,BP$5&lt;=$D432,$A432&lt;&gt;""),"●","")</x:f>
      </x:c>
      <x:c r="BQ432" s="165" t="str">
        <x:f>IF(AND(BQ$5&gt;=$C432,BQ$5&lt;=$D432,$A432&lt;&gt;""),"●","")</x:f>
      </x:c>
      <x:c r="BR432" s="165" t="str">
        <x:f>IF(AND(BR$5&gt;=$C432,BR$5&lt;=$D432,$A432&lt;&gt;""),"●","")</x:f>
      </x:c>
      <x:c r="BS432" s="165" t="str">
        <x:f>IF(AND(BS$5&gt;=$C432,BS$5&lt;=$D432,$A432&lt;&gt;""),"●","")</x:f>
      </x:c>
      <x:c r="BT432" s="165" t="str">
        <x:f>IF(AND(BT$5&gt;=$C432,BT$5&lt;=$D432,$A432&lt;&gt;""),"●","")</x:f>
      </x:c>
      <x:c r="BU432" s="165" t="str">
        <x:f>IF(AND(BU$5&gt;=$C432,BU$5&lt;=$D432,$A432&lt;&gt;""),"●","")</x:f>
      </x:c>
      <x:c r="BV432" s="165" t="str">
        <x:f>IF(AND(BV$5&gt;=$C432,BV$5&lt;=$D432,$A432&lt;&gt;""),"●","")</x:f>
      </x:c>
      <x:c r="BW432" s="165" t="str">
        <x:f>IF(AND(BW$5&gt;=$C432,BW$5&lt;=$D432,$A432&lt;&gt;""),"●","")</x:f>
      </x:c>
    </x:row>
    <x:row r="433">
      <x:c r="A433" s="159" t="str">
        <x:f>IF('รายการสัญญา'!A433="","",'รายการสัญญา'!A433)</x:f>
      </x:c>
      <x:c r="B433" s="159" t="str">
        <x:f>IF('รายการสัญญา'!A433="","",'รายการสัญญา'!C433)</x:f>
      </x:c>
      <x:c r="C433" s="162" t="str">
        <x:f>IF('รายการสัญญา'!A433="","",'รายการสัญญา'!E433)</x:f>
      </x:c>
      <x:c r="D433" s="162" t="str">
        <x:f>IF('รายการสัญญา'!A433="","",'รายการสัญญา'!G433)</x:f>
      </x:c>
      <x:c r="E433" s="159" t="str">
        <x:f>IF('รายการสัญญา'!A433="","",'รายการสัญญา'!K433)</x:f>
      </x:c>
      <x:c r="F433" s="165" t="str">
        <x:f>IF(AND(F$5&gt;=$C433,F$5&lt;=$D433,$A433&lt;&gt;""),"●","")</x:f>
      </x:c>
      <x:c r="G433" s="165" t="str">
        <x:f>IF(AND(G$5&gt;=$C433,G$5&lt;=$D433,$A433&lt;&gt;""),"●","")</x:f>
      </x:c>
      <x:c r="H433" s="165" t="str">
        <x:f>IF(AND(H$5&gt;=$C433,H$5&lt;=$D433,$A433&lt;&gt;""),"●","")</x:f>
      </x:c>
      <x:c r="I433" s="165" t="str">
        <x:f>IF(AND(I$5&gt;=$C433,I$5&lt;=$D433,$A433&lt;&gt;""),"●","")</x:f>
      </x:c>
      <x:c r="J433" s="165" t="str">
        <x:f>IF(AND(J$5&gt;=$C433,J$5&lt;=$D433,$A433&lt;&gt;""),"●","")</x:f>
      </x:c>
      <x:c r="K433" s="165" t="str">
        <x:f>IF(AND(K$5&gt;=$C433,K$5&lt;=$D433,$A433&lt;&gt;""),"●","")</x:f>
      </x:c>
      <x:c r="L433" s="165" t="str">
        <x:f>IF(AND(L$5&gt;=$C433,L$5&lt;=$D433,$A433&lt;&gt;""),"●","")</x:f>
      </x:c>
      <x:c r="M433" s="165" t="str">
        <x:f>IF(AND(M$5&gt;=$C433,M$5&lt;=$D433,$A433&lt;&gt;""),"●","")</x:f>
      </x:c>
      <x:c r="N433" s="165" t="str">
        <x:f>IF(AND(N$5&gt;=$C433,N$5&lt;=$D433,$A433&lt;&gt;""),"●","")</x:f>
      </x:c>
      <x:c r="O433" s="165" t="str">
        <x:f>IF(AND(O$5&gt;=$C433,O$5&lt;=$D433,$A433&lt;&gt;""),"●","")</x:f>
      </x:c>
      <x:c r="P433" s="165" t="str">
        <x:f>IF(AND(P$5&gt;=$C433,P$5&lt;=$D433,$A433&lt;&gt;""),"●","")</x:f>
      </x:c>
      <x:c r="Q433" s="165" t="str">
        <x:f>IF(AND(Q$5&gt;=$C433,Q$5&lt;=$D433,$A433&lt;&gt;""),"●","")</x:f>
      </x:c>
      <x:c r="R433" s="165" t="str">
        <x:f>IF(AND(R$5&gt;=$C433,R$5&lt;=$D433,$A433&lt;&gt;""),"●","")</x:f>
      </x:c>
      <x:c r="S433" s="165" t="str">
        <x:f>IF(AND(S$5&gt;=$C433,S$5&lt;=$D433,$A433&lt;&gt;""),"●","")</x:f>
      </x:c>
      <x:c r="T433" s="165" t="str">
        <x:f>IF(AND(T$5&gt;=$C433,T$5&lt;=$D433,$A433&lt;&gt;""),"●","")</x:f>
      </x:c>
      <x:c r="U433" s="165" t="str">
        <x:f>IF(AND(U$5&gt;=$C433,U$5&lt;=$D433,$A433&lt;&gt;""),"●","")</x:f>
      </x:c>
      <x:c r="V433" s="165" t="str">
        <x:f>IF(AND(V$5&gt;=$C433,V$5&lt;=$D433,$A433&lt;&gt;""),"●","")</x:f>
      </x:c>
      <x:c r="W433" s="165" t="str">
        <x:f>IF(AND(W$5&gt;=$C433,W$5&lt;=$D433,$A433&lt;&gt;""),"●","")</x:f>
      </x:c>
      <x:c r="X433" s="165" t="str">
        <x:f>IF(AND(X$5&gt;=$C433,X$5&lt;=$D433,$A433&lt;&gt;""),"●","")</x:f>
      </x:c>
      <x:c r="Y433" s="165" t="str">
        <x:f>IF(AND(Y$5&gt;=$C433,Y$5&lt;=$D433,$A433&lt;&gt;""),"●","")</x:f>
      </x:c>
      <x:c r="Z433" s="165" t="str">
        <x:f>IF(AND(Z$5&gt;=$C433,Z$5&lt;=$D433,$A433&lt;&gt;""),"●","")</x:f>
      </x:c>
      <x:c r="AA433" s="165" t="str">
        <x:f>IF(AND(AA$5&gt;=$C433,AA$5&lt;=$D433,$A433&lt;&gt;""),"●","")</x:f>
      </x:c>
      <x:c r="AB433" s="165" t="str">
        <x:f>IF(AND(AB$5&gt;=$C433,AB$5&lt;=$D433,$A433&lt;&gt;""),"●","")</x:f>
      </x:c>
      <x:c r="AC433" s="165" t="str">
        <x:f>IF(AND(AC$5&gt;=$C433,AC$5&lt;=$D433,$A433&lt;&gt;""),"●","")</x:f>
      </x:c>
      <x:c r="AD433" s="165" t="str">
        <x:f>IF(AND(AD$5&gt;=$C433,AD$5&lt;=$D433,$A433&lt;&gt;""),"●","")</x:f>
      </x:c>
      <x:c r="AE433" s="165" t="str">
        <x:f>IF(AND(AE$5&gt;=$C433,AE$5&lt;=$D433,$A433&lt;&gt;""),"●","")</x:f>
      </x:c>
      <x:c r="AF433" s="165" t="str">
        <x:f>IF(AND(AF$5&gt;=$C433,AF$5&lt;=$D433,$A433&lt;&gt;""),"●","")</x:f>
      </x:c>
      <x:c r="AG433" s="165" t="str">
        <x:f>IF(AND(AG$5&gt;=$C433,AG$5&lt;=$D433,$A433&lt;&gt;""),"●","")</x:f>
      </x:c>
      <x:c r="AH433" s="165" t="str">
        <x:f>IF(AND(AH$5&gt;=$C433,AH$5&lt;=$D433,$A433&lt;&gt;""),"●","")</x:f>
      </x:c>
      <x:c r="AI433" s="165" t="str">
        <x:f>IF(AND(AI$5&gt;=$C433,AI$5&lt;=$D433,$A433&lt;&gt;""),"●","")</x:f>
      </x:c>
      <x:c r="AJ433" s="165" t="str">
        <x:f>IF(AND(AJ$5&gt;=$C433,AJ$5&lt;=$D433,$A433&lt;&gt;""),"●","")</x:f>
      </x:c>
      <x:c r="AK433" s="165" t="str">
        <x:f>IF(AND(AK$5&gt;=$C433,AK$5&lt;=$D433,$A433&lt;&gt;""),"●","")</x:f>
      </x:c>
      <x:c r="AL433" s="165" t="str">
        <x:f>IF(AND(AL$5&gt;=$C433,AL$5&lt;=$D433,$A433&lt;&gt;""),"●","")</x:f>
      </x:c>
      <x:c r="AM433" s="165" t="str">
        <x:f>IF(AND(AM$5&gt;=$C433,AM$5&lt;=$D433,$A433&lt;&gt;""),"●","")</x:f>
      </x:c>
      <x:c r="AN433" s="165" t="str">
        <x:f>IF(AND(AN$5&gt;=$C433,AN$5&lt;=$D433,$A433&lt;&gt;""),"●","")</x:f>
      </x:c>
      <x:c r="AO433" s="165" t="str">
        <x:f>IF(AND(AO$5&gt;=$C433,AO$5&lt;=$D433,$A433&lt;&gt;""),"●","")</x:f>
      </x:c>
      <x:c r="AP433" s="165" t="str">
        <x:f>IF(AND(AP$5&gt;=$C433,AP$5&lt;=$D433,$A433&lt;&gt;""),"●","")</x:f>
      </x:c>
      <x:c r="AQ433" s="165" t="str">
        <x:f>IF(AND(AQ$5&gt;=$C433,AQ$5&lt;=$D433,$A433&lt;&gt;""),"●","")</x:f>
      </x:c>
      <x:c r="AR433" s="165" t="str">
        <x:f>IF(AND(AR$5&gt;=$C433,AR$5&lt;=$D433,$A433&lt;&gt;""),"●","")</x:f>
      </x:c>
      <x:c r="AS433" s="165" t="str">
        <x:f>IF(AND(AS$5&gt;=$C433,AS$5&lt;=$D433,$A433&lt;&gt;""),"●","")</x:f>
      </x:c>
      <x:c r="AT433" s="165" t="str">
        <x:f>IF(AND(AT$5&gt;=$C433,AT$5&lt;=$D433,$A433&lt;&gt;""),"●","")</x:f>
      </x:c>
      <x:c r="AU433" s="165" t="str">
        <x:f>IF(AND(AU$5&gt;=$C433,AU$5&lt;=$D433,$A433&lt;&gt;""),"●","")</x:f>
      </x:c>
      <x:c r="AV433" s="165" t="str">
        <x:f>IF(AND(AV$5&gt;=$C433,AV$5&lt;=$D433,$A433&lt;&gt;""),"●","")</x:f>
      </x:c>
      <x:c r="AW433" s="165" t="str">
        <x:f>IF(AND(AW$5&gt;=$C433,AW$5&lt;=$D433,$A433&lt;&gt;""),"●","")</x:f>
      </x:c>
      <x:c r="AX433" s="165" t="str">
        <x:f>IF(AND(AX$5&gt;=$C433,AX$5&lt;=$D433,$A433&lt;&gt;""),"●","")</x:f>
      </x:c>
      <x:c r="AY433" s="165" t="str">
        <x:f>IF(AND(AY$5&gt;=$C433,AY$5&lt;=$D433,$A433&lt;&gt;""),"●","")</x:f>
      </x:c>
      <x:c r="AZ433" s="165" t="str">
        <x:f>IF(AND(AZ$5&gt;=$C433,AZ$5&lt;=$D433,$A433&lt;&gt;""),"●","")</x:f>
      </x:c>
      <x:c r="BA433" s="165" t="str">
        <x:f>IF(AND(BA$5&gt;=$C433,BA$5&lt;=$D433,$A433&lt;&gt;""),"●","")</x:f>
      </x:c>
      <x:c r="BB433" s="165" t="str">
        <x:f>IF(AND(BB$5&gt;=$C433,BB$5&lt;=$D433,$A433&lt;&gt;""),"●","")</x:f>
      </x:c>
      <x:c r="BC433" s="165" t="str">
        <x:f>IF(AND(BC$5&gt;=$C433,BC$5&lt;=$D433,$A433&lt;&gt;""),"●","")</x:f>
      </x:c>
      <x:c r="BD433" s="165" t="str">
        <x:f>IF(AND(BD$5&gt;=$C433,BD$5&lt;=$D433,$A433&lt;&gt;""),"●","")</x:f>
      </x:c>
      <x:c r="BE433" s="165" t="str">
        <x:f>IF(AND(BE$5&gt;=$C433,BE$5&lt;=$D433,$A433&lt;&gt;""),"●","")</x:f>
      </x:c>
      <x:c r="BF433" s="165" t="str">
        <x:f>IF(AND(BF$5&gt;=$C433,BF$5&lt;=$D433,$A433&lt;&gt;""),"●","")</x:f>
      </x:c>
      <x:c r="BG433" s="165" t="str">
        <x:f>IF(AND(BG$5&gt;=$C433,BG$5&lt;=$D433,$A433&lt;&gt;""),"●","")</x:f>
      </x:c>
      <x:c r="BH433" s="165" t="str">
        <x:f>IF(AND(BH$5&gt;=$C433,BH$5&lt;=$D433,$A433&lt;&gt;""),"●","")</x:f>
      </x:c>
      <x:c r="BI433" s="165" t="str">
        <x:f>IF(AND(BI$5&gt;=$C433,BI$5&lt;=$D433,$A433&lt;&gt;""),"●","")</x:f>
      </x:c>
      <x:c r="BJ433" s="165" t="str">
        <x:f>IF(AND(BJ$5&gt;=$C433,BJ$5&lt;=$D433,$A433&lt;&gt;""),"●","")</x:f>
      </x:c>
      <x:c r="BK433" s="165" t="str">
        <x:f>IF(AND(BK$5&gt;=$C433,BK$5&lt;=$D433,$A433&lt;&gt;""),"●","")</x:f>
      </x:c>
      <x:c r="BL433" s="165" t="str">
        <x:f>IF(AND(BL$5&gt;=$C433,BL$5&lt;=$D433,$A433&lt;&gt;""),"●","")</x:f>
      </x:c>
      <x:c r="BM433" s="165" t="str">
        <x:f>IF(AND(BM$5&gt;=$C433,BM$5&lt;=$D433,$A433&lt;&gt;""),"●","")</x:f>
      </x:c>
      <x:c r="BN433" s="165" t="str">
        <x:f>IF(AND(BN$5&gt;=$C433,BN$5&lt;=$D433,$A433&lt;&gt;""),"●","")</x:f>
      </x:c>
      <x:c r="BO433" s="165" t="str">
        <x:f>IF(AND(BO$5&gt;=$C433,BO$5&lt;=$D433,$A433&lt;&gt;""),"●","")</x:f>
      </x:c>
      <x:c r="BP433" s="165" t="str">
        <x:f>IF(AND(BP$5&gt;=$C433,BP$5&lt;=$D433,$A433&lt;&gt;""),"●","")</x:f>
      </x:c>
      <x:c r="BQ433" s="165" t="str">
        <x:f>IF(AND(BQ$5&gt;=$C433,BQ$5&lt;=$D433,$A433&lt;&gt;""),"●","")</x:f>
      </x:c>
      <x:c r="BR433" s="165" t="str">
        <x:f>IF(AND(BR$5&gt;=$C433,BR$5&lt;=$D433,$A433&lt;&gt;""),"●","")</x:f>
      </x:c>
      <x:c r="BS433" s="165" t="str">
        <x:f>IF(AND(BS$5&gt;=$C433,BS$5&lt;=$D433,$A433&lt;&gt;""),"●","")</x:f>
      </x:c>
      <x:c r="BT433" s="165" t="str">
        <x:f>IF(AND(BT$5&gt;=$C433,BT$5&lt;=$D433,$A433&lt;&gt;""),"●","")</x:f>
      </x:c>
      <x:c r="BU433" s="165" t="str">
        <x:f>IF(AND(BU$5&gt;=$C433,BU$5&lt;=$D433,$A433&lt;&gt;""),"●","")</x:f>
      </x:c>
      <x:c r="BV433" s="165" t="str">
        <x:f>IF(AND(BV$5&gt;=$C433,BV$5&lt;=$D433,$A433&lt;&gt;""),"●","")</x:f>
      </x:c>
      <x:c r="BW433" s="165" t="str">
        <x:f>IF(AND(BW$5&gt;=$C433,BW$5&lt;=$D433,$A433&lt;&gt;""),"●","")</x:f>
      </x:c>
    </x:row>
    <x:row r="434">
      <x:c r="A434" s="159" t="str">
        <x:f>IF('รายการสัญญา'!A434="","",'รายการสัญญา'!A434)</x:f>
      </x:c>
      <x:c r="B434" s="159" t="str">
        <x:f>IF('รายการสัญญา'!A434="","",'รายการสัญญา'!C434)</x:f>
      </x:c>
      <x:c r="C434" s="162" t="str">
        <x:f>IF('รายการสัญญา'!A434="","",'รายการสัญญา'!E434)</x:f>
      </x:c>
      <x:c r="D434" s="162" t="str">
        <x:f>IF('รายการสัญญา'!A434="","",'รายการสัญญา'!G434)</x:f>
      </x:c>
      <x:c r="E434" s="159" t="str">
        <x:f>IF('รายการสัญญา'!A434="","",'รายการสัญญา'!K434)</x:f>
      </x:c>
      <x:c r="F434" s="165" t="str">
        <x:f>IF(AND(F$5&gt;=$C434,F$5&lt;=$D434,$A434&lt;&gt;""),"●","")</x:f>
      </x:c>
      <x:c r="G434" s="165" t="str">
        <x:f>IF(AND(G$5&gt;=$C434,G$5&lt;=$D434,$A434&lt;&gt;""),"●","")</x:f>
      </x:c>
      <x:c r="H434" s="165" t="str">
        <x:f>IF(AND(H$5&gt;=$C434,H$5&lt;=$D434,$A434&lt;&gt;""),"●","")</x:f>
      </x:c>
      <x:c r="I434" s="165" t="str">
        <x:f>IF(AND(I$5&gt;=$C434,I$5&lt;=$D434,$A434&lt;&gt;""),"●","")</x:f>
      </x:c>
      <x:c r="J434" s="165" t="str">
        <x:f>IF(AND(J$5&gt;=$C434,J$5&lt;=$D434,$A434&lt;&gt;""),"●","")</x:f>
      </x:c>
      <x:c r="K434" s="165" t="str">
        <x:f>IF(AND(K$5&gt;=$C434,K$5&lt;=$D434,$A434&lt;&gt;""),"●","")</x:f>
      </x:c>
      <x:c r="L434" s="165" t="str">
        <x:f>IF(AND(L$5&gt;=$C434,L$5&lt;=$D434,$A434&lt;&gt;""),"●","")</x:f>
      </x:c>
      <x:c r="M434" s="165" t="str">
        <x:f>IF(AND(M$5&gt;=$C434,M$5&lt;=$D434,$A434&lt;&gt;""),"●","")</x:f>
      </x:c>
      <x:c r="N434" s="165" t="str">
        <x:f>IF(AND(N$5&gt;=$C434,N$5&lt;=$D434,$A434&lt;&gt;""),"●","")</x:f>
      </x:c>
      <x:c r="O434" s="165" t="str">
        <x:f>IF(AND(O$5&gt;=$C434,O$5&lt;=$D434,$A434&lt;&gt;""),"●","")</x:f>
      </x:c>
      <x:c r="P434" s="165" t="str">
        <x:f>IF(AND(P$5&gt;=$C434,P$5&lt;=$D434,$A434&lt;&gt;""),"●","")</x:f>
      </x:c>
      <x:c r="Q434" s="165" t="str">
        <x:f>IF(AND(Q$5&gt;=$C434,Q$5&lt;=$D434,$A434&lt;&gt;""),"●","")</x:f>
      </x:c>
      <x:c r="R434" s="165" t="str">
        <x:f>IF(AND(R$5&gt;=$C434,R$5&lt;=$D434,$A434&lt;&gt;""),"●","")</x:f>
      </x:c>
      <x:c r="S434" s="165" t="str">
        <x:f>IF(AND(S$5&gt;=$C434,S$5&lt;=$D434,$A434&lt;&gt;""),"●","")</x:f>
      </x:c>
      <x:c r="T434" s="165" t="str">
        <x:f>IF(AND(T$5&gt;=$C434,T$5&lt;=$D434,$A434&lt;&gt;""),"●","")</x:f>
      </x:c>
      <x:c r="U434" s="165" t="str">
        <x:f>IF(AND(U$5&gt;=$C434,U$5&lt;=$D434,$A434&lt;&gt;""),"●","")</x:f>
      </x:c>
      <x:c r="V434" s="165" t="str">
        <x:f>IF(AND(V$5&gt;=$C434,V$5&lt;=$D434,$A434&lt;&gt;""),"●","")</x:f>
      </x:c>
      <x:c r="W434" s="165" t="str">
        <x:f>IF(AND(W$5&gt;=$C434,W$5&lt;=$D434,$A434&lt;&gt;""),"●","")</x:f>
      </x:c>
      <x:c r="X434" s="165" t="str">
        <x:f>IF(AND(X$5&gt;=$C434,X$5&lt;=$D434,$A434&lt;&gt;""),"●","")</x:f>
      </x:c>
      <x:c r="Y434" s="165" t="str">
        <x:f>IF(AND(Y$5&gt;=$C434,Y$5&lt;=$D434,$A434&lt;&gt;""),"●","")</x:f>
      </x:c>
      <x:c r="Z434" s="165" t="str">
        <x:f>IF(AND(Z$5&gt;=$C434,Z$5&lt;=$D434,$A434&lt;&gt;""),"●","")</x:f>
      </x:c>
      <x:c r="AA434" s="165" t="str">
        <x:f>IF(AND(AA$5&gt;=$C434,AA$5&lt;=$D434,$A434&lt;&gt;""),"●","")</x:f>
      </x:c>
      <x:c r="AB434" s="165" t="str">
        <x:f>IF(AND(AB$5&gt;=$C434,AB$5&lt;=$D434,$A434&lt;&gt;""),"●","")</x:f>
      </x:c>
      <x:c r="AC434" s="165" t="str">
        <x:f>IF(AND(AC$5&gt;=$C434,AC$5&lt;=$D434,$A434&lt;&gt;""),"●","")</x:f>
      </x:c>
      <x:c r="AD434" s="165" t="str">
        <x:f>IF(AND(AD$5&gt;=$C434,AD$5&lt;=$D434,$A434&lt;&gt;""),"●","")</x:f>
      </x:c>
      <x:c r="AE434" s="165" t="str">
        <x:f>IF(AND(AE$5&gt;=$C434,AE$5&lt;=$D434,$A434&lt;&gt;""),"●","")</x:f>
      </x:c>
      <x:c r="AF434" s="165" t="str">
        <x:f>IF(AND(AF$5&gt;=$C434,AF$5&lt;=$D434,$A434&lt;&gt;""),"●","")</x:f>
      </x:c>
      <x:c r="AG434" s="165" t="str">
        <x:f>IF(AND(AG$5&gt;=$C434,AG$5&lt;=$D434,$A434&lt;&gt;""),"●","")</x:f>
      </x:c>
      <x:c r="AH434" s="165" t="str">
        <x:f>IF(AND(AH$5&gt;=$C434,AH$5&lt;=$D434,$A434&lt;&gt;""),"●","")</x:f>
      </x:c>
      <x:c r="AI434" s="165" t="str">
        <x:f>IF(AND(AI$5&gt;=$C434,AI$5&lt;=$D434,$A434&lt;&gt;""),"●","")</x:f>
      </x:c>
      <x:c r="AJ434" s="165" t="str">
        <x:f>IF(AND(AJ$5&gt;=$C434,AJ$5&lt;=$D434,$A434&lt;&gt;""),"●","")</x:f>
      </x:c>
      <x:c r="AK434" s="165" t="str">
        <x:f>IF(AND(AK$5&gt;=$C434,AK$5&lt;=$D434,$A434&lt;&gt;""),"●","")</x:f>
      </x:c>
      <x:c r="AL434" s="165" t="str">
        <x:f>IF(AND(AL$5&gt;=$C434,AL$5&lt;=$D434,$A434&lt;&gt;""),"●","")</x:f>
      </x:c>
      <x:c r="AM434" s="165" t="str">
        <x:f>IF(AND(AM$5&gt;=$C434,AM$5&lt;=$D434,$A434&lt;&gt;""),"●","")</x:f>
      </x:c>
      <x:c r="AN434" s="165" t="str">
        <x:f>IF(AND(AN$5&gt;=$C434,AN$5&lt;=$D434,$A434&lt;&gt;""),"●","")</x:f>
      </x:c>
      <x:c r="AO434" s="165" t="str">
        <x:f>IF(AND(AO$5&gt;=$C434,AO$5&lt;=$D434,$A434&lt;&gt;""),"●","")</x:f>
      </x:c>
      <x:c r="AP434" s="165" t="str">
        <x:f>IF(AND(AP$5&gt;=$C434,AP$5&lt;=$D434,$A434&lt;&gt;""),"●","")</x:f>
      </x:c>
      <x:c r="AQ434" s="165" t="str">
        <x:f>IF(AND(AQ$5&gt;=$C434,AQ$5&lt;=$D434,$A434&lt;&gt;""),"●","")</x:f>
      </x:c>
      <x:c r="AR434" s="165" t="str">
        <x:f>IF(AND(AR$5&gt;=$C434,AR$5&lt;=$D434,$A434&lt;&gt;""),"●","")</x:f>
      </x:c>
      <x:c r="AS434" s="165" t="str">
        <x:f>IF(AND(AS$5&gt;=$C434,AS$5&lt;=$D434,$A434&lt;&gt;""),"●","")</x:f>
      </x:c>
      <x:c r="AT434" s="165" t="str">
        <x:f>IF(AND(AT$5&gt;=$C434,AT$5&lt;=$D434,$A434&lt;&gt;""),"●","")</x:f>
      </x:c>
      <x:c r="AU434" s="165" t="str">
        <x:f>IF(AND(AU$5&gt;=$C434,AU$5&lt;=$D434,$A434&lt;&gt;""),"●","")</x:f>
      </x:c>
      <x:c r="AV434" s="165" t="str">
        <x:f>IF(AND(AV$5&gt;=$C434,AV$5&lt;=$D434,$A434&lt;&gt;""),"●","")</x:f>
      </x:c>
      <x:c r="AW434" s="165" t="str">
        <x:f>IF(AND(AW$5&gt;=$C434,AW$5&lt;=$D434,$A434&lt;&gt;""),"●","")</x:f>
      </x:c>
      <x:c r="AX434" s="165" t="str">
        <x:f>IF(AND(AX$5&gt;=$C434,AX$5&lt;=$D434,$A434&lt;&gt;""),"●","")</x:f>
      </x:c>
      <x:c r="AY434" s="165" t="str">
        <x:f>IF(AND(AY$5&gt;=$C434,AY$5&lt;=$D434,$A434&lt;&gt;""),"●","")</x:f>
      </x:c>
      <x:c r="AZ434" s="165" t="str">
        <x:f>IF(AND(AZ$5&gt;=$C434,AZ$5&lt;=$D434,$A434&lt;&gt;""),"●","")</x:f>
      </x:c>
      <x:c r="BA434" s="165" t="str">
        <x:f>IF(AND(BA$5&gt;=$C434,BA$5&lt;=$D434,$A434&lt;&gt;""),"●","")</x:f>
      </x:c>
      <x:c r="BB434" s="165" t="str">
        <x:f>IF(AND(BB$5&gt;=$C434,BB$5&lt;=$D434,$A434&lt;&gt;""),"●","")</x:f>
      </x:c>
      <x:c r="BC434" s="165" t="str">
        <x:f>IF(AND(BC$5&gt;=$C434,BC$5&lt;=$D434,$A434&lt;&gt;""),"●","")</x:f>
      </x:c>
      <x:c r="BD434" s="165" t="str">
        <x:f>IF(AND(BD$5&gt;=$C434,BD$5&lt;=$D434,$A434&lt;&gt;""),"●","")</x:f>
      </x:c>
      <x:c r="BE434" s="165" t="str">
        <x:f>IF(AND(BE$5&gt;=$C434,BE$5&lt;=$D434,$A434&lt;&gt;""),"●","")</x:f>
      </x:c>
      <x:c r="BF434" s="165" t="str">
        <x:f>IF(AND(BF$5&gt;=$C434,BF$5&lt;=$D434,$A434&lt;&gt;""),"●","")</x:f>
      </x:c>
      <x:c r="BG434" s="165" t="str">
        <x:f>IF(AND(BG$5&gt;=$C434,BG$5&lt;=$D434,$A434&lt;&gt;""),"●","")</x:f>
      </x:c>
      <x:c r="BH434" s="165" t="str">
        <x:f>IF(AND(BH$5&gt;=$C434,BH$5&lt;=$D434,$A434&lt;&gt;""),"●","")</x:f>
      </x:c>
      <x:c r="BI434" s="165" t="str">
        <x:f>IF(AND(BI$5&gt;=$C434,BI$5&lt;=$D434,$A434&lt;&gt;""),"●","")</x:f>
      </x:c>
      <x:c r="BJ434" s="165" t="str">
        <x:f>IF(AND(BJ$5&gt;=$C434,BJ$5&lt;=$D434,$A434&lt;&gt;""),"●","")</x:f>
      </x:c>
      <x:c r="BK434" s="165" t="str">
        <x:f>IF(AND(BK$5&gt;=$C434,BK$5&lt;=$D434,$A434&lt;&gt;""),"●","")</x:f>
      </x:c>
      <x:c r="BL434" s="165" t="str">
        <x:f>IF(AND(BL$5&gt;=$C434,BL$5&lt;=$D434,$A434&lt;&gt;""),"●","")</x:f>
      </x:c>
      <x:c r="BM434" s="165" t="str">
        <x:f>IF(AND(BM$5&gt;=$C434,BM$5&lt;=$D434,$A434&lt;&gt;""),"●","")</x:f>
      </x:c>
      <x:c r="BN434" s="165" t="str">
        <x:f>IF(AND(BN$5&gt;=$C434,BN$5&lt;=$D434,$A434&lt;&gt;""),"●","")</x:f>
      </x:c>
      <x:c r="BO434" s="165" t="str">
        <x:f>IF(AND(BO$5&gt;=$C434,BO$5&lt;=$D434,$A434&lt;&gt;""),"●","")</x:f>
      </x:c>
      <x:c r="BP434" s="165" t="str">
        <x:f>IF(AND(BP$5&gt;=$C434,BP$5&lt;=$D434,$A434&lt;&gt;""),"●","")</x:f>
      </x:c>
      <x:c r="BQ434" s="165" t="str">
        <x:f>IF(AND(BQ$5&gt;=$C434,BQ$5&lt;=$D434,$A434&lt;&gt;""),"●","")</x:f>
      </x:c>
      <x:c r="BR434" s="165" t="str">
        <x:f>IF(AND(BR$5&gt;=$C434,BR$5&lt;=$D434,$A434&lt;&gt;""),"●","")</x:f>
      </x:c>
      <x:c r="BS434" s="165" t="str">
        <x:f>IF(AND(BS$5&gt;=$C434,BS$5&lt;=$D434,$A434&lt;&gt;""),"●","")</x:f>
      </x:c>
      <x:c r="BT434" s="165" t="str">
        <x:f>IF(AND(BT$5&gt;=$C434,BT$5&lt;=$D434,$A434&lt;&gt;""),"●","")</x:f>
      </x:c>
      <x:c r="BU434" s="165" t="str">
        <x:f>IF(AND(BU$5&gt;=$C434,BU$5&lt;=$D434,$A434&lt;&gt;""),"●","")</x:f>
      </x:c>
      <x:c r="BV434" s="165" t="str">
        <x:f>IF(AND(BV$5&gt;=$C434,BV$5&lt;=$D434,$A434&lt;&gt;""),"●","")</x:f>
      </x:c>
      <x:c r="BW434" s="165" t="str">
        <x:f>IF(AND(BW$5&gt;=$C434,BW$5&lt;=$D434,$A434&lt;&gt;""),"●","")</x:f>
      </x:c>
    </x:row>
    <x:row r="435">
      <x:c r="A435" s="159" t="str">
        <x:f>IF('รายการสัญญา'!A435="","",'รายการสัญญา'!A435)</x:f>
      </x:c>
      <x:c r="B435" s="159" t="str">
        <x:f>IF('รายการสัญญา'!A435="","",'รายการสัญญา'!C435)</x:f>
      </x:c>
      <x:c r="C435" s="162" t="str">
        <x:f>IF('รายการสัญญา'!A435="","",'รายการสัญญา'!E435)</x:f>
      </x:c>
      <x:c r="D435" s="162" t="str">
        <x:f>IF('รายการสัญญา'!A435="","",'รายการสัญญา'!G435)</x:f>
      </x:c>
      <x:c r="E435" s="159" t="str">
        <x:f>IF('รายการสัญญา'!A435="","",'รายการสัญญา'!K435)</x:f>
      </x:c>
      <x:c r="F435" s="165" t="str">
        <x:f>IF(AND(F$5&gt;=$C435,F$5&lt;=$D435,$A435&lt;&gt;""),"●","")</x:f>
      </x:c>
      <x:c r="G435" s="165" t="str">
        <x:f>IF(AND(G$5&gt;=$C435,G$5&lt;=$D435,$A435&lt;&gt;""),"●","")</x:f>
      </x:c>
      <x:c r="H435" s="165" t="str">
        <x:f>IF(AND(H$5&gt;=$C435,H$5&lt;=$D435,$A435&lt;&gt;""),"●","")</x:f>
      </x:c>
      <x:c r="I435" s="165" t="str">
        <x:f>IF(AND(I$5&gt;=$C435,I$5&lt;=$D435,$A435&lt;&gt;""),"●","")</x:f>
      </x:c>
      <x:c r="J435" s="165" t="str">
        <x:f>IF(AND(J$5&gt;=$C435,J$5&lt;=$D435,$A435&lt;&gt;""),"●","")</x:f>
      </x:c>
      <x:c r="K435" s="165" t="str">
        <x:f>IF(AND(K$5&gt;=$C435,K$5&lt;=$D435,$A435&lt;&gt;""),"●","")</x:f>
      </x:c>
      <x:c r="L435" s="165" t="str">
        <x:f>IF(AND(L$5&gt;=$C435,L$5&lt;=$D435,$A435&lt;&gt;""),"●","")</x:f>
      </x:c>
      <x:c r="M435" s="165" t="str">
        <x:f>IF(AND(M$5&gt;=$C435,M$5&lt;=$D435,$A435&lt;&gt;""),"●","")</x:f>
      </x:c>
      <x:c r="N435" s="165" t="str">
        <x:f>IF(AND(N$5&gt;=$C435,N$5&lt;=$D435,$A435&lt;&gt;""),"●","")</x:f>
      </x:c>
      <x:c r="O435" s="165" t="str">
        <x:f>IF(AND(O$5&gt;=$C435,O$5&lt;=$D435,$A435&lt;&gt;""),"●","")</x:f>
      </x:c>
      <x:c r="P435" s="165" t="str">
        <x:f>IF(AND(P$5&gt;=$C435,P$5&lt;=$D435,$A435&lt;&gt;""),"●","")</x:f>
      </x:c>
      <x:c r="Q435" s="165" t="str">
        <x:f>IF(AND(Q$5&gt;=$C435,Q$5&lt;=$D435,$A435&lt;&gt;""),"●","")</x:f>
      </x:c>
      <x:c r="R435" s="165" t="str">
        <x:f>IF(AND(R$5&gt;=$C435,R$5&lt;=$D435,$A435&lt;&gt;""),"●","")</x:f>
      </x:c>
      <x:c r="S435" s="165" t="str">
        <x:f>IF(AND(S$5&gt;=$C435,S$5&lt;=$D435,$A435&lt;&gt;""),"●","")</x:f>
      </x:c>
      <x:c r="T435" s="165" t="str">
        <x:f>IF(AND(T$5&gt;=$C435,T$5&lt;=$D435,$A435&lt;&gt;""),"●","")</x:f>
      </x:c>
      <x:c r="U435" s="165" t="str">
        <x:f>IF(AND(U$5&gt;=$C435,U$5&lt;=$D435,$A435&lt;&gt;""),"●","")</x:f>
      </x:c>
      <x:c r="V435" s="165" t="str">
        <x:f>IF(AND(V$5&gt;=$C435,V$5&lt;=$D435,$A435&lt;&gt;""),"●","")</x:f>
      </x:c>
      <x:c r="W435" s="165" t="str">
        <x:f>IF(AND(W$5&gt;=$C435,W$5&lt;=$D435,$A435&lt;&gt;""),"●","")</x:f>
      </x:c>
      <x:c r="X435" s="165" t="str">
        <x:f>IF(AND(X$5&gt;=$C435,X$5&lt;=$D435,$A435&lt;&gt;""),"●","")</x:f>
      </x:c>
      <x:c r="Y435" s="165" t="str">
        <x:f>IF(AND(Y$5&gt;=$C435,Y$5&lt;=$D435,$A435&lt;&gt;""),"●","")</x:f>
      </x:c>
      <x:c r="Z435" s="165" t="str">
        <x:f>IF(AND(Z$5&gt;=$C435,Z$5&lt;=$D435,$A435&lt;&gt;""),"●","")</x:f>
      </x:c>
      <x:c r="AA435" s="165" t="str">
        <x:f>IF(AND(AA$5&gt;=$C435,AA$5&lt;=$D435,$A435&lt;&gt;""),"●","")</x:f>
      </x:c>
      <x:c r="AB435" s="165" t="str">
        <x:f>IF(AND(AB$5&gt;=$C435,AB$5&lt;=$D435,$A435&lt;&gt;""),"●","")</x:f>
      </x:c>
      <x:c r="AC435" s="165" t="str">
        <x:f>IF(AND(AC$5&gt;=$C435,AC$5&lt;=$D435,$A435&lt;&gt;""),"●","")</x:f>
      </x:c>
      <x:c r="AD435" s="165" t="str">
        <x:f>IF(AND(AD$5&gt;=$C435,AD$5&lt;=$D435,$A435&lt;&gt;""),"●","")</x:f>
      </x:c>
      <x:c r="AE435" s="165" t="str">
        <x:f>IF(AND(AE$5&gt;=$C435,AE$5&lt;=$D435,$A435&lt;&gt;""),"●","")</x:f>
      </x:c>
      <x:c r="AF435" s="165" t="str">
        <x:f>IF(AND(AF$5&gt;=$C435,AF$5&lt;=$D435,$A435&lt;&gt;""),"●","")</x:f>
      </x:c>
      <x:c r="AG435" s="165" t="str">
        <x:f>IF(AND(AG$5&gt;=$C435,AG$5&lt;=$D435,$A435&lt;&gt;""),"●","")</x:f>
      </x:c>
      <x:c r="AH435" s="165" t="str">
        <x:f>IF(AND(AH$5&gt;=$C435,AH$5&lt;=$D435,$A435&lt;&gt;""),"●","")</x:f>
      </x:c>
      <x:c r="AI435" s="165" t="str">
        <x:f>IF(AND(AI$5&gt;=$C435,AI$5&lt;=$D435,$A435&lt;&gt;""),"●","")</x:f>
      </x:c>
      <x:c r="AJ435" s="165" t="str">
        <x:f>IF(AND(AJ$5&gt;=$C435,AJ$5&lt;=$D435,$A435&lt;&gt;""),"●","")</x:f>
      </x:c>
      <x:c r="AK435" s="165" t="str">
        <x:f>IF(AND(AK$5&gt;=$C435,AK$5&lt;=$D435,$A435&lt;&gt;""),"●","")</x:f>
      </x:c>
      <x:c r="AL435" s="165" t="str">
        <x:f>IF(AND(AL$5&gt;=$C435,AL$5&lt;=$D435,$A435&lt;&gt;""),"●","")</x:f>
      </x:c>
      <x:c r="AM435" s="165" t="str">
        <x:f>IF(AND(AM$5&gt;=$C435,AM$5&lt;=$D435,$A435&lt;&gt;""),"●","")</x:f>
      </x:c>
      <x:c r="AN435" s="165" t="str">
        <x:f>IF(AND(AN$5&gt;=$C435,AN$5&lt;=$D435,$A435&lt;&gt;""),"●","")</x:f>
      </x:c>
      <x:c r="AO435" s="165" t="str">
        <x:f>IF(AND(AO$5&gt;=$C435,AO$5&lt;=$D435,$A435&lt;&gt;""),"●","")</x:f>
      </x:c>
      <x:c r="AP435" s="165" t="str">
        <x:f>IF(AND(AP$5&gt;=$C435,AP$5&lt;=$D435,$A435&lt;&gt;""),"●","")</x:f>
      </x:c>
      <x:c r="AQ435" s="165" t="str">
        <x:f>IF(AND(AQ$5&gt;=$C435,AQ$5&lt;=$D435,$A435&lt;&gt;""),"●","")</x:f>
      </x:c>
      <x:c r="AR435" s="165" t="str">
        <x:f>IF(AND(AR$5&gt;=$C435,AR$5&lt;=$D435,$A435&lt;&gt;""),"●","")</x:f>
      </x:c>
      <x:c r="AS435" s="165" t="str">
        <x:f>IF(AND(AS$5&gt;=$C435,AS$5&lt;=$D435,$A435&lt;&gt;""),"●","")</x:f>
      </x:c>
      <x:c r="AT435" s="165" t="str">
        <x:f>IF(AND(AT$5&gt;=$C435,AT$5&lt;=$D435,$A435&lt;&gt;""),"●","")</x:f>
      </x:c>
      <x:c r="AU435" s="165" t="str">
        <x:f>IF(AND(AU$5&gt;=$C435,AU$5&lt;=$D435,$A435&lt;&gt;""),"●","")</x:f>
      </x:c>
      <x:c r="AV435" s="165" t="str">
        <x:f>IF(AND(AV$5&gt;=$C435,AV$5&lt;=$D435,$A435&lt;&gt;""),"●","")</x:f>
      </x:c>
      <x:c r="AW435" s="165" t="str">
        <x:f>IF(AND(AW$5&gt;=$C435,AW$5&lt;=$D435,$A435&lt;&gt;""),"●","")</x:f>
      </x:c>
      <x:c r="AX435" s="165" t="str">
        <x:f>IF(AND(AX$5&gt;=$C435,AX$5&lt;=$D435,$A435&lt;&gt;""),"●","")</x:f>
      </x:c>
      <x:c r="AY435" s="165" t="str">
        <x:f>IF(AND(AY$5&gt;=$C435,AY$5&lt;=$D435,$A435&lt;&gt;""),"●","")</x:f>
      </x:c>
      <x:c r="AZ435" s="165" t="str">
        <x:f>IF(AND(AZ$5&gt;=$C435,AZ$5&lt;=$D435,$A435&lt;&gt;""),"●","")</x:f>
      </x:c>
      <x:c r="BA435" s="165" t="str">
        <x:f>IF(AND(BA$5&gt;=$C435,BA$5&lt;=$D435,$A435&lt;&gt;""),"●","")</x:f>
      </x:c>
      <x:c r="BB435" s="165" t="str">
        <x:f>IF(AND(BB$5&gt;=$C435,BB$5&lt;=$D435,$A435&lt;&gt;""),"●","")</x:f>
      </x:c>
      <x:c r="BC435" s="165" t="str">
        <x:f>IF(AND(BC$5&gt;=$C435,BC$5&lt;=$D435,$A435&lt;&gt;""),"●","")</x:f>
      </x:c>
      <x:c r="BD435" s="165" t="str">
        <x:f>IF(AND(BD$5&gt;=$C435,BD$5&lt;=$D435,$A435&lt;&gt;""),"●","")</x:f>
      </x:c>
      <x:c r="BE435" s="165" t="str">
        <x:f>IF(AND(BE$5&gt;=$C435,BE$5&lt;=$D435,$A435&lt;&gt;""),"●","")</x:f>
      </x:c>
      <x:c r="BF435" s="165" t="str">
        <x:f>IF(AND(BF$5&gt;=$C435,BF$5&lt;=$D435,$A435&lt;&gt;""),"●","")</x:f>
      </x:c>
      <x:c r="BG435" s="165" t="str">
        <x:f>IF(AND(BG$5&gt;=$C435,BG$5&lt;=$D435,$A435&lt;&gt;""),"●","")</x:f>
      </x:c>
      <x:c r="BH435" s="165" t="str">
        <x:f>IF(AND(BH$5&gt;=$C435,BH$5&lt;=$D435,$A435&lt;&gt;""),"●","")</x:f>
      </x:c>
      <x:c r="BI435" s="165" t="str">
        <x:f>IF(AND(BI$5&gt;=$C435,BI$5&lt;=$D435,$A435&lt;&gt;""),"●","")</x:f>
      </x:c>
      <x:c r="BJ435" s="165" t="str">
        <x:f>IF(AND(BJ$5&gt;=$C435,BJ$5&lt;=$D435,$A435&lt;&gt;""),"●","")</x:f>
      </x:c>
      <x:c r="BK435" s="165" t="str">
        <x:f>IF(AND(BK$5&gt;=$C435,BK$5&lt;=$D435,$A435&lt;&gt;""),"●","")</x:f>
      </x:c>
      <x:c r="BL435" s="165" t="str">
        <x:f>IF(AND(BL$5&gt;=$C435,BL$5&lt;=$D435,$A435&lt;&gt;""),"●","")</x:f>
      </x:c>
      <x:c r="BM435" s="165" t="str">
        <x:f>IF(AND(BM$5&gt;=$C435,BM$5&lt;=$D435,$A435&lt;&gt;""),"●","")</x:f>
      </x:c>
      <x:c r="BN435" s="165" t="str">
        <x:f>IF(AND(BN$5&gt;=$C435,BN$5&lt;=$D435,$A435&lt;&gt;""),"●","")</x:f>
      </x:c>
      <x:c r="BO435" s="165" t="str">
        <x:f>IF(AND(BO$5&gt;=$C435,BO$5&lt;=$D435,$A435&lt;&gt;""),"●","")</x:f>
      </x:c>
      <x:c r="BP435" s="165" t="str">
        <x:f>IF(AND(BP$5&gt;=$C435,BP$5&lt;=$D435,$A435&lt;&gt;""),"●","")</x:f>
      </x:c>
      <x:c r="BQ435" s="165" t="str">
        <x:f>IF(AND(BQ$5&gt;=$C435,BQ$5&lt;=$D435,$A435&lt;&gt;""),"●","")</x:f>
      </x:c>
      <x:c r="BR435" s="165" t="str">
        <x:f>IF(AND(BR$5&gt;=$C435,BR$5&lt;=$D435,$A435&lt;&gt;""),"●","")</x:f>
      </x:c>
      <x:c r="BS435" s="165" t="str">
        <x:f>IF(AND(BS$5&gt;=$C435,BS$5&lt;=$D435,$A435&lt;&gt;""),"●","")</x:f>
      </x:c>
      <x:c r="BT435" s="165" t="str">
        <x:f>IF(AND(BT$5&gt;=$C435,BT$5&lt;=$D435,$A435&lt;&gt;""),"●","")</x:f>
      </x:c>
      <x:c r="BU435" s="165" t="str">
        <x:f>IF(AND(BU$5&gt;=$C435,BU$5&lt;=$D435,$A435&lt;&gt;""),"●","")</x:f>
      </x:c>
      <x:c r="BV435" s="165" t="str">
        <x:f>IF(AND(BV$5&gt;=$C435,BV$5&lt;=$D435,$A435&lt;&gt;""),"●","")</x:f>
      </x:c>
      <x:c r="BW435" s="165" t="str">
        <x:f>IF(AND(BW$5&gt;=$C435,BW$5&lt;=$D435,$A435&lt;&gt;""),"●","")</x:f>
      </x:c>
    </x:row>
    <x:row r="436">
      <x:c r="A436" s="159" t="str">
        <x:f>IF('รายการสัญญา'!A436="","",'รายการสัญญา'!A436)</x:f>
      </x:c>
      <x:c r="B436" s="159" t="str">
        <x:f>IF('รายการสัญญา'!A436="","",'รายการสัญญา'!C436)</x:f>
      </x:c>
      <x:c r="C436" s="162" t="str">
        <x:f>IF('รายการสัญญา'!A436="","",'รายการสัญญา'!E436)</x:f>
      </x:c>
      <x:c r="D436" s="162" t="str">
        <x:f>IF('รายการสัญญา'!A436="","",'รายการสัญญา'!G436)</x:f>
      </x:c>
      <x:c r="E436" s="159" t="str">
        <x:f>IF('รายการสัญญา'!A436="","",'รายการสัญญา'!K436)</x:f>
      </x:c>
      <x:c r="F436" s="165" t="str">
        <x:f>IF(AND(F$5&gt;=$C436,F$5&lt;=$D436,$A436&lt;&gt;""),"●","")</x:f>
      </x:c>
      <x:c r="G436" s="165" t="str">
        <x:f>IF(AND(G$5&gt;=$C436,G$5&lt;=$D436,$A436&lt;&gt;""),"●","")</x:f>
      </x:c>
      <x:c r="H436" s="165" t="str">
        <x:f>IF(AND(H$5&gt;=$C436,H$5&lt;=$D436,$A436&lt;&gt;""),"●","")</x:f>
      </x:c>
      <x:c r="I436" s="165" t="str">
        <x:f>IF(AND(I$5&gt;=$C436,I$5&lt;=$D436,$A436&lt;&gt;""),"●","")</x:f>
      </x:c>
      <x:c r="J436" s="165" t="str">
        <x:f>IF(AND(J$5&gt;=$C436,J$5&lt;=$D436,$A436&lt;&gt;""),"●","")</x:f>
      </x:c>
      <x:c r="K436" s="165" t="str">
        <x:f>IF(AND(K$5&gt;=$C436,K$5&lt;=$D436,$A436&lt;&gt;""),"●","")</x:f>
      </x:c>
      <x:c r="L436" s="165" t="str">
        <x:f>IF(AND(L$5&gt;=$C436,L$5&lt;=$D436,$A436&lt;&gt;""),"●","")</x:f>
      </x:c>
      <x:c r="M436" s="165" t="str">
        <x:f>IF(AND(M$5&gt;=$C436,M$5&lt;=$D436,$A436&lt;&gt;""),"●","")</x:f>
      </x:c>
      <x:c r="N436" s="165" t="str">
        <x:f>IF(AND(N$5&gt;=$C436,N$5&lt;=$D436,$A436&lt;&gt;""),"●","")</x:f>
      </x:c>
      <x:c r="O436" s="165" t="str">
        <x:f>IF(AND(O$5&gt;=$C436,O$5&lt;=$D436,$A436&lt;&gt;""),"●","")</x:f>
      </x:c>
      <x:c r="P436" s="165" t="str">
        <x:f>IF(AND(P$5&gt;=$C436,P$5&lt;=$D436,$A436&lt;&gt;""),"●","")</x:f>
      </x:c>
      <x:c r="Q436" s="165" t="str">
        <x:f>IF(AND(Q$5&gt;=$C436,Q$5&lt;=$D436,$A436&lt;&gt;""),"●","")</x:f>
      </x:c>
      <x:c r="R436" s="165" t="str">
        <x:f>IF(AND(R$5&gt;=$C436,R$5&lt;=$D436,$A436&lt;&gt;""),"●","")</x:f>
      </x:c>
      <x:c r="S436" s="165" t="str">
        <x:f>IF(AND(S$5&gt;=$C436,S$5&lt;=$D436,$A436&lt;&gt;""),"●","")</x:f>
      </x:c>
      <x:c r="T436" s="165" t="str">
        <x:f>IF(AND(T$5&gt;=$C436,T$5&lt;=$D436,$A436&lt;&gt;""),"●","")</x:f>
      </x:c>
      <x:c r="U436" s="165" t="str">
        <x:f>IF(AND(U$5&gt;=$C436,U$5&lt;=$D436,$A436&lt;&gt;""),"●","")</x:f>
      </x:c>
      <x:c r="V436" s="165" t="str">
        <x:f>IF(AND(V$5&gt;=$C436,V$5&lt;=$D436,$A436&lt;&gt;""),"●","")</x:f>
      </x:c>
      <x:c r="W436" s="165" t="str">
        <x:f>IF(AND(W$5&gt;=$C436,W$5&lt;=$D436,$A436&lt;&gt;""),"●","")</x:f>
      </x:c>
      <x:c r="X436" s="165" t="str">
        <x:f>IF(AND(X$5&gt;=$C436,X$5&lt;=$D436,$A436&lt;&gt;""),"●","")</x:f>
      </x:c>
      <x:c r="Y436" s="165" t="str">
        <x:f>IF(AND(Y$5&gt;=$C436,Y$5&lt;=$D436,$A436&lt;&gt;""),"●","")</x:f>
      </x:c>
      <x:c r="Z436" s="165" t="str">
        <x:f>IF(AND(Z$5&gt;=$C436,Z$5&lt;=$D436,$A436&lt;&gt;""),"●","")</x:f>
      </x:c>
      <x:c r="AA436" s="165" t="str">
        <x:f>IF(AND(AA$5&gt;=$C436,AA$5&lt;=$D436,$A436&lt;&gt;""),"●","")</x:f>
      </x:c>
      <x:c r="AB436" s="165" t="str">
        <x:f>IF(AND(AB$5&gt;=$C436,AB$5&lt;=$D436,$A436&lt;&gt;""),"●","")</x:f>
      </x:c>
      <x:c r="AC436" s="165" t="str">
        <x:f>IF(AND(AC$5&gt;=$C436,AC$5&lt;=$D436,$A436&lt;&gt;""),"●","")</x:f>
      </x:c>
      <x:c r="AD436" s="165" t="str">
        <x:f>IF(AND(AD$5&gt;=$C436,AD$5&lt;=$D436,$A436&lt;&gt;""),"●","")</x:f>
      </x:c>
      <x:c r="AE436" s="165" t="str">
        <x:f>IF(AND(AE$5&gt;=$C436,AE$5&lt;=$D436,$A436&lt;&gt;""),"●","")</x:f>
      </x:c>
      <x:c r="AF436" s="165" t="str">
        <x:f>IF(AND(AF$5&gt;=$C436,AF$5&lt;=$D436,$A436&lt;&gt;""),"●","")</x:f>
      </x:c>
      <x:c r="AG436" s="165" t="str">
        <x:f>IF(AND(AG$5&gt;=$C436,AG$5&lt;=$D436,$A436&lt;&gt;""),"●","")</x:f>
      </x:c>
      <x:c r="AH436" s="165" t="str">
        <x:f>IF(AND(AH$5&gt;=$C436,AH$5&lt;=$D436,$A436&lt;&gt;""),"●","")</x:f>
      </x:c>
      <x:c r="AI436" s="165" t="str">
        <x:f>IF(AND(AI$5&gt;=$C436,AI$5&lt;=$D436,$A436&lt;&gt;""),"●","")</x:f>
      </x:c>
      <x:c r="AJ436" s="165" t="str">
        <x:f>IF(AND(AJ$5&gt;=$C436,AJ$5&lt;=$D436,$A436&lt;&gt;""),"●","")</x:f>
      </x:c>
      <x:c r="AK436" s="165" t="str">
        <x:f>IF(AND(AK$5&gt;=$C436,AK$5&lt;=$D436,$A436&lt;&gt;""),"●","")</x:f>
      </x:c>
      <x:c r="AL436" s="165" t="str">
        <x:f>IF(AND(AL$5&gt;=$C436,AL$5&lt;=$D436,$A436&lt;&gt;""),"●","")</x:f>
      </x:c>
      <x:c r="AM436" s="165" t="str">
        <x:f>IF(AND(AM$5&gt;=$C436,AM$5&lt;=$D436,$A436&lt;&gt;""),"●","")</x:f>
      </x:c>
      <x:c r="AN436" s="165" t="str">
        <x:f>IF(AND(AN$5&gt;=$C436,AN$5&lt;=$D436,$A436&lt;&gt;""),"●","")</x:f>
      </x:c>
      <x:c r="AO436" s="165" t="str">
        <x:f>IF(AND(AO$5&gt;=$C436,AO$5&lt;=$D436,$A436&lt;&gt;""),"●","")</x:f>
      </x:c>
      <x:c r="AP436" s="165" t="str">
        <x:f>IF(AND(AP$5&gt;=$C436,AP$5&lt;=$D436,$A436&lt;&gt;""),"●","")</x:f>
      </x:c>
      <x:c r="AQ436" s="165" t="str">
        <x:f>IF(AND(AQ$5&gt;=$C436,AQ$5&lt;=$D436,$A436&lt;&gt;""),"●","")</x:f>
      </x:c>
      <x:c r="AR436" s="165" t="str">
        <x:f>IF(AND(AR$5&gt;=$C436,AR$5&lt;=$D436,$A436&lt;&gt;""),"●","")</x:f>
      </x:c>
      <x:c r="AS436" s="165" t="str">
        <x:f>IF(AND(AS$5&gt;=$C436,AS$5&lt;=$D436,$A436&lt;&gt;""),"●","")</x:f>
      </x:c>
      <x:c r="AT436" s="165" t="str">
        <x:f>IF(AND(AT$5&gt;=$C436,AT$5&lt;=$D436,$A436&lt;&gt;""),"●","")</x:f>
      </x:c>
      <x:c r="AU436" s="165" t="str">
        <x:f>IF(AND(AU$5&gt;=$C436,AU$5&lt;=$D436,$A436&lt;&gt;""),"●","")</x:f>
      </x:c>
      <x:c r="AV436" s="165" t="str">
        <x:f>IF(AND(AV$5&gt;=$C436,AV$5&lt;=$D436,$A436&lt;&gt;""),"●","")</x:f>
      </x:c>
      <x:c r="AW436" s="165" t="str">
        <x:f>IF(AND(AW$5&gt;=$C436,AW$5&lt;=$D436,$A436&lt;&gt;""),"●","")</x:f>
      </x:c>
      <x:c r="AX436" s="165" t="str">
        <x:f>IF(AND(AX$5&gt;=$C436,AX$5&lt;=$D436,$A436&lt;&gt;""),"●","")</x:f>
      </x:c>
      <x:c r="AY436" s="165" t="str">
        <x:f>IF(AND(AY$5&gt;=$C436,AY$5&lt;=$D436,$A436&lt;&gt;""),"●","")</x:f>
      </x:c>
      <x:c r="AZ436" s="165" t="str">
        <x:f>IF(AND(AZ$5&gt;=$C436,AZ$5&lt;=$D436,$A436&lt;&gt;""),"●","")</x:f>
      </x:c>
      <x:c r="BA436" s="165" t="str">
        <x:f>IF(AND(BA$5&gt;=$C436,BA$5&lt;=$D436,$A436&lt;&gt;""),"●","")</x:f>
      </x:c>
      <x:c r="BB436" s="165" t="str">
        <x:f>IF(AND(BB$5&gt;=$C436,BB$5&lt;=$D436,$A436&lt;&gt;""),"●","")</x:f>
      </x:c>
      <x:c r="BC436" s="165" t="str">
        <x:f>IF(AND(BC$5&gt;=$C436,BC$5&lt;=$D436,$A436&lt;&gt;""),"●","")</x:f>
      </x:c>
      <x:c r="BD436" s="165" t="str">
        <x:f>IF(AND(BD$5&gt;=$C436,BD$5&lt;=$D436,$A436&lt;&gt;""),"●","")</x:f>
      </x:c>
      <x:c r="BE436" s="165" t="str">
        <x:f>IF(AND(BE$5&gt;=$C436,BE$5&lt;=$D436,$A436&lt;&gt;""),"●","")</x:f>
      </x:c>
      <x:c r="BF436" s="165" t="str">
        <x:f>IF(AND(BF$5&gt;=$C436,BF$5&lt;=$D436,$A436&lt;&gt;""),"●","")</x:f>
      </x:c>
      <x:c r="BG436" s="165" t="str">
        <x:f>IF(AND(BG$5&gt;=$C436,BG$5&lt;=$D436,$A436&lt;&gt;""),"●","")</x:f>
      </x:c>
      <x:c r="BH436" s="165" t="str">
        <x:f>IF(AND(BH$5&gt;=$C436,BH$5&lt;=$D436,$A436&lt;&gt;""),"●","")</x:f>
      </x:c>
      <x:c r="BI436" s="165" t="str">
        <x:f>IF(AND(BI$5&gt;=$C436,BI$5&lt;=$D436,$A436&lt;&gt;""),"●","")</x:f>
      </x:c>
      <x:c r="BJ436" s="165" t="str">
        <x:f>IF(AND(BJ$5&gt;=$C436,BJ$5&lt;=$D436,$A436&lt;&gt;""),"●","")</x:f>
      </x:c>
      <x:c r="BK436" s="165" t="str">
        <x:f>IF(AND(BK$5&gt;=$C436,BK$5&lt;=$D436,$A436&lt;&gt;""),"●","")</x:f>
      </x:c>
      <x:c r="BL436" s="165" t="str">
        <x:f>IF(AND(BL$5&gt;=$C436,BL$5&lt;=$D436,$A436&lt;&gt;""),"●","")</x:f>
      </x:c>
      <x:c r="BM436" s="165" t="str">
        <x:f>IF(AND(BM$5&gt;=$C436,BM$5&lt;=$D436,$A436&lt;&gt;""),"●","")</x:f>
      </x:c>
      <x:c r="BN436" s="165" t="str">
        <x:f>IF(AND(BN$5&gt;=$C436,BN$5&lt;=$D436,$A436&lt;&gt;""),"●","")</x:f>
      </x:c>
      <x:c r="BO436" s="165" t="str">
        <x:f>IF(AND(BO$5&gt;=$C436,BO$5&lt;=$D436,$A436&lt;&gt;""),"●","")</x:f>
      </x:c>
      <x:c r="BP436" s="165" t="str">
        <x:f>IF(AND(BP$5&gt;=$C436,BP$5&lt;=$D436,$A436&lt;&gt;""),"●","")</x:f>
      </x:c>
      <x:c r="BQ436" s="165" t="str">
        <x:f>IF(AND(BQ$5&gt;=$C436,BQ$5&lt;=$D436,$A436&lt;&gt;""),"●","")</x:f>
      </x:c>
      <x:c r="BR436" s="165" t="str">
        <x:f>IF(AND(BR$5&gt;=$C436,BR$5&lt;=$D436,$A436&lt;&gt;""),"●","")</x:f>
      </x:c>
      <x:c r="BS436" s="165" t="str">
        <x:f>IF(AND(BS$5&gt;=$C436,BS$5&lt;=$D436,$A436&lt;&gt;""),"●","")</x:f>
      </x:c>
      <x:c r="BT436" s="165" t="str">
        <x:f>IF(AND(BT$5&gt;=$C436,BT$5&lt;=$D436,$A436&lt;&gt;""),"●","")</x:f>
      </x:c>
      <x:c r="BU436" s="165" t="str">
        <x:f>IF(AND(BU$5&gt;=$C436,BU$5&lt;=$D436,$A436&lt;&gt;""),"●","")</x:f>
      </x:c>
      <x:c r="BV436" s="165" t="str">
        <x:f>IF(AND(BV$5&gt;=$C436,BV$5&lt;=$D436,$A436&lt;&gt;""),"●","")</x:f>
      </x:c>
      <x:c r="BW436" s="165" t="str">
        <x:f>IF(AND(BW$5&gt;=$C436,BW$5&lt;=$D436,$A436&lt;&gt;""),"●","")</x:f>
      </x:c>
    </x:row>
    <x:row r="437">
      <x:c r="A437" s="159" t="str">
        <x:f>IF('รายการสัญญา'!A437="","",'รายการสัญญา'!A437)</x:f>
      </x:c>
      <x:c r="B437" s="159" t="str">
        <x:f>IF('รายการสัญญา'!A437="","",'รายการสัญญา'!C437)</x:f>
      </x:c>
      <x:c r="C437" s="162" t="str">
        <x:f>IF('รายการสัญญา'!A437="","",'รายการสัญญา'!E437)</x:f>
      </x:c>
      <x:c r="D437" s="162" t="str">
        <x:f>IF('รายการสัญญา'!A437="","",'รายการสัญญา'!G437)</x:f>
      </x:c>
      <x:c r="E437" s="159" t="str">
        <x:f>IF('รายการสัญญา'!A437="","",'รายการสัญญา'!K437)</x:f>
      </x:c>
      <x:c r="F437" s="165" t="str">
        <x:f>IF(AND(F$5&gt;=$C437,F$5&lt;=$D437,$A437&lt;&gt;""),"●","")</x:f>
      </x:c>
      <x:c r="G437" s="165" t="str">
        <x:f>IF(AND(G$5&gt;=$C437,G$5&lt;=$D437,$A437&lt;&gt;""),"●","")</x:f>
      </x:c>
      <x:c r="H437" s="165" t="str">
        <x:f>IF(AND(H$5&gt;=$C437,H$5&lt;=$D437,$A437&lt;&gt;""),"●","")</x:f>
      </x:c>
      <x:c r="I437" s="165" t="str">
        <x:f>IF(AND(I$5&gt;=$C437,I$5&lt;=$D437,$A437&lt;&gt;""),"●","")</x:f>
      </x:c>
      <x:c r="J437" s="165" t="str">
        <x:f>IF(AND(J$5&gt;=$C437,J$5&lt;=$D437,$A437&lt;&gt;""),"●","")</x:f>
      </x:c>
      <x:c r="K437" s="165" t="str">
        <x:f>IF(AND(K$5&gt;=$C437,K$5&lt;=$D437,$A437&lt;&gt;""),"●","")</x:f>
      </x:c>
      <x:c r="L437" s="165" t="str">
        <x:f>IF(AND(L$5&gt;=$C437,L$5&lt;=$D437,$A437&lt;&gt;""),"●","")</x:f>
      </x:c>
      <x:c r="M437" s="165" t="str">
        <x:f>IF(AND(M$5&gt;=$C437,M$5&lt;=$D437,$A437&lt;&gt;""),"●","")</x:f>
      </x:c>
      <x:c r="N437" s="165" t="str">
        <x:f>IF(AND(N$5&gt;=$C437,N$5&lt;=$D437,$A437&lt;&gt;""),"●","")</x:f>
      </x:c>
      <x:c r="O437" s="165" t="str">
        <x:f>IF(AND(O$5&gt;=$C437,O$5&lt;=$D437,$A437&lt;&gt;""),"●","")</x:f>
      </x:c>
      <x:c r="P437" s="165" t="str">
        <x:f>IF(AND(P$5&gt;=$C437,P$5&lt;=$D437,$A437&lt;&gt;""),"●","")</x:f>
      </x:c>
      <x:c r="Q437" s="165" t="str">
        <x:f>IF(AND(Q$5&gt;=$C437,Q$5&lt;=$D437,$A437&lt;&gt;""),"●","")</x:f>
      </x:c>
      <x:c r="R437" s="165" t="str">
        <x:f>IF(AND(R$5&gt;=$C437,R$5&lt;=$D437,$A437&lt;&gt;""),"●","")</x:f>
      </x:c>
      <x:c r="S437" s="165" t="str">
        <x:f>IF(AND(S$5&gt;=$C437,S$5&lt;=$D437,$A437&lt;&gt;""),"●","")</x:f>
      </x:c>
      <x:c r="T437" s="165" t="str">
        <x:f>IF(AND(T$5&gt;=$C437,T$5&lt;=$D437,$A437&lt;&gt;""),"●","")</x:f>
      </x:c>
      <x:c r="U437" s="165" t="str">
        <x:f>IF(AND(U$5&gt;=$C437,U$5&lt;=$D437,$A437&lt;&gt;""),"●","")</x:f>
      </x:c>
      <x:c r="V437" s="165" t="str">
        <x:f>IF(AND(V$5&gt;=$C437,V$5&lt;=$D437,$A437&lt;&gt;""),"●","")</x:f>
      </x:c>
      <x:c r="W437" s="165" t="str">
        <x:f>IF(AND(W$5&gt;=$C437,W$5&lt;=$D437,$A437&lt;&gt;""),"●","")</x:f>
      </x:c>
      <x:c r="X437" s="165" t="str">
        <x:f>IF(AND(X$5&gt;=$C437,X$5&lt;=$D437,$A437&lt;&gt;""),"●","")</x:f>
      </x:c>
      <x:c r="Y437" s="165" t="str">
        <x:f>IF(AND(Y$5&gt;=$C437,Y$5&lt;=$D437,$A437&lt;&gt;""),"●","")</x:f>
      </x:c>
      <x:c r="Z437" s="165" t="str">
        <x:f>IF(AND(Z$5&gt;=$C437,Z$5&lt;=$D437,$A437&lt;&gt;""),"●","")</x:f>
      </x:c>
      <x:c r="AA437" s="165" t="str">
        <x:f>IF(AND(AA$5&gt;=$C437,AA$5&lt;=$D437,$A437&lt;&gt;""),"●","")</x:f>
      </x:c>
      <x:c r="AB437" s="165" t="str">
        <x:f>IF(AND(AB$5&gt;=$C437,AB$5&lt;=$D437,$A437&lt;&gt;""),"●","")</x:f>
      </x:c>
      <x:c r="AC437" s="165" t="str">
        <x:f>IF(AND(AC$5&gt;=$C437,AC$5&lt;=$D437,$A437&lt;&gt;""),"●","")</x:f>
      </x:c>
      <x:c r="AD437" s="165" t="str">
        <x:f>IF(AND(AD$5&gt;=$C437,AD$5&lt;=$D437,$A437&lt;&gt;""),"●","")</x:f>
      </x:c>
      <x:c r="AE437" s="165" t="str">
        <x:f>IF(AND(AE$5&gt;=$C437,AE$5&lt;=$D437,$A437&lt;&gt;""),"●","")</x:f>
      </x:c>
      <x:c r="AF437" s="165" t="str">
        <x:f>IF(AND(AF$5&gt;=$C437,AF$5&lt;=$D437,$A437&lt;&gt;""),"●","")</x:f>
      </x:c>
      <x:c r="AG437" s="165" t="str">
        <x:f>IF(AND(AG$5&gt;=$C437,AG$5&lt;=$D437,$A437&lt;&gt;""),"●","")</x:f>
      </x:c>
      <x:c r="AH437" s="165" t="str">
        <x:f>IF(AND(AH$5&gt;=$C437,AH$5&lt;=$D437,$A437&lt;&gt;""),"●","")</x:f>
      </x:c>
      <x:c r="AI437" s="165" t="str">
        <x:f>IF(AND(AI$5&gt;=$C437,AI$5&lt;=$D437,$A437&lt;&gt;""),"●","")</x:f>
      </x:c>
      <x:c r="AJ437" s="165" t="str">
        <x:f>IF(AND(AJ$5&gt;=$C437,AJ$5&lt;=$D437,$A437&lt;&gt;""),"●","")</x:f>
      </x:c>
      <x:c r="AK437" s="165" t="str">
        <x:f>IF(AND(AK$5&gt;=$C437,AK$5&lt;=$D437,$A437&lt;&gt;""),"●","")</x:f>
      </x:c>
      <x:c r="AL437" s="165" t="str">
        <x:f>IF(AND(AL$5&gt;=$C437,AL$5&lt;=$D437,$A437&lt;&gt;""),"●","")</x:f>
      </x:c>
      <x:c r="AM437" s="165" t="str">
        <x:f>IF(AND(AM$5&gt;=$C437,AM$5&lt;=$D437,$A437&lt;&gt;""),"●","")</x:f>
      </x:c>
      <x:c r="AN437" s="165" t="str">
        <x:f>IF(AND(AN$5&gt;=$C437,AN$5&lt;=$D437,$A437&lt;&gt;""),"●","")</x:f>
      </x:c>
      <x:c r="AO437" s="165" t="str">
        <x:f>IF(AND(AO$5&gt;=$C437,AO$5&lt;=$D437,$A437&lt;&gt;""),"●","")</x:f>
      </x:c>
      <x:c r="AP437" s="165" t="str">
        <x:f>IF(AND(AP$5&gt;=$C437,AP$5&lt;=$D437,$A437&lt;&gt;""),"●","")</x:f>
      </x:c>
      <x:c r="AQ437" s="165" t="str">
        <x:f>IF(AND(AQ$5&gt;=$C437,AQ$5&lt;=$D437,$A437&lt;&gt;""),"●","")</x:f>
      </x:c>
      <x:c r="AR437" s="165" t="str">
        <x:f>IF(AND(AR$5&gt;=$C437,AR$5&lt;=$D437,$A437&lt;&gt;""),"●","")</x:f>
      </x:c>
      <x:c r="AS437" s="165" t="str">
        <x:f>IF(AND(AS$5&gt;=$C437,AS$5&lt;=$D437,$A437&lt;&gt;""),"●","")</x:f>
      </x:c>
      <x:c r="AT437" s="165" t="str">
        <x:f>IF(AND(AT$5&gt;=$C437,AT$5&lt;=$D437,$A437&lt;&gt;""),"●","")</x:f>
      </x:c>
      <x:c r="AU437" s="165" t="str">
        <x:f>IF(AND(AU$5&gt;=$C437,AU$5&lt;=$D437,$A437&lt;&gt;""),"●","")</x:f>
      </x:c>
      <x:c r="AV437" s="165" t="str">
        <x:f>IF(AND(AV$5&gt;=$C437,AV$5&lt;=$D437,$A437&lt;&gt;""),"●","")</x:f>
      </x:c>
      <x:c r="AW437" s="165" t="str">
        <x:f>IF(AND(AW$5&gt;=$C437,AW$5&lt;=$D437,$A437&lt;&gt;""),"●","")</x:f>
      </x:c>
      <x:c r="AX437" s="165" t="str">
        <x:f>IF(AND(AX$5&gt;=$C437,AX$5&lt;=$D437,$A437&lt;&gt;""),"●","")</x:f>
      </x:c>
      <x:c r="AY437" s="165" t="str">
        <x:f>IF(AND(AY$5&gt;=$C437,AY$5&lt;=$D437,$A437&lt;&gt;""),"●","")</x:f>
      </x:c>
      <x:c r="AZ437" s="165" t="str">
        <x:f>IF(AND(AZ$5&gt;=$C437,AZ$5&lt;=$D437,$A437&lt;&gt;""),"●","")</x:f>
      </x:c>
      <x:c r="BA437" s="165" t="str">
        <x:f>IF(AND(BA$5&gt;=$C437,BA$5&lt;=$D437,$A437&lt;&gt;""),"●","")</x:f>
      </x:c>
      <x:c r="BB437" s="165" t="str">
        <x:f>IF(AND(BB$5&gt;=$C437,BB$5&lt;=$D437,$A437&lt;&gt;""),"●","")</x:f>
      </x:c>
      <x:c r="BC437" s="165" t="str">
        <x:f>IF(AND(BC$5&gt;=$C437,BC$5&lt;=$D437,$A437&lt;&gt;""),"●","")</x:f>
      </x:c>
      <x:c r="BD437" s="165" t="str">
        <x:f>IF(AND(BD$5&gt;=$C437,BD$5&lt;=$D437,$A437&lt;&gt;""),"●","")</x:f>
      </x:c>
      <x:c r="BE437" s="165" t="str">
        <x:f>IF(AND(BE$5&gt;=$C437,BE$5&lt;=$D437,$A437&lt;&gt;""),"●","")</x:f>
      </x:c>
      <x:c r="BF437" s="165" t="str">
        <x:f>IF(AND(BF$5&gt;=$C437,BF$5&lt;=$D437,$A437&lt;&gt;""),"●","")</x:f>
      </x:c>
      <x:c r="BG437" s="165" t="str">
        <x:f>IF(AND(BG$5&gt;=$C437,BG$5&lt;=$D437,$A437&lt;&gt;""),"●","")</x:f>
      </x:c>
      <x:c r="BH437" s="165" t="str">
        <x:f>IF(AND(BH$5&gt;=$C437,BH$5&lt;=$D437,$A437&lt;&gt;""),"●","")</x:f>
      </x:c>
      <x:c r="BI437" s="165" t="str">
        <x:f>IF(AND(BI$5&gt;=$C437,BI$5&lt;=$D437,$A437&lt;&gt;""),"●","")</x:f>
      </x:c>
      <x:c r="BJ437" s="165" t="str">
        <x:f>IF(AND(BJ$5&gt;=$C437,BJ$5&lt;=$D437,$A437&lt;&gt;""),"●","")</x:f>
      </x:c>
      <x:c r="BK437" s="165" t="str">
        <x:f>IF(AND(BK$5&gt;=$C437,BK$5&lt;=$D437,$A437&lt;&gt;""),"●","")</x:f>
      </x:c>
      <x:c r="BL437" s="165" t="str">
        <x:f>IF(AND(BL$5&gt;=$C437,BL$5&lt;=$D437,$A437&lt;&gt;""),"●","")</x:f>
      </x:c>
      <x:c r="BM437" s="165" t="str">
        <x:f>IF(AND(BM$5&gt;=$C437,BM$5&lt;=$D437,$A437&lt;&gt;""),"●","")</x:f>
      </x:c>
      <x:c r="BN437" s="165" t="str">
        <x:f>IF(AND(BN$5&gt;=$C437,BN$5&lt;=$D437,$A437&lt;&gt;""),"●","")</x:f>
      </x:c>
      <x:c r="BO437" s="165" t="str">
        <x:f>IF(AND(BO$5&gt;=$C437,BO$5&lt;=$D437,$A437&lt;&gt;""),"●","")</x:f>
      </x:c>
      <x:c r="BP437" s="165" t="str">
        <x:f>IF(AND(BP$5&gt;=$C437,BP$5&lt;=$D437,$A437&lt;&gt;""),"●","")</x:f>
      </x:c>
      <x:c r="BQ437" s="165" t="str">
        <x:f>IF(AND(BQ$5&gt;=$C437,BQ$5&lt;=$D437,$A437&lt;&gt;""),"●","")</x:f>
      </x:c>
      <x:c r="BR437" s="165" t="str">
        <x:f>IF(AND(BR$5&gt;=$C437,BR$5&lt;=$D437,$A437&lt;&gt;""),"●","")</x:f>
      </x:c>
      <x:c r="BS437" s="165" t="str">
        <x:f>IF(AND(BS$5&gt;=$C437,BS$5&lt;=$D437,$A437&lt;&gt;""),"●","")</x:f>
      </x:c>
      <x:c r="BT437" s="165" t="str">
        <x:f>IF(AND(BT$5&gt;=$C437,BT$5&lt;=$D437,$A437&lt;&gt;""),"●","")</x:f>
      </x:c>
      <x:c r="BU437" s="165" t="str">
        <x:f>IF(AND(BU$5&gt;=$C437,BU$5&lt;=$D437,$A437&lt;&gt;""),"●","")</x:f>
      </x:c>
      <x:c r="BV437" s="165" t="str">
        <x:f>IF(AND(BV$5&gt;=$C437,BV$5&lt;=$D437,$A437&lt;&gt;""),"●","")</x:f>
      </x:c>
      <x:c r="BW437" s="165" t="str">
        <x:f>IF(AND(BW$5&gt;=$C437,BW$5&lt;=$D437,$A437&lt;&gt;""),"●","")</x:f>
      </x:c>
    </x:row>
    <x:row r="438">
      <x:c r="A438" s="159" t="str">
        <x:f>IF('รายการสัญญา'!A438="","",'รายการสัญญา'!A438)</x:f>
      </x:c>
      <x:c r="B438" s="159" t="str">
        <x:f>IF('รายการสัญญา'!A438="","",'รายการสัญญา'!C438)</x:f>
      </x:c>
      <x:c r="C438" s="162" t="str">
        <x:f>IF('รายการสัญญา'!A438="","",'รายการสัญญา'!E438)</x:f>
      </x:c>
      <x:c r="D438" s="162" t="str">
        <x:f>IF('รายการสัญญา'!A438="","",'รายการสัญญา'!G438)</x:f>
      </x:c>
      <x:c r="E438" s="159" t="str">
        <x:f>IF('รายการสัญญา'!A438="","",'รายการสัญญา'!K438)</x:f>
      </x:c>
      <x:c r="F438" s="165" t="str">
        <x:f>IF(AND(F$5&gt;=$C438,F$5&lt;=$D438,$A438&lt;&gt;""),"●","")</x:f>
      </x:c>
      <x:c r="G438" s="165" t="str">
        <x:f>IF(AND(G$5&gt;=$C438,G$5&lt;=$D438,$A438&lt;&gt;""),"●","")</x:f>
      </x:c>
      <x:c r="H438" s="165" t="str">
        <x:f>IF(AND(H$5&gt;=$C438,H$5&lt;=$D438,$A438&lt;&gt;""),"●","")</x:f>
      </x:c>
      <x:c r="I438" s="165" t="str">
        <x:f>IF(AND(I$5&gt;=$C438,I$5&lt;=$D438,$A438&lt;&gt;""),"●","")</x:f>
      </x:c>
      <x:c r="J438" s="165" t="str">
        <x:f>IF(AND(J$5&gt;=$C438,J$5&lt;=$D438,$A438&lt;&gt;""),"●","")</x:f>
      </x:c>
      <x:c r="K438" s="165" t="str">
        <x:f>IF(AND(K$5&gt;=$C438,K$5&lt;=$D438,$A438&lt;&gt;""),"●","")</x:f>
      </x:c>
      <x:c r="L438" s="165" t="str">
        <x:f>IF(AND(L$5&gt;=$C438,L$5&lt;=$D438,$A438&lt;&gt;""),"●","")</x:f>
      </x:c>
      <x:c r="M438" s="165" t="str">
        <x:f>IF(AND(M$5&gt;=$C438,M$5&lt;=$D438,$A438&lt;&gt;""),"●","")</x:f>
      </x:c>
      <x:c r="N438" s="165" t="str">
        <x:f>IF(AND(N$5&gt;=$C438,N$5&lt;=$D438,$A438&lt;&gt;""),"●","")</x:f>
      </x:c>
      <x:c r="O438" s="165" t="str">
        <x:f>IF(AND(O$5&gt;=$C438,O$5&lt;=$D438,$A438&lt;&gt;""),"●","")</x:f>
      </x:c>
      <x:c r="P438" s="165" t="str">
        <x:f>IF(AND(P$5&gt;=$C438,P$5&lt;=$D438,$A438&lt;&gt;""),"●","")</x:f>
      </x:c>
      <x:c r="Q438" s="165" t="str">
        <x:f>IF(AND(Q$5&gt;=$C438,Q$5&lt;=$D438,$A438&lt;&gt;""),"●","")</x:f>
      </x:c>
      <x:c r="R438" s="165" t="str">
        <x:f>IF(AND(R$5&gt;=$C438,R$5&lt;=$D438,$A438&lt;&gt;""),"●","")</x:f>
      </x:c>
      <x:c r="S438" s="165" t="str">
        <x:f>IF(AND(S$5&gt;=$C438,S$5&lt;=$D438,$A438&lt;&gt;""),"●","")</x:f>
      </x:c>
      <x:c r="T438" s="165" t="str">
        <x:f>IF(AND(T$5&gt;=$C438,T$5&lt;=$D438,$A438&lt;&gt;""),"●","")</x:f>
      </x:c>
      <x:c r="U438" s="165" t="str">
        <x:f>IF(AND(U$5&gt;=$C438,U$5&lt;=$D438,$A438&lt;&gt;""),"●","")</x:f>
      </x:c>
      <x:c r="V438" s="165" t="str">
        <x:f>IF(AND(V$5&gt;=$C438,V$5&lt;=$D438,$A438&lt;&gt;""),"●","")</x:f>
      </x:c>
      <x:c r="W438" s="165" t="str">
        <x:f>IF(AND(W$5&gt;=$C438,W$5&lt;=$D438,$A438&lt;&gt;""),"●","")</x:f>
      </x:c>
      <x:c r="X438" s="165" t="str">
        <x:f>IF(AND(X$5&gt;=$C438,X$5&lt;=$D438,$A438&lt;&gt;""),"●","")</x:f>
      </x:c>
      <x:c r="Y438" s="165" t="str">
        <x:f>IF(AND(Y$5&gt;=$C438,Y$5&lt;=$D438,$A438&lt;&gt;""),"●","")</x:f>
      </x:c>
      <x:c r="Z438" s="165" t="str">
        <x:f>IF(AND(Z$5&gt;=$C438,Z$5&lt;=$D438,$A438&lt;&gt;""),"●","")</x:f>
      </x:c>
      <x:c r="AA438" s="165" t="str">
        <x:f>IF(AND(AA$5&gt;=$C438,AA$5&lt;=$D438,$A438&lt;&gt;""),"●","")</x:f>
      </x:c>
      <x:c r="AB438" s="165" t="str">
        <x:f>IF(AND(AB$5&gt;=$C438,AB$5&lt;=$D438,$A438&lt;&gt;""),"●","")</x:f>
      </x:c>
      <x:c r="AC438" s="165" t="str">
        <x:f>IF(AND(AC$5&gt;=$C438,AC$5&lt;=$D438,$A438&lt;&gt;""),"●","")</x:f>
      </x:c>
      <x:c r="AD438" s="165" t="str">
        <x:f>IF(AND(AD$5&gt;=$C438,AD$5&lt;=$D438,$A438&lt;&gt;""),"●","")</x:f>
      </x:c>
      <x:c r="AE438" s="165" t="str">
        <x:f>IF(AND(AE$5&gt;=$C438,AE$5&lt;=$D438,$A438&lt;&gt;""),"●","")</x:f>
      </x:c>
      <x:c r="AF438" s="165" t="str">
        <x:f>IF(AND(AF$5&gt;=$C438,AF$5&lt;=$D438,$A438&lt;&gt;""),"●","")</x:f>
      </x:c>
      <x:c r="AG438" s="165" t="str">
        <x:f>IF(AND(AG$5&gt;=$C438,AG$5&lt;=$D438,$A438&lt;&gt;""),"●","")</x:f>
      </x:c>
      <x:c r="AH438" s="165" t="str">
        <x:f>IF(AND(AH$5&gt;=$C438,AH$5&lt;=$D438,$A438&lt;&gt;""),"●","")</x:f>
      </x:c>
      <x:c r="AI438" s="165" t="str">
        <x:f>IF(AND(AI$5&gt;=$C438,AI$5&lt;=$D438,$A438&lt;&gt;""),"●","")</x:f>
      </x:c>
      <x:c r="AJ438" s="165" t="str">
        <x:f>IF(AND(AJ$5&gt;=$C438,AJ$5&lt;=$D438,$A438&lt;&gt;""),"●","")</x:f>
      </x:c>
      <x:c r="AK438" s="165" t="str">
        <x:f>IF(AND(AK$5&gt;=$C438,AK$5&lt;=$D438,$A438&lt;&gt;""),"●","")</x:f>
      </x:c>
      <x:c r="AL438" s="165" t="str">
        <x:f>IF(AND(AL$5&gt;=$C438,AL$5&lt;=$D438,$A438&lt;&gt;""),"●","")</x:f>
      </x:c>
      <x:c r="AM438" s="165" t="str">
        <x:f>IF(AND(AM$5&gt;=$C438,AM$5&lt;=$D438,$A438&lt;&gt;""),"●","")</x:f>
      </x:c>
      <x:c r="AN438" s="165" t="str">
        <x:f>IF(AND(AN$5&gt;=$C438,AN$5&lt;=$D438,$A438&lt;&gt;""),"●","")</x:f>
      </x:c>
      <x:c r="AO438" s="165" t="str">
        <x:f>IF(AND(AO$5&gt;=$C438,AO$5&lt;=$D438,$A438&lt;&gt;""),"●","")</x:f>
      </x:c>
      <x:c r="AP438" s="165" t="str">
        <x:f>IF(AND(AP$5&gt;=$C438,AP$5&lt;=$D438,$A438&lt;&gt;""),"●","")</x:f>
      </x:c>
      <x:c r="AQ438" s="165" t="str">
        <x:f>IF(AND(AQ$5&gt;=$C438,AQ$5&lt;=$D438,$A438&lt;&gt;""),"●","")</x:f>
      </x:c>
      <x:c r="AR438" s="165" t="str">
        <x:f>IF(AND(AR$5&gt;=$C438,AR$5&lt;=$D438,$A438&lt;&gt;""),"●","")</x:f>
      </x:c>
      <x:c r="AS438" s="165" t="str">
        <x:f>IF(AND(AS$5&gt;=$C438,AS$5&lt;=$D438,$A438&lt;&gt;""),"●","")</x:f>
      </x:c>
      <x:c r="AT438" s="165" t="str">
        <x:f>IF(AND(AT$5&gt;=$C438,AT$5&lt;=$D438,$A438&lt;&gt;""),"●","")</x:f>
      </x:c>
      <x:c r="AU438" s="165" t="str">
        <x:f>IF(AND(AU$5&gt;=$C438,AU$5&lt;=$D438,$A438&lt;&gt;""),"●","")</x:f>
      </x:c>
      <x:c r="AV438" s="165" t="str">
        <x:f>IF(AND(AV$5&gt;=$C438,AV$5&lt;=$D438,$A438&lt;&gt;""),"●","")</x:f>
      </x:c>
      <x:c r="AW438" s="165" t="str">
        <x:f>IF(AND(AW$5&gt;=$C438,AW$5&lt;=$D438,$A438&lt;&gt;""),"●","")</x:f>
      </x:c>
      <x:c r="AX438" s="165" t="str">
        <x:f>IF(AND(AX$5&gt;=$C438,AX$5&lt;=$D438,$A438&lt;&gt;""),"●","")</x:f>
      </x:c>
      <x:c r="AY438" s="165" t="str">
        <x:f>IF(AND(AY$5&gt;=$C438,AY$5&lt;=$D438,$A438&lt;&gt;""),"●","")</x:f>
      </x:c>
      <x:c r="AZ438" s="165" t="str">
        <x:f>IF(AND(AZ$5&gt;=$C438,AZ$5&lt;=$D438,$A438&lt;&gt;""),"●","")</x:f>
      </x:c>
      <x:c r="BA438" s="165" t="str">
        <x:f>IF(AND(BA$5&gt;=$C438,BA$5&lt;=$D438,$A438&lt;&gt;""),"●","")</x:f>
      </x:c>
      <x:c r="BB438" s="165" t="str">
        <x:f>IF(AND(BB$5&gt;=$C438,BB$5&lt;=$D438,$A438&lt;&gt;""),"●","")</x:f>
      </x:c>
      <x:c r="BC438" s="165" t="str">
        <x:f>IF(AND(BC$5&gt;=$C438,BC$5&lt;=$D438,$A438&lt;&gt;""),"●","")</x:f>
      </x:c>
      <x:c r="BD438" s="165" t="str">
        <x:f>IF(AND(BD$5&gt;=$C438,BD$5&lt;=$D438,$A438&lt;&gt;""),"●","")</x:f>
      </x:c>
      <x:c r="BE438" s="165" t="str">
        <x:f>IF(AND(BE$5&gt;=$C438,BE$5&lt;=$D438,$A438&lt;&gt;""),"●","")</x:f>
      </x:c>
      <x:c r="BF438" s="165" t="str">
        <x:f>IF(AND(BF$5&gt;=$C438,BF$5&lt;=$D438,$A438&lt;&gt;""),"●","")</x:f>
      </x:c>
      <x:c r="BG438" s="165" t="str">
        <x:f>IF(AND(BG$5&gt;=$C438,BG$5&lt;=$D438,$A438&lt;&gt;""),"●","")</x:f>
      </x:c>
      <x:c r="BH438" s="165" t="str">
        <x:f>IF(AND(BH$5&gt;=$C438,BH$5&lt;=$D438,$A438&lt;&gt;""),"●","")</x:f>
      </x:c>
      <x:c r="BI438" s="165" t="str">
        <x:f>IF(AND(BI$5&gt;=$C438,BI$5&lt;=$D438,$A438&lt;&gt;""),"●","")</x:f>
      </x:c>
      <x:c r="BJ438" s="165" t="str">
        <x:f>IF(AND(BJ$5&gt;=$C438,BJ$5&lt;=$D438,$A438&lt;&gt;""),"●","")</x:f>
      </x:c>
      <x:c r="BK438" s="165" t="str">
        <x:f>IF(AND(BK$5&gt;=$C438,BK$5&lt;=$D438,$A438&lt;&gt;""),"●","")</x:f>
      </x:c>
      <x:c r="BL438" s="165" t="str">
        <x:f>IF(AND(BL$5&gt;=$C438,BL$5&lt;=$D438,$A438&lt;&gt;""),"●","")</x:f>
      </x:c>
      <x:c r="BM438" s="165" t="str">
        <x:f>IF(AND(BM$5&gt;=$C438,BM$5&lt;=$D438,$A438&lt;&gt;""),"●","")</x:f>
      </x:c>
      <x:c r="BN438" s="165" t="str">
        <x:f>IF(AND(BN$5&gt;=$C438,BN$5&lt;=$D438,$A438&lt;&gt;""),"●","")</x:f>
      </x:c>
      <x:c r="BO438" s="165" t="str">
        <x:f>IF(AND(BO$5&gt;=$C438,BO$5&lt;=$D438,$A438&lt;&gt;""),"●","")</x:f>
      </x:c>
      <x:c r="BP438" s="165" t="str">
        <x:f>IF(AND(BP$5&gt;=$C438,BP$5&lt;=$D438,$A438&lt;&gt;""),"●","")</x:f>
      </x:c>
      <x:c r="BQ438" s="165" t="str">
        <x:f>IF(AND(BQ$5&gt;=$C438,BQ$5&lt;=$D438,$A438&lt;&gt;""),"●","")</x:f>
      </x:c>
      <x:c r="BR438" s="165" t="str">
        <x:f>IF(AND(BR$5&gt;=$C438,BR$5&lt;=$D438,$A438&lt;&gt;""),"●","")</x:f>
      </x:c>
      <x:c r="BS438" s="165" t="str">
        <x:f>IF(AND(BS$5&gt;=$C438,BS$5&lt;=$D438,$A438&lt;&gt;""),"●","")</x:f>
      </x:c>
      <x:c r="BT438" s="165" t="str">
        <x:f>IF(AND(BT$5&gt;=$C438,BT$5&lt;=$D438,$A438&lt;&gt;""),"●","")</x:f>
      </x:c>
      <x:c r="BU438" s="165" t="str">
        <x:f>IF(AND(BU$5&gt;=$C438,BU$5&lt;=$D438,$A438&lt;&gt;""),"●","")</x:f>
      </x:c>
      <x:c r="BV438" s="165" t="str">
        <x:f>IF(AND(BV$5&gt;=$C438,BV$5&lt;=$D438,$A438&lt;&gt;""),"●","")</x:f>
      </x:c>
      <x:c r="BW438" s="165" t="str">
        <x:f>IF(AND(BW$5&gt;=$C438,BW$5&lt;=$D438,$A438&lt;&gt;""),"●","")</x:f>
      </x:c>
    </x:row>
    <x:row r="439">
      <x:c r="A439" s="159" t="str">
        <x:f>IF('รายการสัญญา'!A439="","",'รายการสัญญา'!A439)</x:f>
      </x:c>
      <x:c r="B439" s="159" t="str">
        <x:f>IF('รายการสัญญา'!A439="","",'รายการสัญญา'!C439)</x:f>
      </x:c>
      <x:c r="C439" s="162" t="str">
        <x:f>IF('รายการสัญญา'!A439="","",'รายการสัญญา'!E439)</x:f>
      </x:c>
      <x:c r="D439" s="162" t="str">
        <x:f>IF('รายการสัญญา'!A439="","",'รายการสัญญา'!G439)</x:f>
      </x:c>
      <x:c r="E439" s="159" t="str">
        <x:f>IF('รายการสัญญา'!A439="","",'รายการสัญญา'!K439)</x:f>
      </x:c>
      <x:c r="F439" s="165" t="str">
        <x:f>IF(AND(F$5&gt;=$C439,F$5&lt;=$D439,$A439&lt;&gt;""),"●","")</x:f>
      </x:c>
      <x:c r="G439" s="165" t="str">
        <x:f>IF(AND(G$5&gt;=$C439,G$5&lt;=$D439,$A439&lt;&gt;""),"●","")</x:f>
      </x:c>
      <x:c r="H439" s="165" t="str">
        <x:f>IF(AND(H$5&gt;=$C439,H$5&lt;=$D439,$A439&lt;&gt;""),"●","")</x:f>
      </x:c>
      <x:c r="I439" s="165" t="str">
        <x:f>IF(AND(I$5&gt;=$C439,I$5&lt;=$D439,$A439&lt;&gt;""),"●","")</x:f>
      </x:c>
      <x:c r="J439" s="165" t="str">
        <x:f>IF(AND(J$5&gt;=$C439,J$5&lt;=$D439,$A439&lt;&gt;""),"●","")</x:f>
      </x:c>
      <x:c r="K439" s="165" t="str">
        <x:f>IF(AND(K$5&gt;=$C439,K$5&lt;=$D439,$A439&lt;&gt;""),"●","")</x:f>
      </x:c>
      <x:c r="L439" s="165" t="str">
        <x:f>IF(AND(L$5&gt;=$C439,L$5&lt;=$D439,$A439&lt;&gt;""),"●","")</x:f>
      </x:c>
      <x:c r="M439" s="165" t="str">
        <x:f>IF(AND(M$5&gt;=$C439,M$5&lt;=$D439,$A439&lt;&gt;""),"●","")</x:f>
      </x:c>
      <x:c r="N439" s="165" t="str">
        <x:f>IF(AND(N$5&gt;=$C439,N$5&lt;=$D439,$A439&lt;&gt;""),"●","")</x:f>
      </x:c>
      <x:c r="O439" s="165" t="str">
        <x:f>IF(AND(O$5&gt;=$C439,O$5&lt;=$D439,$A439&lt;&gt;""),"●","")</x:f>
      </x:c>
      <x:c r="P439" s="165" t="str">
        <x:f>IF(AND(P$5&gt;=$C439,P$5&lt;=$D439,$A439&lt;&gt;""),"●","")</x:f>
      </x:c>
      <x:c r="Q439" s="165" t="str">
        <x:f>IF(AND(Q$5&gt;=$C439,Q$5&lt;=$D439,$A439&lt;&gt;""),"●","")</x:f>
      </x:c>
      <x:c r="R439" s="165" t="str">
        <x:f>IF(AND(R$5&gt;=$C439,R$5&lt;=$D439,$A439&lt;&gt;""),"●","")</x:f>
      </x:c>
      <x:c r="S439" s="165" t="str">
        <x:f>IF(AND(S$5&gt;=$C439,S$5&lt;=$D439,$A439&lt;&gt;""),"●","")</x:f>
      </x:c>
      <x:c r="T439" s="165" t="str">
        <x:f>IF(AND(T$5&gt;=$C439,T$5&lt;=$D439,$A439&lt;&gt;""),"●","")</x:f>
      </x:c>
      <x:c r="U439" s="165" t="str">
        <x:f>IF(AND(U$5&gt;=$C439,U$5&lt;=$D439,$A439&lt;&gt;""),"●","")</x:f>
      </x:c>
      <x:c r="V439" s="165" t="str">
        <x:f>IF(AND(V$5&gt;=$C439,V$5&lt;=$D439,$A439&lt;&gt;""),"●","")</x:f>
      </x:c>
      <x:c r="W439" s="165" t="str">
        <x:f>IF(AND(W$5&gt;=$C439,W$5&lt;=$D439,$A439&lt;&gt;""),"●","")</x:f>
      </x:c>
      <x:c r="X439" s="165" t="str">
        <x:f>IF(AND(X$5&gt;=$C439,X$5&lt;=$D439,$A439&lt;&gt;""),"●","")</x:f>
      </x:c>
      <x:c r="Y439" s="165" t="str">
        <x:f>IF(AND(Y$5&gt;=$C439,Y$5&lt;=$D439,$A439&lt;&gt;""),"●","")</x:f>
      </x:c>
      <x:c r="Z439" s="165" t="str">
        <x:f>IF(AND(Z$5&gt;=$C439,Z$5&lt;=$D439,$A439&lt;&gt;""),"●","")</x:f>
      </x:c>
      <x:c r="AA439" s="165" t="str">
        <x:f>IF(AND(AA$5&gt;=$C439,AA$5&lt;=$D439,$A439&lt;&gt;""),"●","")</x:f>
      </x:c>
      <x:c r="AB439" s="165" t="str">
        <x:f>IF(AND(AB$5&gt;=$C439,AB$5&lt;=$D439,$A439&lt;&gt;""),"●","")</x:f>
      </x:c>
      <x:c r="AC439" s="165" t="str">
        <x:f>IF(AND(AC$5&gt;=$C439,AC$5&lt;=$D439,$A439&lt;&gt;""),"●","")</x:f>
      </x:c>
      <x:c r="AD439" s="165" t="str">
        <x:f>IF(AND(AD$5&gt;=$C439,AD$5&lt;=$D439,$A439&lt;&gt;""),"●","")</x:f>
      </x:c>
      <x:c r="AE439" s="165" t="str">
        <x:f>IF(AND(AE$5&gt;=$C439,AE$5&lt;=$D439,$A439&lt;&gt;""),"●","")</x:f>
      </x:c>
      <x:c r="AF439" s="165" t="str">
        <x:f>IF(AND(AF$5&gt;=$C439,AF$5&lt;=$D439,$A439&lt;&gt;""),"●","")</x:f>
      </x:c>
      <x:c r="AG439" s="165" t="str">
        <x:f>IF(AND(AG$5&gt;=$C439,AG$5&lt;=$D439,$A439&lt;&gt;""),"●","")</x:f>
      </x:c>
      <x:c r="AH439" s="165" t="str">
        <x:f>IF(AND(AH$5&gt;=$C439,AH$5&lt;=$D439,$A439&lt;&gt;""),"●","")</x:f>
      </x:c>
      <x:c r="AI439" s="165" t="str">
        <x:f>IF(AND(AI$5&gt;=$C439,AI$5&lt;=$D439,$A439&lt;&gt;""),"●","")</x:f>
      </x:c>
      <x:c r="AJ439" s="165" t="str">
        <x:f>IF(AND(AJ$5&gt;=$C439,AJ$5&lt;=$D439,$A439&lt;&gt;""),"●","")</x:f>
      </x:c>
      <x:c r="AK439" s="165" t="str">
        <x:f>IF(AND(AK$5&gt;=$C439,AK$5&lt;=$D439,$A439&lt;&gt;""),"●","")</x:f>
      </x:c>
      <x:c r="AL439" s="165" t="str">
        <x:f>IF(AND(AL$5&gt;=$C439,AL$5&lt;=$D439,$A439&lt;&gt;""),"●","")</x:f>
      </x:c>
      <x:c r="AM439" s="165" t="str">
        <x:f>IF(AND(AM$5&gt;=$C439,AM$5&lt;=$D439,$A439&lt;&gt;""),"●","")</x:f>
      </x:c>
      <x:c r="AN439" s="165" t="str">
        <x:f>IF(AND(AN$5&gt;=$C439,AN$5&lt;=$D439,$A439&lt;&gt;""),"●","")</x:f>
      </x:c>
      <x:c r="AO439" s="165" t="str">
        <x:f>IF(AND(AO$5&gt;=$C439,AO$5&lt;=$D439,$A439&lt;&gt;""),"●","")</x:f>
      </x:c>
      <x:c r="AP439" s="165" t="str">
        <x:f>IF(AND(AP$5&gt;=$C439,AP$5&lt;=$D439,$A439&lt;&gt;""),"●","")</x:f>
      </x:c>
      <x:c r="AQ439" s="165" t="str">
        <x:f>IF(AND(AQ$5&gt;=$C439,AQ$5&lt;=$D439,$A439&lt;&gt;""),"●","")</x:f>
      </x:c>
      <x:c r="AR439" s="165" t="str">
        <x:f>IF(AND(AR$5&gt;=$C439,AR$5&lt;=$D439,$A439&lt;&gt;""),"●","")</x:f>
      </x:c>
      <x:c r="AS439" s="165" t="str">
        <x:f>IF(AND(AS$5&gt;=$C439,AS$5&lt;=$D439,$A439&lt;&gt;""),"●","")</x:f>
      </x:c>
      <x:c r="AT439" s="165" t="str">
        <x:f>IF(AND(AT$5&gt;=$C439,AT$5&lt;=$D439,$A439&lt;&gt;""),"●","")</x:f>
      </x:c>
      <x:c r="AU439" s="165" t="str">
        <x:f>IF(AND(AU$5&gt;=$C439,AU$5&lt;=$D439,$A439&lt;&gt;""),"●","")</x:f>
      </x:c>
      <x:c r="AV439" s="165" t="str">
        <x:f>IF(AND(AV$5&gt;=$C439,AV$5&lt;=$D439,$A439&lt;&gt;""),"●","")</x:f>
      </x:c>
      <x:c r="AW439" s="165" t="str">
        <x:f>IF(AND(AW$5&gt;=$C439,AW$5&lt;=$D439,$A439&lt;&gt;""),"●","")</x:f>
      </x:c>
      <x:c r="AX439" s="165" t="str">
        <x:f>IF(AND(AX$5&gt;=$C439,AX$5&lt;=$D439,$A439&lt;&gt;""),"●","")</x:f>
      </x:c>
      <x:c r="AY439" s="165" t="str">
        <x:f>IF(AND(AY$5&gt;=$C439,AY$5&lt;=$D439,$A439&lt;&gt;""),"●","")</x:f>
      </x:c>
      <x:c r="AZ439" s="165" t="str">
        <x:f>IF(AND(AZ$5&gt;=$C439,AZ$5&lt;=$D439,$A439&lt;&gt;""),"●","")</x:f>
      </x:c>
      <x:c r="BA439" s="165" t="str">
        <x:f>IF(AND(BA$5&gt;=$C439,BA$5&lt;=$D439,$A439&lt;&gt;""),"●","")</x:f>
      </x:c>
      <x:c r="BB439" s="165" t="str">
        <x:f>IF(AND(BB$5&gt;=$C439,BB$5&lt;=$D439,$A439&lt;&gt;""),"●","")</x:f>
      </x:c>
      <x:c r="BC439" s="165" t="str">
        <x:f>IF(AND(BC$5&gt;=$C439,BC$5&lt;=$D439,$A439&lt;&gt;""),"●","")</x:f>
      </x:c>
      <x:c r="BD439" s="165" t="str">
        <x:f>IF(AND(BD$5&gt;=$C439,BD$5&lt;=$D439,$A439&lt;&gt;""),"●","")</x:f>
      </x:c>
      <x:c r="BE439" s="165" t="str">
        <x:f>IF(AND(BE$5&gt;=$C439,BE$5&lt;=$D439,$A439&lt;&gt;""),"●","")</x:f>
      </x:c>
      <x:c r="BF439" s="165" t="str">
        <x:f>IF(AND(BF$5&gt;=$C439,BF$5&lt;=$D439,$A439&lt;&gt;""),"●","")</x:f>
      </x:c>
      <x:c r="BG439" s="165" t="str">
        <x:f>IF(AND(BG$5&gt;=$C439,BG$5&lt;=$D439,$A439&lt;&gt;""),"●","")</x:f>
      </x:c>
      <x:c r="BH439" s="165" t="str">
        <x:f>IF(AND(BH$5&gt;=$C439,BH$5&lt;=$D439,$A439&lt;&gt;""),"●","")</x:f>
      </x:c>
      <x:c r="BI439" s="165" t="str">
        <x:f>IF(AND(BI$5&gt;=$C439,BI$5&lt;=$D439,$A439&lt;&gt;""),"●","")</x:f>
      </x:c>
      <x:c r="BJ439" s="165" t="str">
        <x:f>IF(AND(BJ$5&gt;=$C439,BJ$5&lt;=$D439,$A439&lt;&gt;""),"●","")</x:f>
      </x:c>
      <x:c r="BK439" s="165" t="str">
        <x:f>IF(AND(BK$5&gt;=$C439,BK$5&lt;=$D439,$A439&lt;&gt;""),"●","")</x:f>
      </x:c>
      <x:c r="BL439" s="165" t="str">
        <x:f>IF(AND(BL$5&gt;=$C439,BL$5&lt;=$D439,$A439&lt;&gt;""),"●","")</x:f>
      </x:c>
      <x:c r="BM439" s="165" t="str">
        <x:f>IF(AND(BM$5&gt;=$C439,BM$5&lt;=$D439,$A439&lt;&gt;""),"●","")</x:f>
      </x:c>
      <x:c r="BN439" s="165" t="str">
        <x:f>IF(AND(BN$5&gt;=$C439,BN$5&lt;=$D439,$A439&lt;&gt;""),"●","")</x:f>
      </x:c>
      <x:c r="BO439" s="165" t="str">
        <x:f>IF(AND(BO$5&gt;=$C439,BO$5&lt;=$D439,$A439&lt;&gt;""),"●","")</x:f>
      </x:c>
      <x:c r="BP439" s="165" t="str">
        <x:f>IF(AND(BP$5&gt;=$C439,BP$5&lt;=$D439,$A439&lt;&gt;""),"●","")</x:f>
      </x:c>
      <x:c r="BQ439" s="165" t="str">
        <x:f>IF(AND(BQ$5&gt;=$C439,BQ$5&lt;=$D439,$A439&lt;&gt;""),"●","")</x:f>
      </x:c>
      <x:c r="BR439" s="165" t="str">
        <x:f>IF(AND(BR$5&gt;=$C439,BR$5&lt;=$D439,$A439&lt;&gt;""),"●","")</x:f>
      </x:c>
      <x:c r="BS439" s="165" t="str">
        <x:f>IF(AND(BS$5&gt;=$C439,BS$5&lt;=$D439,$A439&lt;&gt;""),"●","")</x:f>
      </x:c>
      <x:c r="BT439" s="165" t="str">
        <x:f>IF(AND(BT$5&gt;=$C439,BT$5&lt;=$D439,$A439&lt;&gt;""),"●","")</x:f>
      </x:c>
      <x:c r="BU439" s="165" t="str">
        <x:f>IF(AND(BU$5&gt;=$C439,BU$5&lt;=$D439,$A439&lt;&gt;""),"●","")</x:f>
      </x:c>
      <x:c r="BV439" s="165" t="str">
        <x:f>IF(AND(BV$5&gt;=$C439,BV$5&lt;=$D439,$A439&lt;&gt;""),"●","")</x:f>
      </x:c>
      <x:c r="BW439" s="165" t="str">
        <x:f>IF(AND(BW$5&gt;=$C439,BW$5&lt;=$D439,$A439&lt;&gt;""),"●","")</x:f>
      </x:c>
    </x:row>
    <x:row r="440">
      <x:c r="A440" s="159" t="str">
        <x:f>IF('รายการสัญญา'!A440="","",'รายการสัญญา'!A440)</x:f>
      </x:c>
      <x:c r="B440" s="159" t="str">
        <x:f>IF('รายการสัญญา'!A440="","",'รายการสัญญา'!C440)</x:f>
      </x:c>
      <x:c r="C440" s="162" t="str">
        <x:f>IF('รายการสัญญา'!A440="","",'รายการสัญญา'!E440)</x:f>
      </x:c>
      <x:c r="D440" s="162" t="str">
        <x:f>IF('รายการสัญญา'!A440="","",'รายการสัญญา'!G440)</x:f>
      </x:c>
      <x:c r="E440" s="159" t="str">
        <x:f>IF('รายการสัญญา'!A440="","",'รายการสัญญา'!K440)</x:f>
      </x:c>
      <x:c r="F440" s="165" t="str">
        <x:f>IF(AND(F$5&gt;=$C440,F$5&lt;=$D440,$A440&lt;&gt;""),"●","")</x:f>
      </x:c>
      <x:c r="G440" s="165" t="str">
        <x:f>IF(AND(G$5&gt;=$C440,G$5&lt;=$D440,$A440&lt;&gt;""),"●","")</x:f>
      </x:c>
      <x:c r="H440" s="165" t="str">
        <x:f>IF(AND(H$5&gt;=$C440,H$5&lt;=$D440,$A440&lt;&gt;""),"●","")</x:f>
      </x:c>
      <x:c r="I440" s="165" t="str">
        <x:f>IF(AND(I$5&gt;=$C440,I$5&lt;=$D440,$A440&lt;&gt;""),"●","")</x:f>
      </x:c>
      <x:c r="J440" s="165" t="str">
        <x:f>IF(AND(J$5&gt;=$C440,J$5&lt;=$D440,$A440&lt;&gt;""),"●","")</x:f>
      </x:c>
      <x:c r="K440" s="165" t="str">
        <x:f>IF(AND(K$5&gt;=$C440,K$5&lt;=$D440,$A440&lt;&gt;""),"●","")</x:f>
      </x:c>
      <x:c r="L440" s="165" t="str">
        <x:f>IF(AND(L$5&gt;=$C440,L$5&lt;=$D440,$A440&lt;&gt;""),"●","")</x:f>
      </x:c>
      <x:c r="M440" s="165" t="str">
        <x:f>IF(AND(M$5&gt;=$C440,M$5&lt;=$D440,$A440&lt;&gt;""),"●","")</x:f>
      </x:c>
      <x:c r="N440" s="165" t="str">
        <x:f>IF(AND(N$5&gt;=$C440,N$5&lt;=$D440,$A440&lt;&gt;""),"●","")</x:f>
      </x:c>
      <x:c r="O440" s="165" t="str">
        <x:f>IF(AND(O$5&gt;=$C440,O$5&lt;=$D440,$A440&lt;&gt;""),"●","")</x:f>
      </x:c>
      <x:c r="P440" s="165" t="str">
        <x:f>IF(AND(P$5&gt;=$C440,P$5&lt;=$D440,$A440&lt;&gt;""),"●","")</x:f>
      </x:c>
      <x:c r="Q440" s="165" t="str">
        <x:f>IF(AND(Q$5&gt;=$C440,Q$5&lt;=$D440,$A440&lt;&gt;""),"●","")</x:f>
      </x:c>
      <x:c r="R440" s="165" t="str">
        <x:f>IF(AND(R$5&gt;=$C440,R$5&lt;=$D440,$A440&lt;&gt;""),"●","")</x:f>
      </x:c>
      <x:c r="S440" s="165" t="str">
        <x:f>IF(AND(S$5&gt;=$C440,S$5&lt;=$D440,$A440&lt;&gt;""),"●","")</x:f>
      </x:c>
      <x:c r="T440" s="165" t="str">
        <x:f>IF(AND(T$5&gt;=$C440,T$5&lt;=$D440,$A440&lt;&gt;""),"●","")</x:f>
      </x:c>
      <x:c r="U440" s="165" t="str">
        <x:f>IF(AND(U$5&gt;=$C440,U$5&lt;=$D440,$A440&lt;&gt;""),"●","")</x:f>
      </x:c>
      <x:c r="V440" s="165" t="str">
        <x:f>IF(AND(V$5&gt;=$C440,V$5&lt;=$D440,$A440&lt;&gt;""),"●","")</x:f>
      </x:c>
      <x:c r="W440" s="165" t="str">
        <x:f>IF(AND(W$5&gt;=$C440,W$5&lt;=$D440,$A440&lt;&gt;""),"●","")</x:f>
      </x:c>
      <x:c r="X440" s="165" t="str">
        <x:f>IF(AND(X$5&gt;=$C440,X$5&lt;=$D440,$A440&lt;&gt;""),"●","")</x:f>
      </x:c>
      <x:c r="Y440" s="165" t="str">
        <x:f>IF(AND(Y$5&gt;=$C440,Y$5&lt;=$D440,$A440&lt;&gt;""),"●","")</x:f>
      </x:c>
      <x:c r="Z440" s="165" t="str">
        <x:f>IF(AND(Z$5&gt;=$C440,Z$5&lt;=$D440,$A440&lt;&gt;""),"●","")</x:f>
      </x:c>
      <x:c r="AA440" s="165" t="str">
        <x:f>IF(AND(AA$5&gt;=$C440,AA$5&lt;=$D440,$A440&lt;&gt;""),"●","")</x:f>
      </x:c>
      <x:c r="AB440" s="165" t="str">
        <x:f>IF(AND(AB$5&gt;=$C440,AB$5&lt;=$D440,$A440&lt;&gt;""),"●","")</x:f>
      </x:c>
      <x:c r="AC440" s="165" t="str">
        <x:f>IF(AND(AC$5&gt;=$C440,AC$5&lt;=$D440,$A440&lt;&gt;""),"●","")</x:f>
      </x:c>
      <x:c r="AD440" s="165" t="str">
        <x:f>IF(AND(AD$5&gt;=$C440,AD$5&lt;=$D440,$A440&lt;&gt;""),"●","")</x:f>
      </x:c>
      <x:c r="AE440" s="165" t="str">
        <x:f>IF(AND(AE$5&gt;=$C440,AE$5&lt;=$D440,$A440&lt;&gt;""),"●","")</x:f>
      </x:c>
      <x:c r="AF440" s="165" t="str">
        <x:f>IF(AND(AF$5&gt;=$C440,AF$5&lt;=$D440,$A440&lt;&gt;""),"●","")</x:f>
      </x:c>
      <x:c r="AG440" s="165" t="str">
        <x:f>IF(AND(AG$5&gt;=$C440,AG$5&lt;=$D440,$A440&lt;&gt;""),"●","")</x:f>
      </x:c>
      <x:c r="AH440" s="165" t="str">
        <x:f>IF(AND(AH$5&gt;=$C440,AH$5&lt;=$D440,$A440&lt;&gt;""),"●","")</x:f>
      </x:c>
      <x:c r="AI440" s="165" t="str">
        <x:f>IF(AND(AI$5&gt;=$C440,AI$5&lt;=$D440,$A440&lt;&gt;""),"●","")</x:f>
      </x:c>
      <x:c r="AJ440" s="165" t="str">
        <x:f>IF(AND(AJ$5&gt;=$C440,AJ$5&lt;=$D440,$A440&lt;&gt;""),"●","")</x:f>
      </x:c>
      <x:c r="AK440" s="165" t="str">
        <x:f>IF(AND(AK$5&gt;=$C440,AK$5&lt;=$D440,$A440&lt;&gt;""),"●","")</x:f>
      </x:c>
      <x:c r="AL440" s="165" t="str">
        <x:f>IF(AND(AL$5&gt;=$C440,AL$5&lt;=$D440,$A440&lt;&gt;""),"●","")</x:f>
      </x:c>
      <x:c r="AM440" s="165" t="str">
        <x:f>IF(AND(AM$5&gt;=$C440,AM$5&lt;=$D440,$A440&lt;&gt;""),"●","")</x:f>
      </x:c>
      <x:c r="AN440" s="165" t="str">
        <x:f>IF(AND(AN$5&gt;=$C440,AN$5&lt;=$D440,$A440&lt;&gt;""),"●","")</x:f>
      </x:c>
      <x:c r="AO440" s="165" t="str">
        <x:f>IF(AND(AO$5&gt;=$C440,AO$5&lt;=$D440,$A440&lt;&gt;""),"●","")</x:f>
      </x:c>
      <x:c r="AP440" s="165" t="str">
        <x:f>IF(AND(AP$5&gt;=$C440,AP$5&lt;=$D440,$A440&lt;&gt;""),"●","")</x:f>
      </x:c>
      <x:c r="AQ440" s="165" t="str">
        <x:f>IF(AND(AQ$5&gt;=$C440,AQ$5&lt;=$D440,$A440&lt;&gt;""),"●","")</x:f>
      </x:c>
      <x:c r="AR440" s="165" t="str">
        <x:f>IF(AND(AR$5&gt;=$C440,AR$5&lt;=$D440,$A440&lt;&gt;""),"●","")</x:f>
      </x:c>
      <x:c r="AS440" s="165" t="str">
        <x:f>IF(AND(AS$5&gt;=$C440,AS$5&lt;=$D440,$A440&lt;&gt;""),"●","")</x:f>
      </x:c>
      <x:c r="AT440" s="165" t="str">
        <x:f>IF(AND(AT$5&gt;=$C440,AT$5&lt;=$D440,$A440&lt;&gt;""),"●","")</x:f>
      </x:c>
      <x:c r="AU440" s="165" t="str">
        <x:f>IF(AND(AU$5&gt;=$C440,AU$5&lt;=$D440,$A440&lt;&gt;""),"●","")</x:f>
      </x:c>
      <x:c r="AV440" s="165" t="str">
        <x:f>IF(AND(AV$5&gt;=$C440,AV$5&lt;=$D440,$A440&lt;&gt;""),"●","")</x:f>
      </x:c>
      <x:c r="AW440" s="165" t="str">
        <x:f>IF(AND(AW$5&gt;=$C440,AW$5&lt;=$D440,$A440&lt;&gt;""),"●","")</x:f>
      </x:c>
      <x:c r="AX440" s="165" t="str">
        <x:f>IF(AND(AX$5&gt;=$C440,AX$5&lt;=$D440,$A440&lt;&gt;""),"●","")</x:f>
      </x:c>
      <x:c r="AY440" s="165" t="str">
        <x:f>IF(AND(AY$5&gt;=$C440,AY$5&lt;=$D440,$A440&lt;&gt;""),"●","")</x:f>
      </x:c>
      <x:c r="AZ440" s="165" t="str">
        <x:f>IF(AND(AZ$5&gt;=$C440,AZ$5&lt;=$D440,$A440&lt;&gt;""),"●","")</x:f>
      </x:c>
      <x:c r="BA440" s="165" t="str">
        <x:f>IF(AND(BA$5&gt;=$C440,BA$5&lt;=$D440,$A440&lt;&gt;""),"●","")</x:f>
      </x:c>
      <x:c r="BB440" s="165" t="str">
        <x:f>IF(AND(BB$5&gt;=$C440,BB$5&lt;=$D440,$A440&lt;&gt;""),"●","")</x:f>
      </x:c>
      <x:c r="BC440" s="165" t="str">
        <x:f>IF(AND(BC$5&gt;=$C440,BC$5&lt;=$D440,$A440&lt;&gt;""),"●","")</x:f>
      </x:c>
      <x:c r="BD440" s="165" t="str">
        <x:f>IF(AND(BD$5&gt;=$C440,BD$5&lt;=$D440,$A440&lt;&gt;""),"●","")</x:f>
      </x:c>
      <x:c r="BE440" s="165" t="str">
        <x:f>IF(AND(BE$5&gt;=$C440,BE$5&lt;=$D440,$A440&lt;&gt;""),"●","")</x:f>
      </x:c>
      <x:c r="BF440" s="165" t="str">
        <x:f>IF(AND(BF$5&gt;=$C440,BF$5&lt;=$D440,$A440&lt;&gt;""),"●","")</x:f>
      </x:c>
      <x:c r="BG440" s="165" t="str">
        <x:f>IF(AND(BG$5&gt;=$C440,BG$5&lt;=$D440,$A440&lt;&gt;""),"●","")</x:f>
      </x:c>
      <x:c r="BH440" s="165" t="str">
        <x:f>IF(AND(BH$5&gt;=$C440,BH$5&lt;=$D440,$A440&lt;&gt;""),"●","")</x:f>
      </x:c>
      <x:c r="BI440" s="165" t="str">
        <x:f>IF(AND(BI$5&gt;=$C440,BI$5&lt;=$D440,$A440&lt;&gt;""),"●","")</x:f>
      </x:c>
      <x:c r="BJ440" s="165" t="str">
        <x:f>IF(AND(BJ$5&gt;=$C440,BJ$5&lt;=$D440,$A440&lt;&gt;""),"●","")</x:f>
      </x:c>
      <x:c r="BK440" s="165" t="str">
        <x:f>IF(AND(BK$5&gt;=$C440,BK$5&lt;=$D440,$A440&lt;&gt;""),"●","")</x:f>
      </x:c>
      <x:c r="BL440" s="165" t="str">
        <x:f>IF(AND(BL$5&gt;=$C440,BL$5&lt;=$D440,$A440&lt;&gt;""),"●","")</x:f>
      </x:c>
      <x:c r="BM440" s="165" t="str">
        <x:f>IF(AND(BM$5&gt;=$C440,BM$5&lt;=$D440,$A440&lt;&gt;""),"●","")</x:f>
      </x:c>
      <x:c r="BN440" s="165" t="str">
        <x:f>IF(AND(BN$5&gt;=$C440,BN$5&lt;=$D440,$A440&lt;&gt;""),"●","")</x:f>
      </x:c>
      <x:c r="BO440" s="165" t="str">
        <x:f>IF(AND(BO$5&gt;=$C440,BO$5&lt;=$D440,$A440&lt;&gt;""),"●","")</x:f>
      </x:c>
      <x:c r="BP440" s="165" t="str">
        <x:f>IF(AND(BP$5&gt;=$C440,BP$5&lt;=$D440,$A440&lt;&gt;""),"●","")</x:f>
      </x:c>
      <x:c r="BQ440" s="165" t="str">
        <x:f>IF(AND(BQ$5&gt;=$C440,BQ$5&lt;=$D440,$A440&lt;&gt;""),"●","")</x:f>
      </x:c>
      <x:c r="BR440" s="165" t="str">
        <x:f>IF(AND(BR$5&gt;=$C440,BR$5&lt;=$D440,$A440&lt;&gt;""),"●","")</x:f>
      </x:c>
      <x:c r="BS440" s="165" t="str">
        <x:f>IF(AND(BS$5&gt;=$C440,BS$5&lt;=$D440,$A440&lt;&gt;""),"●","")</x:f>
      </x:c>
      <x:c r="BT440" s="165" t="str">
        <x:f>IF(AND(BT$5&gt;=$C440,BT$5&lt;=$D440,$A440&lt;&gt;""),"●","")</x:f>
      </x:c>
      <x:c r="BU440" s="165" t="str">
        <x:f>IF(AND(BU$5&gt;=$C440,BU$5&lt;=$D440,$A440&lt;&gt;""),"●","")</x:f>
      </x:c>
      <x:c r="BV440" s="165" t="str">
        <x:f>IF(AND(BV$5&gt;=$C440,BV$5&lt;=$D440,$A440&lt;&gt;""),"●","")</x:f>
      </x:c>
      <x:c r="BW440" s="165" t="str">
        <x:f>IF(AND(BW$5&gt;=$C440,BW$5&lt;=$D440,$A440&lt;&gt;""),"●","")</x:f>
      </x:c>
    </x:row>
    <x:row r="441">
      <x:c r="A441" s="159" t="str">
        <x:f>IF('รายการสัญญา'!A441="","",'รายการสัญญา'!A441)</x:f>
      </x:c>
      <x:c r="B441" s="159" t="str">
        <x:f>IF('รายการสัญญา'!A441="","",'รายการสัญญา'!C441)</x:f>
      </x:c>
      <x:c r="C441" s="162" t="str">
        <x:f>IF('รายการสัญญา'!A441="","",'รายการสัญญา'!E441)</x:f>
      </x:c>
      <x:c r="D441" s="162" t="str">
        <x:f>IF('รายการสัญญา'!A441="","",'รายการสัญญา'!G441)</x:f>
      </x:c>
      <x:c r="E441" s="159" t="str">
        <x:f>IF('รายการสัญญา'!A441="","",'รายการสัญญา'!K441)</x:f>
      </x:c>
      <x:c r="F441" s="165" t="str">
        <x:f>IF(AND(F$5&gt;=$C441,F$5&lt;=$D441,$A441&lt;&gt;""),"●","")</x:f>
      </x:c>
      <x:c r="G441" s="165" t="str">
        <x:f>IF(AND(G$5&gt;=$C441,G$5&lt;=$D441,$A441&lt;&gt;""),"●","")</x:f>
      </x:c>
      <x:c r="H441" s="165" t="str">
        <x:f>IF(AND(H$5&gt;=$C441,H$5&lt;=$D441,$A441&lt;&gt;""),"●","")</x:f>
      </x:c>
      <x:c r="I441" s="165" t="str">
        <x:f>IF(AND(I$5&gt;=$C441,I$5&lt;=$D441,$A441&lt;&gt;""),"●","")</x:f>
      </x:c>
      <x:c r="J441" s="165" t="str">
        <x:f>IF(AND(J$5&gt;=$C441,J$5&lt;=$D441,$A441&lt;&gt;""),"●","")</x:f>
      </x:c>
      <x:c r="K441" s="165" t="str">
        <x:f>IF(AND(K$5&gt;=$C441,K$5&lt;=$D441,$A441&lt;&gt;""),"●","")</x:f>
      </x:c>
      <x:c r="L441" s="165" t="str">
        <x:f>IF(AND(L$5&gt;=$C441,L$5&lt;=$D441,$A441&lt;&gt;""),"●","")</x:f>
      </x:c>
      <x:c r="M441" s="165" t="str">
        <x:f>IF(AND(M$5&gt;=$C441,M$5&lt;=$D441,$A441&lt;&gt;""),"●","")</x:f>
      </x:c>
      <x:c r="N441" s="165" t="str">
        <x:f>IF(AND(N$5&gt;=$C441,N$5&lt;=$D441,$A441&lt;&gt;""),"●","")</x:f>
      </x:c>
      <x:c r="O441" s="165" t="str">
        <x:f>IF(AND(O$5&gt;=$C441,O$5&lt;=$D441,$A441&lt;&gt;""),"●","")</x:f>
      </x:c>
      <x:c r="P441" s="165" t="str">
        <x:f>IF(AND(P$5&gt;=$C441,P$5&lt;=$D441,$A441&lt;&gt;""),"●","")</x:f>
      </x:c>
      <x:c r="Q441" s="165" t="str">
        <x:f>IF(AND(Q$5&gt;=$C441,Q$5&lt;=$D441,$A441&lt;&gt;""),"●","")</x:f>
      </x:c>
      <x:c r="R441" s="165" t="str">
        <x:f>IF(AND(R$5&gt;=$C441,R$5&lt;=$D441,$A441&lt;&gt;""),"●","")</x:f>
      </x:c>
      <x:c r="S441" s="165" t="str">
        <x:f>IF(AND(S$5&gt;=$C441,S$5&lt;=$D441,$A441&lt;&gt;""),"●","")</x:f>
      </x:c>
      <x:c r="T441" s="165" t="str">
        <x:f>IF(AND(T$5&gt;=$C441,T$5&lt;=$D441,$A441&lt;&gt;""),"●","")</x:f>
      </x:c>
      <x:c r="U441" s="165" t="str">
        <x:f>IF(AND(U$5&gt;=$C441,U$5&lt;=$D441,$A441&lt;&gt;""),"●","")</x:f>
      </x:c>
      <x:c r="V441" s="165" t="str">
        <x:f>IF(AND(V$5&gt;=$C441,V$5&lt;=$D441,$A441&lt;&gt;""),"●","")</x:f>
      </x:c>
      <x:c r="W441" s="165" t="str">
        <x:f>IF(AND(W$5&gt;=$C441,W$5&lt;=$D441,$A441&lt;&gt;""),"●","")</x:f>
      </x:c>
      <x:c r="X441" s="165" t="str">
        <x:f>IF(AND(X$5&gt;=$C441,X$5&lt;=$D441,$A441&lt;&gt;""),"●","")</x:f>
      </x:c>
      <x:c r="Y441" s="165" t="str">
        <x:f>IF(AND(Y$5&gt;=$C441,Y$5&lt;=$D441,$A441&lt;&gt;""),"●","")</x:f>
      </x:c>
      <x:c r="Z441" s="165" t="str">
        <x:f>IF(AND(Z$5&gt;=$C441,Z$5&lt;=$D441,$A441&lt;&gt;""),"●","")</x:f>
      </x:c>
      <x:c r="AA441" s="165" t="str">
        <x:f>IF(AND(AA$5&gt;=$C441,AA$5&lt;=$D441,$A441&lt;&gt;""),"●","")</x:f>
      </x:c>
      <x:c r="AB441" s="165" t="str">
        <x:f>IF(AND(AB$5&gt;=$C441,AB$5&lt;=$D441,$A441&lt;&gt;""),"●","")</x:f>
      </x:c>
      <x:c r="AC441" s="165" t="str">
        <x:f>IF(AND(AC$5&gt;=$C441,AC$5&lt;=$D441,$A441&lt;&gt;""),"●","")</x:f>
      </x:c>
      <x:c r="AD441" s="165" t="str">
        <x:f>IF(AND(AD$5&gt;=$C441,AD$5&lt;=$D441,$A441&lt;&gt;""),"●","")</x:f>
      </x:c>
      <x:c r="AE441" s="165" t="str">
        <x:f>IF(AND(AE$5&gt;=$C441,AE$5&lt;=$D441,$A441&lt;&gt;""),"●","")</x:f>
      </x:c>
      <x:c r="AF441" s="165" t="str">
        <x:f>IF(AND(AF$5&gt;=$C441,AF$5&lt;=$D441,$A441&lt;&gt;""),"●","")</x:f>
      </x:c>
      <x:c r="AG441" s="165" t="str">
        <x:f>IF(AND(AG$5&gt;=$C441,AG$5&lt;=$D441,$A441&lt;&gt;""),"●","")</x:f>
      </x:c>
      <x:c r="AH441" s="165" t="str">
        <x:f>IF(AND(AH$5&gt;=$C441,AH$5&lt;=$D441,$A441&lt;&gt;""),"●","")</x:f>
      </x:c>
      <x:c r="AI441" s="165" t="str">
        <x:f>IF(AND(AI$5&gt;=$C441,AI$5&lt;=$D441,$A441&lt;&gt;""),"●","")</x:f>
      </x:c>
      <x:c r="AJ441" s="165" t="str">
        <x:f>IF(AND(AJ$5&gt;=$C441,AJ$5&lt;=$D441,$A441&lt;&gt;""),"●","")</x:f>
      </x:c>
      <x:c r="AK441" s="165" t="str">
        <x:f>IF(AND(AK$5&gt;=$C441,AK$5&lt;=$D441,$A441&lt;&gt;""),"●","")</x:f>
      </x:c>
      <x:c r="AL441" s="165" t="str">
        <x:f>IF(AND(AL$5&gt;=$C441,AL$5&lt;=$D441,$A441&lt;&gt;""),"●","")</x:f>
      </x:c>
      <x:c r="AM441" s="165" t="str">
        <x:f>IF(AND(AM$5&gt;=$C441,AM$5&lt;=$D441,$A441&lt;&gt;""),"●","")</x:f>
      </x:c>
      <x:c r="AN441" s="165" t="str">
        <x:f>IF(AND(AN$5&gt;=$C441,AN$5&lt;=$D441,$A441&lt;&gt;""),"●","")</x:f>
      </x:c>
      <x:c r="AO441" s="165" t="str">
        <x:f>IF(AND(AO$5&gt;=$C441,AO$5&lt;=$D441,$A441&lt;&gt;""),"●","")</x:f>
      </x:c>
      <x:c r="AP441" s="165" t="str">
        <x:f>IF(AND(AP$5&gt;=$C441,AP$5&lt;=$D441,$A441&lt;&gt;""),"●","")</x:f>
      </x:c>
      <x:c r="AQ441" s="165" t="str">
        <x:f>IF(AND(AQ$5&gt;=$C441,AQ$5&lt;=$D441,$A441&lt;&gt;""),"●","")</x:f>
      </x:c>
      <x:c r="AR441" s="165" t="str">
        <x:f>IF(AND(AR$5&gt;=$C441,AR$5&lt;=$D441,$A441&lt;&gt;""),"●","")</x:f>
      </x:c>
      <x:c r="AS441" s="165" t="str">
        <x:f>IF(AND(AS$5&gt;=$C441,AS$5&lt;=$D441,$A441&lt;&gt;""),"●","")</x:f>
      </x:c>
      <x:c r="AT441" s="165" t="str">
        <x:f>IF(AND(AT$5&gt;=$C441,AT$5&lt;=$D441,$A441&lt;&gt;""),"●","")</x:f>
      </x:c>
      <x:c r="AU441" s="165" t="str">
        <x:f>IF(AND(AU$5&gt;=$C441,AU$5&lt;=$D441,$A441&lt;&gt;""),"●","")</x:f>
      </x:c>
      <x:c r="AV441" s="165" t="str">
        <x:f>IF(AND(AV$5&gt;=$C441,AV$5&lt;=$D441,$A441&lt;&gt;""),"●","")</x:f>
      </x:c>
      <x:c r="AW441" s="165" t="str">
        <x:f>IF(AND(AW$5&gt;=$C441,AW$5&lt;=$D441,$A441&lt;&gt;""),"●","")</x:f>
      </x:c>
      <x:c r="AX441" s="165" t="str">
        <x:f>IF(AND(AX$5&gt;=$C441,AX$5&lt;=$D441,$A441&lt;&gt;""),"●","")</x:f>
      </x:c>
      <x:c r="AY441" s="165" t="str">
        <x:f>IF(AND(AY$5&gt;=$C441,AY$5&lt;=$D441,$A441&lt;&gt;""),"●","")</x:f>
      </x:c>
      <x:c r="AZ441" s="165" t="str">
        <x:f>IF(AND(AZ$5&gt;=$C441,AZ$5&lt;=$D441,$A441&lt;&gt;""),"●","")</x:f>
      </x:c>
      <x:c r="BA441" s="165" t="str">
        <x:f>IF(AND(BA$5&gt;=$C441,BA$5&lt;=$D441,$A441&lt;&gt;""),"●","")</x:f>
      </x:c>
      <x:c r="BB441" s="165" t="str">
        <x:f>IF(AND(BB$5&gt;=$C441,BB$5&lt;=$D441,$A441&lt;&gt;""),"●","")</x:f>
      </x:c>
      <x:c r="BC441" s="165" t="str">
        <x:f>IF(AND(BC$5&gt;=$C441,BC$5&lt;=$D441,$A441&lt;&gt;""),"●","")</x:f>
      </x:c>
      <x:c r="BD441" s="165" t="str">
        <x:f>IF(AND(BD$5&gt;=$C441,BD$5&lt;=$D441,$A441&lt;&gt;""),"●","")</x:f>
      </x:c>
      <x:c r="BE441" s="165" t="str">
        <x:f>IF(AND(BE$5&gt;=$C441,BE$5&lt;=$D441,$A441&lt;&gt;""),"●","")</x:f>
      </x:c>
      <x:c r="BF441" s="165" t="str">
        <x:f>IF(AND(BF$5&gt;=$C441,BF$5&lt;=$D441,$A441&lt;&gt;""),"●","")</x:f>
      </x:c>
      <x:c r="BG441" s="165" t="str">
        <x:f>IF(AND(BG$5&gt;=$C441,BG$5&lt;=$D441,$A441&lt;&gt;""),"●","")</x:f>
      </x:c>
      <x:c r="BH441" s="165" t="str">
        <x:f>IF(AND(BH$5&gt;=$C441,BH$5&lt;=$D441,$A441&lt;&gt;""),"●","")</x:f>
      </x:c>
      <x:c r="BI441" s="165" t="str">
        <x:f>IF(AND(BI$5&gt;=$C441,BI$5&lt;=$D441,$A441&lt;&gt;""),"●","")</x:f>
      </x:c>
      <x:c r="BJ441" s="165" t="str">
        <x:f>IF(AND(BJ$5&gt;=$C441,BJ$5&lt;=$D441,$A441&lt;&gt;""),"●","")</x:f>
      </x:c>
      <x:c r="BK441" s="165" t="str">
        <x:f>IF(AND(BK$5&gt;=$C441,BK$5&lt;=$D441,$A441&lt;&gt;""),"●","")</x:f>
      </x:c>
      <x:c r="BL441" s="165" t="str">
        <x:f>IF(AND(BL$5&gt;=$C441,BL$5&lt;=$D441,$A441&lt;&gt;""),"●","")</x:f>
      </x:c>
      <x:c r="BM441" s="165" t="str">
        <x:f>IF(AND(BM$5&gt;=$C441,BM$5&lt;=$D441,$A441&lt;&gt;""),"●","")</x:f>
      </x:c>
      <x:c r="BN441" s="165" t="str">
        <x:f>IF(AND(BN$5&gt;=$C441,BN$5&lt;=$D441,$A441&lt;&gt;""),"●","")</x:f>
      </x:c>
      <x:c r="BO441" s="165" t="str">
        <x:f>IF(AND(BO$5&gt;=$C441,BO$5&lt;=$D441,$A441&lt;&gt;""),"●","")</x:f>
      </x:c>
      <x:c r="BP441" s="165" t="str">
        <x:f>IF(AND(BP$5&gt;=$C441,BP$5&lt;=$D441,$A441&lt;&gt;""),"●","")</x:f>
      </x:c>
      <x:c r="BQ441" s="165" t="str">
        <x:f>IF(AND(BQ$5&gt;=$C441,BQ$5&lt;=$D441,$A441&lt;&gt;""),"●","")</x:f>
      </x:c>
      <x:c r="BR441" s="165" t="str">
        <x:f>IF(AND(BR$5&gt;=$C441,BR$5&lt;=$D441,$A441&lt;&gt;""),"●","")</x:f>
      </x:c>
      <x:c r="BS441" s="165" t="str">
        <x:f>IF(AND(BS$5&gt;=$C441,BS$5&lt;=$D441,$A441&lt;&gt;""),"●","")</x:f>
      </x:c>
      <x:c r="BT441" s="165" t="str">
        <x:f>IF(AND(BT$5&gt;=$C441,BT$5&lt;=$D441,$A441&lt;&gt;""),"●","")</x:f>
      </x:c>
      <x:c r="BU441" s="165" t="str">
        <x:f>IF(AND(BU$5&gt;=$C441,BU$5&lt;=$D441,$A441&lt;&gt;""),"●","")</x:f>
      </x:c>
      <x:c r="BV441" s="165" t="str">
        <x:f>IF(AND(BV$5&gt;=$C441,BV$5&lt;=$D441,$A441&lt;&gt;""),"●","")</x:f>
      </x:c>
      <x:c r="BW441" s="165" t="str">
        <x:f>IF(AND(BW$5&gt;=$C441,BW$5&lt;=$D441,$A441&lt;&gt;""),"●","")</x:f>
      </x:c>
    </x:row>
    <x:row r="442">
      <x:c r="A442" s="159" t="str">
        <x:f>IF('รายการสัญญา'!A442="","",'รายการสัญญา'!A442)</x:f>
      </x:c>
      <x:c r="B442" s="159" t="str">
        <x:f>IF('รายการสัญญา'!A442="","",'รายการสัญญา'!C442)</x:f>
      </x:c>
      <x:c r="C442" s="162" t="str">
        <x:f>IF('รายการสัญญา'!A442="","",'รายการสัญญา'!E442)</x:f>
      </x:c>
      <x:c r="D442" s="162" t="str">
        <x:f>IF('รายการสัญญา'!A442="","",'รายการสัญญา'!G442)</x:f>
      </x:c>
      <x:c r="E442" s="159" t="str">
        <x:f>IF('รายการสัญญา'!A442="","",'รายการสัญญา'!K442)</x:f>
      </x:c>
      <x:c r="F442" s="165" t="str">
        <x:f>IF(AND(F$5&gt;=$C442,F$5&lt;=$D442,$A442&lt;&gt;""),"●","")</x:f>
      </x:c>
      <x:c r="G442" s="165" t="str">
        <x:f>IF(AND(G$5&gt;=$C442,G$5&lt;=$D442,$A442&lt;&gt;""),"●","")</x:f>
      </x:c>
      <x:c r="H442" s="165" t="str">
        <x:f>IF(AND(H$5&gt;=$C442,H$5&lt;=$D442,$A442&lt;&gt;""),"●","")</x:f>
      </x:c>
      <x:c r="I442" s="165" t="str">
        <x:f>IF(AND(I$5&gt;=$C442,I$5&lt;=$D442,$A442&lt;&gt;""),"●","")</x:f>
      </x:c>
      <x:c r="J442" s="165" t="str">
        <x:f>IF(AND(J$5&gt;=$C442,J$5&lt;=$D442,$A442&lt;&gt;""),"●","")</x:f>
      </x:c>
      <x:c r="K442" s="165" t="str">
        <x:f>IF(AND(K$5&gt;=$C442,K$5&lt;=$D442,$A442&lt;&gt;""),"●","")</x:f>
      </x:c>
      <x:c r="L442" s="165" t="str">
        <x:f>IF(AND(L$5&gt;=$C442,L$5&lt;=$D442,$A442&lt;&gt;""),"●","")</x:f>
      </x:c>
      <x:c r="M442" s="165" t="str">
        <x:f>IF(AND(M$5&gt;=$C442,M$5&lt;=$D442,$A442&lt;&gt;""),"●","")</x:f>
      </x:c>
      <x:c r="N442" s="165" t="str">
        <x:f>IF(AND(N$5&gt;=$C442,N$5&lt;=$D442,$A442&lt;&gt;""),"●","")</x:f>
      </x:c>
      <x:c r="O442" s="165" t="str">
        <x:f>IF(AND(O$5&gt;=$C442,O$5&lt;=$D442,$A442&lt;&gt;""),"●","")</x:f>
      </x:c>
      <x:c r="P442" s="165" t="str">
        <x:f>IF(AND(P$5&gt;=$C442,P$5&lt;=$D442,$A442&lt;&gt;""),"●","")</x:f>
      </x:c>
      <x:c r="Q442" s="165" t="str">
        <x:f>IF(AND(Q$5&gt;=$C442,Q$5&lt;=$D442,$A442&lt;&gt;""),"●","")</x:f>
      </x:c>
      <x:c r="R442" s="165" t="str">
        <x:f>IF(AND(R$5&gt;=$C442,R$5&lt;=$D442,$A442&lt;&gt;""),"●","")</x:f>
      </x:c>
      <x:c r="S442" s="165" t="str">
        <x:f>IF(AND(S$5&gt;=$C442,S$5&lt;=$D442,$A442&lt;&gt;""),"●","")</x:f>
      </x:c>
      <x:c r="T442" s="165" t="str">
        <x:f>IF(AND(T$5&gt;=$C442,T$5&lt;=$D442,$A442&lt;&gt;""),"●","")</x:f>
      </x:c>
      <x:c r="U442" s="165" t="str">
        <x:f>IF(AND(U$5&gt;=$C442,U$5&lt;=$D442,$A442&lt;&gt;""),"●","")</x:f>
      </x:c>
      <x:c r="V442" s="165" t="str">
        <x:f>IF(AND(V$5&gt;=$C442,V$5&lt;=$D442,$A442&lt;&gt;""),"●","")</x:f>
      </x:c>
      <x:c r="W442" s="165" t="str">
        <x:f>IF(AND(W$5&gt;=$C442,W$5&lt;=$D442,$A442&lt;&gt;""),"●","")</x:f>
      </x:c>
      <x:c r="X442" s="165" t="str">
        <x:f>IF(AND(X$5&gt;=$C442,X$5&lt;=$D442,$A442&lt;&gt;""),"●","")</x:f>
      </x:c>
      <x:c r="Y442" s="165" t="str">
        <x:f>IF(AND(Y$5&gt;=$C442,Y$5&lt;=$D442,$A442&lt;&gt;""),"●","")</x:f>
      </x:c>
      <x:c r="Z442" s="165" t="str">
        <x:f>IF(AND(Z$5&gt;=$C442,Z$5&lt;=$D442,$A442&lt;&gt;""),"●","")</x:f>
      </x:c>
      <x:c r="AA442" s="165" t="str">
        <x:f>IF(AND(AA$5&gt;=$C442,AA$5&lt;=$D442,$A442&lt;&gt;""),"●","")</x:f>
      </x:c>
      <x:c r="AB442" s="165" t="str">
        <x:f>IF(AND(AB$5&gt;=$C442,AB$5&lt;=$D442,$A442&lt;&gt;""),"●","")</x:f>
      </x:c>
      <x:c r="AC442" s="165" t="str">
        <x:f>IF(AND(AC$5&gt;=$C442,AC$5&lt;=$D442,$A442&lt;&gt;""),"●","")</x:f>
      </x:c>
      <x:c r="AD442" s="165" t="str">
        <x:f>IF(AND(AD$5&gt;=$C442,AD$5&lt;=$D442,$A442&lt;&gt;""),"●","")</x:f>
      </x:c>
      <x:c r="AE442" s="165" t="str">
        <x:f>IF(AND(AE$5&gt;=$C442,AE$5&lt;=$D442,$A442&lt;&gt;""),"●","")</x:f>
      </x:c>
      <x:c r="AF442" s="165" t="str">
        <x:f>IF(AND(AF$5&gt;=$C442,AF$5&lt;=$D442,$A442&lt;&gt;""),"●","")</x:f>
      </x:c>
      <x:c r="AG442" s="165" t="str">
        <x:f>IF(AND(AG$5&gt;=$C442,AG$5&lt;=$D442,$A442&lt;&gt;""),"●","")</x:f>
      </x:c>
      <x:c r="AH442" s="165" t="str">
        <x:f>IF(AND(AH$5&gt;=$C442,AH$5&lt;=$D442,$A442&lt;&gt;""),"●","")</x:f>
      </x:c>
      <x:c r="AI442" s="165" t="str">
        <x:f>IF(AND(AI$5&gt;=$C442,AI$5&lt;=$D442,$A442&lt;&gt;""),"●","")</x:f>
      </x:c>
      <x:c r="AJ442" s="165" t="str">
        <x:f>IF(AND(AJ$5&gt;=$C442,AJ$5&lt;=$D442,$A442&lt;&gt;""),"●","")</x:f>
      </x:c>
      <x:c r="AK442" s="165" t="str">
        <x:f>IF(AND(AK$5&gt;=$C442,AK$5&lt;=$D442,$A442&lt;&gt;""),"●","")</x:f>
      </x:c>
      <x:c r="AL442" s="165" t="str">
        <x:f>IF(AND(AL$5&gt;=$C442,AL$5&lt;=$D442,$A442&lt;&gt;""),"●","")</x:f>
      </x:c>
      <x:c r="AM442" s="165" t="str">
        <x:f>IF(AND(AM$5&gt;=$C442,AM$5&lt;=$D442,$A442&lt;&gt;""),"●","")</x:f>
      </x:c>
      <x:c r="AN442" s="165" t="str">
        <x:f>IF(AND(AN$5&gt;=$C442,AN$5&lt;=$D442,$A442&lt;&gt;""),"●","")</x:f>
      </x:c>
      <x:c r="AO442" s="165" t="str">
        <x:f>IF(AND(AO$5&gt;=$C442,AO$5&lt;=$D442,$A442&lt;&gt;""),"●","")</x:f>
      </x:c>
      <x:c r="AP442" s="165" t="str">
        <x:f>IF(AND(AP$5&gt;=$C442,AP$5&lt;=$D442,$A442&lt;&gt;""),"●","")</x:f>
      </x:c>
      <x:c r="AQ442" s="165" t="str">
        <x:f>IF(AND(AQ$5&gt;=$C442,AQ$5&lt;=$D442,$A442&lt;&gt;""),"●","")</x:f>
      </x:c>
      <x:c r="AR442" s="165" t="str">
        <x:f>IF(AND(AR$5&gt;=$C442,AR$5&lt;=$D442,$A442&lt;&gt;""),"●","")</x:f>
      </x:c>
      <x:c r="AS442" s="165" t="str">
        <x:f>IF(AND(AS$5&gt;=$C442,AS$5&lt;=$D442,$A442&lt;&gt;""),"●","")</x:f>
      </x:c>
      <x:c r="AT442" s="165" t="str">
        <x:f>IF(AND(AT$5&gt;=$C442,AT$5&lt;=$D442,$A442&lt;&gt;""),"●","")</x:f>
      </x:c>
      <x:c r="AU442" s="165" t="str">
        <x:f>IF(AND(AU$5&gt;=$C442,AU$5&lt;=$D442,$A442&lt;&gt;""),"●","")</x:f>
      </x:c>
      <x:c r="AV442" s="165" t="str">
        <x:f>IF(AND(AV$5&gt;=$C442,AV$5&lt;=$D442,$A442&lt;&gt;""),"●","")</x:f>
      </x:c>
      <x:c r="AW442" s="165" t="str">
        <x:f>IF(AND(AW$5&gt;=$C442,AW$5&lt;=$D442,$A442&lt;&gt;""),"●","")</x:f>
      </x:c>
      <x:c r="AX442" s="165" t="str">
        <x:f>IF(AND(AX$5&gt;=$C442,AX$5&lt;=$D442,$A442&lt;&gt;""),"●","")</x:f>
      </x:c>
      <x:c r="AY442" s="165" t="str">
        <x:f>IF(AND(AY$5&gt;=$C442,AY$5&lt;=$D442,$A442&lt;&gt;""),"●","")</x:f>
      </x:c>
      <x:c r="AZ442" s="165" t="str">
        <x:f>IF(AND(AZ$5&gt;=$C442,AZ$5&lt;=$D442,$A442&lt;&gt;""),"●","")</x:f>
      </x:c>
      <x:c r="BA442" s="165" t="str">
        <x:f>IF(AND(BA$5&gt;=$C442,BA$5&lt;=$D442,$A442&lt;&gt;""),"●","")</x:f>
      </x:c>
      <x:c r="BB442" s="165" t="str">
        <x:f>IF(AND(BB$5&gt;=$C442,BB$5&lt;=$D442,$A442&lt;&gt;""),"●","")</x:f>
      </x:c>
      <x:c r="BC442" s="165" t="str">
        <x:f>IF(AND(BC$5&gt;=$C442,BC$5&lt;=$D442,$A442&lt;&gt;""),"●","")</x:f>
      </x:c>
      <x:c r="BD442" s="165" t="str">
        <x:f>IF(AND(BD$5&gt;=$C442,BD$5&lt;=$D442,$A442&lt;&gt;""),"●","")</x:f>
      </x:c>
      <x:c r="BE442" s="165" t="str">
        <x:f>IF(AND(BE$5&gt;=$C442,BE$5&lt;=$D442,$A442&lt;&gt;""),"●","")</x:f>
      </x:c>
      <x:c r="BF442" s="165" t="str">
        <x:f>IF(AND(BF$5&gt;=$C442,BF$5&lt;=$D442,$A442&lt;&gt;""),"●","")</x:f>
      </x:c>
      <x:c r="BG442" s="165" t="str">
        <x:f>IF(AND(BG$5&gt;=$C442,BG$5&lt;=$D442,$A442&lt;&gt;""),"●","")</x:f>
      </x:c>
      <x:c r="BH442" s="165" t="str">
        <x:f>IF(AND(BH$5&gt;=$C442,BH$5&lt;=$D442,$A442&lt;&gt;""),"●","")</x:f>
      </x:c>
      <x:c r="BI442" s="165" t="str">
        <x:f>IF(AND(BI$5&gt;=$C442,BI$5&lt;=$D442,$A442&lt;&gt;""),"●","")</x:f>
      </x:c>
      <x:c r="BJ442" s="165" t="str">
        <x:f>IF(AND(BJ$5&gt;=$C442,BJ$5&lt;=$D442,$A442&lt;&gt;""),"●","")</x:f>
      </x:c>
      <x:c r="BK442" s="165" t="str">
        <x:f>IF(AND(BK$5&gt;=$C442,BK$5&lt;=$D442,$A442&lt;&gt;""),"●","")</x:f>
      </x:c>
      <x:c r="BL442" s="165" t="str">
        <x:f>IF(AND(BL$5&gt;=$C442,BL$5&lt;=$D442,$A442&lt;&gt;""),"●","")</x:f>
      </x:c>
      <x:c r="BM442" s="165" t="str">
        <x:f>IF(AND(BM$5&gt;=$C442,BM$5&lt;=$D442,$A442&lt;&gt;""),"●","")</x:f>
      </x:c>
      <x:c r="BN442" s="165" t="str">
        <x:f>IF(AND(BN$5&gt;=$C442,BN$5&lt;=$D442,$A442&lt;&gt;""),"●","")</x:f>
      </x:c>
      <x:c r="BO442" s="165" t="str">
        <x:f>IF(AND(BO$5&gt;=$C442,BO$5&lt;=$D442,$A442&lt;&gt;""),"●","")</x:f>
      </x:c>
      <x:c r="BP442" s="165" t="str">
        <x:f>IF(AND(BP$5&gt;=$C442,BP$5&lt;=$D442,$A442&lt;&gt;""),"●","")</x:f>
      </x:c>
      <x:c r="BQ442" s="165" t="str">
        <x:f>IF(AND(BQ$5&gt;=$C442,BQ$5&lt;=$D442,$A442&lt;&gt;""),"●","")</x:f>
      </x:c>
      <x:c r="BR442" s="165" t="str">
        <x:f>IF(AND(BR$5&gt;=$C442,BR$5&lt;=$D442,$A442&lt;&gt;""),"●","")</x:f>
      </x:c>
      <x:c r="BS442" s="165" t="str">
        <x:f>IF(AND(BS$5&gt;=$C442,BS$5&lt;=$D442,$A442&lt;&gt;""),"●","")</x:f>
      </x:c>
      <x:c r="BT442" s="165" t="str">
        <x:f>IF(AND(BT$5&gt;=$C442,BT$5&lt;=$D442,$A442&lt;&gt;""),"●","")</x:f>
      </x:c>
      <x:c r="BU442" s="165" t="str">
        <x:f>IF(AND(BU$5&gt;=$C442,BU$5&lt;=$D442,$A442&lt;&gt;""),"●","")</x:f>
      </x:c>
      <x:c r="BV442" s="165" t="str">
        <x:f>IF(AND(BV$5&gt;=$C442,BV$5&lt;=$D442,$A442&lt;&gt;""),"●","")</x:f>
      </x:c>
      <x:c r="BW442" s="165" t="str">
        <x:f>IF(AND(BW$5&gt;=$C442,BW$5&lt;=$D442,$A442&lt;&gt;""),"●","")</x:f>
      </x:c>
    </x:row>
    <x:row r="443">
      <x:c r="A443" s="159" t="str">
        <x:f>IF('รายการสัญญา'!A443="","",'รายการสัญญา'!A443)</x:f>
      </x:c>
      <x:c r="B443" s="159" t="str">
        <x:f>IF('รายการสัญญา'!A443="","",'รายการสัญญา'!C443)</x:f>
      </x:c>
      <x:c r="C443" s="162" t="str">
        <x:f>IF('รายการสัญญา'!A443="","",'รายการสัญญา'!E443)</x:f>
      </x:c>
      <x:c r="D443" s="162" t="str">
        <x:f>IF('รายการสัญญา'!A443="","",'รายการสัญญา'!G443)</x:f>
      </x:c>
      <x:c r="E443" s="159" t="str">
        <x:f>IF('รายการสัญญา'!A443="","",'รายการสัญญา'!K443)</x:f>
      </x:c>
      <x:c r="F443" s="165" t="str">
        <x:f>IF(AND(F$5&gt;=$C443,F$5&lt;=$D443,$A443&lt;&gt;""),"●","")</x:f>
      </x:c>
      <x:c r="G443" s="165" t="str">
        <x:f>IF(AND(G$5&gt;=$C443,G$5&lt;=$D443,$A443&lt;&gt;""),"●","")</x:f>
      </x:c>
      <x:c r="H443" s="165" t="str">
        <x:f>IF(AND(H$5&gt;=$C443,H$5&lt;=$D443,$A443&lt;&gt;""),"●","")</x:f>
      </x:c>
      <x:c r="I443" s="165" t="str">
        <x:f>IF(AND(I$5&gt;=$C443,I$5&lt;=$D443,$A443&lt;&gt;""),"●","")</x:f>
      </x:c>
      <x:c r="J443" s="165" t="str">
        <x:f>IF(AND(J$5&gt;=$C443,J$5&lt;=$D443,$A443&lt;&gt;""),"●","")</x:f>
      </x:c>
      <x:c r="K443" s="165" t="str">
        <x:f>IF(AND(K$5&gt;=$C443,K$5&lt;=$D443,$A443&lt;&gt;""),"●","")</x:f>
      </x:c>
      <x:c r="L443" s="165" t="str">
        <x:f>IF(AND(L$5&gt;=$C443,L$5&lt;=$D443,$A443&lt;&gt;""),"●","")</x:f>
      </x:c>
      <x:c r="M443" s="165" t="str">
        <x:f>IF(AND(M$5&gt;=$C443,M$5&lt;=$D443,$A443&lt;&gt;""),"●","")</x:f>
      </x:c>
      <x:c r="N443" s="165" t="str">
        <x:f>IF(AND(N$5&gt;=$C443,N$5&lt;=$D443,$A443&lt;&gt;""),"●","")</x:f>
      </x:c>
      <x:c r="O443" s="165" t="str">
        <x:f>IF(AND(O$5&gt;=$C443,O$5&lt;=$D443,$A443&lt;&gt;""),"●","")</x:f>
      </x:c>
      <x:c r="P443" s="165" t="str">
        <x:f>IF(AND(P$5&gt;=$C443,P$5&lt;=$D443,$A443&lt;&gt;""),"●","")</x:f>
      </x:c>
      <x:c r="Q443" s="165" t="str">
        <x:f>IF(AND(Q$5&gt;=$C443,Q$5&lt;=$D443,$A443&lt;&gt;""),"●","")</x:f>
      </x:c>
      <x:c r="R443" s="165" t="str">
        <x:f>IF(AND(R$5&gt;=$C443,R$5&lt;=$D443,$A443&lt;&gt;""),"●","")</x:f>
      </x:c>
      <x:c r="S443" s="165" t="str">
        <x:f>IF(AND(S$5&gt;=$C443,S$5&lt;=$D443,$A443&lt;&gt;""),"●","")</x:f>
      </x:c>
      <x:c r="T443" s="165" t="str">
        <x:f>IF(AND(T$5&gt;=$C443,T$5&lt;=$D443,$A443&lt;&gt;""),"●","")</x:f>
      </x:c>
      <x:c r="U443" s="165" t="str">
        <x:f>IF(AND(U$5&gt;=$C443,U$5&lt;=$D443,$A443&lt;&gt;""),"●","")</x:f>
      </x:c>
      <x:c r="V443" s="165" t="str">
        <x:f>IF(AND(V$5&gt;=$C443,V$5&lt;=$D443,$A443&lt;&gt;""),"●","")</x:f>
      </x:c>
      <x:c r="W443" s="165" t="str">
        <x:f>IF(AND(W$5&gt;=$C443,W$5&lt;=$D443,$A443&lt;&gt;""),"●","")</x:f>
      </x:c>
      <x:c r="X443" s="165" t="str">
        <x:f>IF(AND(X$5&gt;=$C443,X$5&lt;=$D443,$A443&lt;&gt;""),"●","")</x:f>
      </x:c>
      <x:c r="Y443" s="165" t="str">
        <x:f>IF(AND(Y$5&gt;=$C443,Y$5&lt;=$D443,$A443&lt;&gt;""),"●","")</x:f>
      </x:c>
      <x:c r="Z443" s="165" t="str">
        <x:f>IF(AND(Z$5&gt;=$C443,Z$5&lt;=$D443,$A443&lt;&gt;""),"●","")</x:f>
      </x:c>
      <x:c r="AA443" s="165" t="str">
        <x:f>IF(AND(AA$5&gt;=$C443,AA$5&lt;=$D443,$A443&lt;&gt;""),"●","")</x:f>
      </x:c>
      <x:c r="AB443" s="165" t="str">
        <x:f>IF(AND(AB$5&gt;=$C443,AB$5&lt;=$D443,$A443&lt;&gt;""),"●","")</x:f>
      </x:c>
      <x:c r="AC443" s="165" t="str">
        <x:f>IF(AND(AC$5&gt;=$C443,AC$5&lt;=$D443,$A443&lt;&gt;""),"●","")</x:f>
      </x:c>
      <x:c r="AD443" s="165" t="str">
        <x:f>IF(AND(AD$5&gt;=$C443,AD$5&lt;=$D443,$A443&lt;&gt;""),"●","")</x:f>
      </x:c>
      <x:c r="AE443" s="165" t="str">
        <x:f>IF(AND(AE$5&gt;=$C443,AE$5&lt;=$D443,$A443&lt;&gt;""),"●","")</x:f>
      </x:c>
      <x:c r="AF443" s="165" t="str">
        <x:f>IF(AND(AF$5&gt;=$C443,AF$5&lt;=$D443,$A443&lt;&gt;""),"●","")</x:f>
      </x:c>
      <x:c r="AG443" s="165" t="str">
        <x:f>IF(AND(AG$5&gt;=$C443,AG$5&lt;=$D443,$A443&lt;&gt;""),"●","")</x:f>
      </x:c>
      <x:c r="AH443" s="165" t="str">
        <x:f>IF(AND(AH$5&gt;=$C443,AH$5&lt;=$D443,$A443&lt;&gt;""),"●","")</x:f>
      </x:c>
      <x:c r="AI443" s="165" t="str">
        <x:f>IF(AND(AI$5&gt;=$C443,AI$5&lt;=$D443,$A443&lt;&gt;""),"●","")</x:f>
      </x:c>
      <x:c r="AJ443" s="165" t="str">
        <x:f>IF(AND(AJ$5&gt;=$C443,AJ$5&lt;=$D443,$A443&lt;&gt;""),"●","")</x:f>
      </x:c>
      <x:c r="AK443" s="165" t="str">
        <x:f>IF(AND(AK$5&gt;=$C443,AK$5&lt;=$D443,$A443&lt;&gt;""),"●","")</x:f>
      </x:c>
      <x:c r="AL443" s="165" t="str">
        <x:f>IF(AND(AL$5&gt;=$C443,AL$5&lt;=$D443,$A443&lt;&gt;""),"●","")</x:f>
      </x:c>
      <x:c r="AM443" s="165" t="str">
        <x:f>IF(AND(AM$5&gt;=$C443,AM$5&lt;=$D443,$A443&lt;&gt;""),"●","")</x:f>
      </x:c>
      <x:c r="AN443" s="165" t="str">
        <x:f>IF(AND(AN$5&gt;=$C443,AN$5&lt;=$D443,$A443&lt;&gt;""),"●","")</x:f>
      </x:c>
      <x:c r="AO443" s="165" t="str">
        <x:f>IF(AND(AO$5&gt;=$C443,AO$5&lt;=$D443,$A443&lt;&gt;""),"●","")</x:f>
      </x:c>
      <x:c r="AP443" s="165" t="str">
        <x:f>IF(AND(AP$5&gt;=$C443,AP$5&lt;=$D443,$A443&lt;&gt;""),"●","")</x:f>
      </x:c>
      <x:c r="AQ443" s="165" t="str">
        <x:f>IF(AND(AQ$5&gt;=$C443,AQ$5&lt;=$D443,$A443&lt;&gt;""),"●","")</x:f>
      </x:c>
      <x:c r="AR443" s="165" t="str">
        <x:f>IF(AND(AR$5&gt;=$C443,AR$5&lt;=$D443,$A443&lt;&gt;""),"●","")</x:f>
      </x:c>
      <x:c r="AS443" s="165" t="str">
        <x:f>IF(AND(AS$5&gt;=$C443,AS$5&lt;=$D443,$A443&lt;&gt;""),"●","")</x:f>
      </x:c>
      <x:c r="AT443" s="165" t="str">
        <x:f>IF(AND(AT$5&gt;=$C443,AT$5&lt;=$D443,$A443&lt;&gt;""),"●","")</x:f>
      </x:c>
      <x:c r="AU443" s="165" t="str">
        <x:f>IF(AND(AU$5&gt;=$C443,AU$5&lt;=$D443,$A443&lt;&gt;""),"●","")</x:f>
      </x:c>
      <x:c r="AV443" s="165" t="str">
        <x:f>IF(AND(AV$5&gt;=$C443,AV$5&lt;=$D443,$A443&lt;&gt;""),"●","")</x:f>
      </x:c>
      <x:c r="AW443" s="165" t="str">
        <x:f>IF(AND(AW$5&gt;=$C443,AW$5&lt;=$D443,$A443&lt;&gt;""),"●","")</x:f>
      </x:c>
      <x:c r="AX443" s="165" t="str">
        <x:f>IF(AND(AX$5&gt;=$C443,AX$5&lt;=$D443,$A443&lt;&gt;""),"●","")</x:f>
      </x:c>
      <x:c r="AY443" s="165" t="str">
        <x:f>IF(AND(AY$5&gt;=$C443,AY$5&lt;=$D443,$A443&lt;&gt;""),"●","")</x:f>
      </x:c>
      <x:c r="AZ443" s="165" t="str">
        <x:f>IF(AND(AZ$5&gt;=$C443,AZ$5&lt;=$D443,$A443&lt;&gt;""),"●","")</x:f>
      </x:c>
      <x:c r="BA443" s="165" t="str">
        <x:f>IF(AND(BA$5&gt;=$C443,BA$5&lt;=$D443,$A443&lt;&gt;""),"●","")</x:f>
      </x:c>
      <x:c r="BB443" s="165" t="str">
        <x:f>IF(AND(BB$5&gt;=$C443,BB$5&lt;=$D443,$A443&lt;&gt;""),"●","")</x:f>
      </x:c>
      <x:c r="BC443" s="165" t="str">
        <x:f>IF(AND(BC$5&gt;=$C443,BC$5&lt;=$D443,$A443&lt;&gt;""),"●","")</x:f>
      </x:c>
      <x:c r="BD443" s="165" t="str">
        <x:f>IF(AND(BD$5&gt;=$C443,BD$5&lt;=$D443,$A443&lt;&gt;""),"●","")</x:f>
      </x:c>
      <x:c r="BE443" s="165" t="str">
        <x:f>IF(AND(BE$5&gt;=$C443,BE$5&lt;=$D443,$A443&lt;&gt;""),"●","")</x:f>
      </x:c>
      <x:c r="BF443" s="165" t="str">
        <x:f>IF(AND(BF$5&gt;=$C443,BF$5&lt;=$D443,$A443&lt;&gt;""),"●","")</x:f>
      </x:c>
      <x:c r="BG443" s="165" t="str">
        <x:f>IF(AND(BG$5&gt;=$C443,BG$5&lt;=$D443,$A443&lt;&gt;""),"●","")</x:f>
      </x:c>
      <x:c r="BH443" s="165" t="str">
        <x:f>IF(AND(BH$5&gt;=$C443,BH$5&lt;=$D443,$A443&lt;&gt;""),"●","")</x:f>
      </x:c>
      <x:c r="BI443" s="165" t="str">
        <x:f>IF(AND(BI$5&gt;=$C443,BI$5&lt;=$D443,$A443&lt;&gt;""),"●","")</x:f>
      </x:c>
      <x:c r="BJ443" s="165" t="str">
        <x:f>IF(AND(BJ$5&gt;=$C443,BJ$5&lt;=$D443,$A443&lt;&gt;""),"●","")</x:f>
      </x:c>
      <x:c r="BK443" s="165" t="str">
        <x:f>IF(AND(BK$5&gt;=$C443,BK$5&lt;=$D443,$A443&lt;&gt;""),"●","")</x:f>
      </x:c>
      <x:c r="BL443" s="165" t="str">
        <x:f>IF(AND(BL$5&gt;=$C443,BL$5&lt;=$D443,$A443&lt;&gt;""),"●","")</x:f>
      </x:c>
      <x:c r="BM443" s="165" t="str">
        <x:f>IF(AND(BM$5&gt;=$C443,BM$5&lt;=$D443,$A443&lt;&gt;""),"●","")</x:f>
      </x:c>
      <x:c r="BN443" s="165" t="str">
        <x:f>IF(AND(BN$5&gt;=$C443,BN$5&lt;=$D443,$A443&lt;&gt;""),"●","")</x:f>
      </x:c>
      <x:c r="BO443" s="165" t="str">
        <x:f>IF(AND(BO$5&gt;=$C443,BO$5&lt;=$D443,$A443&lt;&gt;""),"●","")</x:f>
      </x:c>
      <x:c r="BP443" s="165" t="str">
        <x:f>IF(AND(BP$5&gt;=$C443,BP$5&lt;=$D443,$A443&lt;&gt;""),"●","")</x:f>
      </x:c>
      <x:c r="BQ443" s="165" t="str">
        <x:f>IF(AND(BQ$5&gt;=$C443,BQ$5&lt;=$D443,$A443&lt;&gt;""),"●","")</x:f>
      </x:c>
      <x:c r="BR443" s="165" t="str">
        <x:f>IF(AND(BR$5&gt;=$C443,BR$5&lt;=$D443,$A443&lt;&gt;""),"●","")</x:f>
      </x:c>
      <x:c r="BS443" s="165" t="str">
        <x:f>IF(AND(BS$5&gt;=$C443,BS$5&lt;=$D443,$A443&lt;&gt;""),"●","")</x:f>
      </x:c>
      <x:c r="BT443" s="165" t="str">
        <x:f>IF(AND(BT$5&gt;=$C443,BT$5&lt;=$D443,$A443&lt;&gt;""),"●","")</x:f>
      </x:c>
      <x:c r="BU443" s="165" t="str">
        <x:f>IF(AND(BU$5&gt;=$C443,BU$5&lt;=$D443,$A443&lt;&gt;""),"●","")</x:f>
      </x:c>
      <x:c r="BV443" s="165" t="str">
        <x:f>IF(AND(BV$5&gt;=$C443,BV$5&lt;=$D443,$A443&lt;&gt;""),"●","")</x:f>
      </x:c>
      <x:c r="BW443" s="165" t="str">
        <x:f>IF(AND(BW$5&gt;=$C443,BW$5&lt;=$D443,$A443&lt;&gt;""),"●","")</x:f>
      </x:c>
    </x:row>
    <x:row r="444">
      <x:c r="A444" s="159" t="str">
        <x:f>IF('รายการสัญญา'!A444="","",'รายการสัญญา'!A444)</x:f>
      </x:c>
      <x:c r="B444" s="159" t="str">
        <x:f>IF('รายการสัญญา'!A444="","",'รายการสัญญา'!C444)</x:f>
      </x:c>
      <x:c r="C444" s="162" t="str">
        <x:f>IF('รายการสัญญา'!A444="","",'รายการสัญญา'!E444)</x:f>
      </x:c>
      <x:c r="D444" s="162" t="str">
        <x:f>IF('รายการสัญญา'!A444="","",'รายการสัญญา'!G444)</x:f>
      </x:c>
      <x:c r="E444" s="159" t="str">
        <x:f>IF('รายการสัญญา'!A444="","",'รายการสัญญา'!K444)</x:f>
      </x:c>
      <x:c r="F444" s="165" t="str">
        <x:f>IF(AND(F$5&gt;=$C444,F$5&lt;=$D444,$A444&lt;&gt;""),"●","")</x:f>
      </x:c>
      <x:c r="G444" s="165" t="str">
        <x:f>IF(AND(G$5&gt;=$C444,G$5&lt;=$D444,$A444&lt;&gt;""),"●","")</x:f>
      </x:c>
      <x:c r="H444" s="165" t="str">
        <x:f>IF(AND(H$5&gt;=$C444,H$5&lt;=$D444,$A444&lt;&gt;""),"●","")</x:f>
      </x:c>
      <x:c r="I444" s="165" t="str">
        <x:f>IF(AND(I$5&gt;=$C444,I$5&lt;=$D444,$A444&lt;&gt;""),"●","")</x:f>
      </x:c>
      <x:c r="J444" s="165" t="str">
        <x:f>IF(AND(J$5&gt;=$C444,J$5&lt;=$D444,$A444&lt;&gt;""),"●","")</x:f>
      </x:c>
      <x:c r="K444" s="165" t="str">
        <x:f>IF(AND(K$5&gt;=$C444,K$5&lt;=$D444,$A444&lt;&gt;""),"●","")</x:f>
      </x:c>
      <x:c r="L444" s="165" t="str">
        <x:f>IF(AND(L$5&gt;=$C444,L$5&lt;=$D444,$A444&lt;&gt;""),"●","")</x:f>
      </x:c>
      <x:c r="M444" s="165" t="str">
        <x:f>IF(AND(M$5&gt;=$C444,M$5&lt;=$D444,$A444&lt;&gt;""),"●","")</x:f>
      </x:c>
      <x:c r="N444" s="165" t="str">
        <x:f>IF(AND(N$5&gt;=$C444,N$5&lt;=$D444,$A444&lt;&gt;""),"●","")</x:f>
      </x:c>
      <x:c r="O444" s="165" t="str">
        <x:f>IF(AND(O$5&gt;=$C444,O$5&lt;=$D444,$A444&lt;&gt;""),"●","")</x:f>
      </x:c>
      <x:c r="P444" s="165" t="str">
        <x:f>IF(AND(P$5&gt;=$C444,P$5&lt;=$D444,$A444&lt;&gt;""),"●","")</x:f>
      </x:c>
      <x:c r="Q444" s="165" t="str">
        <x:f>IF(AND(Q$5&gt;=$C444,Q$5&lt;=$D444,$A444&lt;&gt;""),"●","")</x:f>
      </x:c>
      <x:c r="R444" s="165" t="str">
        <x:f>IF(AND(R$5&gt;=$C444,R$5&lt;=$D444,$A444&lt;&gt;""),"●","")</x:f>
      </x:c>
      <x:c r="S444" s="165" t="str">
        <x:f>IF(AND(S$5&gt;=$C444,S$5&lt;=$D444,$A444&lt;&gt;""),"●","")</x:f>
      </x:c>
      <x:c r="T444" s="165" t="str">
        <x:f>IF(AND(T$5&gt;=$C444,T$5&lt;=$D444,$A444&lt;&gt;""),"●","")</x:f>
      </x:c>
      <x:c r="U444" s="165" t="str">
        <x:f>IF(AND(U$5&gt;=$C444,U$5&lt;=$D444,$A444&lt;&gt;""),"●","")</x:f>
      </x:c>
      <x:c r="V444" s="165" t="str">
        <x:f>IF(AND(V$5&gt;=$C444,V$5&lt;=$D444,$A444&lt;&gt;""),"●","")</x:f>
      </x:c>
      <x:c r="W444" s="165" t="str">
        <x:f>IF(AND(W$5&gt;=$C444,W$5&lt;=$D444,$A444&lt;&gt;""),"●","")</x:f>
      </x:c>
      <x:c r="X444" s="165" t="str">
        <x:f>IF(AND(X$5&gt;=$C444,X$5&lt;=$D444,$A444&lt;&gt;""),"●","")</x:f>
      </x:c>
      <x:c r="Y444" s="165" t="str">
        <x:f>IF(AND(Y$5&gt;=$C444,Y$5&lt;=$D444,$A444&lt;&gt;""),"●","")</x:f>
      </x:c>
      <x:c r="Z444" s="165" t="str">
        <x:f>IF(AND(Z$5&gt;=$C444,Z$5&lt;=$D444,$A444&lt;&gt;""),"●","")</x:f>
      </x:c>
      <x:c r="AA444" s="165" t="str">
        <x:f>IF(AND(AA$5&gt;=$C444,AA$5&lt;=$D444,$A444&lt;&gt;""),"●","")</x:f>
      </x:c>
      <x:c r="AB444" s="165" t="str">
        <x:f>IF(AND(AB$5&gt;=$C444,AB$5&lt;=$D444,$A444&lt;&gt;""),"●","")</x:f>
      </x:c>
      <x:c r="AC444" s="165" t="str">
        <x:f>IF(AND(AC$5&gt;=$C444,AC$5&lt;=$D444,$A444&lt;&gt;""),"●","")</x:f>
      </x:c>
      <x:c r="AD444" s="165" t="str">
        <x:f>IF(AND(AD$5&gt;=$C444,AD$5&lt;=$D444,$A444&lt;&gt;""),"●","")</x:f>
      </x:c>
      <x:c r="AE444" s="165" t="str">
        <x:f>IF(AND(AE$5&gt;=$C444,AE$5&lt;=$D444,$A444&lt;&gt;""),"●","")</x:f>
      </x:c>
      <x:c r="AF444" s="165" t="str">
        <x:f>IF(AND(AF$5&gt;=$C444,AF$5&lt;=$D444,$A444&lt;&gt;""),"●","")</x:f>
      </x:c>
      <x:c r="AG444" s="165" t="str">
        <x:f>IF(AND(AG$5&gt;=$C444,AG$5&lt;=$D444,$A444&lt;&gt;""),"●","")</x:f>
      </x:c>
      <x:c r="AH444" s="165" t="str">
        <x:f>IF(AND(AH$5&gt;=$C444,AH$5&lt;=$D444,$A444&lt;&gt;""),"●","")</x:f>
      </x:c>
      <x:c r="AI444" s="165" t="str">
        <x:f>IF(AND(AI$5&gt;=$C444,AI$5&lt;=$D444,$A444&lt;&gt;""),"●","")</x:f>
      </x:c>
      <x:c r="AJ444" s="165" t="str">
        <x:f>IF(AND(AJ$5&gt;=$C444,AJ$5&lt;=$D444,$A444&lt;&gt;""),"●","")</x:f>
      </x:c>
      <x:c r="AK444" s="165" t="str">
        <x:f>IF(AND(AK$5&gt;=$C444,AK$5&lt;=$D444,$A444&lt;&gt;""),"●","")</x:f>
      </x:c>
      <x:c r="AL444" s="165" t="str">
        <x:f>IF(AND(AL$5&gt;=$C444,AL$5&lt;=$D444,$A444&lt;&gt;""),"●","")</x:f>
      </x:c>
      <x:c r="AM444" s="165" t="str">
        <x:f>IF(AND(AM$5&gt;=$C444,AM$5&lt;=$D444,$A444&lt;&gt;""),"●","")</x:f>
      </x:c>
      <x:c r="AN444" s="165" t="str">
        <x:f>IF(AND(AN$5&gt;=$C444,AN$5&lt;=$D444,$A444&lt;&gt;""),"●","")</x:f>
      </x:c>
      <x:c r="AO444" s="165" t="str">
        <x:f>IF(AND(AO$5&gt;=$C444,AO$5&lt;=$D444,$A444&lt;&gt;""),"●","")</x:f>
      </x:c>
      <x:c r="AP444" s="165" t="str">
        <x:f>IF(AND(AP$5&gt;=$C444,AP$5&lt;=$D444,$A444&lt;&gt;""),"●","")</x:f>
      </x:c>
      <x:c r="AQ444" s="165" t="str">
        <x:f>IF(AND(AQ$5&gt;=$C444,AQ$5&lt;=$D444,$A444&lt;&gt;""),"●","")</x:f>
      </x:c>
      <x:c r="AR444" s="165" t="str">
        <x:f>IF(AND(AR$5&gt;=$C444,AR$5&lt;=$D444,$A444&lt;&gt;""),"●","")</x:f>
      </x:c>
      <x:c r="AS444" s="165" t="str">
        <x:f>IF(AND(AS$5&gt;=$C444,AS$5&lt;=$D444,$A444&lt;&gt;""),"●","")</x:f>
      </x:c>
      <x:c r="AT444" s="165" t="str">
        <x:f>IF(AND(AT$5&gt;=$C444,AT$5&lt;=$D444,$A444&lt;&gt;""),"●","")</x:f>
      </x:c>
      <x:c r="AU444" s="165" t="str">
        <x:f>IF(AND(AU$5&gt;=$C444,AU$5&lt;=$D444,$A444&lt;&gt;""),"●","")</x:f>
      </x:c>
      <x:c r="AV444" s="165" t="str">
        <x:f>IF(AND(AV$5&gt;=$C444,AV$5&lt;=$D444,$A444&lt;&gt;""),"●","")</x:f>
      </x:c>
      <x:c r="AW444" s="165" t="str">
        <x:f>IF(AND(AW$5&gt;=$C444,AW$5&lt;=$D444,$A444&lt;&gt;""),"●","")</x:f>
      </x:c>
      <x:c r="AX444" s="165" t="str">
        <x:f>IF(AND(AX$5&gt;=$C444,AX$5&lt;=$D444,$A444&lt;&gt;""),"●","")</x:f>
      </x:c>
      <x:c r="AY444" s="165" t="str">
        <x:f>IF(AND(AY$5&gt;=$C444,AY$5&lt;=$D444,$A444&lt;&gt;""),"●","")</x:f>
      </x:c>
      <x:c r="AZ444" s="165" t="str">
        <x:f>IF(AND(AZ$5&gt;=$C444,AZ$5&lt;=$D444,$A444&lt;&gt;""),"●","")</x:f>
      </x:c>
      <x:c r="BA444" s="165" t="str">
        <x:f>IF(AND(BA$5&gt;=$C444,BA$5&lt;=$D444,$A444&lt;&gt;""),"●","")</x:f>
      </x:c>
      <x:c r="BB444" s="165" t="str">
        <x:f>IF(AND(BB$5&gt;=$C444,BB$5&lt;=$D444,$A444&lt;&gt;""),"●","")</x:f>
      </x:c>
      <x:c r="BC444" s="165" t="str">
        <x:f>IF(AND(BC$5&gt;=$C444,BC$5&lt;=$D444,$A444&lt;&gt;""),"●","")</x:f>
      </x:c>
      <x:c r="BD444" s="165" t="str">
        <x:f>IF(AND(BD$5&gt;=$C444,BD$5&lt;=$D444,$A444&lt;&gt;""),"●","")</x:f>
      </x:c>
      <x:c r="BE444" s="165" t="str">
        <x:f>IF(AND(BE$5&gt;=$C444,BE$5&lt;=$D444,$A444&lt;&gt;""),"●","")</x:f>
      </x:c>
      <x:c r="BF444" s="165" t="str">
        <x:f>IF(AND(BF$5&gt;=$C444,BF$5&lt;=$D444,$A444&lt;&gt;""),"●","")</x:f>
      </x:c>
      <x:c r="BG444" s="165" t="str">
        <x:f>IF(AND(BG$5&gt;=$C444,BG$5&lt;=$D444,$A444&lt;&gt;""),"●","")</x:f>
      </x:c>
      <x:c r="BH444" s="165" t="str">
        <x:f>IF(AND(BH$5&gt;=$C444,BH$5&lt;=$D444,$A444&lt;&gt;""),"●","")</x:f>
      </x:c>
      <x:c r="BI444" s="165" t="str">
        <x:f>IF(AND(BI$5&gt;=$C444,BI$5&lt;=$D444,$A444&lt;&gt;""),"●","")</x:f>
      </x:c>
      <x:c r="BJ444" s="165" t="str">
        <x:f>IF(AND(BJ$5&gt;=$C444,BJ$5&lt;=$D444,$A444&lt;&gt;""),"●","")</x:f>
      </x:c>
      <x:c r="BK444" s="165" t="str">
        <x:f>IF(AND(BK$5&gt;=$C444,BK$5&lt;=$D444,$A444&lt;&gt;""),"●","")</x:f>
      </x:c>
      <x:c r="BL444" s="165" t="str">
        <x:f>IF(AND(BL$5&gt;=$C444,BL$5&lt;=$D444,$A444&lt;&gt;""),"●","")</x:f>
      </x:c>
      <x:c r="BM444" s="165" t="str">
        <x:f>IF(AND(BM$5&gt;=$C444,BM$5&lt;=$D444,$A444&lt;&gt;""),"●","")</x:f>
      </x:c>
      <x:c r="BN444" s="165" t="str">
        <x:f>IF(AND(BN$5&gt;=$C444,BN$5&lt;=$D444,$A444&lt;&gt;""),"●","")</x:f>
      </x:c>
      <x:c r="BO444" s="165" t="str">
        <x:f>IF(AND(BO$5&gt;=$C444,BO$5&lt;=$D444,$A444&lt;&gt;""),"●","")</x:f>
      </x:c>
      <x:c r="BP444" s="165" t="str">
        <x:f>IF(AND(BP$5&gt;=$C444,BP$5&lt;=$D444,$A444&lt;&gt;""),"●","")</x:f>
      </x:c>
      <x:c r="BQ444" s="165" t="str">
        <x:f>IF(AND(BQ$5&gt;=$C444,BQ$5&lt;=$D444,$A444&lt;&gt;""),"●","")</x:f>
      </x:c>
      <x:c r="BR444" s="165" t="str">
        <x:f>IF(AND(BR$5&gt;=$C444,BR$5&lt;=$D444,$A444&lt;&gt;""),"●","")</x:f>
      </x:c>
      <x:c r="BS444" s="165" t="str">
        <x:f>IF(AND(BS$5&gt;=$C444,BS$5&lt;=$D444,$A444&lt;&gt;""),"●","")</x:f>
      </x:c>
      <x:c r="BT444" s="165" t="str">
        <x:f>IF(AND(BT$5&gt;=$C444,BT$5&lt;=$D444,$A444&lt;&gt;""),"●","")</x:f>
      </x:c>
      <x:c r="BU444" s="165" t="str">
        <x:f>IF(AND(BU$5&gt;=$C444,BU$5&lt;=$D444,$A444&lt;&gt;""),"●","")</x:f>
      </x:c>
      <x:c r="BV444" s="165" t="str">
        <x:f>IF(AND(BV$5&gt;=$C444,BV$5&lt;=$D444,$A444&lt;&gt;""),"●","")</x:f>
      </x:c>
      <x:c r="BW444" s="165" t="str">
        <x:f>IF(AND(BW$5&gt;=$C444,BW$5&lt;=$D444,$A444&lt;&gt;""),"●","")</x:f>
      </x:c>
    </x:row>
    <x:row r="445">
      <x:c r="A445" s="159" t="str">
        <x:f>IF('รายการสัญญา'!A445="","",'รายการสัญญา'!A445)</x:f>
      </x:c>
      <x:c r="B445" s="159" t="str">
        <x:f>IF('รายการสัญญา'!A445="","",'รายการสัญญา'!C445)</x:f>
      </x:c>
      <x:c r="C445" s="162" t="str">
        <x:f>IF('รายการสัญญา'!A445="","",'รายการสัญญา'!E445)</x:f>
      </x:c>
      <x:c r="D445" s="162" t="str">
        <x:f>IF('รายการสัญญา'!A445="","",'รายการสัญญา'!G445)</x:f>
      </x:c>
      <x:c r="E445" s="159" t="str">
        <x:f>IF('รายการสัญญา'!A445="","",'รายการสัญญา'!K445)</x:f>
      </x:c>
      <x:c r="F445" s="165" t="str">
        <x:f>IF(AND(F$5&gt;=$C445,F$5&lt;=$D445,$A445&lt;&gt;""),"●","")</x:f>
      </x:c>
      <x:c r="G445" s="165" t="str">
        <x:f>IF(AND(G$5&gt;=$C445,G$5&lt;=$D445,$A445&lt;&gt;""),"●","")</x:f>
      </x:c>
      <x:c r="H445" s="165" t="str">
        <x:f>IF(AND(H$5&gt;=$C445,H$5&lt;=$D445,$A445&lt;&gt;""),"●","")</x:f>
      </x:c>
      <x:c r="I445" s="165" t="str">
        <x:f>IF(AND(I$5&gt;=$C445,I$5&lt;=$D445,$A445&lt;&gt;""),"●","")</x:f>
      </x:c>
      <x:c r="J445" s="165" t="str">
        <x:f>IF(AND(J$5&gt;=$C445,J$5&lt;=$D445,$A445&lt;&gt;""),"●","")</x:f>
      </x:c>
      <x:c r="K445" s="165" t="str">
        <x:f>IF(AND(K$5&gt;=$C445,K$5&lt;=$D445,$A445&lt;&gt;""),"●","")</x:f>
      </x:c>
      <x:c r="L445" s="165" t="str">
        <x:f>IF(AND(L$5&gt;=$C445,L$5&lt;=$D445,$A445&lt;&gt;""),"●","")</x:f>
      </x:c>
      <x:c r="M445" s="165" t="str">
        <x:f>IF(AND(M$5&gt;=$C445,M$5&lt;=$D445,$A445&lt;&gt;""),"●","")</x:f>
      </x:c>
      <x:c r="N445" s="165" t="str">
        <x:f>IF(AND(N$5&gt;=$C445,N$5&lt;=$D445,$A445&lt;&gt;""),"●","")</x:f>
      </x:c>
      <x:c r="O445" s="165" t="str">
        <x:f>IF(AND(O$5&gt;=$C445,O$5&lt;=$D445,$A445&lt;&gt;""),"●","")</x:f>
      </x:c>
      <x:c r="P445" s="165" t="str">
        <x:f>IF(AND(P$5&gt;=$C445,P$5&lt;=$D445,$A445&lt;&gt;""),"●","")</x:f>
      </x:c>
      <x:c r="Q445" s="165" t="str">
        <x:f>IF(AND(Q$5&gt;=$C445,Q$5&lt;=$D445,$A445&lt;&gt;""),"●","")</x:f>
      </x:c>
      <x:c r="R445" s="165" t="str">
        <x:f>IF(AND(R$5&gt;=$C445,R$5&lt;=$D445,$A445&lt;&gt;""),"●","")</x:f>
      </x:c>
      <x:c r="S445" s="165" t="str">
        <x:f>IF(AND(S$5&gt;=$C445,S$5&lt;=$D445,$A445&lt;&gt;""),"●","")</x:f>
      </x:c>
      <x:c r="T445" s="165" t="str">
        <x:f>IF(AND(T$5&gt;=$C445,T$5&lt;=$D445,$A445&lt;&gt;""),"●","")</x:f>
      </x:c>
      <x:c r="U445" s="165" t="str">
        <x:f>IF(AND(U$5&gt;=$C445,U$5&lt;=$D445,$A445&lt;&gt;""),"●","")</x:f>
      </x:c>
      <x:c r="V445" s="165" t="str">
        <x:f>IF(AND(V$5&gt;=$C445,V$5&lt;=$D445,$A445&lt;&gt;""),"●","")</x:f>
      </x:c>
      <x:c r="W445" s="165" t="str">
        <x:f>IF(AND(W$5&gt;=$C445,W$5&lt;=$D445,$A445&lt;&gt;""),"●","")</x:f>
      </x:c>
      <x:c r="X445" s="165" t="str">
        <x:f>IF(AND(X$5&gt;=$C445,X$5&lt;=$D445,$A445&lt;&gt;""),"●","")</x:f>
      </x:c>
      <x:c r="Y445" s="165" t="str">
        <x:f>IF(AND(Y$5&gt;=$C445,Y$5&lt;=$D445,$A445&lt;&gt;""),"●","")</x:f>
      </x:c>
      <x:c r="Z445" s="165" t="str">
        <x:f>IF(AND(Z$5&gt;=$C445,Z$5&lt;=$D445,$A445&lt;&gt;""),"●","")</x:f>
      </x:c>
      <x:c r="AA445" s="165" t="str">
        <x:f>IF(AND(AA$5&gt;=$C445,AA$5&lt;=$D445,$A445&lt;&gt;""),"●","")</x:f>
      </x:c>
      <x:c r="AB445" s="165" t="str">
        <x:f>IF(AND(AB$5&gt;=$C445,AB$5&lt;=$D445,$A445&lt;&gt;""),"●","")</x:f>
      </x:c>
      <x:c r="AC445" s="165" t="str">
        <x:f>IF(AND(AC$5&gt;=$C445,AC$5&lt;=$D445,$A445&lt;&gt;""),"●","")</x:f>
      </x:c>
      <x:c r="AD445" s="165" t="str">
        <x:f>IF(AND(AD$5&gt;=$C445,AD$5&lt;=$D445,$A445&lt;&gt;""),"●","")</x:f>
      </x:c>
      <x:c r="AE445" s="165" t="str">
        <x:f>IF(AND(AE$5&gt;=$C445,AE$5&lt;=$D445,$A445&lt;&gt;""),"●","")</x:f>
      </x:c>
      <x:c r="AF445" s="165" t="str">
        <x:f>IF(AND(AF$5&gt;=$C445,AF$5&lt;=$D445,$A445&lt;&gt;""),"●","")</x:f>
      </x:c>
      <x:c r="AG445" s="165" t="str">
        <x:f>IF(AND(AG$5&gt;=$C445,AG$5&lt;=$D445,$A445&lt;&gt;""),"●","")</x:f>
      </x:c>
      <x:c r="AH445" s="165" t="str">
        <x:f>IF(AND(AH$5&gt;=$C445,AH$5&lt;=$D445,$A445&lt;&gt;""),"●","")</x:f>
      </x:c>
      <x:c r="AI445" s="165" t="str">
        <x:f>IF(AND(AI$5&gt;=$C445,AI$5&lt;=$D445,$A445&lt;&gt;""),"●","")</x:f>
      </x:c>
      <x:c r="AJ445" s="165" t="str">
        <x:f>IF(AND(AJ$5&gt;=$C445,AJ$5&lt;=$D445,$A445&lt;&gt;""),"●","")</x:f>
      </x:c>
      <x:c r="AK445" s="165" t="str">
        <x:f>IF(AND(AK$5&gt;=$C445,AK$5&lt;=$D445,$A445&lt;&gt;""),"●","")</x:f>
      </x:c>
      <x:c r="AL445" s="165" t="str">
        <x:f>IF(AND(AL$5&gt;=$C445,AL$5&lt;=$D445,$A445&lt;&gt;""),"●","")</x:f>
      </x:c>
      <x:c r="AM445" s="165" t="str">
        <x:f>IF(AND(AM$5&gt;=$C445,AM$5&lt;=$D445,$A445&lt;&gt;""),"●","")</x:f>
      </x:c>
      <x:c r="AN445" s="165" t="str">
        <x:f>IF(AND(AN$5&gt;=$C445,AN$5&lt;=$D445,$A445&lt;&gt;""),"●","")</x:f>
      </x:c>
      <x:c r="AO445" s="165" t="str">
        <x:f>IF(AND(AO$5&gt;=$C445,AO$5&lt;=$D445,$A445&lt;&gt;""),"●","")</x:f>
      </x:c>
      <x:c r="AP445" s="165" t="str">
        <x:f>IF(AND(AP$5&gt;=$C445,AP$5&lt;=$D445,$A445&lt;&gt;""),"●","")</x:f>
      </x:c>
      <x:c r="AQ445" s="165" t="str">
        <x:f>IF(AND(AQ$5&gt;=$C445,AQ$5&lt;=$D445,$A445&lt;&gt;""),"●","")</x:f>
      </x:c>
      <x:c r="AR445" s="165" t="str">
        <x:f>IF(AND(AR$5&gt;=$C445,AR$5&lt;=$D445,$A445&lt;&gt;""),"●","")</x:f>
      </x:c>
      <x:c r="AS445" s="165" t="str">
        <x:f>IF(AND(AS$5&gt;=$C445,AS$5&lt;=$D445,$A445&lt;&gt;""),"●","")</x:f>
      </x:c>
      <x:c r="AT445" s="165" t="str">
        <x:f>IF(AND(AT$5&gt;=$C445,AT$5&lt;=$D445,$A445&lt;&gt;""),"●","")</x:f>
      </x:c>
      <x:c r="AU445" s="165" t="str">
        <x:f>IF(AND(AU$5&gt;=$C445,AU$5&lt;=$D445,$A445&lt;&gt;""),"●","")</x:f>
      </x:c>
      <x:c r="AV445" s="165" t="str">
        <x:f>IF(AND(AV$5&gt;=$C445,AV$5&lt;=$D445,$A445&lt;&gt;""),"●","")</x:f>
      </x:c>
      <x:c r="AW445" s="165" t="str">
        <x:f>IF(AND(AW$5&gt;=$C445,AW$5&lt;=$D445,$A445&lt;&gt;""),"●","")</x:f>
      </x:c>
      <x:c r="AX445" s="165" t="str">
        <x:f>IF(AND(AX$5&gt;=$C445,AX$5&lt;=$D445,$A445&lt;&gt;""),"●","")</x:f>
      </x:c>
      <x:c r="AY445" s="165" t="str">
        <x:f>IF(AND(AY$5&gt;=$C445,AY$5&lt;=$D445,$A445&lt;&gt;""),"●","")</x:f>
      </x:c>
      <x:c r="AZ445" s="165" t="str">
        <x:f>IF(AND(AZ$5&gt;=$C445,AZ$5&lt;=$D445,$A445&lt;&gt;""),"●","")</x:f>
      </x:c>
      <x:c r="BA445" s="165" t="str">
        <x:f>IF(AND(BA$5&gt;=$C445,BA$5&lt;=$D445,$A445&lt;&gt;""),"●","")</x:f>
      </x:c>
      <x:c r="BB445" s="165" t="str">
        <x:f>IF(AND(BB$5&gt;=$C445,BB$5&lt;=$D445,$A445&lt;&gt;""),"●","")</x:f>
      </x:c>
      <x:c r="BC445" s="165" t="str">
        <x:f>IF(AND(BC$5&gt;=$C445,BC$5&lt;=$D445,$A445&lt;&gt;""),"●","")</x:f>
      </x:c>
      <x:c r="BD445" s="165" t="str">
        <x:f>IF(AND(BD$5&gt;=$C445,BD$5&lt;=$D445,$A445&lt;&gt;""),"●","")</x:f>
      </x:c>
      <x:c r="BE445" s="165" t="str">
        <x:f>IF(AND(BE$5&gt;=$C445,BE$5&lt;=$D445,$A445&lt;&gt;""),"●","")</x:f>
      </x:c>
      <x:c r="BF445" s="165" t="str">
        <x:f>IF(AND(BF$5&gt;=$C445,BF$5&lt;=$D445,$A445&lt;&gt;""),"●","")</x:f>
      </x:c>
      <x:c r="BG445" s="165" t="str">
        <x:f>IF(AND(BG$5&gt;=$C445,BG$5&lt;=$D445,$A445&lt;&gt;""),"●","")</x:f>
      </x:c>
      <x:c r="BH445" s="165" t="str">
        <x:f>IF(AND(BH$5&gt;=$C445,BH$5&lt;=$D445,$A445&lt;&gt;""),"●","")</x:f>
      </x:c>
      <x:c r="BI445" s="165" t="str">
        <x:f>IF(AND(BI$5&gt;=$C445,BI$5&lt;=$D445,$A445&lt;&gt;""),"●","")</x:f>
      </x:c>
      <x:c r="BJ445" s="165" t="str">
        <x:f>IF(AND(BJ$5&gt;=$C445,BJ$5&lt;=$D445,$A445&lt;&gt;""),"●","")</x:f>
      </x:c>
      <x:c r="BK445" s="165" t="str">
        <x:f>IF(AND(BK$5&gt;=$C445,BK$5&lt;=$D445,$A445&lt;&gt;""),"●","")</x:f>
      </x:c>
      <x:c r="BL445" s="165" t="str">
        <x:f>IF(AND(BL$5&gt;=$C445,BL$5&lt;=$D445,$A445&lt;&gt;""),"●","")</x:f>
      </x:c>
      <x:c r="BM445" s="165" t="str">
        <x:f>IF(AND(BM$5&gt;=$C445,BM$5&lt;=$D445,$A445&lt;&gt;""),"●","")</x:f>
      </x:c>
      <x:c r="BN445" s="165" t="str">
        <x:f>IF(AND(BN$5&gt;=$C445,BN$5&lt;=$D445,$A445&lt;&gt;""),"●","")</x:f>
      </x:c>
      <x:c r="BO445" s="165" t="str">
        <x:f>IF(AND(BO$5&gt;=$C445,BO$5&lt;=$D445,$A445&lt;&gt;""),"●","")</x:f>
      </x:c>
      <x:c r="BP445" s="165" t="str">
        <x:f>IF(AND(BP$5&gt;=$C445,BP$5&lt;=$D445,$A445&lt;&gt;""),"●","")</x:f>
      </x:c>
      <x:c r="BQ445" s="165" t="str">
        <x:f>IF(AND(BQ$5&gt;=$C445,BQ$5&lt;=$D445,$A445&lt;&gt;""),"●","")</x:f>
      </x:c>
      <x:c r="BR445" s="165" t="str">
        <x:f>IF(AND(BR$5&gt;=$C445,BR$5&lt;=$D445,$A445&lt;&gt;""),"●","")</x:f>
      </x:c>
      <x:c r="BS445" s="165" t="str">
        <x:f>IF(AND(BS$5&gt;=$C445,BS$5&lt;=$D445,$A445&lt;&gt;""),"●","")</x:f>
      </x:c>
      <x:c r="BT445" s="165" t="str">
        <x:f>IF(AND(BT$5&gt;=$C445,BT$5&lt;=$D445,$A445&lt;&gt;""),"●","")</x:f>
      </x:c>
      <x:c r="BU445" s="165" t="str">
        <x:f>IF(AND(BU$5&gt;=$C445,BU$5&lt;=$D445,$A445&lt;&gt;""),"●","")</x:f>
      </x:c>
      <x:c r="BV445" s="165" t="str">
        <x:f>IF(AND(BV$5&gt;=$C445,BV$5&lt;=$D445,$A445&lt;&gt;""),"●","")</x:f>
      </x:c>
      <x:c r="BW445" s="165" t="str">
        <x:f>IF(AND(BW$5&gt;=$C445,BW$5&lt;=$D445,$A445&lt;&gt;""),"●","")</x:f>
      </x:c>
    </x:row>
    <x:row r="446">
      <x:c r="A446" s="159" t="str">
        <x:f>IF('รายการสัญญา'!A446="","",'รายการสัญญา'!A446)</x:f>
      </x:c>
      <x:c r="B446" s="159" t="str">
        <x:f>IF('รายการสัญญา'!A446="","",'รายการสัญญา'!C446)</x:f>
      </x:c>
      <x:c r="C446" s="162" t="str">
        <x:f>IF('รายการสัญญา'!A446="","",'รายการสัญญา'!E446)</x:f>
      </x:c>
      <x:c r="D446" s="162" t="str">
        <x:f>IF('รายการสัญญา'!A446="","",'รายการสัญญา'!G446)</x:f>
      </x:c>
      <x:c r="E446" s="159" t="str">
        <x:f>IF('รายการสัญญา'!A446="","",'รายการสัญญา'!K446)</x:f>
      </x:c>
      <x:c r="F446" s="165" t="str">
        <x:f>IF(AND(F$5&gt;=$C446,F$5&lt;=$D446,$A446&lt;&gt;""),"●","")</x:f>
      </x:c>
      <x:c r="G446" s="165" t="str">
        <x:f>IF(AND(G$5&gt;=$C446,G$5&lt;=$D446,$A446&lt;&gt;""),"●","")</x:f>
      </x:c>
      <x:c r="H446" s="165" t="str">
        <x:f>IF(AND(H$5&gt;=$C446,H$5&lt;=$D446,$A446&lt;&gt;""),"●","")</x:f>
      </x:c>
      <x:c r="I446" s="165" t="str">
        <x:f>IF(AND(I$5&gt;=$C446,I$5&lt;=$D446,$A446&lt;&gt;""),"●","")</x:f>
      </x:c>
      <x:c r="J446" s="165" t="str">
        <x:f>IF(AND(J$5&gt;=$C446,J$5&lt;=$D446,$A446&lt;&gt;""),"●","")</x:f>
      </x:c>
      <x:c r="K446" s="165" t="str">
        <x:f>IF(AND(K$5&gt;=$C446,K$5&lt;=$D446,$A446&lt;&gt;""),"●","")</x:f>
      </x:c>
      <x:c r="L446" s="165" t="str">
        <x:f>IF(AND(L$5&gt;=$C446,L$5&lt;=$D446,$A446&lt;&gt;""),"●","")</x:f>
      </x:c>
      <x:c r="M446" s="165" t="str">
        <x:f>IF(AND(M$5&gt;=$C446,M$5&lt;=$D446,$A446&lt;&gt;""),"●","")</x:f>
      </x:c>
      <x:c r="N446" s="165" t="str">
        <x:f>IF(AND(N$5&gt;=$C446,N$5&lt;=$D446,$A446&lt;&gt;""),"●","")</x:f>
      </x:c>
      <x:c r="O446" s="165" t="str">
        <x:f>IF(AND(O$5&gt;=$C446,O$5&lt;=$D446,$A446&lt;&gt;""),"●","")</x:f>
      </x:c>
      <x:c r="P446" s="165" t="str">
        <x:f>IF(AND(P$5&gt;=$C446,P$5&lt;=$D446,$A446&lt;&gt;""),"●","")</x:f>
      </x:c>
      <x:c r="Q446" s="165" t="str">
        <x:f>IF(AND(Q$5&gt;=$C446,Q$5&lt;=$D446,$A446&lt;&gt;""),"●","")</x:f>
      </x:c>
      <x:c r="R446" s="165" t="str">
        <x:f>IF(AND(R$5&gt;=$C446,R$5&lt;=$D446,$A446&lt;&gt;""),"●","")</x:f>
      </x:c>
      <x:c r="S446" s="165" t="str">
        <x:f>IF(AND(S$5&gt;=$C446,S$5&lt;=$D446,$A446&lt;&gt;""),"●","")</x:f>
      </x:c>
      <x:c r="T446" s="165" t="str">
        <x:f>IF(AND(T$5&gt;=$C446,T$5&lt;=$D446,$A446&lt;&gt;""),"●","")</x:f>
      </x:c>
      <x:c r="U446" s="165" t="str">
        <x:f>IF(AND(U$5&gt;=$C446,U$5&lt;=$D446,$A446&lt;&gt;""),"●","")</x:f>
      </x:c>
      <x:c r="V446" s="165" t="str">
        <x:f>IF(AND(V$5&gt;=$C446,V$5&lt;=$D446,$A446&lt;&gt;""),"●","")</x:f>
      </x:c>
      <x:c r="W446" s="165" t="str">
        <x:f>IF(AND(W$5&gt;=$C446,W$5&lt;=$D446,$A446&lt;&gt;""),"●","")</x:f>
      </x:c>
      <x:c r="X446" s="165" t="str">
        <x:f>IF(AND(X$5&gt;=$C446,X$5&lt;=$D446,$A446&lt;&gt;""),"●","")</x:f>
      </x:c>
      <x:c r="Y446" s="165" t="str">
        <x:f>IF(AND(Y$5&gt;=$C446,Y$5&lt;=$D446,$A446&lt;&gt;""),"●","")</x:f>
      </x:c>
      <x:c r="Z446" s="165" t="str">
        <x:f>IF(AND(Z$5&gt;=$C446,Z$5&lt;=$D446,$A446&lt;&gt;""),"●","")</x:f>
      </x:c>
      <x:c r="AA446" s="165" t="str">
        <x:f>IF(AND(AA$5&gt;=$C446,AA$5&lt;=$D446,$A446&lt;&gt;""),"●","")</x:f>
      </x:c>
      <x:c r="AB446" s="165" t="str">
        <x:f>IF(AND(AB$5&gt;=$C446,AB$5&lt;=$D446,$A446&lt;&gt;""),"●","")</x:f>
      </x:c>
      <x:c r="AC446" s="165" t="str">
        <x:f>IF(AND(AC$5&gt;=$C446,AC$5&lt;=$D446,$A446&lt;&gt;""),"●","")</x:f>
      </x:c>
      <x:c r="AD446" s="165" t="str">
        <x:f>IF(AND(AD$5&gt;=$C446,AD$5&lt;=$D446,$A446&lt;&gt;""),"●","")</x:f>
      </x:c>
      <x:c r="AE446" s="165" t="str">
        <x:f>IF(AND(AE$5&gt;=$C446,AE$5&lt;=$D446,$A446&lt;&gt;""),"●","")</x:f>
      </x:c>
      <x:c r="AF446" s="165" t="str">
        <x:f>IF(AND(AF$5&gt;=$C446,AF$5&lt;=$D446,$A446&lt;&gt;""),"●","")</x:f>
      </x:c>
      <x:c r="AG446" s="165" t="str">
        <x:f>IF(AND(AG$5&gt;=$C446,AG$5&lt;=$D446,$A446&lt;&gt;""),"●","")</x:f>
      </x:c>
      <x:c r="AH446" s="165" t="str">
        <x:f>IF(AND(AH$5&gt;=$C446,AH$5&lt;=$D446,$A446&lt;&gt;""),"●","")</x:f>
      </x:c>
      <x:c r="AI446" s="165" t="str">
        <x:f>IF(AND(AI$5&gt;=$C446,AI$5&lt;=$D446,$A446&lt;&gt;""),"●","")</x:f>
      </x:c>
      <x:c r="AJ446" s="165" t="str">
        <x:f>IF(AND(AJ$5&gt;=$C446,AJ$5&lt;=$D446,$A446&lt;&gt;""),"●","")</x:f>
      </x:c>
      <x:c r="AK446" s="165" t="str">
        <x:f>IF(AND(AK$5&gt;=$C446,AK$5&lt;=$D446,$A446&lt;&gt;""),"●","")</x:f>
      </x:c>
      <x:c r="AL446" s="165" t="str">
        <x:f>IF(AND(AL$5&gt;=$C446,AL$5&lt;=$D446,$A446&lt;&gt;""),"●","")</x:f>
      </x:c>
      <x:c r="AM446" s="165" t="str">
        <x:f>IF(AND(AM$5&gt;=$C446,AM$5&lt;=$D446,$A446&lt;&gt;""),"●","")</x:f>
      </x:c>
      <x:c r="AN446" s="165" t="str">
        <x:f>IF(AND(AN$5&gt;=$C446,AN$5&lt;=$D446,$A446&lt;&gt;""),"●","")</x:f>
      </x:c>
      <x:c r="AO446" s="165" t="str">
        <x:f>IF(AND(AO$5&gt;=$C446,AO$5&lt;=$D446,$A446&lt;&gt;""),"●","")</x:f>
      </x:c>
      <x:c r="AP446" s="165" t="str">
        <x:f>IF(AND(AP$5&gt;=$C446,AP$5&lt;=$D446,$A446&lt;&gt;""),"●","")</x:f>
      </x:c>
      <x:c r="AQ446" s="165" t="str">
        <x:f>IF(AND(AQ$5&gt;=$C446,AQ$5&lt;=$D446,$A446&lt;&gt;""),"●","")</x:f>
      </x:c>
      <x:c r="AR446" s="165" t="str">
        <x:f>IF(AND(AR$5&gt;=$C446,AR$5&lt;=$D446,$A446&lt;&gt;""),"●","")</x:f>
      </x:c>
      <x:c r="AS446" s="165" t="str">
        <x:f>IF(AND(AS$5&gt;=$C446,AS$5&lt;=$D446,$A446&lt;&gt;""),"●","")</x:f>
      </x:c>
      <x:c r="AT446" s="165" t="str">
        <x:f>IF(AND(AT$5&gt;=$C446,AT$5&lt;=$D446,$A446&lt;&gt;""),"●","")</x:f>
      </x:c>
      <x:c r="AU446" s="165" t="str">
        <x:f>IF(AND(AU$5&gt;=$C446,AU$5&lt;=$D446,$A446&lt;&gt;""),"●","")</x:f>
      </x:c>
      <x:c r="AV446" s="165" t="str">
        <x:f>IF(AND(AV$5&gt;=$C446,AV$5&lt;=$D446,$A446&lt;&gt;""),"●","")</x:f>
      </x:c>
      <x:c r="AW446" s="165" t="str">
        <x:f>IF(AND(AW$5&gt;=$C446,AW$5&lt;=$D446,$A446&lt;&gt;""),"●","")</x:f>
      </x:c>
      <x:c r="AX446" s="165" t="str">
        <x:f>IF(AND(AX$5&gt;=$C446,AX$5&lt;=$D446,$A446&lt;&gt;""),"●","")</x:f>
      </x:c>
      <x:c r="AY446" s="165" t="str">
        <x:f>IF(AND(AY$5&gt;=$C446,AY$5&lt;=$D446,$A446&lt;&gt;""),"●","")</x:f>
      </x:c>
      <x:c r="AZ446" s="165" t="str">
        <x:f>IF(AND(AZ$5&gt;=$C446,AZ$5&lt;=$D446,$A446&lt;&gt;""),"●","")</x:f>
      </x:c>
      <x:c r="BA446" s="165" t="str">
        <x:f>IF(AND(BA$5&gt;=$C446,BA$5&lt;=$D446,$A446&lt;&gt;""),"●","")</x:f>
      </x:c>
      <x:c r="BB446" s="165" t="str">
        <x:f>IF(AND(BB$5&gt;=$C446,BB$5&lt;=$D446,$A446&lt;&gt;""),"●","")</x:f>
      </x:c>
      <x:c r="BC446" s="165" t="str">
        <x:f>IF(AND(BC$5&gt;=$C446,BC$5&lt;=$D446,$A446&lt;&gt;""),"●","")</x:f>
      </x:c>
      <x:c r="BD446" s="165" t="str">
        <x:f>IF(AND(BD$5&gt;=$C446,BD$5&lt;=$D446,$A446&lt;&gt;""),"●","")</x:f>
      </x:c>
      <x:c r="BE446" s="165" t="str">
        <x:f>IF(AND(BE$5&gt;=$C446,BE$5&lt;=$D446,$A446&lt;&gt;""),"●","")</x:f>
      </x:c>
      <x:c r="BF446" s="165" t="str">
        <x:f>IF(AND(BF$5&gt;=$C446,BF$5&lt;=$D446,$A446&lt;&gt;""),"●","")</x:f>
      </x:c>
      <x:c r="BG446" s="165" t="str">
        <x:f>IF(AND(BG$5&gt;=$C446,BG$5&lt;=$D446,$A446&lt;&gt;""),"●","")</x:f>
      </x:c>
      <x:c r="BH446" s="165" t="str">
        <x:f>IF(AND(BH$5&gt;=$C446,BH$5&lt;=$D446,$A446&lt;&gt;""),"●","")</x:f>
      </x:c>
      <x:c r="BI446" s="165" t="str">
        <x:f>IF(AND(BI$5&gt;=$C446,BI$5&lt;=$D446,$A446&lt;&gt;""),"●","")</x:f>
      </x:c>
      <x:c r="BJ446" s="165" t="str">
        <x:f>IF(AND(BJ$5&gt;=$C446,BJ$5&lt;=$D446,$A446&lt;&gt;""),"●","")</x:f>
      </x:c>
      <x:c r="BK446" s="165" t="str">
        <x:f>IF(AND(BK$5&gt;=$C446,BK$5&lt;=$D446,$A446&lt;&gt;""),"●","")</x:f>
      </x:c>
      <x:c r="BL446" s="165" t="str">
        <x:f>IF(AND(BL$5&gt;=$C446,BL$5&lt;=$D446,$A446&lt;&gt;""),"●","")</x:f>
      </x:c>
      <x:c r="BM446" s="165" t="str">
        <x:f>IF(AND(BM$5&gt;=$C446,BM$5&lt;=$D446,$A446&lt;&gt;""),"●","")</x:f>
      </x:c>
      <x:c r="BN446" s="165" t="str">
        <x:f>IF(AND(BN$5&gt;=$C446,BN$5&lt;=$D446,$A446&lt;&gt;""),"●","")</x:f>
      </x:c>
      <x:c r="BO446" s="165" t="str">
        <x:f>IF(AND(BO$5&gt;=$C446,BO$5&lt;=$D446,$A446&lt;&gt;""),"●","")</x:f>
      </x:c>
      <x:c r="BP446" s="165" t="str">
        <x:f>IF(AND(BP$5&gt;=$C446,BP$5&lt;=$D446,$A446&lt;&gt;""),"●","")</x:f>
      </x:c>
      <x:c r="BQ446" s="165" t="str">
        <x:f>IF(AND(BQ$5&gt;=$C446,BQ$5&lt;=$D446,$A446&lt;&gt;""),"●","")</x:f>
      </x:c>
      <x:c r="BR446" s="165" t="str">
        <x:f>IF(AND(BR$5&gt;=$C446,BR$5&lt;=$D446,$A446&lt;&gt;""),"●","")</x:f>
      </x:c>
      <x:c r="BS446" s="165" t="str">
        <x:f>IF(AND(BS$5&gt;=$C446,BS$5&lt;=$D446,$A446&lt;&gt;""),"●","")</x:f>
      </x:c>
      <x:c r="BT446" s="165" t="str">
        <x:f>IF(AND(BT$5&gt;=$C446,BT$5&lt;=$D446,$A446&lt;&gt;""),"●","")</x:f>
      </x:c>
      <x:c r="BU446" s="165" t="str">
        <x:f>IF(AND(BU$5&gt;=$C446,BU$5&lt;=$D446,$A446&lt;&gt;""),"●","")</x:f>
      </x:c>
      <x:c r="BV446" s="165" t="str">
        <x:f>IF(AND(BV$5&gt;=$C446,BV$5&lt;=$D446,$A446&lt;&gt;""),"●","")</x:f>
      </x:c>
      <x:c r="BW446" s="165" t="str">
        <x:f>IF(AND(BW$5&gt;=$C446,BW$5&lt;=$D446,$A446&lt;&gt;""),"●","")</x:f>
      </x:c>
    </x:row>
    <x:row r="447">
      <x:c r="A447" s="159" t="str">
        <x:f>IF('รายการสัญญา'!A447="","",'รายการสัญญา'!A447)</x:f>
      </x:c>
      <x:c r="B447" s="159" t="str">
        <x:f>IF('รายการสัญญา'!A447="","",'รายการสัญญา'!C447)</x:f>
      </x:c>
      <x:c r="C447" s="162" t="str">
        <x:f>IF('รายการสัญญา'!A447="","",'รายการสัญญา'!E447)</x:f>
      </x:c>
      <x:c r="D447" s="162" t="str">
        <x:f>IF('รายการสัญญา'!A447="","",'รายการสัญญา'!G447)</x:f>
      </x:c>
      <x:c r="E447" s="159" t="str">
        <x:f>IF('รายการสัญญา'!A447="","",'รายการสัญญา'!K447)</x:f>
      </x:c>
      <x:c r="F447" s="165" t="str">
        <x:f>IF(AND(F$5&gt;=$C447,F$5&lt;=$D447,$A447&lt;&gt;""),"●","")</x:f>
      </x:c>
      <x:c r="G447" s="165" t="str">
        <x:f>IF(AND(G$5&gt;=$C447,G$5&lt;=$D447,$A447&lt;&gt;""),"●","")</x:f>
      </x:c>
      <x:c r="H447" s="165" t="str">
        <x:f>IF(AND(H$5&gt;=$C447,H$5&lt;=$D447,$A447&lt;&gt;""),"●","")</x:f>
      </x:c>
      <x:c r="I447" s="165" t="str">
        <x:f>IF(AND(I$5&gt;=$C447,I$5&lt;=$D447,$A447&lt;&gt;""),"●","")</x:f>
      </x:c>
      <x:c r="J447" s="165" t="str">
        <x:f>IF(AND(J$5&gt;=$C447,J$5&lt;=$D447,$A447&lt;&gt;""),"●","")</x:f>
      </x:c>
      <x:c r="K447" s="165" t="str">
        <x:f>IF(AND(K$5&gt;=$C447,K$5&lt;=$D447,$A447&lt;&gt;""),"●","")</x:f>
      </x:c>
      <x:c r="L447" s="165" t="str">
        <x:f>IF(AND(L$5&gt;=$C447,L$5&lt;=$D447,$A447&lt;&gt;""),"●","")</x:f>
      </x:c>
      <x:c r="M447" s="165" t="str">
        <x:f>IF(AND(M$5&gt;=$C447,M$5&lt;=$D447,$A447&lt;&gt;""),"●","")</x:f>
      </x:c>
      <x:c r="N447" s="165" t="str">
        <x:f>IF(AND(N$5&gt;=$C447,N$5&lt;=$D447,$A447&lt;&gt;""),"●","")</x:f>
      </x:c>
      <x:c r="O447" s="165" t="str">
        <x:f>IF(AND(O$5&gt;=$C447,O$5&lt;=$D447,$A447&lt;&gt;""),"●","")</x:f>
      </x:c>
      <x:c r="P447" s="165" t="str">
        <x:f>IF(AND(P$5&gt;=$C447,P$5&lt;=$D447,$A447&lt;&gt;""),"●","")</x:f>
      </x:c>
      <x:c r="Q447" s="165" t="str">
        <x:f>IF(AND(Q$5&gt;=$C447,Q$5&lt;=$D447,$A447&lt;&gt;""),"●","")</x:f>
      </x:c>
      <x:c r="R447" s="165" t="str">
        <x:f>IF(AND(R$5&gt;=$C447,R$5&lt;=$D447,$A447&lt;&gt;""),"●","")</x:f>
      </x:c>
      <x:c r="S447" s="165" t="str">
        <x:f>IF(AND(S$5&gt;=$C447,S$5&lt;=$D447,$A447&lt;&gt;""),"●","")</x:f>
      </x:c>
      <x:c r="T447" s="165" t="str">
        <x:f>IF(AND(T$5&gt;=$C447,T$5&lt;=$D447,$A447&lt;&gt;""),"●","")</x:f>
      </x:c>
      <x:c r="U447" s="165" t="str">
        <x:f>IF(AND(U$5&gt;=$C447,U$5&lt;=$D447,$A447&lt;&gt;""),"●","")</x:f>
      </x:c>
      <x:c r="V447" s="165" t="str">
        <x:f>IF(AND(V$5&gt;=$C447,V$5&lt;=$D447,$A447&lt;&gt;""),"●","")</x:f>
      </x:c>
      <x:c r="W447" s="165" t="str">
        <x:f>IF(AND(W$5&gt;=$C447,W$5&lt;=$D447,$A447&lt;&gt;""),"●","")</x:f>
      </x:c>
      <x:c r="X447" s="165" t="str">
        <x:f>IF(AND(X$5&gt;=$C447,X$5&lt;=$D447,$A447&lt;&gt;""),"●","")</x:f>
      </x:c>
      <x:c r="Y447" s="165" t="str">
        <x:f>IF(AND(Y$5&gt;=$C447,Y$5&lt;=$D447,$A447&lt;&gt;""),"●","")</x:f>
      </x:c>
      <x:c r="Z447" s="165" t="str">
        <x:f>IF(AND(Z$5&gt;=$C447,Z$5&lt;=$D447,$A447&lt;&gt;""),"●","")</x:f>
      </x:c>
      <x:c r="AA447" s="165" t="str">
        <x:f>IF(AND(AA$5&gt;=$C447,AA$5&lt;=$D447,$A447&lt;&gt;""),"●","")</x:f>
      </x:c>
      <x:c r="AB447" s="165" t="str">
        <x:f>IF(AND(AB$5&gt;=$C447,AB$5&lt;=$D447,$A447&lt;&gt;""),"●","")</x:f>
      </x:c>
      <x:c r="AC447" s="165" t="str">
        <x:f>IF(AND(AC$5&gt;=$C447,AC$5&lt;=$D447,$A447&lt;&gt;""),"●","")</x:f>
      </x:c>
      <x:c r="AD447" s="165" t="str">
        <x:f>IF(AND(AD$5&gt;=$C447,AD$5&lt;=$D447,$A447&lt;&gt;""),"●","")</x:f>
      </x:c>
      <x:c r="AE447" s="165" t="str">
        <x:f>IF(AND(AE$5&gt;=$C447,AE$5&lt;=$D447,$A447&lt;&gt;""),"●","")</x:f>
      </x:c>
      <x:c r="AF447" s="165" t="str">
        <x:f>IF(AND(AF$5&gt;=$C447,AF$5&lt;=$D447,$A447&lt;&gt;""),"●","")</x:f>
      </x:c>
      <x:c r="AG447" s="165" t="str">
        <x:f>IF(AND(AG$5&gt;=$C447,AG$5&lt;=$D447,$A447&lt;&gt;""),"●","")</x:f>
      </x:c>
      <x:c r="AH447" s="165" t="str">
        <x:f>IF(AND(AH$5&gt;=$C447,AH$5&lt;=$D447,$A447&lt;&gt;""),"●","")</x:f>
      </x:c>
      <x:c r="AI447" s="165" t="str">
        <x:f>IF(AND(AI$5&gt;=$C447,AI$5&lt;=$D447,$A447&lt;&gt;""),"●","")</x:f>
      </x:c>
      <x:c r="AJ447" s="165" t="str">
        <x:f>IF(AND(AJ$5&gt;=$C447,AJ$5&lt;=$D447,$A447&lt;&gt;""),"●","")</x:f>
      </x:c>
      <x:c r="AK447" s="165" t="str">
        <x:f>IF(AND(AK$5&gt;=$C447,AK$5&lt;=$D447,$A447&lt;&gt;""),"●","")</x:f>
      </x:c>
      <x:c r="AL447" s="165" t="str">
        <x:f>IF(AND(AL$5&gt;=$C447,AL$5&lt;=$D447,$A447&lt;&gt;""),"●","")</x:f>
      </x:c>
      <x:c r="AM447" s="165" t="str">
        <x:f>IF(AND(AM$5&gt;=$C447,AM$5&lt;=$D447,$A447&lt;&gt;""),"●","")</x:f>
      </x:c>
      <x:c r="AN447" s="165" t="str">
        <x:f>IF(AND(AN$5&gt;=$C447,AN$5&lt;=$D447,$A447&lt;&gt;""),"●","")</x:f>
      </x:c>
      <x:c r="AO447" s="165" t="str">
        <x:f>IF(AND(AO$5&gt;=$C447,AO$5&lt;=$D447,$A447&lt;&gt;""),"●","")</x:f>
      </x:c>
      <x:c r="AP447" s="165" t="str">
        <x:f>IF(AND(AP$5&gt;=$C447,AP$5&lt;=$D447,$A447&lt;&gt;""),"●","")</x:f>
      </x:c>
      <x:c r="AQ447" s="165" t="str">
        <x:f>IF(AND(AQ$5&gt;=$C447,AQ$5&lt;=$D447,$A447&lt;&gt;""),"●","")</x:f>
      </x:c>
      <x:c r="AR447" s="165" t="str">
        <x:f>IF(AND(AR$5&gt;=$C447,AR$5&lt;=$D447,$A447&lt;&gt;""),"●","")</x:f>
      </x:c>
      <x:c r="AS447" s="165" t="str">
        <x:f>IF(AND(AS$5&gt;=$C447,AS$5&lt;=$D447,$A447&lt;&gt;""),"●","")</x:f>
      </x:c>
      <x:c r="AT447" s="165" t="str">
        <x:f>IF(AND(AT$5&gt;=$C447,AT$5&lt;=$D447,$A447&lt;&gt;""),"●","")</x:f>
      </x:c>
      <x:c r="AU447" s="165" t="str">
        <x:f>IF(AND(AU$5&gt;=$C447,AU$5&lt;=$D447,$A447&lt;&gt;""),"●","")</x:f>
      </x:c>
      <x:c r="AV447" s="165" t="str">
        <x:f>IF(AND(AV$5&gt;=$C447,AV$5&lt;=$D447,$A447&lt;&gt;""),"●","")</x:f>
      </x:c>
      <x:c r="AW447" s="165" t="str">
        <x:f>IF(AND(AW$5&gt;=$C447,AW$5&lt;=$D447,$A447&lt;&gt;""),"●","")</x:f>
      </x:c>
      <x:c r="AX447" s="165" t="str">
        <x:f>IF(AND(AX$5&gt;=$C447,AX$5&lt;=$D447,$A447&lt;&gt;""),"●","")</x:f>
      </x:c>
      <x:c r="AY447" s="165" t="str">
        <x:f>IF(AND(AY$5&gt;=$C447,AY$5&lt;=$D447,$A447&lt;&gt;""),"●","")</x:f>
      </x:c>
      <x:c r="AZ447" s="165" t="str">
        <x:f>IF(AND(AZ$5&gt;=$C447,AZ$5&lt;=$D447,$A447&lt;&gt;""),"●","")</x:f>
      </x:c>
      <x:c r="BA447" s="165" t="str">
        <x:f>IF(AND(BA$5&gt;=$C447,BA$5&lt;=$D447,$A447&lt;&gt;""),"●","")</x:f>
      </x:c>
      <x:c r="BB447" s="165" t="str">
        <x:f>IF(AND(BB$5&gt;=$C447,BB$5&lt;=$D447,$A447&lt;&gt;""),"●","")</x:f>
      </x:c>
      <x:c r="BC447" s="165" t="str">
        <x:f>IF(AND(BC$5&gt;=$C447,BC$5&lt;=$D447,$A447&lt;&gt;""),"●","")</x:f>
      </x:c>
      <x:c r="BD447" s="165" t="str">
        <x:f>IF(AND(BD$5&gt;=$C447,BD$5&lt;=$D447,$A447&lt;&gt;""),"●","")</x:f>
      </x:c>
      <x:c r="BE447" s="165" t="str">
        <x:f>IF(AND(BE$5&gt;=$C447,BE$5&lt;=$D447,$A447&lt;&gt;""),"●","")</x:f>
      </x:c>
      <x:c r="BF447" s="165" t="str">
        <x:f>IF(AND(BF$5&gt;=$C447,BF$5&lt;=$D447,$A447&lt;&gt;""),"●","")</x:f>
      </x:c>
      <x:c r="BG447" s="165" t="str">
        <x:f>IF(AND(BG$5&gt;=$C447,BG$5&lt;=$D447,$A447&lt;&gt;""),"●","")</x:f>
      </x:c>
      <x:c r="BH447" s="165" t="str">
        <x:f>IF(AND(BH$5&gt;=$C447,BH$5&lt;=$D447,$A447&lt;&gt;""),"●","")</x:f>
      </x:c>
      <x:c r="BI447" s="165" t="str">
        <x:f>IF(AND(BI$5&gt;=$C447,BI$5&lt;=$D447,$A447&lt;&gt;""),"●","")</x:f>
      </x:c>
      <x:c r="BJ447" s="165" t="str">
        <x:f>IF(AND(BJ$5&gt;=$C447,BJ$5&lt;=$D447,$A447&lt;&gt;""),"●","")</x:f>
      </x:c>
      <x:c r="BK447" s="165" t="str">
        <x:f>IF(AND(BK$5&gt;=$C447,BK$5&lt;=$D447,$A447&lt;&gt;""),"●","")</x:f>
      </x:c>
      <x:c r="BL447" s="165" t="str">
        <x:f>IF(AND(BL$5&gt;=$C447,BL$5&lt;=$D447,$A447&lt;&gt;""),"●","")</x:f>
      </x:c>
      <x:c r="BM447" s="165" t="str">
        <x:f>IF(AND(BM$5&gt;=$C447,BM$5&lt;=$D447,$A447&lt;&gt;""),"●","")</x:f>
      </x:c>
      <x:c r="BN447" s="165" t="str">
        <x:f>IF(AND(BN$5&gt;=$C447,BN$5&lt;=$D447,$A447&lt;&gt;""),"●","")</x:f>
      </x:c>
      <x:c r="BO447" s="165" t="str">
        <x:f>IF(AND(BO$5&gt;=$C447,BO$5&lt;=$D447,$A447&lt;&gt;""),"●","")</x:f>
      </x:c>
      <x:c r="BP447" s="165" t="str">
        <x:f>IF(AND(BP$5&gt;=$C447,BP$5&lt;=$D447,$A447&lt;&gt;""),"●","")</x:f>
      </x:c>
      <x:c r="BQ447" s="165" t="str">
        <x:f>IF(AND(BQ$5&gt;=$C447,BQ$5&lt;=$D447,$A447&lt;&gt;""),"●","")</x:f>
      </x:c>
      <x:c r="BR447" s="165" t="str">
        <x:f>IF(AND(BR$5&gt;=$C447,BR$5&lt;=$D447,$A447&lt;&gt;""),"●","")</x:f>
      </x:c>
      <x:c r="BS447" s="165" t="str">
        <x:f>IF(AND(BS$5&gt;=$C447,BS$5&lt;=$D447,$A447&lt;&gt;""),"●","")</x:f>
      </x:c>
      <x:c r="BT447" s="165" t="str">
        <x:f>IF(AND(BT$5&gt;=$C447,BT$5&lt;=$D447,$A447&lt;&gt;""),"●","")</x:f>
      </x:c>
      <x:c r="BU447" s="165" t="str">
        <x:f>IF(AND(BU$5&gt;=$C447,BU$5&lt;=$D447,$A447&lt;&gt;""),"●","")</x:f>
      </x:c>
      <x:c r="BV447" s="165" t="str">
        <x:f>IF(AND(BV$5&gt;=$C447,BV$5&lt;=$D447,$A447&lt;&gt;""),"●","")</x:f>
      </x:c>
      <x:c r="BW447" s="165" t="str">
        <x:f>IF(AND(BW$5&gt;=$C447,BW$5&lt;=$D447,$A447&lt;&gt;""),"●","")</x:f>
      </x:c>
    </x:row>
    <x:row r="448">
      <x:c r="A448" s="159" t="str">
        <x:f>IF('รายการสัญญา'!A448="","",'รายการสัญญา'!A448)</x:f>
      </x:c>
      <x:c r="B448" s="159" t="str">
        <x:f>IF('รายการสัญญา'!A448="","",'รายการสัญญา'!C448)</x:f>
      </x:c>
      <x:c r="C448" s="162" t="str">
        <x:f>IF('รายการสัญญา'!A448="","",'รายการสัญญา'!E448)</x:f>
      </x:c>
      <x:c r="D448" s="162" t="str">
        <x:f>IF('รายการสัญญา'!A448="","",'รายการสัญญา'!G448)</x:f>
      </x:c>
      <x:c r="E448" s="159" t="str">
        <x:f>IF('รายการสัญญา'!A448="","",'รายการสัญญา'!K448)</x:f>
      </x:c>
      <x:c r="F448" s="165" t="str">
        <x:f>IF(AND(F$5&gt;=$C448,F$5&lt;=$D448,$A448&lt;&gt;""),"●","")</x:f>
      </x:c>
      <x:c r="G448" s="165" t="str">
        <x:f>IF(AND(G$5&gt;=$C448,G$5&lt;=$D448,$A448&lt;&gt;""),"●","")</x:f>
      </x:c>
      <x:c r="H448" s="165" t="str">
        <x:f>IF(AND(H$5&gt;=$C448,H$5&lt;=$D448,$A448&lt;&gt;""),"●","")</x:f>
      </x:c>
      <x:c r="I448" s="165" t="str">
        <x:f>IF(AND(I$5&gt;=$C448,I$5&lt;=$D448,$A448&lt;&gt;""),"●","")</x:f>
      </x:c>
      <x:c r="J448" s="165" t="str">
        <x:f>IF(AND(J$5&gt;=$C448,J$5&lt;=$D448,$A448&lt;&gt;""),"●","")</x:f>
      </x:c>
      <x:c r="K448" s="165" t="str">
        <x:f>IF(AND(K$5&gt;=$C448,K$5&lt;=$D448,$A448&lt;&gt;""),"●","")</x:f>
      </x:c>
      <x:c r="L448" s="165" t="str">
        <x:f>IF(AND(L$5&gt;=$C448,L$5&lt;=$D448,$A448&lt;&gt;""),"●","")</x:f>
      </x:c>
      <x:c r="M448" s="165" t="str">
        <x:f>IF(AND(M$5&gt;=$C448,M$5&lt;=$D448,$A448&lt;&gt;""),"●","")</x:f>
      </x:c>
      <x:c r="N448" s="165" t="str">
        <x:f>IF(AND(N$5&gt;=$C448,N$5&lt;=$D448,$A448&lt;&gt;""),"●","")</x:f>
      </x:c>
      <x:c r="O448" s="165" t="str">
        <x:f>IF(AND(O$5&gt;=$C448,O$5&lt;=$D448,$A448&lt;&gt;""),"●","")</x:f>
      </x:c>
      <x:c r="P448" s="165" t="str">
        <x:f>IF(AND(P$5&gt;=$C448,P$5&lt;=$D448,$A448&lt;&gt;""),"●","")</x:f>
      </x:c>
      <x:c r="Q448" s="165" t="str">
        <x:f>IF(AND(Q$5&gt;=$C448,Q$5&lt;=$D448,$A448&lt;&gt;""),"●","")</x:f>
      </x:c>
      <x:c r="R448" s="165" t="str">
        <x:f>IF(AND(R$5&gt;=$C448,R$5&lt;=$D448,$A448&lt;&gt;""),"●","")</x:f>
      </x:c>
      <x:c r="S448" s="165" t="str">
        <x:f>IF(AND(S$5&gt;=$C448,S$5&lt;=$D448,$A448&lt;&gt;""),"●","")</x:f>
      </x:c>
      <x:c r="T448" s="165" t="str">
        <x:f>IF(AND(T$5&gt;=$C448,T$5&lt;=$D448,$A448&lt;&gt;""),"●","")</x:f>
      </x:c>
      <x:c r="U448" s="165" t="str">
        <x:f>IF(AND(U$5&gt;=$C448,U$5&lt;=$D448,$A448&lt;&gt;""),"●","")</x:f>
      </x:c>
      <x:c r="V448" s="165" t="str">
        <x:f>IF(AND(V$5&gt;=$C448,V$5&lt;=$D448,$A448&lt;&gt;""),"●","")</x:f>
      </x:c>
      <x:c r="W448" s="165" t="str">
        <x:f>IF(AND(W$5&gt;=$C448,W$5&lt;=$D448,$A448&lt;&gt;""),"●","")</x:f>
      </x:c>
      <x:c r="X448" s="165" t="str">
        <x:f>IF(AND(X$5&gt;=$C448,X$5&lt;=$D448,$A448&lt;&gt;""),"●","")</x:f>
      </x:c>
      <x:c r="Y448" s="165" t="str">
        <x:f>IF(AND(Y$5&gt;=$C448,Y$5&lt;=$D448,$A448&lt;&gt;""),"●","")</x:f>
      </x:c>
      <x:c r="Z448" s="165" t="str">
        <x:f>IF(AND(Z$5&gt;=$C448,Z$5&lt;=$D448,$A448&lt;&gt;""),"●","")</x:f>
      </x:c>
      <x:c r="AA448" s="165" t="str">
        <x:f>IF(AND(AA$5&gt;=$C448,AA$5&lt;=$D448,$A448&lt;&gt;""),"●","")</x:f>
      </x:c>
      <x:c r="AB448" s="165" t="str">
        <x:f>IF(AND(AB$5&gt;=$C448,AB$5&lt;=$D448,$A448&lt;&gt;""),"●","")</x:f>
      </x:c>
      <x:c r="AC448" s="165" t="str">
        <x:f>IF(AND(AC$5&gt;=$C448,AC$5&lt;=$D448,$A448&lt;&gt;""),"●","")</x:f>
      </x:c>
      <x:c r="AD448" s="165" t="str">
        <x:f>IF(AND(AD$5&gt;=$C448,AD$5&lt;=$D448,$A448&lt;&gt;""),"●","")</x:f>
      </x:c>
      <x:c r="AE448" s="165" t="str">
        <x:f>IF(AND(AE$5&gt;=$C448,AE$5&lt;=$D448,$A448&lt;&gt;""),"●","")</x:f>
      </x:c>
      <x:c r="AF448" s="165" t="str">
        <x:f>IF(AND(AF$5&gt;=$C448,AF$5&lt;=$D448,$A448&lt;&gt;""),"●","")</x:f>
      </x:c>
      <x:c r="AG448" s="165" t="str">
        <x:f>IF(AND(AG$5&gt;=$C448,AG$5&lt;=$D448,$A448&lt;&gt;""),"●","")</x:f>
      </x:c>
      <x:c r="AH448" s="165" t="str">
        <x:f>IF(AND(AH$5&gt;=$C448,AH$5&lt;=$D448,$A448&lt;&gt;""),"●","")</x:f>
      </x:c>
      <x:c r="AI448" s="165" t="str">
        <x:f>IF(AND(AI$5&gt;=$C448,AI$5&lt;=$D448,$A448&lt;&gt;""),"●","")</x:f>
      </x:c>
      <x:c r="AJ448" s="165" t="str">
        <x:f>IF(AND(AJ$5&gt;=$C448,AJ$5&lt;=$D448,$A448&lt;&gt;""),"●","")</x:f>
      </x:c>
      <x:c r="AK448" s="165" t="str">
        <x:f>IF(AND(AK$5&gt;=$C448,AK$5&lt;=$D448,$A448&lt;&gt;""),"●","")</x:f>
      </x:c>
      <x:c r="AL448" s="165" t="str">
        <x:f>IF(AND(AL$5&gt;=$C448,AL$5&lt;=$D448,$A448&lt;&gt;""),"●","")</x:f>
      </x:c>
      <x:c r="AM448" s="165" t="str">
        <x:f>IF(AND(AM$5&gt;=$C448,AM$5&lt;=$D448,$A448&lt;&gt;""),"●","")</x:f>
      </x:c>
      <x:c r="AN448" s="165" t="str">
        <x:f>IF(AND(AN$5&gt;=$C448,AN$5&lt;=$D448,$A448&lt;&gt;""),"●","")</x:f>
      </x:c>
      <x:c r="AO448" s="165" t="str">
        <x:f>IF(AND(AO$5&gt;=$C448,AO$5&lt;=$D448,$A448&lt;&gt;""),"●","")</x:f>
      </x:c>
      <x:c r="AP448" s="165" t="str">
        <x:f>IF(AND(AP$5&gt;=$C448,AP$5&lt;=$D448,$A448&lt;&gt;""),"●","")</x:f>
      </x:c>
      <x:c r="AQ448" s="165" t="str">
        <x:f>IF(AND(AQ$5&gt;=$C448,AQ$5&lt;=$D448,$A448&lt;&gt;""),"●","")</x:f>
      </x:c>
      <x:c r="AR448" s="165" t="str">
        <x:f>IF(AND(AR$5&gt;=$C448,AR$5&lt;=$D448,$A448&lt;&gt;""),"●","")</x:f>
      </x:c>
      <x:c r="AS448" s="165" t="str">
        <x:f>IF(AND(AS$5&gt;=$C448,AS$5&lt;=$D448,$A448&lt;&gt;""),"●","")</x:f>
      </x:c>
      <x:c r="AT448" s="165" t="str">
        <x:f>IF(AND(AT$5&gt;=$C448,AT$5&lt;=$D448,$A448&lt;&gt;""),"●","")</x:f>
      </x:c>
      <x:c r="AU448" s="165" t="str">
        <x:f>IF(AND(AU$5&gt;=$C448,AU$5&lt;=$D448,$A448&lt;&gt;""),"●","")</x:f>
      </x:c>
      <x:c r="AV448" s="165" t="str">
        <x:f>IF(AND(AV$5&gt;=$C448,AV$5&lt;=$D448,$A448&lt;&gt;""),"●","")</x:f>
      </x:c>
      <x:c r="AW448" s="165" t="str">
        <x:f>IF(AND(AW$5&gt;=$C448,AW$5&lt;=$D448,$A448&lt;&gt;""),"●","")</x:f>
      </x:c>
      <x:c r="AX448" s="165" t="str">
        <x:f>IF(AND(AX$5&gt;=$C448,AX$5&lt;=$D448,$A448&lt;&gt;""),"●","")</x:f>
      </x:c>
      <x:c r="AY448" s="165" t="str">
        <x:f>IF(AND(AY$5&gt;=$C448,AY$5&lt;=$D448,$A448&lt;&gt;""),"●","")</x:f>
      </x:c>
      <x:c r="AZ448" s="165" t="str">
        <x:f>IF(AND(AZ$5&gt;=$C448,AZ$5&lt;=$D448,$A448&lt;&gt;""),"●","")</x:f>
      </x:c>
      <x:c r="BA448" s="165" t="str">
        <x:f>IF(AND(BA$5&gt;=$C448,BA$5&lt;=$D448,$A448&lt;&gt;""),"●","")</x:f>
      </x:c>
      <x:c r="BB448" s="165" t="str">
        <x:f>IF(AND(BB$5&gt;=$C448,BB$5&lt;=$D448,$A448&lt;&gt;""),"●","")</x:f>
      </x:c>
      <x:c r="BC448" s="165" t="str">
        <x:f>IF(AND(BC$5&gt;=$C448,BC$5&lt;=$D448,$A448&lt;&gt;""),"●","")</x:f>
      </x:c>
      <x:c r="BD448" s="165" t="str">
        <x:f>IF(AND(BD$5&gt;=$C448,BD$5&lt;=$D448,$A448&lt;&gt;""),"●","")</x:f>
      </x:c>
      <x:c r="BE448" s="165" t="str">
        <x:f>IF(AND(BE$5&gt;=$C448,BE$5&lt;=$D448,$A448&lt;&gt;""),"●","")</x:f>
      </x:c>
      <x:c r="BF448" s="165" t="str">
        <x:f>IF(AND(BF$5&gt;=$C448,BF$5&lt;=$D448,$A448&lt;&gt;""),"●","")</x:f>
      </x:c>
      <x:c r="BG448" s="165" t="str">
        <x:f>IF(AND(BG$5&gt;=$C448,BG$5&lt;=$D448,$A448&lt;&gt;""),"●","")</x:f>
      </x:c>
      <x:c r="BH448" s="165" t="str">
        <x:f>IF(AND(BH$5&gt;=$C448,BH$5&lt;=$D448,$A448&lt;&gt;""),"●","")</x:f>
      </x:c>
      <x:c r="BI448" s="165" t="str">
        <x:f>IF(AND(BI$5&gt;=$C448,BI$5&lt;=$D448,$A448&lt;&gt;""),"●","")</x:f>
      </x:c>
      <x:c r="BJ448" s="165" t="str">
        <x:f>IF(AND(BJ$5&gt;=$C448,BJ$5&lt;=$D448,$A448&lt;&gt;""),"●","")</x:f>
      </x:c>
      <x:c r="BK448" s="165" t="str">
        <x:f>IF(AND(BK$5&gt;=$C448,BK$5&lt;=$D448,$A448&lt;&gt;""),"●","")</x:f>
      </x:c>
      <x:c r="BL448" s="165" t="str">
        <x:f>IF(AND(BL$5&gt;=$C448,BL$5&lt;=$D448,$A448&lt;&gt;""),"●","")</x:f>
      </x:c>
      <x:c r="BM448" s="165" t="str">
        <x:f>IF(AND(BM$5&gt;=$C448,BM$5&lt;=$D448,$A448&lt;&gt;""),"●","")</x:f>
      </x:c>
      <x:c r="BN448" s="165" t="str">
        <x:f>IF(AND(BN$5&gt;=$C448,BN$5&lt;=$D448,$A448&lt;&gt;""),"●","")</x:f>
      </x:c>
      <x:c r="BO448" s="165" t="str">
        <x:f>IF(AND(BO$5&gt;=$C448,BO$5&lt;=$D448,$A448&lt;&gt;""),"●","")</x:f>
      </x:c>
      <x:c r="BP448" s="165" t="str">
        <x:f>IF(AND(BP$5&gt;=$C448,BP$5&lt;=$D448,$A448&lt;&gt;""),"●","")</x:f>
      </x:c>
      <x:c r="BQ448" s="165" t="str">
        <x:f>IF(AND(BQ$5&gt;=$C448,BQ$5&lt;=$D448,$A448&lt;&gt;""),"●","")</x:f>
      </x:c>
      <x:c r="BR448" s="165" t="str">
        <x:f>IF(AND(BR$5&gt;=$C448,BR$5&lt;=$D448,$A448&lt;&gt;""),"●","")</x:f>
      </x:c>
      <x:c r="BS448" s="165" t="str">
        <x:f>IF(AND(BS$5&gt;=$C448,BS$5&lt;=$D448,$A448&lt;&gt;""),"●","")</x:f>
      </x:c>
      <x:c r="BT448" s="165" t="str">
        <x:f>IF(AND(BT$5&gt;=$C448,BT$5&lt;=$D448,$A448&lt;&gt;""),"●","")</x:f>
      </x:c>
      <x:c r="BU448" s="165" t="str">
        <x:f>IF(AND(BU$5&gt;=$C448,BU$5&lt;=$D448,$A448&lt;&gt;""),"●","")</x:f>
      </x:c>
      <x:c r="BV448" s="165" t="str">
        <x:f>IF(AND(BV$5&gt;=$C448,BV$5&lt;=$D448,$A448&lt;&gt;""),"●","")</x:f>
      </x:c>
      <x:c r="BW448" s="165" t="str">
        <x:f>IF(AND(BW$5&gt;=$C448,BW$5&lt;=$D448,$A448&lt;&gt;""),"●","")</x:f>
      </x:c>
    </x:row>
    <x:row r="449">
      <x:c r="A449" s="159" t="str">
        <x:f>IF('รายการสัญญา'!A449="","",'รายการสัญญา'!A449)</x:f>
      </x:c>
      <x:c r="B449" s="159" t="str">
        <x:f>IF('รายการสัญญา'!A449="","",'รายการสัญญา'!C449)</x:f>
      </x:c>
      <x:c r="C449" s="162" t="str">
        <x:f>IF('รายการสัญญา'!A449="","",'รายการสัญญา'!E449)</x:f>
      </x:c>
      <x:c r="D449" s="162" t="str">
        <x:f>IF('รายการสัญญา'!A449="","",'รายการสัญญา'!G449)</x:f>
      </x:c>
      <x:c r="E449" s="159" t="str">
        <x:f>IF('รายการสัญญา'!A449="","",'รายการสัญญา'!K449)</x:f>
      </x:c>
      <x:c r="F449" s="165" t="str">
        <x:f>IF(AND(F$5&gt;=$C449,F$5&lt;=$D449,$A449&lt;&gt;""),"●","")</x:f>
      </x:c>
      <x:c r="G449" s="165" t="str">
        <x:f>IF(AND(G$5&gt;=$C449,G$5&lt;=$D449,$A449&lt;&gt;""),"●","")</x:f>
      </x:c>
      <x:c r="H449" s="165" t="str">
        <x:f>IF(AND(H$5&gt;=$C449,H$5&lt;=$D449,$A449&lt;&gt;""),"●","")</x:f>
      </x:c>
      <x:c r="I449" s="165" t="str">
        <x:f>IF(AND(I$5&gt;=$C449,I$5&lt;=$D449,$A449&lt;&gt;""),"●","")</x:f>
      </x:c>
      <x:c r="J449" s="165" t="str">
        <x:f>IF(AND(J$5&gt;=$C449,J$5&lt;=$D449,$A449&lt;&gt;""),"●","")</x:f>
      </x:c>
      <x:c r="K449" s="165" t="str">
        <x:f>IF(AND(K$5&gt;=$C449,K$5&lt;=$D449,$A449&lt;&gt;""),"●","")</x:f>
      </x:c>
      <x:c r="L449" s="165" t="str">
        <x:f>IF(AND(L$5&gt;=$C449,L$5&lt;=$D449,$A449&lt;&gt;""),"●","")</x:f>
      </x:c>
      <x:c r="M449" s="165" t="str">
        <x:f>IF(AND(M$5&gt;=$C449,M$5&lt;=$D449,$A449&lt;&gt;""),"●","")</x:f>
      </x:c>
      <x:c r="N449" s="165" t="str">
        <x:f>IF(AND(N$5&gt;=$C449,N$5&lt;=$D449,$A449&lt;&gt;""),"●","")</x:f>
      </x:c>
      <x:c r="O449" s="165" t="str">
        <x:f>IF(AND(O$5&gt;=$C449,O$5&lt;=$D449,$A449&lt;&gt;""),"●","")</x:f>
      </x:c>
      <x:c r="P449" s="165" t="str">
        <x:f>IF(AND(P$5&gt;=$C449,P$5&lt;=$D449,$A449&lt;&gt;""),"●","")</x:f>
      </x:c>
      <x:c r="Q449" s="165" t="str">
        <x:f>IF(AND(Q$5&gt;=$C449,Q$5&lt;=$D449,$A449&lt;&gt;""),"●","")</x:f>
      </x:c>
      <x:c r="R449" s="165" t="str">
        <x:f>IF(AND(R$5&gt;=$C449,R$5&lt;=$D449,$A449&lt;&gt;""),"●","")</x:f>
      </x:c>
      <x:c r="S449" s="165" t="str">
        <x:f>IF(AND(S$5&gt;=$C449,S$5&lt;=$D449,$A449&lt;&gt;""),"●","")</x:f>
      </x:c>
      <x:c r="T449" s="165" t="str">
        <x:f>IF(AND(T$5&gt;=$C449,T$5&lt;=$D449,$A449&lt;&gt;""),"●","")</x:f>
      </x:c>
      <x:c r="U449" s="165" t="str">
        <x:f>IF(AND(U$5&gt;=$C449,U$5&lt;=$D449,$A449&lt;&gt;""),"●","")</x:f>
      </x:c>
      <x:c r="V449" s="165" t="str">
        <x:f>IF(AND(V$5&gt;=$C449,V$5&lt;=$D449,$A449&lt;&gt;""),"●","")</x:f>
      </x:c>
      <x:c r="W449" s="165" t="str">
        <x:f>IF(AND(W$5&gt;=$C449,W$5&lt;=$D449,$A449&lt;&gt;""),"●","")</x:f>
      </x:c>
      <x:c r="X449" s="165" t="str">
        <x:f>IF(AND(X$5&gt;=$C449,X$5&lt;=$D449,$A449&lt;&gt;""),"●","")</x:f>
      </x:c>
      <x:c r="Y449" s="165" t="str">
        <x:f>IF(AND(Y$5&gt;=$C449,Y$5&lt;=$D449,$A449&lt;&gt;""),"●","")</x:f>
      </x:c>
      <x:c r="Z449" s="165" t="str">
        <x:f>IF(AND(Z$5&gt;=$C449,Z$5&lt;=$D449,$A449&lt;&gt;""),"●","")</x:f>
      </x:c>
      <x:c r="AA449" s="165" t="str">
        <x:f>IF(AND(AA$5&gt;=$C449,AA$5&lt;=$D449,$A449&lt;&gt;""),"●","")</x:f>
      </x:c>
      <x:c r="AB449" s="165" t="str">
        <x:f>IF(AND(AB$5&gt;=$C449,AB$5&lt;=$D449,$A449&lt;&gt;""),"●","")</x:f>
      </x:c>
      <x:c r="AC449" s="165" t="str">
        <x:f>IF(AND(AC$5&gt;=$C449,AC$5&lt;=$D449,$A449&lt;&gt;""),"●","")</x:f>
      </x:c>
      <x:c r="AD449" s="165" t="str">
        <x:f>IF(AND(AD$5&gt;=$C449,AD$5&lt;=$D449,$A449&lt;&gt;""),"●","")</x:f>
      </x:c>
      <x:c r="AE449" s="165" t="str">
        <x:f>IF(AND(AE$5&gt;=$C449,AE$5&lt;=$D449,$A449&lt;&gt;""),"●","")</x:f>
      </x:c>
      <x:c r="AF449" s="165" t="str">
        <x:f>IF(AND(AF$5&gt;=$C449,AF$5&lt;=$D449,$A449&lt;&gt;""),"●","")</x:f>
      </x:c>
      <x:c r="AG449" s="165" t="str">
        <x:f>IF(AND(AG$5&gt;=$C449,AG$5&lt;=$D449,$A449&lt;&gt;""),"●","")</x:f>
      </x:c>
      <x:c r="AH449" s="165" t="str">
        <x:f>IF(AND(AH$5&gt;=$C449,AH$5&lt;=$D449,$A449&lt;&gt;""),"●","")</x:f>
      </x:c>
      <x:c r="AI449" s="165" t="str">
        <x:f>IF(AND(AI$5&gt;=$C449,AI$5&lt;=$D449,$A449&lt;&gt;""),"●","")</x:f>
      </x:c>
      <x:c r="AJ449" s="165" t="str">
        <x:f>IF(AND(AJ$5&gt;=$C449,AJ$5&lt;=$D449,$A449&lt;&gt;""),"●","")</x:f>
      </x:c>
      <x:c r="AK449" s="165" t="str">
        <x:f>IF(AND(AK$5&gt;=$C449,AK$5&lt;=$D449,$A449&lt;&gt;""),"●","")</x:f>
      </x:c>
      <x:c r="AL449" s="165" t="str">
        <x:f>IF(AND(AL$5&gt;=$C449,AL$5&lt;=$D449,$A449&lt;&gt;""),"●","")</x:f>
      </x:c>
      <x:c r="AM449" s="165" t="str">
        <x:f>IF(AND(AM$5&gt;=$C449,AM$5&lt;=$D449,$A449&lt;&gt;""),"●","")</x:f>
      </x:c>
      <x:c r="AN449" s="165" t="str">
        <x:f>IF(AND(AN$5&gt;=$C449,AN$5&lt;=$D449,$A449&lt;&gt;""),"●","")</x:f>
      </x:c>
      <x:c r="AO449" s="165" t="str">
        <x:f>IF(AND(AO$5&gt;=$C449,AO$5&lt;=$D449,$A449&lt;&gt;""),"●","")</x:f>
      </x:c>
      <x:c r="AP449" s="165" t="str">
        <x:f>IF(AND(AP$5&gt;=$C449,AP$5&lt;=$D449,$A449&lt;&gt;""),"●","")</x:f>
      </x:c>
      <x:c r="AQ449" s="165" t="str">
        <x:f>IF(AND(AQ$5&gt;=$C449,AQ$5&lt;=$D449,$A449&lt;&gt;""),"●","")</x:f>
      </x:c>
      <x:c r="AR449" s="165" t="str">
        <x:f>IF(AND(AR$5&gt;=$C449,AR$5&lt;=$D449,$A449&lt;&gt;""),"●","")</x:f>
      </x:c>
      <x:c r="AS449" s="165" t="str">
        <x:f>IF(AND(AS$5&gt;=$C449,AS$5&lt;=$D449,$A449&lt;&gt;""),"●","")</x:f>
      </x:c>
      <x:c r="AT449" s="165" t="str">
        <x:f>IF(AND(AT$5&gt;=$C449,AT$5&lt;=$D449,$A449&lt;&gt;""),"●","")</x:f>
      </x:c>
      <x:c r="AU449" s="165" t="str">
        <x:f>IF(AND(AU$5&gt;=$C449,AU$5&lt;=$D449,$A449&lt;&gt;""),"●","")</x:f>
      </x:c>
      <x:c r="AV449" s="165" t="str">
        <x:f>IF(AND(AV$5&gt;=$C449,AV$5&lt;=$D449,$A449&lt;&gt;""),"●","")</x:f>
      </x:c>
      <x:c r="AW449" s="165" t="str">
        <x:f>IF(AND(AW$5&gt;=$C449,AW$5&lt;=$D449,$A449&lt;&gt;""),"●","")</x:f>
      </x:c>
      <x:c r="AX449" s="165" t="str">
        <x:f>IF(AND(AX$5&gt;=$C449,AX$5&lt;=$D449,$A449&lt;&gt;""),"●","")</x:f>
      </x:c>
      <x:c r="AY449" s="165" t="str">
        <x:f>IF(AND(AY$5&gt;=$C449,AY$5&lt;=$D449,$A449&lt;&gt;""),"●","")</x:f>
      </x:c>
      <x:c r="AZ449" s="165" t="str">
        <x:f>IF(AND(AZ$5&gt;=$C449,AZ$5&lt;=$D449,$A449&lt;&gt;""),"●","")</x:f>
      </x:c>
      <x:c r="BA449" s="165" t="str">
        <x:f>IF(AND(BA$5&gt;=$C449,BA$5&lt;=$D449,$A449&lt;&gt;""),"●","")</x:f>
      </x:c>
      <x:c r="BB449" s="165" t="str">
        <x:f>IF(AND(BB$5&gt;=$C449,BB$5&lt;=$D449,$A449&lt;&gt;""),"●","")</x:f>
      </x:c>
      <x:c r="BC449" s="165" t="str">
        <x:f>IF(AND(BC$5&gt;=$C449,BC$5&lt;=$D449,$A449&lt;&gt;""),"●","")</x:f>
      </x:c>
      <x:c r="BD449" s="165" t="str">
        <x:f>IF(AND(BD$5&gt;=$C449,BD$5&lt;=$D449,$A449&lt;&gt;""),"●","")</x:f>
      </x:c>
      <x:c r="BE449" s="165" t="str">
        <x:f>IF(AND(BE$5&gt;=$C449,BE$5&lt;=$D449,$A449&lt;&gt;""),"●","")</x:f>
      </x:c>
      <x:c r="BF449" s="165" t="str">
        <x:f>IF(AND(BF$5&gt;=$C449,BF$5&lt;=$D449,$A449&lt;&gt;""),"●","")</x:f>
      </x:c>
      <x:c r="BG449" s="165" t="str">
        <x:f>IF(AND(BG$5&gt;=$C449,BG$5&lt;=$D449,$A449&lt;&gt;""),"●","")</x:f>
      </x:c>
      <x:c r="BH449" s="165" t="str">
        <x:f>IF(AND(BH$5&gt;=$C449,BH$5&lt;=$D449,$A449&lt;&gt;""),"●","")</x:f>
      </x:c>
      <x:c r="BI449" s="165" t="str">
        <x:f>IF(AND(BI$5&gt;=$C449,BI$5&lt;=$D449,$A449&lt;&gt;""),"●","")</x:f>
      </x:c>
      <x:c r="BJ449" s="165" t="str">
        <x:f>IF(AND(BJ$5&gt;=$C449,BJ$5&lt;=$D449,$A449&lt;&gt;""),"●","")</x:f>
      </x:c>
      <x:c r="BK449" s="165" t="str">
        <x:f>IF(AND(BK$5&gt;=$C449,BK$5&lt;=$D449,$A449&lt;&gt;""),"●","")</x:f>
      </x:c>
      <x:c r="BL449" s="165" t="str">
        <x:f>IF(AND(BL$5&gt;=$C449,BL$5&lt;=$D449,$A449&lt;&gt;""),"●","")</x:f>
      </x:c>
      <x:c r="BM449" s="165" t="str">
        <x:f>IF(AND(BM$5&gt;=$C449,BM$5&lt;=$D449,$A449&lt;&gt;""),"●","")</x:f>
      </x:c>
      <x:c r="BN449" s="165" t="str">
        <x:f>IF(AND(BN$5&gt;=$C449,BN$5&lt;=$D449,$A449&lt;&gt;""),"●","")</x:f>
      </x:c>
      <x:c r="BO449" s="165" t="str">
        <x:f>IF(AND(BO$5&gt;=$C449,BO$5&lt;=$D449,$A449&lt;&gt;""),"●","")</x:f>
      </x:c>
      <x:c r="BP449" s="165" t="str">
        <x:f>IF(AND(BP$5&gt;=$C449,BP$5&lt;=$D449,$A449&lt;&gt;""),"●","")</x:f>
      </x:c>
      <x:c r="BQ449" s="165" t="str">
        <x:f>IF(AND(BQ$5&gt;=$C449,BQ$5&lt;=$D449,$A449&lt;&gt;""),"●","")</x:f>
      </x:c>
      <x:c r="BR449" s="165" t="str">
        <x:f>IF(AND(BR$5&gt;=$C449,BR$5&lt;=$D449,$A449&lt;&gt;""),"●","")</x:f>
      </x:c>
      <x:c r="BS449" s="165" t="str">
        <x:f>IF(AND(BS$5&gt;=$C449,BS$5&lt;=$D449,$A449&lt;&gt;""),"●","")</x:f>
      </x:c>
      <x:c r="BT449" s="165" t="str">
        <x:f>IF(AND(BT$5&gt;=$C449,BT$5&lt;=$D449,$A449&lt;&gt;""),"●","")</x:f>
      </x:c>
      <x:c r="BU449" s="165" t="str">
        <x:f>IF(AND(BU$5&gt;=$C449,BU$5&lt;=$D449,$A449&lt;&gt;""),"●","")</x:f>
      </x:c>
      <x:c r="BV449" s="165" t="str">
        <x:f>IF(AND(BV$5&gt;=$C449,BV$5&lt;=$D449,$A449&lt;&gt;""),"●","")</x:f>
      </x:c>
      <x:c r="BW449" s="165" t="str">
        <x:f>IF(AND(BW$5&gt;=$C449,BW$5&lt;=$D449,$A449&lt;&gt;""),"●","")</x:f>
      </x:c>
    </x:row>
    <x:row r="450">
      <x:c r="A450" s="159" t="str">
        <x:f>IF('รายการสัญญา'!A450="","",'รายการสัญญา'!A450)</x:f>
      </x:c>
      <x:c r="B450" s="159" t="str">
        <x:f>IF('รายการสัญญา'!A450="","",'รายการสัญญา'!C450)</x:f>
      </x:c>
      <x:c r="C450" s="162" t="str">
        <x:f>IF('รายการสัญญา'!A450="","",'รายการสัญญา'!E450)</x:f>
      </x:c>
      <x:c r="D450" s="162" t="str">
        <x:f>IF('รายการสัญญา'!A450="","",'รายการสัญญา'!G450)</x:f>
      </x:c>
      <x:c r="E450" s="159" t="str">
        <x:f>IF('รายการสัญญา'!A450="","",'รายการสัญญา'!K450)</x:f>
      </x:c>
      <x:c r="F450" s="165" t="str">
        <x:f>IF(AND(F$5&gt;=$C450,F$5&lt;=$D450,$A450&lt;&gt;""),"●","")</x:f>
      </x:c>
      <x:c r="G450" s="165" t="str">
        <x:f>IF(AND(G$5&gt;=$C450,G$5&lt;=$D450,$A450&lt;&gt;""),"●","")</x:f>
      </x:c>
      <x:c r="H450" s="165" t="str">
        <x:f>IF(AND(H$5&gt;=$C450,H$5&lt;=$D450,$A450&lt;&gt;""),"●","")</x:f>
      </x:c>
      <x:c r="I450" s="165" t="str">
        <x:f>IF(AND(I$5&gt;=$C450,I$5&lt;=$D450,$A450&lt;&gt;""),"●","")</x:f>
      </x:c>
      <x:c r="J450" s="165" t="str">
        <x:f>IF(AND(J$5&gt;=$C450,J$5&lt;=$D450,$A450&lt;&gt;""),"●","")</x:f>
      </x:c>
      <x:c r="K450" s="165" t="str">
        <x:f>IF(AND(K$5&gt;=$C450,K$5&lt;=$D450,$A450&lt;&gt;""),"●","")</x:f>
      </x:c>
      <x:c r="L450" s="165" t="str">
        <x:f>IF(AND(L$5&gt;=$C450,L$5&lt;=$D450,$A450&lt;&gt;""),"●","")</x:f>
      </x:c>
      <x:c r="M450" s="165" t="str">
        <x:f>IF(AND(M$5&gt;=$C450,M$5&lt;=$D450,$A450&lt;&gt;""),"●","")</x:f>
      </x:c>
      <x:c r="N450" s="165" t="str">
        <x:f>IF(AND(N$5&gt;=$C450,N$5&lt;=$D450,$A450&lt;&gt;""),"●","")</x:f>
      </x:c>
      <x:c r="O450" s="165" t="str">
        <x:f>IF(AND(O$5&gt;=$C450,O$5&lt;=$D450,$A450&lt;&gt;""),"●","")</x:f>
      </x:c>
      <x:c r="P450" s="165" t="str">
        <x:f>IF(AND(P$5&gt;=$C450,P$5&lt;=$D450,$A450&lt;&gt;""),"●","")</x:f>
      </x:c>
      <x:c r="Q450" s="165" t="str">
        <x:f>IF(AND(Q$5&gt;=$C450,Q$5&lt;=$D450,$A450&lt;&gt;""),"●","")</x:f>
      </x:c>
      <x:c r="R450" s="165" t="str">
        <x:f>IF(AND(R$5&gt;=$C450,R$5&lt;=$D450,$A450&lt;&gt;""),"●","")</x:f>
      </x:c>
      <x:c r="S450" s="165" t="str">
        <x:f>IF(AND(S$5&gt;=$C450,S$5&lt;=$D450,$A450&lt;&gt;""),"●","")</x:f>
      </x:c>
      <x:c r="T450" s="165" t="str">
        <x:f>IF(AND(T$5&gt;=$C450,T$5&lt;=$D450,$A450&lt;&gt;""),"●","")</x:f>
      </x:c>
      <x:c r="U450" s="165" t="str">
        <x:f>IF(AND(U$5&gt;=$C450,U$5&lt;=$D450,$A450&lt;&gt;""),"●","")</x:f>
      </x:c>
      <x:c r="V450" s="165" t="str">
        <x:f>IF(AND(V$5&gt;=$C450,V$5&lt;=$D450,$A450&lt;&gt;""),"●","")</x:f>
      </x:c>
      <x:c r="W450" s="165" t="str">
        <x:f>IF(AND(W$5&gt;=$C450,W$5&lt;=$D450,$A450&lt;&gt;""),"●","")</x:f>
      </x:c>
      <x:c r="X450" s="165" t="str">
        <x:f>IF(AND(X$5&gt;=$C450,X$5&lt;=$D450,$A450&lt;&gt;""),"●","")</x:f>
      </x:c>
      <x:c r="Y450" s="165" t="str">
        <x:f>IF(AND(Y$5&gt;=$C450,Y$5&lt;=$D450,$A450&lt;&gt;""),"●","")</x:f>
      </x:c>
      <x:c r="Z450" s="165" t="str">
        <x:f>IF(AND(Z$5&gt;=$C450,Z$5&lt;=$D450,$A450&lt;&gt;""),"●","")</x:f>
      </x:c>
      <x:c r="AA450" s="165" t="str">
        <x:f>IF(AND(AA$5&gt;=$C450,AA$5&lt;=$D450,$A450&lt;&gt;""),"●","")</x:f>
      </x:c>
      <x:c r="AB450" s="165" t="str">
        <x:f>IF(AND(AB$5&gt;=$C450,AB$5&lt;=$D450,$A450&lt;&gt;""),"●","")</x:f>
      </x:c>
      <x:c r="AC450" s="165" t="str">
        <x:f>IF(AND(AC$5&gt;=$C450,AC$5&lt;=$D450,$A450&lt;&gt;""),"●","")</x:f>
      </x:c>
      <x:c r="AD450" s="165" t="str">
        <x:f>IF(AND(AD$5&gt;=$C450,AD$5&lt;=$D450,$A450&lt;&gt;""),"●","")</x:f>
      </x:c>
      <x:c r="AE450" s="165" t="str">
        <x:f>IF(AND(AE$5&gt;=$C450,AE$5&lt;=$D450,$A450&lt;&gt;""),"●","")</x:f>
      </x:c>
      <x:c r="AF450" s="165" t="str">
        <x:f>IF(AND(AF$5&gt;=$C450,AF$5&lt;=$D450,$A450&lt;&gt;""),"●","")</x:f>
      </x:c>
      <x:c r="AG450" s="165" t="str">
        <x:f>IF(AND(AG$5&gt;=$C450,AG$5&lt;=$D450,$A450&lt;&gt;""),"●","")</x:f>
      </x:c>
      <x:c r="AH450" s="165" t="str">
        <x:f>IF(AND(AH$5&gt;=$C450,AH$5&lt;=$D450,$A450&lt;&gt;""),"●","")</x:f>
      </x:c>
      <x:c r="AI450" s="165" t="str">
        <x:f>IF(AND(AI$5&gt;=$C450,AI$5&lt;=$D450,$A450&lt;&gt;""),"●","")</x:f>
      </x:c>
      <x:c r="AJ450" s="165" t="str">
        <x:f>IF(AND(AJ$5&gt;=$C450,AJ$5&lt;=$D450,$A450&lt;&gt;""),"●","")</x:f>
      </x:c>
      <x:c r="AK450" s="165" t="str">
        <x:f>IF(AND(AK$5&gt;=$C450,AK$5&lt;=$D450,$A450&lt;&gt;""),"●","")</x:f>
      </x:c>
      <x:c r="AL450" s="165" t="str">
        <x:f>IF(AND(AL$5&gt;=$C450,AL$5&lt;=$D450,$A450&lt;&gt;""),"●","")</x:f>
      </x:c>
      <x:c r="AM450" s="165" t="str">
        <x:f>IF(AND(AM$5&gt;=$C450,AM$5&lt;=$D450,$A450&lt;&gt;""),"●","")</x:f>
      </x:c>
      <x:c r="AN450" s="165" t="str">
        <x:f>IF(AND(AN$5&gt;=$C450,AN$5&lt;=$D450,$A450&lt;&gt;""),"●","")</x:f>
      </x:c>
      <x:c r="AO450" s="165" t="str">
        <x:f>IF(AND(AO$5&gt;=$C450,AO$5&lt;=$D450,$A450&lt;&gt;""),"●","")</x:f>
      </x:c>
      <x:c r="AP450" s="165" t="str">
        <x:f>IF(AND(AP$5&gt;=$C450,AP$5&lt;=$D450,$A450&lt;&gt;""),"●","")</x:f>
      </x:c>
      <x:c r="AQ450" s="165" t="str">
        <x:f>IF(AND(AQ$5&gt;=$C450,AQ$5&lt;=$D450,$A450&lt;&gt;""),"●","")</x:f>
      </x:c>
      <x:c r="AR450" s="165" t="str">
        <x:f>IF(AND(AR$5&gt;=$C450,AR$5&lt;=$D450,$A450&lt;&gt;""),"●","")</x:f>
      </x:c>
      <x:c r="AS450" s="165" t="str">
        <x:f>IF(AND(AS$5&gt;=$C450,AS$5&lt;=$D450,$A450&lt;&gt;""),"●","")</x:f>
      </x:c>
      <x:c r="AT450" s="165" t="str">
        <x:f>IF(AND(AT$5&gt;=$C450,AT$5&lt;=$D450,$A450&lt;&gt;""),"●","")</x:f>
      </x:c>
      <x:c r="AU450" s="165" t="str">
        <x:f>IF(AND(AU$5&gt;=$C450,AU$5&lt;=$D450,$A450&lt;&gt;""),"●","")</x:f>
      </x:c>
      <x:c r="AV450" s="165" t="str">
        <x:f>IF(AND(AV$5&gt;=$C450,AV$5&lt;=$D450,$A450&lt;&gt;""),"●","")</x:f>
      </x:c>
      <x:c r="AW450" s="165" t="str">
        <x:f>IF(AND(AW$5&gt;=$C450,AW$5&lt;=$D450,$A450&lt;&gt;""),"●","")</x:f>
      </x:c>
      <x:c r="AX450" s="165" t="str">
        <x:f>IF(AND(AX$5&gt;=$C450,AX$5&lt;=$D450,$A450&lt;&gt;""),"●","")</x:f>
      </x:c>
      <x:c r="AY450" s="165" t="str">
        <x:f>IF(AND(AY$5&gt;=$C450,AY$5&lt;=$D450,$A450&lt;&gt;""),"●","")</x:f>
      </x:c>
      <x:c r="AZ450" s="165" t="str">
        <x:f>IF(AND(AZ$5&gt;=$C450,AZ$5&lt;=$D450,$A450&lt;&gt;""),"●","")</x:f>
      </x:c>
      <x:c r="BA450" s="165" t="str">
        <x:f>IF(AND(BA$5&gt;=$C450,BA$5&lt;=$D450,$A450&lt;&gt;""),"●","")</x:f>
      </x:c>
      <x:c r="BB450" s="165" t="str">
        <x:f>IF(AND(BB$5&gt;=$C450,BB$5&lt;=$D450,$A450&lt;&gt;""),"●","")</x:f>
      </x:c>
      <x:c r="BC450" s="165" t="str">
        <x:f>IF(AND(BC$5&gt;=$C450,BC$5&lt;=$D450,$A450&lt;&gt;""),"●","")</x:f>
      </x:c>
      <x:c r="BD450" s="165" t="str">
        <x:f>IF(AND(BD$5&gt;=$C450,BD$5&lt;=$D450,$A450&lt;&gt;""),"●","")</x:f>
      </x:c>
      <x:c r="BE450" s="165" t="str">
        <x:f>IF(AND(BE$5&gt;=$C450,BE$5&lt;=$D450,$A450&lt;&gt;""),"●","")</x:f>
      </x:c>
      <x:c r="BF450" s="165" t="str">
        <x:f>IF(AND(BF$5&gt;=$C450,BF$5&lt;=$D450,$A450&lt;&gt;""),"●","")</x:f>
      </x:c>
      <x:c r="BG450" s="165" t="str">
        <x:f>IF(AND(BG$5&gt;=$C450,BG$5&lt;=$D450,$A450&lt;&gt;""),"●","")</x:f>
      </x:c>
      <x:c r="BH450" s="165" t="str">
        <x:f>IF(AND(BH$5&gt;=$C450,BH$5&lt;=$D450,$A450&lt;&gt;""),"●","")</x:f>
      </x:c>
      <x:c r="BI450" s="165" t="str">
        <x:f>IF(AND(BI$5&gt;=$C450,BI$5&lt;=$D450,$A450&lt;&gt;""),"●","")</x:f>
      </x:c>
      <x:c r="BJ450" s="165" t="str">
        <x:f>IF(AND(BJ$5&gt;=$C450,BJ$5&lt;=$D450,$A450&lt;&gt;""),"●","")</x:f>
      </x:c>
      <x:c r="BK450" s="165" t="str">
        <x:f>IF(AND(BK$5&gt;=$C450,BK$5&lt;=$D450,$A450&lt;&gt;""),"●","")</x:f>
      </x:c>
      <x:c r="BL450" s="165" t="str">
        <x:f>IF(AND(BL$5&gt;=$C450,BL$5&lt;=$D450,$A450&lt;&gt;""),"●","")</x:f>
      </x:c>
      <x:c r="BM450" s="165" t="str">
        <x:f>IF(AND(BM$5&gt;=$C450,BM$5&lt;=$D450,$A450&lt;&gt;""),"●","")</x:f>
      </x:c>
      <x:c r="BN450" s="165" t="str">
        <x:f>IF(AND(BN$5&gt;=$C450,BN$5&lt;=$D450,$A450&lt;&gt;""),"●","")</x:f>
      </x:c>
      <x:c r="BO450" s="165" t="str">
        <x:f>IF(AND(BO$5&gt;=$C450,BO$5&lt;=$D450,$A450&lt;&gt;""),"●","")</x:f>
      </x:c>
      <x:c r="BP450" s="165" t="str">
        <x:f>IF(AND(BP$5&gt;=$C450,BP$5&lt;=$D450,$A450&lt;&gt;""),"●","")</x:f>
      </x:c>
      <x:c r="BQ450" s="165" t="str">
        <x:f>IF(AND(BQ$5&gt;=$C450,BQ$5&lt;=$D450,$A450&lt;&gt;""),"●","")</x:f>
      </x:c>
      <x:c r="BR450" s="165" t="str">
        <x:f>IF(AND(BR$5&gt;=$C450,BR$5&lt;=$D450,$A450&lt;&gt;""),"●","")</x:f>
      </x:c>
      <x:c r="BS450" s="165" t="str">
        <x:f>IF(AND(BS$5&gt;=$C450,BS$5&lt;=$D450,$A450&lt;&gt;""),"●","")</x:f>
      </x:c>
      <x:c r="BT450" s="165" t="str">
        <x:f>IF(AND(BT$5&gt;=$C450,BT$5&lt;=$D450,$A450&lt;&gt;""),"●","")</x:f>
      </x:c>
      <x:c r="BU450" s="165" t="str">
        <x:f>IF(AND(BU$5&gt;=$C450,BU$5&lt;=$D450,$A450&lt;&gt;""),"●","")</x:f>
      </x:c>
      <x:c r="BV450" s="165" t="str">
        <x:f>IF(AND(BV$5&gt;=$C450,BV$5&lt;=$D450,$A450&lt;&gt;""),"●","")</x:f>
      </x:c>
      <x:c r="BW450" s="165" t="str">
        <x:f>IF(AND(BW$5&gt;=$C450,BW$5&lt;=$D450,$A450&lt;&gt;""),"●","")</x:f>
      </x:c>
    </x:row>
    <x:row r="451">
      <x:c r="A451" s="159" t="str">
        <x:f>IF('รายการสัญญา'!A451="","",'รายการสัญญา'!A451)</x:f>
      </x:c>
      <x:c r="B451" s="159" t="str">
        <x:f>IF('รายการสัญญา'!A451="","",'รายการสัญญา'!C451)</x:f>
      </x:c>
      <x:c r="C451" s="162" t="str">
        <x:f>IF('รายการสัญญา'!A451="","",'รายการสัญญา'!E451)</x:f>
      </x:c>
      <x:c r="D451" s="162" t="str">
        <x:f>IF('รายการสัญญา'!A451="","",'รายการสัญญา'!G451)</x:f>
      </x:c>
      <x:c r="E451" s="159" t="str">
        <x:f>IF('รายการสัญญา'!A451="","",'รายการสัญญา'!K451)</x:f>
      </x:c>
      <x:c r="F451" s="165" t="str">
        <x:f>IF(AND(F$5&gt;=$C451,F$5&lt;=$D451,$A451&lt;&gt;""),"●","")</x:f>
      </x:c>
      <x:c r="G451" s="165" t="str">
        <x:f>IF(AND(G$5&gt;=$C451,G$5&lt;=$D451,$A451&lt;&gt;""),"●","")</x:f>
      </x:c>
      <x:c r="H451" s="165" t="str">
        <x:f>IF(AND(H$5&gt;=$C451,H$5&lt;=$D451,$A451&lt;&gt;""),"●","")</x:f>
      </x:c>
      <x:c r="I451" s="165" t="str">
        <x:f>IF(AND(I$5&gt;=$C451,I$5&lt;=$D451,$A451&lt;&gt;""),"●","")</x:f>
      </x:c>
      <x:c r="J451" s="165" t="str">
        <x:f>IF(AND(J$5&gt;=$C451,J$5&lt;=$D451,$A451&lt;&gt;""),"●","")</x:f>
      </x:c>
      <x:c r="K451" s="165" t="str">
        <x:f>IF(AND(K$5&gt;=$C451,K$5&lt;=$D451,$A451&lt;&gt;""),"●","")</x:f>
      </x:c>
      <x:c r="L451" s="165" t="str">
        <x:f>IF(AND(L$5&gt;=$C451,L$5&lt;=$D451,$A451&lt;&gt;""),"●","")</x:f>
      </x:c>
      <x:c r="M451" s="165" t="str">
        <x:f>IF(AND(M$5&gt;=$C451,M$5&lt;=$D451,$A451&lt;&gt;""),"●","")</x:f>
      </x:c>
      <x:c r="N451" s="165" t="str">
        <x:f>IF(AND(N$5&gt;=$C451,N$5&lt;=$D451,$A451&lt;&gt;""),"●","")</x:f>
      </x:c>
      <x:c r="O451" s="165" t="str">
        <x:f>IF(AND(O$5&gt;=$C451,O$5&lt;=$D451,$A451&lt;&gt;""),"●","")</x:f>
      </x:c>
      <x:c r="P451" s="165" t="str">
        <x:f>IF(AND(P$5&gt;=$C451,P$5&lt;=$D451,$A451&lt;&gt;""),"●","")</x:f>
      </x:c>
      <x:c r="Q451" s="165" t="str">
        <x:f>IF(AND(Q$5&gt;=$C451,Q$5&lt;=$D451,$A451&lt;&gt;""),"●","")</x:f>
      </x:c>
      <x:c r="R451" s="165" t="str">
        <x:f>IF(AND(R$5&gt;=$C451,R$5&lt;=$D451,$A451&lt;&gt;""),"●","")</x:f>
      </x:c>
      <x:c r="S451" s="165" t="str">
        <x:f>IF(AND(S$5&gt;=$C451,S$5&lt;=$D451,$A451&lt;&gt;""),"●","")</x:f>
      </x:c>
      <x:c r="T451" s="165" t="str">
        <x:f>IF(AND(T$5&gt;=$C451,T$5&lt;=$D451,$A451&lt;&gt;""),"●","")</x:f>
      </x:c>
      <x:c r="U451" s="165" t="str">
        <x:f>IF(AND(U$5&gt;=$C451,U$5&lt;=$D451,$A451&lt;&gt;""),"●","")</x:f>
      </x:c>
      <x:c r="V451" s="165" t="str">
        <x:f>IF(AND(V$5&gt;=$C451,V$5&lt;=$D451,$A451&lt;&gt;""),"●","")</x:f>
      </x:c>
      <x:c r="W451" s="165" t="str">
        <x:f>IF(AND(W$5&gt;=$C451,W$5&lt;=$D451,$A451&lt;&gt;""),"●","")</x:f>
      </x:c>
      <x:c r="X451" s="165" t="str">
        <x:f>IF(AND(X$5&gt;=$C451,X$5&lt;=$D451,$A451&lt;&gt;""),"●","")</x:f>
      </x:c>
      <x:c r="Y451" s="165" t="str">
        <x:f>IF(AND(Y$5&gt;=$C451,Y$5&lt;=$D451,$A451&lt;&gt;""),"●","")</x:f>
      </x:c>
      <x:c r="Z451" s="165" t="str">
        <x:f>IF(AND(Z$5&gt;=$C451,Z$5&lt;=$D451,$A451&lt;&gt;""),"●","")</x:f>
      </x:c>
      <x:c r="AA451" s="165" t="str">
        <x:f>IF(AND(AA$5&gt;=$C451,AA$5&lt;=$D451,$A451&lt;&gt;""),"●","")</x:f>
      </x:c>
      <x:c r="AB451" s="165" t="str">
        <x:f>IF(AND(AB$5&gt;=$C451,AB$5&lt;=$D451,$A451&lt;&gt;""),"●","")</x:f>
      </x:c>
      <x:c r="AC451" s="165" t="str">
        <x:f>IF(AND(AC$5&gt;=$C451,AC$5&lt;=$D451,$A451&lt;&gt;""),"●","")</x:f>
      </x:c>
      <x:c r="AD451" s="165" t="str">
        <x:f>IF(AND(AD$5&gt;=$C451,AD$5&lt;=$D451,$A451&lt;&gt;""),"●","")</x:f>
      </x:c>
      <x:c r="AE451" s="165" t="str">
        <x:f>IF(AND(AE$5&gt;=$C451,AE$5&lt;=$D451,$A451&lt;&gt;""),"●","")</x:f>
      </x:c>
      <x:c r="AF451" s="165" t="str">
        <x:f>IF(AND(AF$5&gt;=$C451,AF$5&lt;=$D451,$A451&lt;&gt;""),"●","")</x:f>
      </x:c>
      <x:c r="AG451" s="165" t="str">
        <x:f>IF(AND(AG$5&gt;=$C451,AG$5&lt;=$D451,$A451&lt;&gt;""),"●","")</x:f>
      </x:c>
      <x:c r="AH451" s="165" t="str">
        <x:f>IF(AND(AH$5&gt;=$C451,AH$5&lt;=$D451,$A451&lt;&gt;""),"●","")</x:f>
      </x:c>
      <x:c r="AI451" s="165" t="str">
        <x:f>IF(AND(AI$5&gt;=$C451,AI$5&lt;=$D451,$A451&lt;&gt;""),"●","")</x:f>
      </x:c>
      <x:c r="AJ451" s="165" t="str">
        <x:f>IF(AND(AJ$5&gt;=$C451,AJ$5&lt;=$D451,$A451&lt;&gt;""),"●","")</x:f>
      </x:c>
      <x:c r="AK451" s="165" t="str">
        <x:f>IF(AND(AK$5&gt;=$C451,AK$5&lt;=$D451,$A451&lt;&gt;""),"●","")</x:f>
      </x:c>
      <x:c r="AL451" s="165" t="str">
        <x:f>IF(AND(AL$5&gt;=$C451,AL$5&lt;=$D451,$A451&lt;&gt;""),"●","")</x:f>
      </x:c>
      <x:c r="AM451" s="165" t="str">
        <x:f>IF(AND(AM$5&gt;=$C451,AM$5&lt;=$D451,$A451&lt;&gt;""),"●","")</x:f>
      </x:c>
      <x:c r="AN451" s="165" t="str">
        <x:f>IF(AND(AN$5&gt;=$C451,AN$5&lt;=$D451,$A451&lt;&gt;""),"●","")</x:f>
      </x:c>
      <x:c r="AO451" s="165" t="str">
        <x:f>IF(AND(AO$5&gt;=$C451,AO$5&lt;=$D451,$A451&lt;&gt;""),"●","")</x:f>
      </x:c>
      <x:c r="AP451" s="165" t="str">
        <x:f>IF(AND(AP$5&gt;=$C451,AP$5&lt;=$D451,$A451&lt;&gt;""),"●","")</x:f>
      </x:c>
      <x:c r="AQ451" s="165" t="str">
        <x:f>IF(AND(AQ$5&gt;=$C451,AQ$5&lt;=$D451,$A451&lt;&gt;""),"●","")</x:f>
      </x:c>
      <x:c r="AR451" s="165" t="str">
        <x:f>IF(AND(AR$5&gt;=$C451,AR$5&lt;=$D451,$A451&lt;&gt;""),"●","")</x:f>
      </x:c>
      <x:c r="AS451" s="165" t="str">
        <x:f>IF(AND(AS$5&gt;=$C451,AS$5&lt;=$D451,$A451&lt;&gt;""),"●","")</x:f>
      </x:c>
      <x:c r="AT451" s="165" t="str">
        <x:f>IF(AND(AT$5&gt;=$C451,AT$5&lt;=$D451,$A451&lt;&gt;""),"●","")</x:f>
      </x:c>
      <x:c r="AU451" s="165" t="str">
        <x:f>IF(AND(AU$5&gt;=$C451,AU$5&lt;=$D451,$A451&lt;&gt;""),"●","")</x:f>
      </x:c>
      <x:c r="AV451" s="165" t="str">
        <x:f>IF(AND(AV$5&gt;=$C451,AV$5&lt;=$D451,$A451&lt;&gt;""),"●","")</x:f>
      </x:c>
      <x:c r="AW451" s="165" t="str">
        <x:f>IF(AND(AW$5&gt;=$C451,AW$5&lt;=$D451,$A451&lt;&gt;""),"●","")</x:f>
      </x:c>
      <x:c r="AX451" s="165" t="str">
        <x:f>IF(AND(AX$5&gt;=$C451,AX$5&lt;=$D451,$A451&lt;&gt;""),"●","")</x:f>
      </x:c>
      <x:c r="AY451" s="165" t="str">
        <x:f>IF(AND(AY$5&gt;=$C451,AY$5&lt;=$D451,$A451&lt;&gt;""),"●","")</x:f>
      </x:c>
      <x:c r="AZ451" s="165" t="str">
        <x:f>IF(AND(AZ$5&gt;=$C451,AZ$5&lt;=$D451,$A451&lt;&gt;""),"●","")</x:f>
      </x:c>
      <x:c r="BA451" s="165" t="str">
        <x:f>IF(AND(BA$5&gt;=$C451,BA$5&lt;=$D451,$A451&lt;&gt;""),"●","")</x:f>
      </x:c>
      <x:c r="BB451" s="165" t="str">
        <x:f>IF(AND(BB$5&gt;=$C451,BB$5&lt;=$D451,$A451&lt;&gt;""),"●","")</x:f>
      </x:c>
      <x:c r="BC451" s="165" t="str">
        <x:f>IF(AND(BC$5&gt;=$C451,BC$5&lt;=$D451,$A451&lt;&gt;""),"●","")</x:f>
      </x:c>
      <x:c r="BD451" s="165" t="str">
        <x:f>IF(AND(BD$5&gt;=$C451,BD$5&lt;=$D451,$A451&lt;&gt;""),"●","")</x:f>
      </x:c>
      <x:c r="BE451" s="165" t="str">
        <x:f>IF(AND(BE$5&gt;=$C451,BE$5&lt;=$D451,$A451&lt;&gt;""),"●","")</x:f>
      </x:c>
      <x:c r="BF451" s="165" t="str">
        <x:f>IF(AND(BF$5&gt;=$C451,BF$5&lt;=$D451,$A451&lt;&gt;""),"●","")</x:f>
      </x:c>
      <x:c r="BG451" s="165" t="str">
        <x:f>IF(AND(BG$5&gt;=$C451,BG$5&lt;=$D451,$A451&lt;&gt;""),"●","")</x:f>
      </x:c>
      <x:c r="BH451" s="165" t="str">
        <x:f>IF(AND(BH$5&gt;=$C451,BH$5&lt;=$D451,$A451&lt;&gt;""),"●","")</x:f>
      </x:c>
      <x:c r="BI451" s="165" t="str">
        <x:f>IF(AND(BI$5&gt;=$C451,BI$5&lt;=$D451,$A451&lt;&gt;""),"●","")</x:f>
      </x:c>
      <x:c r="BJ451" s="165" t="str">
        <x:f>IF(AND(BJ$5&gt;=$C451,BJ$5&lt;=$D451,$A451&lt;&gt;""),"●","")</x:f>
      </x:c>
      <x:c r="BK451" s="165" t="str">
        <x:f>IF(AND(BK$5&gt;=$C451,BK$5&lt;=$D451,$A451&lt;&gt;""),"●","")</x:f>
      </x:c>
      <x:c r="BL451" s="165" t="str">
        <x:f>IF(AND(BL$5&gt;=$C451,BL$5&lt;=$D451,$A451&lt;&gt;""),"●","")</x:f>
      </x:c>
      <x:c r="BM451" s="165" t="str">
        <x:f>IF(AND(BM$5&gt;=$C451,BM$5&lt;=$D451,$A451&lt;&gt;""),"●","")</x:f>
      </x:c>
      <x:c r="BN451" s="165" t="str">
        <x:f>IF(AND(BN$5&gt;=$C451,BN$5&lt;=$D451,$A451&lt;&gt;""),"●","")</x:f>
      </x:c>
      <x:c r="BO451" s="165" t="str">
        <x:f>IF(AND(BO$5&gt;=$C451,BO$5&lt;=$D451,$A451&lt;&gt;""),"●","")</x:f>
      </x:c>
      <x:c r="BP451" s="165" t="str">
        <x:f>IF(AND(BP$5&gt;=$C451,BP$5&lt;=$D451,$A451&lt;&gt;""),"●","")</x:f>
      </x:c>
      <x:c r="BQ451" s="165" t="str">
        <x:f>IF(AND(BQ$5&gt;=$C451,BQ$5&lt;=$D451,$A451&lt;&gt;""),"●","")</x:f>
      </x:c>
      <x:c r="BR451" s="165" t="str">
        <x:f>IF(AND(BR$5&gt;=$C451,BR$5&lt;=$D451,$A451&lt;&gt;""),"●","")</x:f>
      </x:c>
      <x:c r="BS451" s="165" t="str">
        <x:f>IF(AND(BS$5&gt;=$C451,BS$5&lt;=$D451,$A451&lt;&gt;""),"●","")</x:f>
      </x:c>
      <x:c r="BT451" s="165" t="str">
        <x:f>IF(AND(BT$5&gt;=$C451,BT$5&lt;=$D451,$A451&lt;&gt;""),"●","")</x:f>
      </x:c>
      <x:c r="BU451" s="165" t="str">
        <x:f>IF(AND(BU$5&gt;=$C451,BU$5&lt;=$D451,$A451&lt;&gt;""),"●","")</x:f>
      </x:c>
      <x:c r="BV451" s="165" t="str">
        <x:f>IF(AND(BV$5&gt;=$C451,BV$5&lt;=$D451,$A451&lt;&gt;""),"●","")</x:f>
      </x:c>
      <x:c r="BW451" s="165" t="str">
        <x:f>IF(AND(BW$5&gt;=$C451,BW$5&lt;=$D451,$A451&lt;&gt;""),"●","")</x:f>
      </x:c>
    </x:row>
    <x:row r="452">
      <x:c r="A452" s="159" t="str">
        <x:f>IF('รายการสัญญา'!A452="","",'รายการสัญญา'!A452)</x:f>
      </x:c>
      <x:c r="B452" s="159" t="str">
        <x:f>IF('รายการสัญญา'!A452="","",'รายการสัญญา'!C452)</x:f>
      </x:c>
      <x:c r="C452" s="162" t="str">
        <x:f>IF('รายการสัญญา'!A452="","",'รายการสัญญา'!E452)</x:f>
      </x:c>
      <x:c r="D452" s="162" t="str">
        <x:f>IF('รายการสัญญา'!A452="","",'รายการสัญญา'!G452)</x:f>
      </x:c>
      <x:c r="E452" s="159" t="str">
        <x:f>IF('รายการสัญญา'!A452="","",'รายการสัญญา'!K452)</x:f>
      </x:c>
      <x:c r="F452" s="165" t="str">
        <x:f>IF(AND(F$5&gt;=$C452,F$5&lt;=$D452,$A452&lt;&gt;""),"●","")</x:f>
      </x:c>
      <x:c r="G452" s="165" t="str">
        <x:f>IF(AND(G$5&gt;=$C452,G$5&lt;=$D452,$A452&lt;&gt;""),"●","")</x:f>
      </x:c>
      <x:c r="H452" s="165" t="str">
        <x:f>IF(AND(H$5&gt;=$C452,H$5&lt;=$D452,$A452&lt;&gt;""),"●","")</x:f>
      </x:c>
      <x:c r="I452" s="165" t="str">
        <x:f>IF(AND(I$5&gt;=$C452,I$5&lt;=$D452,$A452&lt;&gt;""),"●","")</x:f>
      </x:c>
      <x:c r="J452" s="165" t="str">
        <x:f>IF(AND(J$5&gt;=$C452,J$5&lt;=$D452,$A452&lt;&gt;""),"●","")</x:f>
      </x:c>
      <x:c r="K452" s="165" t="str">
        <x:f>IF(AND(K$5&gt;=$C452,K$5&lt;=$D452,$A452&lt;&gt;""),"●","")</x:f>
      </x:c>
      <x:c r="L452" s="165" t="str">
        <x:f>IF(AND(L$5&gt;=$C452,L$5&lt;=$D452,$A452&lt;&gt;""),"●","")</x:f>
      </x:c>
      <x:c r="M452" s="165" t="str">
        <x:f>IF(AND(M$5&gt;=$C452,M$5&lt;=$D452,$A452&lt;&gt;""),"●","")</x:f>
      </x:c>
      <x:c r="N452" s="165" t="str">
        <x:f>IF(AND(N$5&gt;=$C452,N$5&lt;=$D452,$A452&lt;&gt;""),"●","")</x:f>
      </x:c>
      <x:c r="O452" s="165" t="str">
        <x:f>IF(AND(O$5&gt;=$C452,O$5&lt;=$D452,$A452&lt;&gt;""),"●","")</x:f>
      </x:c>
      <x:c r="P452" s="165" t="str">
        <x:f>IF(AND(P$5&gt;=$C452,P$5&lt;=$D452,$A452&lt;&gt;""),"●","")</x:f>
      </x:c>
      <x:c r="Q452" s="165" t="str">
        <x:f>IF(AND(Q$5&gt;=$C452,Q$5&lt;=$D452,$A452&lt;&gt;""),"●","")</x:f>
      </x:c>
      <x:c r="R452" s="165" t="str">
        <x:f>IF(AND(R$5&gt;=$C452,R$5&lt;=$D452,$A452&lt;&gt;""),"●","")</x:f>
      </x:c>
      <x:c r="S452" s="165" t="str">
        <x:f>IF(AND(S$5&gt;=$C452,S$5&lt;=$D452,$A452&lt;&gt;""),"●","")</x:f>
      </x:c>
      <x:c r="T452" s="165" t="str">
        <x:f>IF(AND(T$5&gt;=$C452,T$5&lt;=$D452,$A452&lt;&gt;""),"●","")</x:f>
      </x:c>
      <x:c r="U452" s="165" t="str">
        <x:f>IF(AND(U$5&gt;=$C452,U$5&lt;=$D452,$A452&lt;&gt;""),"●","")</x:f>
      </x:c>
      <x:c r="V452" s="165" t="str">
        <x:f>IF(AND(V$5&gt;=$C452,V$5&lt;=$D452,$A452&lt;&gt;""),"●","")</x:f>
      </x:c>
      <x:c r="W452" s="165" t="str">
        <x:f>IF(AND(W$5&gt;=$C452,W$5&lt;=$D452,$A452&lt;&gt;""),"●","")</x:f>
      </x:c>
      <x:c r="X452" s="165" t="str">
        <x:f>IF(AND(X$5&gt;=$C452,X$5&lt;=$D452,$A452&lt;&gt;""),"●","")</x:f>
      </x:c>
      <x:c r="Y452" s="165" t="str">
        <x:f>IF(AND(Y$5&gt;=$C452,Y$5&lt;=$D452,$A452&lt;&gt;""),"●","")</x:f>
      </x:c>
      <x:c r="Z452" s="165" t="str">
        <x:f>IF(AND(Z$5&gt;=$C452,Z$5&lt;=$D452,$A452&lt;&gt;""),"●","")</x:f>
      </x:c>
      <x:c r="AA452" s="165" t="str">
        <x:f>IF(AND(AA$5&gt;=$C452,AA$5&lt;=$D452,$A452&lt;&gt;""),"●","")</x:f>
      </x:c>
      <x:c r="AB452" s="165" t="str">
        <x:f>IF(AND(AB$5&gt;=$C452,AB$5&lt;=$D452,$A452&lt;&gt;""),"●","")</x:f>
      </x:c>
      <x:c r="AC452" s="165" t="str">
        <x:f>IF(AND(AC$5&gt;=$C452,AC$5&lt;=$D452,$A452&lt;&gt;""),"●","")</x:f>
      </x:c>
      <x:c r="AD452" s="165" t="str">
        <x:f>IF(AND(AD$5&gt;=$C452,AD$5&lt;=$D452,$A452&lt;&gt;""),"●","")</x:f>
      </x:c>
      <x:c r="AE452" s="165" t="str">
        <x:f>IF(AND(AE$5&gt;=$C452,AE$5&lt;=$D452,$A452&lt;&gt;""),"●","")</x:f>
      </x:c>
      <x:c r="AF452" s="165" t="str">
        <x:f>IF(AND(AF$5&gt;=$C452,AF$5&lt;=$D452,$A452&lt;&gt;""),"●","")</x:f>
      </x:c>
      <x:c r="AG452" s="165" t="str">
        <x:f>IF(AND(AG$5&gt;=$C452,AG$5&lt;=$D452,$A452&lt;&gt;""),"●","")</x:f>
      </x:c>
      <x:c r="AH452" s="165" t="str">
        <x:f>IF(AND(AH$5&gt;=$C452,AH$5&lt;=$D452,$A452&lt;&gt;""),"●","")</x:f>
      </x:c>
      <x:c r="AI452" s="165" t="str">
        <x:f>IF(AND(AI$5&gt;=$C452,AI$5&lt;=$D452,$A452&lt;&gt;""),"●","")</x:f>
      </x:c>
      <x:c r="AJ452" s="165" t="str">
        <x:f>IF(AND(AJ$5&gt;=$C452,AJ$5&lt;=$D452,$A452&lt;&gt;""),"●","")</x:f>
      </x:c>
      <x:c r="AK452" s="165" t="str">
        <x:f>IF(AND(AK$5&gt;=$C452,AK$5&lt;=$D452,$A452&lt;&gt;""),"●","")</x:f>
      </x:c>
      <x:c r="AL452" s="165" t="str">
        <x:f>IF(AND(AL$5&gt;=$C452,AL$5&lt;=$D452,$A452&lt;&gt;""),"●","")</x:f>
      </x:c>
      <x:c r="AM452" s="165" t="str">
        <x:f>IF(AND(AM$5&gt;=$C452,AM$5&lt;=$D452,$A452&lt;&gt;""),"●","")</x:f>
      </x:c>
      <x:c r="AN452" s="165" t="str">
        <x:f>IF(AND(AN$5&gt;=$C452,AN$5&lt;=$D452,$A452&lt;&gt;""),"●","")</x:f>
      </x:c>
      <x:c r="AO452" s="165" t="str">
        <x:f>IF(AND(AO$5&gt;=$C452,AO$5&lt;=$D452,$A452&lt;&gt;""),"●","")</x:f>
      </x:c>
      <x:c r="AP452" s="165" t="str">
        <x:f>IF(AND(AP$5&gt;=$C452,AP$5&lt;=$D452,$A452&lt;&gt;""),"●","")</x:f>
      </x:c>
      <x:c r="AQ452" s="165" t="str">
        <x:f>IF(AND(AQ$5&gt;=$C452,AQ$5&lt;=$D452,$A452&lt;&gt;""),"●","")</x:f>
      </x:c>
      <x:c r="AR452" s="165" t="str">
        <x:f>IF(AND(AR$5&gt;=$C452,AR$5&lt;=$D452,$A452&lt;&gt;""),"●","")</x:f>
      </x:c>
      <x:c r="AS452" s="165" t="str">
        <x:f>IF(AND(AS$5&gt;=$C452,AS$5&lt;=$D452,$A452&lt;&gt;""),"●","")</x:f>
      </x:c>
      <x:c r="AT452" s="165" t="str">
        <x:f>IF(AND(AT$5&gt;=$C452,AT$5&lt;=$D452,$A452&lt;&gt;""),"●","")</x:f>
      </x:c>
      <x:c r="AU452" s="165" t="str">
        <x:f>IF(AND(AU$5&gt;=$C452,AU$5&lt;=$D452,$A452&lt;&gt;""),"●","")</x:f>
      </x:c>
      <x:c r="AV452" s="165" t="str">
        <x:f>IF(AND(AV$5&gt;=$C452,AV$5&lt;=$D452,$A452&lt;&gt;""),"●","")</x:f>
      </x:c>
      <x:c r="AW452" s="165" t="str">
        <x:f>IF(AND(AW$5&gt;=$C452,AW$5&lt;=$D452,$A452&lt;&gt;""),"●","")</x:f>
      </x:c>
      <x:c r="AX452" s="165" t="str">
        <x:f>IF(AND(AX$5&gt;=$C452,AX$5&lt;=$D452,$A452&lt;&gt;""),"●","")</x:f>
      </x:c>
      <x:c r="AY452" s="165" t="str">
        <x:f>IF(AND(AY$5&gt;=$C452,AY$5&lt;=$D452,$A452&lt;&gt;""),"●","")</x:f>
      </x:c>
      <x:c r="AZ452" s="165" t="str">
        <x:f>IF(AND(AZ$5&gt;=$C452,AZ$5&lt;=$D452,$A452&lt;&gt;""),"●","")</x:f>
      </x:c>
      <x:c r="BA452" s="165" t="str">
        <x:f>IF(AND(BA$5&gt;=$C452,BA$5&lt;=$D452,$A452&lt;&gt;""),"●","")</x:f>
      </x:c>
      <x:c r="BB452" s="165" t="str">
        <x:f>IF(AND(BB$5&gt;=$C452,BB$5&lt;=$D452,$A452&lt;&gt;""),"●","")</x:f>
      </x:c>
      <x:c r="BC452" s="165" t="str">
        <x:f>IF(AND(BC$5&gt;=$C452,BC$5&lt;=$D452,$A452&lt;&gt;""),"●","")</x:f>
      </x:c>
      <x:c r="BD452" s="165" t="str">
        <x:f>IF(AND(BD$5&gt;=$C452,BD$5&lt;=$D452,$A452&lt;&gt;""),"●","")</x:f>
      </x:c>
      <x:c r="BE452" s="165" t="str">
        <x:f>IF(AND(BE$5&gt;=$C452,BE$5&lt;=$D452,$A452&lt;&gt;""),"●","")</x:f>
      </x:c>
      <x:c r="BF452" s="165" t="str">
        <x:f>IF(AND(BF$5&gt;=$C452,BF$5&lt;=$D452,$A452&lt;&gt;""),"●","")</x:f>
      </x:c>
      <x:c r="BG452" s="165" t="str">
        <x:f>IF(AND(BG$5&gt;=$C452,BG$5&lt;=$D452,$A452&lt;&gt;""),"●","")</x:f>
      </x:c>
      <x:c r="BH452" s="165" t="str">
        <x:f>IF(AND(BH$5&gt;=$C452,BH$5&lt;=$D452,$A452&lt;&gt;""),"●","")</x:f>
      </x:c>
      <x:c r="BI452" s="165" t="str">
        <x:f>IF(AND(BI$5&gt;=$C452,BI$5&lt;=$D452,$A452&lt;&gt;""),"●","")</x:f>
      </x:c>
      <x:c r="BJ452" s="165" t="str">
        <x:f>IF(AND(BJ$5&gt;=$C452,BJ$5&lt;=$D452,$A452&lt;&gt;""),"●","")</x:f>
      </x:c>
      <x:c r="BK452" s="165" t="str">
        <x:f>IF(AND(BK$5&gt;=$C452,BK$5&lt;=$D452,$A452&lt;&gt;""),"●","")</x:f>
      </x:c>
      <x:c r="BL452" s="165" t="str">
        <x:f>IF(AND(BL$5&gt;=$C452,BL$5&lt;=$D452,$A452&lt;&gt;""),"●","")</x:f>
      </x:c>
      <x:c r="BM452" s="165" t="str">
        <x:f>IF(AND(BM$5&gt;=$C452,BM$5&lt;=$D452,$A452&lt;&gt;""),"●","")</x:f>
      </x:c>
      <x:c r="BN452" s="165" t="str">
        <x:f>IF(AND(BN$5&gt;=$C452,BN$5&lt;=$D452,$A452&lt;&gt;""),"●","")</x:f>
      </x:c>
      <x:c r="BO452" s="165" t="str">
        <x:f>IF(AND(BO$5&gt;=$C452,BO$5&lt;=$D452,$A452&lt;&gt;""),"●","")</x:f>
      </x:c>
      <x:c r="BP452" s="165" t="str">
        <x:f>IF(AND(BP$5&gt;=$C452,BP$5&lt;=$D452,$A452&lt;&gt;""),"●","")</x:f>
      </x:c>
      <x:c r="BQ452" s="165" t="str">
        <x:f>IF(AND(BQ$5&gt;=$C452,BQ$5&lt;=$D452,$A452&lt;&gt;""),"●","")</x:f>
      </x:c>
      <x:c r="BR452" s="165" t="str">
        <x:f>IF(AND(BR$5&gt;=$C452,BR$5&lt;=$D452,$A452&lt;&gt;""),"●","")</x:f>
      </x:c>
      <x:c r="BS452" s="165" t="str">
        <x:f>IF(AND(BS$5&gt;=$C452,BS$5&lt;=$D452,$A452&lt;&gt;""),"●","")</x:f>
      </x:c>
      <x:c r="BT452" s="165" t="str">
        <x:f>IF(AND(BT$5&gt;=$C452,BT$5&lt;=$D452,$A452&lt;&gt;""),"●","")</x:f>
      </x:c>
      <x:c r="BU452" s="165" t="str">
        <x:f>IF(AND(BU$5&gt;=$C452,BU$5&lt;=$D452,$A452&lt;&gt;""),"●","")</x:f>
      </x:c>
      <x:c r="BV452" s="165" t="str">
        <x:f>IF(AND(BV$5&gt;=$C452,BV$5&lt;=$D452,$A452&lt;&gt;""),"●","")</x:f>
      </x:c>
      <x:c r="BW452" s="165" t="str">
        <x:f>IF(AND(BW$5&gt;=$C452,BW$5&lt;=$D452,$A452&lt;&gt;""),"●","")</x:f>
      </x:c>
    </x:row>
    <x:row r="453">
      <x:c r="A453" s="159" t="str">
        <x:f>IF('รายการสัญญา'!A453="","",'รายการสัญญา'!A453)</x:f>
      </x:c>
      <x:c r="B453" s="159" t="str">
        <x:f>IF('รายการสัญญา'!A453="","",'รายการสัญญา'!C453)</x:f>
      </x:c>
      <x:c r="C453" s="162" t="str">
        <x:f>IF('รายการสัญญา'!A453="","",'รายการสัญญา'!E453)</x:f>
      </x:c>
      <x:c r="D453" s="162" t="str">
        <x:f>IF('รายการสัญญา'!A453="","",'รายการสัญญา'!G453)</x:f>
      </x:c>
      <x:c r="E453" s="159" t="str">
        <x:f>IF('รายการสัญญา'!A453="","",'รายการสัญญา'!K453)</x:f>
      </x:c>
      <x:c r="F453" s="165" t="str">
        <x:f>IF(AND(F$5&gt;=$C453,F$5&lt;=$D453,$A453&lt;&gt;""),"●","")</x:f>
      </x:c>
      <x:c r="G453" s="165" t="str">
        <x:f>IF(AND(G$5&gt;=$C453,G$5&lt;=$D453,$A453&lt;&gt;""),"●","")</x:f>
      </x:c>
      <x:c r="H453" s="165" t="str">
        <x:f>IF(AND(H$5&gt;=$C453,H$5&lt;=$D453,$A453&lt;&gt;""),"●","")</x:f>
      </x:c>
      <x:c r="I453" s="165" t="str">
        <x:f>IF(AND(I$5&gt;=$C453,I$5&lt;=$D453,$A453&lt;&gt;""),"●","")</x:f>
      </x:c>
      <x:c r="J453" s="165" t="str">
        <x:f>IF(AND(J$5&gt;=$C453,J$5&lt;=$D453,$A453&lt;&gt;""),"●","")</x:f>
      </x:c>
      <x:c r="K453" s="165" t="str">
        <x:f>IF(AND(K$5&gt;=$C453,K$5&lt;=$D453,$A453&lt;&gt;""),"●","")</x:f>
      </x:c>
      <x:c r="L453" s="165" t="str">
        <x:f>IF(AND(L$5&gt;=$C453,L$5&lt;=$D453,$A453&lt;&gt;""),"●","")</x:f>
      </x:c>
      <x:c r="M453" s="165" t="str">
        <x:f>IF(AND(M$5&gt;=$C453,M$5&lt;=$D453,$A453&lt;&gt;""),"●","")</x:f>
      </x:c>
      <x:c r="N453" s="165" t="str">
        <x:f>IF(AND(N$5&gt;=$C453,N$5&lt;=$D453,$A453&lt;&gt;""),"●","")</x:f>
      </x:c>
      <x:c r="O453" s="165" t="str">
        <x:f>IF(AND(O$5&gt;=$C453,O$5&lt;=$D453,$A453&lt;&gt;""),"●","")</x:f>
      </x:c>
      <x:c r="P453" s="165" t="str">
        <x:f>IF(AND(P$5&gt;=$C453,P$5&lt;=$D453,$A453&lt;&gt;""),"●","")</x:f>
      </x:c>
      <x:c r="Q453" s="165" t="str">
        <x:f>IF(AND(Q$5&gt;=$C453,Q$5&lt;=$D453,$A453&lt;&gt;""),"●","")</x:f>
      </x:c>
      <x:c r="R453" s="165" t="str">
        <x:f>IF(AND(R$5&gt;=$C453,R$5&lt;=$D453,$A453&lt;&gt;""),"●","")</x:f>
      </x:c>
      <x:c r="S453" s="165" t="str">
        <x:f>IF(AND(S$5&gt;=$C453,S$5&lt;=$D453,$A453&lt;&gt;""),"●","")</x:f>
      </x:c>
      <x:c r="T453" s="165" t="str">
        <x:f>IF(AND(T$5&gt;=$C453,T$5&lt;=$D453,$A453&lt;&gt;""),"●","")</x:f>
      </x:c>
      <x:c r="U453" s="165" t="str">
        <x:f>IF(AND(U$5&gt;=$C453,U$5&lt;=$D453,$A453&lt;&gt;""),"●","")</x:f>
      </x:c>
      <x:c r="V453" s="165" t="str">
        <x:f>IF(AND(V$5&gt;=$C453,V$5&lt;=$D453,$A453&lt;&gt;""),"●","")</x:f>
      </x:c>
      <x:c r="W453" s="165" t="str">
        <x:f>IF(AND(W$5&gt;=$C453,W$5&lt;=$D453,$A453&lt;&gt;""),"●","")</x:f>
      </x:c>
      <x:c r="X453" s="165" t="str">
        <x:f>IF(AND(X$5&gt;=$C453,X$5&lt;=$D453,$A453&lt;&gt;""),"●","")</x:f>
      </x:c>
      <x:c r="Y453" s="165" t="str">
        <x:f>IF(AND(Y$5&gt;=$C453,Y$5&lt;=$D453,$A453&lt;&gt;""),"●","")</x:f>
      </x:c>
      <x:c r="Z453" s="165" t="str">
        <x:f>IF(AND(Z$5&gt;=$C453,Z$5&lt;=$D453,$A453&lt;&gt;""),"●","")</x:f>
      </x:c>
      <x:c r="AA453" s="165" t="str">
        <x:f>IF(AND(AA$5&gt;=$C453,AA$5&lt;=$D453,$A453&lt;&gt;""),"●","")</x:f>
      </x:c>
      <x:c r="AB453" s="165" t="str">
        <x:f>IF(AND(AB$5&gt;=$C453,AB$5&lt;=$D453,$A453&lt;&gt;""),"●","")</x:f>
      </x:c>
      <x:c r="AC453" s="165" t="str">
        <x:f>IF(AND(AC$5&gt;=$C453,AC$5&lt;=$D453,$A453&lt;&gt;""),"●","")</x:f>
      </x:c>
      <x:c r="AD453" s="165" t="str">
        <x:f>IF(AND(AD$5&gt;=$C453,AD$5&lt;=$D453,$A453&lt;&gt;""),"●","")</x:f>
      </x:c>
      <x:c r="AE453" s="165" t="str">
        <x:f>IF(AND(AE$5&gt;=$C453,AE$5&lt;=$D453,$A453&lt;&gt;""),"●","")</x:f>
      </x:c>
      <x:c r="AF453" s="165" t="str">
        <x:f>IF(AND(AF$5&gt;=$C453,AF$5&lt;=$D453,$A453&lt;&gt;""),"●","")</x:f>
      </x:c>
      <x:c r="AG453" s="165" t="str">
        <x:f>IF(AND(AG$5&gt;=$C453,AG$5&lt;=$D453,$A453&lt;&gt;""),"●","")</x:f>
      </x:c>
      <x:c r="AH453" s="165" t="str">
        <x:f>IF(AND(AH$5&gt;=$C453,AH$5&lt;=$D453,$A453&lt;&gt;""),"●","")</x:f>
      </x:c>
      <x:c r="AI453" s="165" t="str">
        <x:f>IF(AND(AI$5&gt;=$C453,AI$5&lt;=$D453,$A453&lt;&gt;""),"●","")</x:f>
      </x:c>
      <x:c r="AJ453" s="165" t="str">
        <x:f>IF(AND(AJ$5&gt;=$C453,AJ$5&lt;=$D453,$A453&lt;&gt;""),"●","")</x:f>
      </x:c>
      <x:c r="AK453" s="165" t="str">
        <x:f>IF(AND(AK$5&gt;=$C453,AK$5&lt;=$D453,$A453&lt;&gt;""),"●","")</x:f>
      </x:c>
      <x:c r="AL453" s="165" t="str">
        <x:f>IF(AND(AL$5&gt;=$C453,AL$5&lt;=$D453,$A453&lt;&gt;""),"●","")</x:f>
      </x:c>
      <x:c r="AM453" s="165" t="str">
        <x:f>IF(AND(AM$5&gt;=$C453,AM$5&lt;=$D453,$A453&lt;&gt;""),"●","")</x:f>
      </x:c>
      <x:c r="AN453" s="165" t="str">
        <x:f>IF(AND(AN$5&gt;=$C453,AN$5&lt;=$D453,$A453&lt;&gt;""),"●","")</x:f>
      </x:c>
      <x:c r="AO453" s="165" t="str">
        <x:f>IF(AND(AO$5&gt;=$C453,AO$5&lt;=$D453,$A453&lt;&gt;""),"●","")</x:f>
      </x:c>
      <x:c r="AP453" s="165" t="str">
        <x:f>IF(AND(AP$5&gt;=$C453,AP$5&lt;=$D453,$A453&lt;&gt;""),"●","")</x:f>
      </x:c>
      <x:c r="AQ453" s="165" t="str">
        <x:f>IF(AND(AQ$5&gt;=$C453,AQ$5&lt;=$D453,$A453&lt;&gt;""),"●","")</x:f>
      </x:c>
      <x:c r="AR453" s="165" t="str">
        <x:f>IF(AND(AR$5&gt;=$C453,AR$5&lt;=$D453,$A453&lt;&gt;""),"●","")</x:f>
      </x:c>
      <x:c r="AS453" s="165" t="str">
        <x:f>IF(AND(AS$5&gt;=$C453,AS$5&lt;=$D453,$A453&lt;&gt;""),"●","")</x:f>
      </x:c>
      <x:c r="AT453" s="165" t="str">
        <x:f>IF(AND(AT$5&gt;=$C453,AT$5&lt;=$D453,$A453&lt;&gt;""),"●","")</x:f>
      </x:c>
      <x:c r="AU453" s="165" t="str">
        <x:f>IF(AND(AU$5&gt;=$C453,AU$5&lt;=$D453,$A453&lt;&gt;""),"●","")</x:f>
      </x:c>
      <x:c r="AV453" s="165" t="str">
        <x:f>IF(AND(AV$5&gt;=$C453,AV$5&lt;=$D453,$A453&lt;&gt;""),"●","")</x:f>
      </x:c>
      <x:c r="AW453" s="165" t="str">
        <x:f>IF(AND(AW$5&gt;=$C453,AW$5&lt;=$D453,$A453&lt;&gt;""),"●","")</x:f>
      </x:c>
      <x:c r="AX453" s="165" t="str">
        <x:f>IF(AND(AX$5&gt;=$C453,AX$5&lt;=$D453,$A453&lt;&gt;""),"●","")</x:f>
      </x:c>
      <x:c r="AY453" s="165" t="str">
        <x:f>IF(AND(AY$5&gt;=$C453,AY$5&lt;=$D453,$A453&lt;&gt;""),"●","")</x:f>
      </x:c>
      <x:c r="AZ453" s="165" t="str">
        <x:f>IF(AND(AZ$5&gt;=$C453,AZ$5&lt;=$D453,$A453&lt;&gt;""),"●","")</x:f>
      </x:c>
      <x:c r="BA453" s="165" t="str">
        <x:f>IF(AND(BA$5&gt;=$C453,BA$5&lt;=$D453,$A453&lt;&gt;""),"●","")</x:f>
      </x:c>
      <x:c r="BB453" s="165" t="str">
        <x:f>IF(AND(BB$5&gt;=$C453,BB$5&lt;=$D453,$A453&lt;&gt;""),"●","")</x:f>
      </x:c>
      <x:c r="BC453" s="165" t="str">
        <x:f>IF(AND(BC$5&gt;=$C453,BC$5&lt;=$D453,$A453&lt;&gt;""),"●","")</x:f>
      </x:c>
      <x:c r="BD453" s="165" t="str">
        <x:f>IF(AND(BD$5&gt;=$C453,BD$5&lt;=$D453,$A453&lt;&gt;""),"●","")</x:f>
      </x:c>
      <x:c r="BE453" s="165" t="str">
        <x:f>IF(AND(BE$5&gt;=$C453,BE$5&lt;=$D453,$A453&lt;&gt;""),"●","")</x:f>
      </x:c>
      <x:c r="BF453" s="165" t="str">
        <x:f>IF(AND(BF$5&gt;=$C453,BF$5&lt;=$D453,$A453&lt;&gt;""),"●","")</x:f>
      </x:c>
      <x:c r="BG453" s="165" t="str">
        <x:f>IF(AND(BG$5&gt;=$C453,BG$5&lt;=$D453,$A453&lt;&gt;""),"●","")</x:f>
      </x:c>
      <x:c r="BH453" s="165" t="str">
        <x:f>IF(AND(BH$5&gt;=$C453,BH$5&lt;=$D453,$A453&lt;&gt;""),"●","")</x:f>
      </x:c>
      <x:c r="BI453" s="165" t="str">
        <x:f>IF(AND(BI$5&gt;=$C453,BI$5&lt;=$D453,$A453&lt;&gt;""),"●","")</x:f>
      </x:c>
      <x:c r="BJ453" s="165" t="str">
        <x:f>IF(AND(BJ$5&gt;=$C453,BJ$5&lt;=$D453,$A453&lt;&gt;""),"●","")</x:f>
      </x:c>
      <x:c r="BK453" s="165" t="str">
        <x:f>IF(AND(BK$5&gt;=$C453,BK$5&lt;=$D453,$A453&lt;&gt;""),"●","")</x:f>
      </x:c>
      <x:c r="BL453" s="165" t="str">
        <x:f>IF(AND(BL$5&gt;=$C453,BL$5&lt;=$D453,$A453&lt;&gt;""),"●","")</x:f>
      </x:c>
      <x:c r="BM453" s="165" t="str">
        <x:f>IF(AND(BM$5&gt;=$C453,BM$5&lt;=$D453,$A453&lt;&gt;""),"●","")</x:f>
      </x:c>
      <x:c r="BN453" s="165" t="str">
        <x:f>IF(AND(BN$5&gt;=$C453,BN$5&lt;=$D453,$A453&lt;&gt;""),"●","")</x:f>
      </x:c>
      <x:c r="BO453" s="165" t="str">
        <x:f>IF(AND(BO$5&gt;=$C453,BO$5&lt;=$D453,$A453&lt;&gt;""),"●","")</x:f>
      </x:c>
      <x:c r="BP453" s="165" t="str">
        <x:f>IF(AND(BP$5&gt;=$C453,BP$5&lt;=$D453,$A453&lt;&gt;""),"●","")</x:f>
      </x:c>
      <x:c r="BQ453" s="165" t="str">
        <x:f>IF(AND(BQ$5&gt;=$C453,BQ$5&lt;=$D453,$A453&lt;&gt;""),"●","")</x:f>
      </x:c>
      <x:c r="BR453" s="165" t="str">
        <x:f>IF(AND(BR$5&gt;=$C453,BR$5&lt;=$D453,$A453&lt;&gt;""),"●","")</x:f>
      </x:c>
      <x:c r="BS453" s="165" t="str">
        <x:f>IF(AND(BS$5&gt;=$C453,BS$5&lt;=$D453,$A453&lt;&gt;""),"●","")</x:f>
      </x:c>
      <x:c r="BT453" s="165" t="str">
        <x:f>IF(AND(BT$5&gt;=$C453,BT$5&lt;=$D453,$A453&lt;&gt;""),"●","")</x:f>
      </x:c>
      <x:c r="BU453" s="165" t="str">
        <x:f>IF(AND(BU$5&gt;=$C453,BU$5&lt;=$D453,$A453&lt;&gt;""),"●","")</x:f>
      </x:c>
      <x:c r="BV453" s="165" t="str">
        <x:f>IF(AND(BV$5&gt;=$C453,BV$5&lt;=$D453,$A453&lt;&gt;""),"●","")</x:f>
      </x:c>
      <x:c r="BW453" s="165" t="str">
        <x:f>IF(AND(BW$5&gt;=$C453,BW$5&lt;=$D453,$A453&lt;&gt;""),"●","")</x:f>
      </x:c>
    </x:row>
    <x:row r="454">
      <x:c r="A454" s="159" t="str">
        <x:f>IF('รายการสัญญา'!A454="","",'รายการสัญญา'!A454)</x:f>
      </x:c>
      <x:c r="B454" s="159" t="str">
        <x:f>IF('รายการสัญญา'!A454="","",'รายการสัญญา'!C454)</x:f>
      </x:c>
      <x:c r="C454" s="162" t="str">
        <x:f>IF('รายการสัญญา'!A454="","",'รายการสัญญา'!E454)</x:f>
      </x:c>
      <x:c r="D454" s="162" t="str">
        <x:f>IF('รายการสัญญา'!A454="","",'รายการสัญญา'!G454)</x:f>
      </x:c>
      <x:c r="E454" s="159" t="str">
        <x:f>IF('รายการสัญญา'!A454="","",'รายการสัญญา'!K454)</x:f>
      </x:c>
      <x:c r="F454" s="165" t="str">
        <x:f>IF(AND(F$5&gt;=$C454,F$5&lt;=$D454,$A454&lt;&gt;""),"●","")</x:f>
      </x:c>
      <x:c r="G454" s="165" t="str">
        <x:f>IF(AND(G$5&gt;=$C454,G$5&lt;=$D454,$A454&lt;&gt;""),"●","")</x:f>
      </x:c>
      <x:c r="H454" s="165" t="str">
        <x:f>IF(AND(H$5&gt;=$C454,H$5&lt;=$D454,$A454&lt;&gt;""),"●","")</x:f>
      </x:c>
      <x:c r="I454" s="165" t="str">
        <x:f>IF(AND(I$5&gt;=$C454,I$5&lt;=$D454,$A454&lt;&gt;""),"●","")</x:f>
      </x:c>
      <x:c r="J454" s="165" t="str">
        <x:f>IF(AND(J$5&gt;=$C454,J$5&lt;=$D454,$A454&lt;&gt;""),"●","")</x:f>
      </x:c>
      <x:c r="K454" s="165" t="str">
        <x:f>IF(AND(K$5&gt;=$C454,K$5&lt;=$D454,$A454&lt;&gt;""),"●","")</x:f>
      </x:c>
      <x:c r="L454" s="165" t="str">
        <x:f>IF(AND(L$5&gt;=$C454,L$5&lt;=$D454,$A454&lt;&gt;""),"●","")</x:f>
      </x:c>
      <x:c r="M454" s="165" t="str">
        <x:f>IF(AND(M$5&gt;=$C454,M$5&lt;=$D454,$A454&lt;&gt;""),"●","")</x:f>
      </x:c>
      <x:c r="N454" s="165" t="str">
        <x:f>IF(AND(N$5&gt;=$C454,N$5&lt;=$D454,$A454&lt;&gt;""),"●","")</x:f>
      </x:c>
      <x:c r="O454" s="165" t="str">
        <x:f>IF(AND(O$5&gt;=$C454,O$5&lt;=$D454,$A454&lt;&gt;""),"●","")</x:f>
      </x:c>
      <x:c r="P454" s="165" t="str">
        <x:f>IF(AND(P$5&gt;=$C454,P$5&lt;=$D454,$A454&lt;&gt;""),"●","")</x:f>
      </x:c>
      <x:c r="Q454" s="165" t="str">
        <x:f>IF(AND(Q$5&gt;=$C454,Q$5&lt;=$D454,$A454&lt;&gt;""),"●","")</x:f>
      </x:c>
      <x:c r="R454" s="165" t="str">
        <x:f>IF(AND(R$5&gt;=$C454,R$5&lt;=$D454,$A454&lt;&gt;""),"●","")</x:f>
      </x:c>
      <x:c r="S454" s="165" t="str">
        <x:f>IF(AND(S$5&gt;=$C454,S$5&lt;=$D454,$A454&lt;&gt;""),"●","")</x:f>
      </x:c>
      <x:c r="T454" s="165" t="str">
        <x:f>IF(AND(T$5&gt;=$C454,T$5&lt;=$D454,$A454&lt;&gt;""),"●","")</x:f>
      </x:c>
      <x:c r="U454" s="165" t="str">
        <x:f>IF(AND(U$5&gt;=$C454,U$5&lt;=$D454,$A454&lt;&gt;""),"●","")</x:f>
      </x:c>
      <x:c r="V454" s="165" t="str">
        <x:f>IF(AND(V$5&gt;=$C454,V$5&lt;=$D454,$A454&lt;&gt;""),"●","")</x:f>
      </x:c>
      <x:c r="W454" s="165" t="str">
        <x:f>IF(AND(W$5&gt;=$C454,W$5&lt;=$D454,$A454&lt;&gt;""),"●","")</x:f>
      </x:c>
      <x:c r="X454" s="165" t="str">
        <x:f>IF(AND(X$5&gt;=$C454,X$5&lt;=$D454,$A454&lt;&gt;""),"●","")</x:f>
      </x:c>
      <x:c r="Y454" s="165" t="str">
        <x:f>IF(AND(Y$5&gt;=$C454,Y$5&lt;=$D454,$A454&lt;&gt;""),"●","")</x:f>
      </x:c>
      <x:c r="Z454" s="165" t="str">
        <x:f>IF(AND(Z$5&gt;=$C454,Z$5&lt;=$D454,$A454&lt;&gt;""),"●","")</x:f>
      </x:c>
      <x:c r="AA454" s="165" t="str">
        <x:f>IF(AND(AA$5&gt;=$C454,AA$5&lt;=$D454,$A454&lt;&gt;""),"●","")</x:f>
      </x:c>
      <x:c r="AB454" s="165" t="str">
        <x:f>IF(AND(AB$5&gt;=$C454,AB$5&lt;=$D454,$A454&lt;&gt;""),"●","")</x:f>
      </x:c>
      <x:c r="AC454" s="165" t="str">
        <x:f>IF(AND(AC$5&gt;=$C454,AC$5&lt;=$D454,$A454&lt;&gt;""),"●","")</x:f>
      </x:c>
      <x:c r="AD454" s="165" t="str">
        <x:f>IF(AND(AD$5&gt;=$C454,AD$5&lt;=$D454,$A454&lt;&gt;""),"●","")</x:f>
      </x:c>
      <x:c r="AE454" s="165" t="str">
        <x:f>IF(AND(AE$5&gt;=$C454,AE$5&lt;=$D454,$A454&lt;&gt;""),"●","")</x:f>
      </x:c>
      <x:c r="AF454" s="165" t="str">
        <x:f>IF(AND(AF$5&gt;=$C454,AF$5&lt;=$D454,$A454&lt;&gt;""),"●","")</x:f>
      </x:c>
      <x:c r="AG454" s="165" t="str">
        <x:f>IF(AND(AG$5&gt;=$C454,AG$5&lt;=$D454,$A454&lt;&gt;""),"●","")</x:f>
      </x:c>
      <x:c r="AH454" s="165" t="str">
        <x:f>IF(AND(AH$5&gt;=$C454,AH$5&lt;=$D454,$A454&lt;&gt;""),"●","")</x:f>
      </x:c>
      <x:c r="AI454" s="165" t="str">
        <x:f>IF(AND(AI$5&gt;=$C454,AI$5&lt;=$D454,$A454&lt;&gt;""),"●","")</x:f>
      </x:c>
      <x:c r="AJ454" s="165" t="str">
        <x:f>IF(AND(AJ$5&gt;=$C454,AJ$5&lt;=$D454,$A454&lt;&gt;""),"●","")</x:f>
      </x:c>
      <x:c r="AK454" s="165" t="str">
        <x:f>IF(AND(AK$5&gt;=$C454,AK$5&lt;=$D454,$A454&lt;&gt;""),"●","")</x:f>
      </x:c>
      <x:c r="AL454" s="165" t="str">
        <x:f>IF(AND(AL$5&gt;=$C454,AL$5&lt;=$D454,$A454&lt;&gt;""),"●","")</x:f>
      </x:c>
      <x:c r="AM454" s="165" t="str">
        <x:f>IF(AND(AM$5&gt;=$C454,AM$5&lt;=$D454,$A454&lt;&gt;""),"●","")</x:f>
      </x:c>
      <x:c r="AN454" s="165" t="str">
        <x:f>IF(AND(AN$5&gt;=$C454,AN$5&lt;=$D454,$A454&lt;&gt;""),"●","")</x:f>
      </x:c>
      <x:c r="AO454" s="165" t="str">
        <x:f>IF(AND(AO$5&gt;=$C454,AO$5&lt;=$D454,$A454&lt;&gt;""),"●","")</x:f>
      </x:c>
      <x:c r="AP454" s="165" t="str">
        <x:f>IF(AND(AP$5&gt;=$C454,AP$5&lt;=$D454,$A454&lt;&gt;""),"●","")</x:f>
      </x:c>
      <x:c r="AQ454" s="165" t="str">
        <x:f>IF(AND(AQ$5&gt;=$C454,AQ$5&lt;=$D454,$A454&lt;&gt;""),"●","")</x:f>
      </x:c>
      <x:c r="AR454" s="165" t="str">
        <x:f>IF(AND(AR$5&gt;=$C454,AR$5&lt;=$D454,$A454&lt;&gt;""),"●","")</x:f>
      </x:c>
      <x:c r="AS454" s="165" t="str">
        <x:f>IF(AND(AS$5&gt;=$C454,AS$5&lt;=$D454,$A454&lt;&gt;""),"●","")</x:f>
      </x:c>
      <x:c r="AT454" s="165" t="str">
        <x:f>IF(AND(AT$5&gt;=$C454,AT$5&lt;=$D454,$A454&lt;&gt;""),"●","")</x:f>
      </x:c>
      <x:c r="AU454" s="165" t="str">
        <x:f>IF(AND(AU$5&gt;=$C454,AU$5&lt;=$D454,$A454&lt;&gt;""),"●","")</x:f>
      </x:c>
      <x:c r="AV454" s="165" t="str">
        <x:f>IF(AND(AV$5&gt;=$C454,AV$5&lt;=$D454,$A454&lt;&gt;""),"●","")</x:f>
      </x:c>
      <x:c r="AW454" s="165" t="str">
        <x:f>IF(AND(AW$5&gt;=$C454,AW$5&lt;=$D454,$A454&lt;&gt;""),"●","")</x:f>
      </x:c>
      <x:c r="AX454" s="165" t="str">
        <x:f>IF(AND(AX$5&gt;=$C454,AX$5&lt;=$D454,$A454&lt;&gt;""),"●","")</x:f>
      </x:c>
      <x:c r="AY454" s="165" t="str">
        <x:f>IF(AND(AY$5&gt;=$C454,AY$5&lt;=$D454,$A454&lt;&gt;""),"●","")</x:f>
      </x:c>
      <x:c r="AZ454" s="165" t="str">
        <x:f>IF(AND(AZ$5&gt;=$C454,AZ$5&lt;=$D454,$A454&lt;&gt;""),"●","")</x:f>
      </x:c>
      <x:c r="BA454" s="165" t="str">
        <x:f>IF(AND(BA$5&gt;=$C454,BA$5&lt;=$D454,$A454&lt;&gt;""),"●","")</x:f>
      </x:c>
      <x:c r="BB454" s="165" t="str">
        <x:f>IF(AND(BB$5&gt;=$C454,BB$5&lt;=$D454,$A454&lt;&gt;""),"●","")</x:f>
      </x:c>
      <x:c r="BC454" s="165" t="str">
        <x:f>IF(AND(BC$5&gt;=$C454,BC$5&lt;=$D454,$A454&lt;&gt;""),"●","")</x:f>
      </x:c>
      <x:c r="BD454" s="165" t="str">
        <x:f>IF(AND(BD$5&gt;=$C454,BD$5&lt;=$D454,$A454&lt;&gt;""),"●","")</x:f>
      </x:c>
      <x:c r="BE454" s="165" t="str">
        <x:f>IF(AND(BE$5&gt;=$C454,BE$5&lt;=$D454,$A454&lt;&gt;""),"●","")</x:f>
      </x:c>
      <x:c r="BF454" s="165" t="str">
        <x:f>IF(AND(BF$5&gt;=$C454,BF$5&lt;=$D454,$A454&lt;&gt;""),"●","")</x:f>
      </x:c>
      <x:c r="BG454" s="165" t="str">
        <x:f>IF(AND(BG$5&gt;=$C454,BG$5&lt;=$D454,$A454&lt;&gt;""),"●","")</x:f>
      </x:c>
      <x:c r="BH454" s="165" t="str">
        <x:f>IF(AND(BH$5&gt;=$C454,BH$5&lt;=$D454,$A454&lt;&gt;""),"●","")</x:f>
      </x:c>
      <x:c r="BI454" s="165" t="str">
        <x:f>IF(AND(BI$5&gt;=$C454,BI$5&lt;=$D454,$A454&lt;&gt;""),"●","")</x:f>
      </x:c>
      <x:c r="BJ454" s="165" t="str">
        <x:f>IF(AND(BJ$5&gt;=$C454,BJ$5&lt;=$D454,$A454&lt;&gt;""),"●","")</x:f>
      </x:c>
      <x:c r="BK454" s="165" t="str">
        <x:f>IF(AND(BK$5&gt;=$C454,BK$5&lt;=$D454,$A454&lt;&gt;""),"●","")</x:f>
      </x:c>
      <x:c r="BL454" s="165" t="str">
        <x:f>IF(AND(BL$5&gt;=$C454,BL$5&lt;=$D454,$A454&lt;&gt;""),"●","")</x:f>
      </x:c>
      <x:c r="BM454" s="165" t="str">
        <x:f>IF(AND(BM$5&gt;=$C454,BM$5&lt;=$D454,$A454&lt;&gt;""),"●","")</x:f>
      </x:c>
      <x:c r="BN454" s="165" t="str">
        <x:f>IF(AND(BN$5&gt;=$C454,BN$5&lt;=$D454,$A454&lt;&gt;""),"●","")</x:f>
      </x:c>
      <x:c r="BO454" s="165" t="str">
        <x:f>IF(AND(BO$5&gt;=$C454,BO$5&lt;=$D454,$A454&lt;&gt;""),"●","")</x:f>
      </x:c>
      <x:c r="BP454" s="165" t="str">
        <x:f>IF(AND(BP$5&gt;=$C454,BP$5&lt;=$D454,$A454&lt;&gt;""),"●","")</x:f>
      </x:c>
      <x:c r="BQ454" s="165" t="str">
        <x:f>IF(AND(BQ$5&gt;=$C454,BQ$5&lt;=$D454,$A454&lt;&gt;""),"●","")</x:f>
      </x:c>
      <x:c r="BR454" s="165" t="str">
        <x:f>IF(AND(BR$5&gt;=$C454,BR$5&lt;=$D454,$A454&lt;&gt;""),"●","")</x:f>
      </x:c>
      <x:c r="BS454" s="165" t="str">
        <x:f>IF(AND(BS$5&gt;=$C454,BS$5&lt;=$D454,$A454&lt;&gt;""),"●","")</x:f>
      </x:c>
      <x:c r="BT454" s="165" t="str">
        <x:f>IF(AND(BT$5&gt;=$C454,BT$5&lt;=$D454,$A454&lt;&gt;""),"●","")</x:f>
      </x:c>
      <x:c r="BU454" s="165" t="str">
        <x:f>IF(AND(BU$5&gt;=$C454,BU$5&lt;=$D454,$A454&lt;&gt;""),"●","")</x:f>
      </x:c>
      <x:c r="BV454" s="165" t="str">
        <x:f>IF(AND(BV$5&gt;=$C454,BV$5&lt;=$D454,$A454&lt;&gt;""),"●","")</x:f>
      </x:c>
      <x:c r="BW454" s="165" t="str">
        <x:f>IF(AND(BW$5&gt;=$C454,BW$5&lt;=$D454,$A454&lt;&gt;""),"●","")</x:f>
      </x:c>
    </x:row>
    <x:row r="455">
      <x:c r="A455" s="159" t="str">
        <x:f>IF('รายการสัญญา'!A455="","",'รายการสัญญา'!A455)</x:f>
      </x:c>
      <x:c r="B455" s="159" t="str">
        <x:f>IF('รายการสัญญา'!A455="","",'รายการสัญญา'!C455)</x:f>
      </x:c>
      <x:c r="C455" s="162" t="str">
        <x:f>IF('รายการสัญญา'!A455="","",'รายการสัญญา'!E455)</x:f>
      </x:c>
      <x:c r="D455" s="162" t="str">
        <x:f>IF('รายการสัญญา'!A455="","",'รายการสัญญา'!G455)</x:f>
      </x:c>
      <x:c r="E455" s="159" t="str">
        <x:f>IF('รายการสัญญา'!A455="","",'รายการสัญญา'!K455)</x:f>
      </x:c>
      <x:c r="F455" s="165" t="str">
        <x:f>IF(AND(F$5&gt;=$C455,F$5&lt;=$D455,$A455&lt;&gt;""),"●","")</x:f>
      </x:c>
      <x:c r="G455" s="165" t="str">
        <x:f>IF(AND(G$5&gt;=$C455,G$5&lt;=$D455,$A455&lt;&gt;""),"●","")</x:f>
      </x:c>
      <x:c r="H455" s="165" t="str">
        <x:f>IF(AND(H$5&gt;=$C455,H$5&lt;=$D455,$A455&lt;&gt;""),"●","")</x:f>
      </x:c>
      <x:c r="I455" s="165" t="str">
        <x:f>IF(AND(I$5&gt;=$C455,I$5&lt;=$D455,$A455&lt;&gt;""),"●","")</x:f>
      </x:c>
      <x:c r="J455" s="165" t="str">
        <x:f>IF(AND(J$5&gt;=$C455,J$5&lt;=$D455,$A455&lt;&gt;""),"●","")</x:f>
      </x:c>
      <x:c r="K455" s="165" t="str">
        <x:f>IF(AND(K$5&gt;=$C455,K$5&lt;=$D455,$A455&lt;&gt;""),"●","")</x:f>
      </x:c>
      <x:c r="L455" s="165" t="str">
        <x:f>IF(AND(L$5&gt;=$C455,L$5&lt;=$D455,$A455&lt;&gt;""),"●","")</x:f>
      </x:c>
      <x:c r="M455" s="165" t="str">
        <x:f>IF(AND(M$5&gt;=$C455,M$5&lt;=$D455,$A455&lt;&gt;""),"●","")</x:f>
      </x:c>
      <x:c r="N455" s="165" t="str">
        <x:f>IF(AND(N$5&gt;=$C455,N$5&lt;=$D455,$A455&lt;&gt;""),"●","")</x:f>
      </x:c>
      <x:c r="O455" s="165" t="str">
        <x:f>IF(AND(O$5&gt;=$C455,O$5&lt;=$D455,$A455&lt;&gt;""),"●","")</x:f>
      </x:c>
      <x:c r="P455" s="165" t="str">
        <x:f>IF(AND(P$5&gt;=$C455,P$5&lt;=$D455,$A455&lt;&gt;""),"●","")</x:f>
      </x:c>
      <x:c r="Q455" s="165" t="str">
        <x:f>IF(AND(Q$5&gt;=$C455,Q$5&lt;=$D455,$A455&lt;&gt;""),"●","")</x:f>
      </x:c>
      <x:c r="R455" s="165" t="str">
        <x:f>IF(AND(R$5&gt;=$C455,R$5&lt;=$D455,$A455&lt;&gt;""),"●","")</x:f>
      </x:c>
      <x:c r="S455" s="165" t="str">
        <x:f>IF(AND(S$5&gt;=$C455,S$5&lt;=$D455,$A455&lt;&gt;""),"●","")</x:f>
      </x:c>
      <x:c r="T455" s="165" t="str">
        <x:f>IF(AND(T$5&gt;=$C455,T$5&lt;=$D455,$A455&lt;&gt;""),"●","")</x:f>
      </x:c>
      <x:c r="U455" s="165" t="str">
        <x:f>IF(AND(U$5&gt;=$C455,U$5&lt;=$D455,$A455&lt;&gt;""),"●","")</x:f>
      </x:c>
      <x:c r="V455" s="165" t="str">
        <x:f>IF(AND(V$5&gt;=$C455,V$5&lt;=$D455,$A455&lt;&gt;""),"●","")</x:f>
      </x:c>
      <x:c r="W455" s="165" t="str">
        <x:f>IF(AND(W$5&gt;=$C455,W$5&lt;=$D455,$A455&lt;&gt;""),"●","")</x:f>
      </x:c>
      <x:c r="X455" s="165" t="str">
        <x:f>IF(AND(X$5&gt;=$C455,X$5&lt;=$D455,$A455&lt;&gt;""),"●","")</x:f>
      </x:c>
      <x:c r="Y455" s="165" t="str">
        <x:f>IF(AND(Y$5&gt;=$C455,Y$5&lt;=$D455,$A455&lt;&gt;""),"●","")</x:f>
      </x:c>
      <x:c r="Z455" s="165" t="str">
        <x:f>IF(AND(Z$5&gt;=$C455,Z$5&lt;=$D455,$A455&lt;&gt;""),"●","")</x:f>
      </x:c>
      <x:c r="AA455" s="165" t="str">
        <x:f>IF(AND(AA$5&gt;=$C455,AA$5&lt;=$D455,$A455&lt;&gt;""),"●","")</x:f>
      </x:c>
      <x:c r="AB455" s="165" t="str">
        <x:f>IF(AND(AB$5&gt;=$C455,AB$5&lt;=$D455,$A455&lt;&gt;""),"●","")</x:f>
      </x:c>
      <x:c r="AC455" s="165" t="str">
        <x:f>IF(AND(AC$5&gt;=$C455,AC$5&lt;=$D455,$A455&lt;&gt;""),"●","")</x:f>
      </x:c>
      <x:c r="AD455" s="165" t="str">
        <x:f>IF(AND(AD$5&gt;=$C455,AD$5&lt;=$D455,$A455&lt;&gt;""),"●","")</x:f>
      </x:c>
      <x:c r="AE455" s="165" t="str">
        <x:f>IF(AND(AE$5&gt;=$C455,AE$5&lt;=$D455,$A455&lt;&gt;""),"●","")</x:f>
      </x:c>
      <x:c r="AF455" s="165" t="str">
        <x:f>IF(AND(AF$5&gt;=$C455,AF$5&lt;=$D455,$A455&lt;&gt;""),"●","")</x:f>
      </x:c>
      <x:c r="AG455" s="165" t="str">
        <x:f>IF(AND(AG$5&gt;=$C455,AG$5&lt;=$D455,$A455&lt;&gt;""),"●","")</x:f>
      </x:c>
      <x:c r="AH455" s="165" t="str">
        <x:f>IF(AND(AH$5&gt;=$C455,AH$5&lt;=$D455,$A455&lt;&gt;""),"●","")</x:f>
      </x:c>
      <x:c r="AI455" s="165" t="str">
        <x:f>IF(AND(AI$5&gt;=$C455,AI$5&lt;=$D455,$A455&lt;&gt;""),"●","")</x:f>
      </x:c>
      <x:c r="AJ455" s="165" t="str">
        <x:f>IF(AND(AJ$5&gt;=$C455,AJ$5&lt;=$D455,$A455&lt;&gt;""),"●","")</x:f>
      </x:c>
      <x:c r="AK455" s="165" t="str">
        <x:f>IF(AND(AK$5&gt;=$C455,AK$5&lt;=$D455,$A455&lt;&gt;""),"●","")</x:f>
      </x:c>
      <x:c r="AL455" s="165" t="str">
        <x:f>IF(AND(AL$5&gt;=$C455,AL$5&lt;=$D455,$A455&lt;&gt;""),"●","")</x:f>
      </x:c>
      <x:c r="AM455" s="165" t="str">
        <x:f>IF(AND(AM$5&gt;=$C455,AM$5&lt;=$D455,$A455&lt;&gt;""),"●","")</x:f>
      </x:c>
      <x:c r="AN455" s="165" t="str">
        <x:f>IF(AND(AN$5&gt;=$C455,AN$5&lt;=$D455,$A455&lt;&gt;""),"●","")</x:f>
      </x:c>
      <x:c r="AO455" s="165" t="str">
        <x:f>IF(AND(AO$5&gt;=$C455,AO$5&lt;=$D455,$A455&lt;&gt;""),"●","")</x:f>
      </x:c>
      <x:c r="AP455" s="165" t="str">
        <x:f>IF(AND(AP$5&gt;=$C455,AP$5&lt;=$D455,$A455&lt;&gt;""),"●","")</x:f>
      </x:c>
      <x:c r="AQ455" s="165" t="str">
        <x:f>IF(AND(AQ$5&gt;=$C455,AQ$5&lt;=$D455,$A455&lt;&gt;""),"●","")</x:f>
      </x:c>
      <x:c r="AR455" s="165" t="str">
        <x:f>IF(AND(AR$5&gt;=$C455,AR$5&lt;=$D455,$A455&lt;&gt;""),"●","")</x:f>
      </x:c>
      <x:c r="AS455" s="165" t="str">
        <x:f>IF(AND(AS$5&gt;=$C455,AS$5&lt;=$D455,$A455&lt;&gt;""),"●","")</x:f>
      </x:c>
      <x:c r="AT455" s="165" t="str">
        <x:f>IF(AND(AT$5&gt;=$C455,AT$5&lt;=$D455,$A455&lt;&gt;""),"●","")</x:f>
      </x:c>
      <x:c r="AU455" s="165" t="str">
        <x:f>IF(AND(AU$5&gt;=$C455,AU$5&lt;=$D455,$A455&lt;&gt;""),"●","")</x:f>
      </x:c>
      <x:c r="AV455" s="165" t="str">
        <x:f>IF(AND(AV$5&gt;=$C455,AV$5&lt;=$D455,$A455&lt;&gt;""),"●","")</x:f>
      </x:c>
      <x:c r="AW455" s="165" t="str">
        <x:f>IF(AND(AW$5&gt;=$C455,AW$5&lt;=$D455,$A455&lt;&gt;""),"●","")</x:f>
      </x:c>
      <x:c r="AX455" s="165" t="str">
        <x:f>IF(AND(AX$5&gt;=$C455,AX$5&lt;=$D455,$A455&lt;&gt;""),"●","")</x:f>
      </x:c>
      <x:c r="AY455" s="165" t="str">
        <x:f>IF(AND(AY$5&gt;=$C455,AY$5&lt;=$D455,$A455&lt;&gt;""),"●","")</x:f>
      </x:c>
      <x:c r="AZ455" s="165" t="str">
        <x:f>IF(AND(AZ$5&gt;=$C455,AZ$5&lt;=$D455,$A455&lt;&gt;""),"●","")</x:f>
      </x:c>
      <x:c r="BA455" s="165" t="str">
        <x:f>IF(AND(BA$5&gt;=$C455,BA$5&lt;=$D455,$A455&lt;&gt;""),"●","")</x:f>
      </x:c>
      <x:c r="BB455" s="165" t="str">
        <x:f>IF(AND(BB$5&gt;=$C455,BB$5&lt;=$D455,$A455&lt;&gt;""),"●","")</x:f>
      </x:c>
      <x:c r="BC455" s="165" t="str">
        <x:f>IF(AND(BC$5&gt;=$C455,BC$5&lt;=$D455,$A455&lt;&gt;""),"●","")</x:f>
      </x:c>
      <x:c r="BD455" s="165" t="str">
        <x:f>IF(AND(BD$5&gt;=$C455,BD$5&lt;=$D455,$A455&lt;&gt;""),"●","")</x:f>
      </x:c>
      <x:c r="BE455" s="165" t="str">
        <x:f>IF(AND(BE$5&gt;=$C455,BE$5&lt;=$D455,$A455&lt;&gt;""),"●","")</x:f>
      </x:c>
      <x:c r="BF455" s="165" t="str">
        <x:f>IF(AND(BF$5&gt;=$C455,BF$5&lt;=$D455,$A455&lt;&gt;""),"●","")</x:f>
      </x:c>
      <x:c r="BG455" s="165" t="str">
        <x:f>IF(AND(BG$5&gt;=$C455,BG$5&lt;=$D455,$A455&lt;&gt;""),"●","")</x:f>
      </x:c>
      <x:c r="BH455" s="165" t="str">
        <x:f>IF(AND(BH$5&gt;=$C455,BH$5&lt;=$D455,$A455&lt;&gt;""),"●","")</x:f>
      </x:c>
      <x:c r="BI455" s="165" t="str">
        <x:f>IF(AND(BI$5&gt;=$C455,BI$5&lt;=$D455,$A455&lt;&gt;""),"●","")</x:f>
      </x:c>
      <x:c r="BJ455" s="165" t="str">
        <x:f>IF(AND(BJ$5&gt;=$C455,BJ$5&lt;=$D455,$A455&lt;&gt;""),"●","")</x:f>
      </x:c>
      <x:c r="BK455" s="165" t="str">
        <x:f>IF(AND(BK$5&gt;=$C455,BK$5&lt;=$D455,$A455&lt;&gt;""),"●","")</x:f>
      </x:c>
      <x:c r="BL455" s="165" t="str">
        <x:f>IF(AND(BL$5&gt;=$C455,BL$5&lt;=$D455,$A455&lt;&gt;""),"●","")</x:f>
      </x:c>
      <x:c r="BM455" s="165" t="str">
        <x:f>IF(AND(BM$5&gt;=$C455,BM$5&lt;=$D455,$A455&lt;&gt;""),"●","")</x:f>
      </x:c>
      <x:c r="BN455" s="165" t="str">
        <x:f>IF(AND(BN$5&gt;=$C455,BN$5&lt;=$D455,$A455&lt;&gt;""),"●","")</x:f>
      </x:c>
      <x:c r="BO455" s="165" t="str">
        <x:f>IF(AND(BO$5&gt;=$C455,BO$5&lt;=$D455,$A455&lt;&gt;""),"●","")</x:f>
      </x:c>
      <x:c r="BP455" s="165" t="str">
        <x:f>IF(AND(BP$5&gt;=$C455,BP$5&lt;=$D455,$A455&lt;&gt;""),"●","")</x:f>
      </x:c>
      <x:c r="BQ455" s="165" t="str">
        <x:f>IF(AND(BQ$5&gt;=$C455,BQ$5&lt;=$D455,$A455&lt;&gt;""),"●","")</x:f>
      </x:c>
      <x:c r="BR455" s="165" t="str">
        <x:f>IF(AND(BR$5&gt;=$C455,BR$5&lt;=$D455,$A455&lt;&gt;""),"●","")</x:f>
      </x:c>
      <x:c r="BS455" s="165" t="str">
        <x:f>IF(AND(BS$5&gt;=$C455,BS$5&lt;=$D455,$A455&lt;&gt;""),"●","")</x:f>
      </x:c>
      <x:c r="BT455" s="165" t="str">
        <x:f>IF(AND(BT$5&gt;=$C455,BT$5&lt;=$D455,$A455&lt;&gt;""),"●","")</x:f>
      </x:c>
      <x:c r="BU455" s="165" t="str">
        <x:f>IF(AND(BU$5&gt;=$C455,BU$5&lt;=$D455,$A455&lt;&gt;""),"●","")</x:f>
      </x:c>
      <x:c r="BV455" s="165" t="str">
        <x:f>IF(AND(BV$5&gt;=$C455,BV$5&lt;=$D455,$A455&lt;&gt;""),"●","")</x:f>
      </x:c>
      <x:c r="BW455" s="165" t="str">
        <x:f>IF(AND(BW$5&gt;=$C455,BW$5&lt;=$D455,$A455&lt;&gt;""),"●","")</x:f>
      </x:c>
    </x:row>
    <x:row r="456">
      <x:c r="A456" s="159" t="str">
        <x:f>IF('รายการสัญญา'!A456="","",'รายการสัญญา'!A456)</x:f>
      </x:c>
      <x:c r="B456" s="159" t="str">
        <x:f>IF('รายการสัญญา'!A456="","",'รายการสัญญา'!C456)</x:f>
      </x:c>
      <x:c r="C456" s="162" t="str">
        <x:f>IF('รายการสัญญา'!A456="","",'รายการสัญญา'!E456)</x:f>
      </x:c>
      <x:c r="D456" s="162" t="str">
        <x:f>IF('รายการสัญญา'!A456="","",'รายการสัญญา'!G456)</x:f>
      </x:c>
      <x:c r="E456" s="159" t="str">
        <x:f>IF('รายการสัญญา'!A456="","",'รายการสัญญา'!K456)</x:f>
      </x:c>
      <x:c r="F456" s="165" t="str">
        <x:f>IF(AND(F$5&gt;=$C456,F$5&lt;=$D456,$A456&lt;&gt;""),"●","")</x:f>
      </x:c>
      <x:c r="G456" s="165" t="str">
        <x:f>IF(AND(G$5&gt;=$C456,G$5&lt;=$D456,$A456&lt;&gt;""),"●","")</x:f>
      </x:c>
      <x:c r="H456" s="165" t="str">
        <x:f>IF(AND(H$5&gt;=$C456,H$5&lt;=$D456,$A456&lt;&gt;""),"●","")</x:f>
      </x:c>
      <x:c r="I456" s="165" t="str">
        <x:f>IF(AND(I$5&gt;=$C456,I$5&lt;=$D456,$A456&lt;&gt;""),"●","")</x:f>
      </x:c>
      <x:c r="J456" s="165" t="str">
        <x:f>IF(AND(J$5&gt;=$C456,J$5&lt;=$D456,$A456&lt;&gt;""),"●","")</x:f>
      </x:c>
      <x:c r="K456" s="165" t="str">
        <x:f>IF(AND(K$5&gt;=$C456,K$5&lt;=$D456,$A456&lt;&gt;""),"●","")</x:f>
      </x:c>
      <x:c r="L456" s="165" t="str">
        <x:f>IF(AND(L$5&gt;=$C456,L$5&lt;=$D456,$A456&lt;&gt;""),"●","")</x:f>
      </x:c>
      <x:c r="M456" s="165" t="str">
        <x:f>IF(AND(M$5&gt;=$C456,M$5&lt;=$D456,$A456&lt;&gt;""),"●","")</x:f>
      </x:c>
      <x:c r="N456" s="165" t="str">
        <x:f>IF(AND(N$5&gt;=$C456,N$5&lt;=$D456,$A456&lt;&gt;""),"●","")</x:f>
      </x:c>
      <x:c r="O456" s="165" t="str">
        <x:f>IF(AND(O$5&gt;=$C456,O$5&lt;=$D456,$A456&lt;&gt;""),"●","")</x:f>
      </x:c>
      <x:c r="P456" s="165" t="str">
        <x:f>IF(AND(P$5&gt;=$C456,P$5&lt;=$D456,$A456&lt;&gt;""),"●","")</x:f>
      </x:c>
      <x:c r="Q456" s="165" t="str">
        <x:f>IF(AND(Q$5&gt;=$C456,Q$5&lt;=$D456,$A456&lt;&gt;""),"●","")</x:f>
      </x:c>
      <x:c r="R456" s="165" t="str">
        <x:f>IF(AND(R$5&gt;=$C456,R$5&lt;=$D456,$A456&lt;&gt;""),"●","")</x:f>
      </x:c>
      <x:c r="S456" s="165" t="str">
        <x:f>IF(AND(S$5&gt;=$C456,S$5&lt;=$D456,$A456&lt;&gt;""),"●","")</x:f>
      </x:c>
      <x:c r="T456" s="165" t="str">
        <x:f>IF(AND(T$5&gt;=$C456,T$5&lt;=$D456,$A456&lt;&gt;""),"●","")</x:f>
      </x:c>
      <x:c r="U456" s="165" t="str">
        <x:f>IF(AND(U$5&gt;=$C456,U$5&lt;=$D456,$A456&lt;&gt;""),"●","")</x:f>
      </x:c>
      <x:c r="V456" s="165" t="str">
        <x:f>IF(AND(V$5&gt;=$C456,V$5&lt;=$D456,$A456&lt;&gt;""),"●","")</x:f>
      </x:c>
      <x:c r="W456" s="165" t="str">
        <x:f>IF(AND(W$5&gt;=$C456,W$5&lt;=$D456,$A456&lt;&gt;""),"●","")</x:f>
      </x:c>
      <x:c r="X456" s="165" t="str">
        <x:f>IF(AND(X$5&gt;=$C456,X$5&lt;=$D456,$A456&lt;&gt;""),"●","")</x:f>
      </x:c>
      <x:c r="Y456" s="165" t="str">
        <x:f>IF(AND(Y$5&gt;=$C456,Y$5&lt;=$D456,$A456&lt;&gt;""),"●","")</x:f>
      </x:c>
      <x:c r="Z456" s="165" t="str">
        <x:f>IF(AND(Z$5&gt;=$C456,Z$5&lt;=$D456,$A456&lt;&gt;""),"●","")</x:f>
      </x:c>
      <x:c r="AA456" s="165" t="str">
        <x:f>IF(AND(AA$5&gt;=$C456,AA$5&lt;=$D456,$A456&lt;&gt;""),"●","")</x:f>
      </x:c>
      <x:c r="AB456" s="165" t="str">
        <x:f>IF(AND(AB$5&gt;=$C456,AB$5&lt;=$D456,$A456&lt;&gt;""),"●","")</x:f>
      </x:c>
      <x:c r="AC456" s="165" t="str">
        <x:f>IF(AND(AC$5&gt;=$C456,AC$5&lt;=$D456,$A456&lt;&gt;""),"●","")</x:f>
      </x:c>
      <x:c r="AD456" s="165" t="str">
        <x:f>IF(AND(AD$5&gt;=$C456,AD$5&lt;=$D456,$A456&lt;&gt;""),"●","")</x:f>
      </x:c>
      <x:c r="AE456" s="165" t="str">
        <x:f>IF(AND(AE$5&gt;=$C456,AE$5&lt;=$D456,$A456&lt;&gt;""),"●","")</x:f>
      </x:c>
      <x:c r="AF456" s="165" t="str">
        <x:f>IF(AND(AF$5&gt;=$C456,AF$5&lt;=$D456,$A456&lt;&gt;""),"●","")</x:f>
      </x:c>
      <x:c r="AG456" s="165" t="str">
        <x:f>IF(AND(AG$5&gt;=$C456,AG$5&lt;=$D456,$A456&lt;&gt;""),"●","")</x:f>
      </x:c>
      <x:c r="AH456" s="165" t="str">
        <x:f>IF(AND(AH$5&gt;=$C456,AH$5&lt;=$D456,$A456&lt;&gt;""),"●","")</x:f>
      </x:c>
      <x:c r="AI456" s="165" t="str">
        <x:f>IF(AND(AI$5&gt;=$C456,AI$5&lt;=$D456,$A456&lt;&gt;""),"●","")</x:f>
      </x:c>
      <x:c r="AJ456" s="165" t="str">
        <x:f>IF(AND(AJ$5&gt;=$C456,AJ$5&lt;=$D456,$A456&lt;&gt;""),"●","")</x:f>
      </x:c>
      <x:c r="AK456" s="165" t="str">
        <x:f>IF(AND(AK$5&gt;=$C456,AK$5&lt;=$D456,$A456&lt;&gt;""),"●","")</x:f>
      </x:c>
      <x:c r="AL456" s="165" t="str">
        <x:f>IF(AND(AL$5&gt;=$C456,AL$5&lt;=$D456,$A456&lt;&gt;""),"●","")</x:f>
      </x:c>
      <x:c r="AM456" s="165" t="str">
        <x:f>IF(AND(AM$5&gt;=$C456,AM$5&lt;=$D456,$A456&lt;&gt;""),"●","")</x:f>
      </x:c>
      <x:c r="AN456" s="165" t="str">
        <x:f>IF(AND(AN$5&gt;=$C456,AN$5&lt;=$D456,$A456&lt;&gt;""),"●","")</x:f>
      </x:c>
      <x:c r="AO456" s="165" t="str">
        <x:f>IF(AND(AO$5&gt;=$C456,AO$5&lt;=$D456,$A456&lt;&gt;""),"●","")</x:f>
      </x:c>
      <x:c r="AP456" s="165" t="str">
        <x:f>IF(AND(AP$5&gt;=$C456,AP$5&lt;=$D456,$A456&lt;&gt;""),"●","")</x:f>
      </x:c>
      <x:c r="AQ456" s="165" t="str">
        <x:f>IF(AND(AQ$5&gt;=$C456,AQ$5&lt;=$D456,$A456&lt;&gt;""),"●","")</x:f>
      </x:c>
      <x:c r="AR456" s="165" t="str">
        <x:f>IF(AND(AR$5&gt;=$C456,AR$5&lt;=$D456,$A456&lt;&gt;""),"●","")</x:f>
      </x:c>
      <x:c r="AS456" s="165" t="str">
        <x:f>IF(AND(AS$5&gt;=$C456,AS$5&lt;=$D456,$A456&lt;&gt;""),"●","")</x:f>
      </x:c>
      <x:c r="AT456" s="165" t="str">
        <x:f>IF(AND(AT$5&gt;=$C456,AT$5&lt;=$D456,$A456&lt;&gt;""),"●","")</x:f>
      </x:c>
      <x:c r="AU456" s="165" t="str">
        <x:f>IF(AND(AU$5&gt;=$C456,AU$5&lt;=$D456,$A456&lt;&gt;""),"●","")</x:f>
      </x:c>
      <x:c r="AV456" s="165" t="str">
        <x:f>IF(AND(AV$5&gt;=$C456,AV$5&lt;=$D456,$A456&lt;&gt;""),"●","")</x:f>
      </x:c>
      <x:c r="AW456" s="165" t="str">
        <x:f>IF(AND(AW$5&gt;=$C456,AW$5&lt;=$D456,$A456&lt;&gt;""),"●","")</x:f>
      </x:c>
      <x:c r="AX456" s="165" t="str">
        <x:f>IF(AND(AX$5&gt;=$C456,AX$5&lt;=$D456,$A456&lt;&gt;""),"●","")</x:f>
      </x:c>
      <x:c r="AY456" s="165" t="str">
        <x:f>IF(AND(AY$5&gt;=$C456,AY$5&lt;=$D456,$A456&lt;&gt;""),"●","")</x:f>
      </x:c>
      <x:c r="AZ456" s="165" t="str">
        <x:f>IF(AND(AZ$5&gt;=$C456,AZ$5&lt;=$D456,$A456&lt;&gt;""),"●","")</x:f>
      </x:c>
      <x:c r="BA456" s="165" t="str">
        <x:f>IF(AND(BA$5&gt;=$C456,BA$5&lt;=$D456,$A456&lt;&gt;""),"●","")</x:f>
      </x:c>
      <x:c r="BB456" s="165" t="str">
        <x:f>IF(AND(BB$5&gt;=$C456,BB$5&lt;=$D456,$A456&lt;&gt;""),"●","")</x:f>
      </x:c>
      <x:c r="BC456" s="165" t="str">
        <x:f>IF(AND(BC$5&gt;=$C456,BC$5&lt;=$D456,$A456&lt;&gt;""),"●","")</x:f>
      </x:c>
      <x:c r="BD456" s="165" t="str">
        <x:f>IF(AND(BD$5&gt;=$C456,BD$5&lt;=$D456,$A456&lt;&gt;""),"●","")</x:f>
      </x:c>
      <x:c r="BE456" s="165" t="str">
        <x:f>IF(AND(BE$5&gt;=$C456,BE$5&lt;=$D456,$A456&lt;&gt;""),"●","")</x:f>
      </x:c>
      <x:c r="BF456" s="165" t="str">
        <x:f>IF(AND(BF$5&gt;=$C456,BF$5&lt;=$D456,$A456&lt;&gt;""),"●","")</x:f>
      </x:c>
      <x:c r="BG456" s="165" t="str">
        <x:f>IF(AND(BG$5&gt;=$C456,BG$5&lt;=$D456,$A456&lt;&gt;""),"●","")</x:f>
      </x:c>
      <x:c r="BH456" s="165" t="str">
        <x:f>IF(AND(BH$5&gt;=$C456,BH$5&lt;=$D456,$A456&lt;&gt;""),"●","")</x:f>
      </x:c>
      <x:c r="BI456" s="165" t="str">
        <x:f>IF(AND(BI$5&gt;=$C456,BI$5&lt;=$D456,$A456&lt;&gt;""),"●","")</x:f>
      </x:c>
      <x:c r="BJ456" s="165" t="str">
        <x:f>IF(AND(BJ$5&gt;=$C456,BJ$5&lt;=$D456,$A456&lt;&gt;""),"●","")</x:f>
      </x:c>
      <x:c r="BK456" s="165" t="str">
        <x:f>IF(AND(BK$5&gt;=$C456,BK$5&lt;=$D456,$A456&lt;&gt;""),"●","")</x:f>
      </x:c>
      <x:c r="BL456" s="165" t="str">
        <x:f>IF(AND(BL$5&gt;=$C456,BL$5&lt;=$D456,$A456&lt;&gt;""),"●","")</x:f>
      </x:c>
      <x:c r="BM456" s="165" t="str">
        <x:f>IF(AND(BM$5&gt;=$C456,BM$5&lt;=$D456,$A456&lt;&gt;""),"●","")</x:f>
      </x:c>
      <x:c r="BN456" s="165" t="str">
        <x:f>IF(AND(BN$5&gt;=$C456,BN$5&lt;=$D456,$A456&lt;&gt;""),"●","")</x:f>
      </x:c>
      <x:c r="BO456" s="165" t="str">
        <x:f>IF(AND(BO$5&gt;=$C456,BO$5&lt;=$D456,$A456&lt;&gt;""),"●","")</x:f>
      </x:c>
      <x:c r="BP456" s="165" t="str">
        <x:f>IF(AND(BP$5&gt;=$C456,BP$5&lt;=$D456,$A456&lt;&gt;""),"●","")</x:f>
      </x:c>
      <x:c r="BQ456" s="165" t="str">
        <x:f>IF(AND(BQ$5&gt;=$C456,BQ$5&lt;=$D456,$A456&lt;&gt;""),"●","")</x:f>
      </x:c>
      <x:c r="BR456" s="165" t="str">
        <x:f>IF(AND(BR$5&gt;=$C456,BR$5&lt;=$D456,$A456&lt;&gt;""),"●","")</x:f>
      </x:c>
      <x:c r="BS456" s="165" t="str">
        <x:f>IF(AND(BS$5&gt;=$C456,BS$5&lt;=$D456,$A456&lt;&gt;""),"●","")</x:f>
      </x:c>
      <x:c r="BT456" s="165" t="str">
        <x:f>IF(AND(BT$5&gt;=$C456,BT$5&lt;=$D456,$A456&lt;&gt;""),"●","")</x:f>
      </x:c>
      <x:c r="BU456" s="165" t="str">
        <x:f>IF(AND(BU$5&gt;=$C456,BU$5&lt;=$D456,$A456&lt;&gt;""),"●","")</x:f>
      </x:c>
      <x:c r="BV456" s="165" t="str">
        <x:f>IF(AND(BV$5&gt;=$C456,BV$5&lt;=$D456,$A456&lt;&gt;""),"●","")</x:f>
      </x:c>
      <x:c r="BW456" s="165" t="str">
        <x:f>IF(AND(BW$5&gt;=$C456,BW$5&lt;=$D456,$A456&lt;&gt;""),"●","")</x:f>
      </x:c>
    </x:row>
    <x:row r="457">
      <x:c r="A457" s="159" t="str">
        <x:f>IF('รายการสัญญา'!A457="","",'รายการสัญญา'!A457)</x:f>
      </x:c>
      <x:c r="B457" s="159" t="str">
        <x:f>IF('รายการสัญญา'!A457="","",'รายการสัญญา'!C457)</x:f>
      </x:c>
      <x:c r="C457" s="162" t="str">
        <x:f>IF('รายการสัญญา'!A457="","",'รายการสัญญา'!E457)</x:f>
      </x:c>
      <x:c r="D457" s="162" t="str">
        <x:f>IF('รายการสัญญา'!A457="","",'รายการสัญญา'!G457)</x:f>
      </x:c>
      <x:c r="E457" s="159" t="str">
        <x:f>IF('รายการสัญญา'!A457="","",'รายการสัญญา'!K457)</x:f>
      </x:c>
      <x:c r="F457" s="165" t="str">
        <x:f>IF(AND(F$5&gt;=$C457,F$5&lt;=$D457,$A457&lt;&gt;""),"●","")</x:f>
      </x:c>
      <x:c r="G457" s="165" t="str">
        <x:f>IF(AND(G$5&gt;=$C457,G$5&lt;=$D457,$A457&lt;&gt;""),"●","")</x:f>
      </x:c>
      <x:c r="H457" s="165" t="str">
        <x:f>IF(AND(H$5&gt;=$C457,H$5&lt;=$D457,$A457&lt;&gt;""),"●","")</x:f>
      </x:c>
      <x:c r="I457" s="165" t="str">
        <x:f>IF(AND(I$5&gt;=$C457,I$5&lt;=$D457,$A457&lt;&gt;""),"●","")</x:f>
      </x:c>
      <x:c r="J457" s="165" t="str">
        <x:f>IF(AND(J$5&gt;=$C457,J$5&lt;=$D457,$A457&lt;&gt;""),"●","")</x:f>
      </x:c>
      <x:c r="K457" s="165" t="str">
        <x:f>IF(AND(K$5&gt;=$C457,K$5&lt;=$D457,$A457&lt;&gt;""),"●","")</x:f>
      </x:c>
      <x:c r="L457" s="165" t="str">
        <x:f>IF(AND(L$5&gt;=$C457,L$5&lt;=$D457,$A457&lt;&gt;""),"●","")</x:f>
      </x:c>
      <x:c r="M457" s="165" t="str">
        <x:f>IF(AND(M$5&gt;=$C457,M$5&lt;=$D457,$A457&lt;&gt;""),"●","")</x:f>
      </x:c>
      <x:c r="N457" s="165" t="str">
        <x:f>IF(AND(N$5&gt;=$C457,N$5&lt;=$D457,$A457&lt;&gt;""),"●","")</x:f>
      </x:c>
      <x:c r="O457" s="165" t="str">
        <x:f>IF(AND(O$5&gt;=$C457,O$5&lt;=$D457,$A457&lt;&gt;""),"●","")</x:f>
      </x:c>
      <x:c r="P457" s="165" t="str">
        <x:f>IF(AND(P$5&gt;=$C457,P$5&lt;=$D457,$A457&lt;&gt;""),"●","")</x:f>
      </x:c>
      <x:c r="Q457" s="165" t="str">
        <x:f>IF(AND(Q$5&gt;=$C457,Q$5&lt;=$D457,$A457&lt;&gt;""),"●","")</x:f>
      </x:c>
      <x:c r="R457" s="165" t="str">
        <x:f>IF(AND(R$5&gt;=$C457,R$5&lt;=$D457,$A457&lt;&gt;""),"●","")</x:f>
      </x:c>
      <x:c r="S457" s="165" t="str">
        <x:f>IF(AND(S$5&gt;=$C457,S$5&lt;=$D457,$A457&lt;&gt;""),"●","")</x:f>
      </x:c>
      <x:c r="T457" s="165" t="str">
        <x:f>IF(AND(T$5&gt;=$C457,T$5&lt;=$D457,$A457&lt;&gt;""),"●","")</x:f>
      </x:c>
      <x:c r="U457" s="165" t="str">
        <x:f>IF(AND(U$5&gt;=$C457,U$5&lt;=$D457,$A457&lt;&gt;""),"●","")</x:f>
      </x:c>
      <x:c r="V457" s="165" t="str">
        <x:f>IF(AND(V$5&gt;=$C457,V$5&lt;=$D457,$A457&lt;&gt;""),"●","")</x:f>
      </x:c>
      <x:c r="W457" s="165" t="str">
        <x:f>IF(AND(W$5&gt;=$C457,W$5&lt;=$D457,$A457&lt;&gt;""),"●","")</x:f>
      </x:c>
      <x:c r="X457" s="165" t="str">
        <x:f>IF(AND(X$5&gt;=$C457,X$5&lt;=$D457,$A457&lt;&gt;""),"●","")</x:f>
      </x:c>
      <x:c r="Y457" s="165" t="str">
        <x:f>IF(AND(Y$5&gt;=$C457,Y$5&lt;=$D457,$A457&lt;&gt;""),"●","")</x:f>
      </x:c>
      <x:c r="Z457" s="165" t="str">
        <x:f>IF(AND(Z$5&gt;=$C457,Z$5&lt;=$D457,$A457&lt;&gt;""),"●","")</x:f>
      </x:c>
      <x:c r="AA457" s="165" t="str">
        <x:f>IF(AND(AA$5&gt;=$C457,AA$5&lt;=$D457,$A457&lt;&gt;""),"●","")</x:f>
      </x:c>
      <x:c r="AB457" s="165" t="str">
        <x:f>IF(AND(AB$5&gt;=$C457,AB$5&lt;=$D457,$A457&lt;&gt;""),"●","")</x:f>
      </x:c>
      <x:c r="AC457" s="165" t="str">
        <x:f>IF(AND(AC$5&gt;=$C457,AC$5&lt;=$D457,$A457&lt;&gt;""),"●","")</x:f>
      </x:c>
      <x:c r="AD457" s="165" t="str">
        <x:f>IF(AND(AD$5&gt;=$C457,AD$5&lt;=$D457,$A457&lt;&gt;""),"●","")</x:f>
      </x:c>
      <x:c r="AE457" s="165" t="str">
        <x:f>IF(AND(AE$5&gt;=$C457,AE$5&lt;=$D457,$A457&lt;&gt;""),"●","")</x:f>
      </x:c>
      <x:c r="AF457" s="165" t="str">
        <x:f>IF(AND(AF$5&gt;=$C457,AF$5&lt;=$D457,$A457&lt;&gt;""),"●","")</x:f>
      </x:c>
      <x:c r="AG457" s="165" t="str">
        <x:f>IF(AND(AG$5&gt;=$C457,AG$5&lt;=$D457,$A457&lt;&gt;""),"●","")</x:f>
      </x:c>
      <x:c r="AH457" s="165" t="str">
        <x:f>IF(AND(AH$5&gt;=$C457,AH$5&lt;=$D457,$A457&lt;&gt;""),"●","")</x:f>
      </x:c>
      <x:c r="AI457" s="165" t="str">
        <x:f>IF(AND(AI$5&gt;=$C457,AI$5&lt;=$D457,$A457&lt;&gt;""),"●","")</x:f>
      </x:c>
      <x:c r="AJ457" s="165" t="str">
        <x:f>IF(AND(AJ$5&gt;=$C457,AJ$5&lt;=$D457,$A457&lt;&gt;""),"●","")</x:f>
      </x:c>
      <x:c r="AK457" s="165" t="str">
        <x:f>IF(AND(AK$5&gt;=$C457,AK$5&lt;=$D457,$A457&lt;&gt;""),"●","")</x:f>
      </x:c>
      <x:c r="AL457" s="165" t="str">
        <x:f>IF(AND(AL$5&gt;=$C457,AL$5&lt;=$D457,$A457&lt;&gt;""),"●","")</x:f>
      </x:c>
      <x:c r="AM457" s="165" t="str">
        <x:f>IF(AND(AM$5&gt;=$C457,AM$5&lt;=$D457,$A457&lt;&gt;""),"●","")</x:f>
      </x:c>
      <x:c r="AN457" s="165" t="str">
        <x:f>IF(AND(AN$5&gt;=$C457,AN$5&lt;=$D457,$A457&lt;&gt;""),"●","")</x:f>
      </x:c>
      <x:c r="AO457" s="165" t="str">
        <x:f>IF(AND(AO$5&gt;=$C457,AO$5&lt;=$D457,$A457&lt;&gt;""),"●","")</x:f>
      </x:c>
      <x:c r="AP457" s="165" t="str">
        <x:f>IF(AND(AP$5&gt;=$C457,AP$5&lt;=$D457,$A457&lt;&gt;""),"●","")</x:f>
      </x:c>
      <x:c r="AQ457" s="165" t="str">
        <x:f>IF(AND(AQ$5&gt;=$C457,AQ$5&lt;=$D457,$A457&lt;&gt;""),"●","")</x:f>
      </x:c>
      <x:c r="AR457" s="165" t="str">
        <x:f>IF(AND(AR$5&gt;=$C457,AR$5&lt;=$D457,$A457&lt;&gt;""),"●","")</x:f>
      </x:c>
      <x:c r="AS457" s="165" t="str">
        <x:f>IF(AND(AS$5&gt;=$C457,AS$5&lt;=$D457,$A457&lt;&gt;""),"●","")</x:f>
      </x:c>
      <x:c r="AT457" s="165" t="str">
        <x:f>IF(AND(AT$5&gt;=$C457,AT$5&lt;=$D457,$A457&lt;&gt;""),"●","")</x:f>
      </x:c>
      <x:c r="AU457" s="165" t="str">
        <x:f>IF(AND(AU$5&gt;=$C457,AU$5&lt;=$D457,$A457&lt;&gt;""),"●","")</x:f>
      </x:c>
      <x:c r="AV457" s="165" t="str">
        <x:f>IF(AND(AV$5&gt;=$C457,AV$5&lt;=$D457,$A457&lt;&gt;""),"●","")</x:f>
      </x:c>
      <x:c r="AW457" s="165" t="str">
        <x:f>IF(AND(AW$5&gt;=$C457,AW$5&lt;=$D457,$A457&lt;&gt;""),"●","")</x:f>
      </x:c>
      <x:c r="AX457" s="165" t="str">
        <x:f>IF(AND(AX$5&gt;=$C457,AX$5&lt;=$D457,$A457&lt;&gt;""),"●","")</x:f>
      </x:c>
      <x:c r="AY457" s="165" t="str">
        <x:f>IF(AND(AY$5&gt;=$C457,AY$5&lt;=$D457,$A457&lt;&gt;""),"●","")</x:f>
      </x:c>
      <x:c r="AZ457" s="165" t="str">
        <x:f>IF(AND(AZ$5&gt;=$C457,AZ$5&lt;=$D457,$A457&lt;&gt;""),"●","")</x:f>
      </x:c>
      <x:c r="BA457" s="165" t="str">
        <x:f>IF(AND(BA$5&gt;=$C457,BA$5&lt;=$D457,$A457&lt;&gt;""),"●","")</x:f>
      </x:c>
      <x:c r="BB457" s="165" t="str">
        <x:f>IF(AND(BB$5&gt;=$C457,BB$5&lt;=$D457,$A457&lt;&gt;""),"●","")</x:f>
      </x:c>
      <x:c r="BC457" s="165" t="str">
        <x:f>IF(AND(BC$5&gt;=$C457,BC$5&lt;=$D457,$A457&lt;&gt;""),"●","")</x:f>
      </x:c>
      <x:c r="BD457" s="165" t="str">
        <x:f>IF(AND(BD$5&gt;=$C457,BD$5&lt;=$D457,$A457&lt;&gt;""),"●","")</x:f>
      </x:c>
      <x:c r="BE457" s="165" t="str">
        <x:f>IF(AND(BE$5&gt;=$C457,BE$5&lt;=$D457,$A457&lt;&gt;""),"●","")</x:f>
      </x:c>
      <x:c r="BF457" s="165" t="str">
        <x:f>IF(AND(BF$5&gt;=$C457,BF$5&lt;=$D457,$A457&lt;&gt;""),"●","")</x:f>
      </x:c>
      <x:c r="BG457" s="165" t="str">
        <x:f>IF(AND(BG$5&gt;=$C457,BG$5&lt;=$D457,$A457&lt;&gt;""),"●","")</x:f>
      </x:c>
      <x:c r="BH457" s="165" t="str">
        <x:f>IF(AND(BH$5&gt;=$C457,BH$5&lt;=$D457,$A457&lt;&gt;""),"●","")</x:f>
      </x:c>
      <x:c r="BI457" s="165" t="str">
        <x:f>IF(AND(BI$5&gt;=$C457,BI$5&lt;=$D457,$A457&lt;&gt;""),"●","")</x:f>
      </x:c>
      <x:c r="BJ457" s="165" t="str">
        <x:f>IF(AND(BJ$5&gt;=$C457,BJ$5&lt;=$D457,$A457&lt;&gt;""),"●","")</x:f>
      </x:c>
      <x:c r="BK457" s="165" t="str">
        <x:f>IF(AND(BK$5&gt;=$C457,BK$5&lt;=$D457,$A457&lt;&gt;""),"●","")</x:f>
      </x:c>
      <x:c r="BL457" s="165" t="str">
        <x:f>IF(AND(BL$5&gt;=$C457,BL$5&lt;=$D457,$A457&lt;&gt;""),"●","")</x:f>
      </x:c>
      <x:c r="BM457" s="165" t="str">
        <x:f>IF(AND(BM$5&gt;=$C457,BM$5&lt;=$D457,$A457&lt;&gt;""),"●","")</x:f>
      </x:c>
      <x:c r="BN457" s="165" t="str">
        <x:f>IF(AND(BN$5&gt;=$C457,BN$5&lt;=$D457,$A457&lt;&gt;""),"●","")</x:f>
      </x:c>
      <x:c r="BO457" s="165" t="str">
        <x:f>IF(AND(BO$5&gt;=$C457,BO$5&lt;=$D457,$A457&lt;&gt;""),"●","")</x:f>
      </x:c>
      <x:c r="BP457" s="165" t="str">
        <x:f>IF(AND(BP$5&gt;=$C457,BP$5&lt;=$D457,$A457&lt;&gt;""),"●","")</x:f>
      </x:c>
      <x:c r="BQ457" s="165" t="str">
        <x:f>IF(AND(BQ$5&gt;=$C457,BQ$5&lt;=$D457,$A457&lt;&gt;""),"●","")</x:f>
      </x:c>
      <x:c r="BR457" s="165" t="str">
        <x:f>IF(AND(BR$5&gt;=$C457,BR$5&lt;=$D457,$A457&lt;&gt;""),"●","")</x:f>
      </x:c>
      <x:c r="BS457" s="165" t="str">
        <x:f>IF(AND(BS$5&gt;=$C457,BS$5&lt;=$D457,$A457&lt;&gt;""),"●","")</x:f>
      </x:c>
      <x:c r="BT457" s="165" t="str">
        <x:f>IF(AND(BT$5&gt;=$C457,BT$5&lt;=$D457,$A457&lt;&gt;""),"●","")</x:f>
      </x:c>
      <x:c r="BU457" s="165" t="str">
        <x:f>IF(AND(BU$5&gt;=$C457,BU$5&lt;=$D457,$A457&lt;&gt;""),"●","")</x:f>
      </x:c>
      <x:c r="BV457" s="165" t="str">
        <x:f>IF(AND(BV$5&gt;=$C457,BV$5&lt;=$D457,$A457&lt;&gt;""),"●","")</x:f>
      </x:c>
      <x:c r="BW457" s="165" t="str">
        <x:f>IF(AND(BW$5&gt;=$C457,BW$5&lt;=$D457,$A457&lt;&gt;""),"●","")</x:f>
      </x:c>
    </x:row>
    <x:row r="458">
      <x:c r="A458" s="159" t="str">
        <x:f>IF('รายการสัญญา'!A458="","",'รายการสัญญา'!A458)</x:f>
      </x:c>
      <x:c r="B458" s="159" t="str">
        <x:f>IF('รายการสัญญา'!A458="","",'รายการสัญญา'!C458)</x:f>
      </x:c>
      <x:c r="C458" s="162" t="str">
        <x:f>IF('รายการสัญญา'!A458="","",'รายการสัญญา'!E458)</x:f>
      </x:c>
      <x:c r="D458" s="162" t="str">
        <x:f>IF('รายการสัญญา'!A458="","",'รายการสัญญา'!G458)</x:f>
      </x:c>
      <x:c r="E458" s="159" t="str">
        <x:f>IF('รายการสัญญา'!A458="","",'รายการสัญญา'!K458)</x:f>
      </x:c>
      <x:c r="F458" s="165" t="str">
        <x:f>IF(AND(F$5&gt;=$C458,F$5&lt;=$D458,$A458&lt;&gt;""),"●","")</x:f>
      </x:c>
      <x:c r="G458" s="165" t="str">
        <x:f>IF(AND(G$5&gt;=$C458,G$5&lt;=$D458,$A458&lt;&gt;""),"●","")</x:f>
      </x:c>
      <x:c r="H458" s="165" t="str">
        <x:f>IF(AND(H$5&gt;=$C458,H$5&lt;=$D458,$A458&lt;&gt;""),"●","")</x:f>
      </x:c>
      <x:c r="I458" s="165" t="str">
        <x:f>IF(AND(I$5&gt;=$C458,I$5&lt;=$D458,$A458&lt;&gt;""),"●","")</x:f>
      </x:c>
      <x:c r="J458" s="165" t="str">
        <x:f>IF(AND(J$5&gt;=$C458,J$5&lt;=$D458,$A458&lt;&gt;""),"●","")</x:f>
      </x:c>
      <x:c r="K458" s="165" t="str">
        <x:f>IF(AND(K$5&gt;=$C458,K$5&lt;=$D458,$A458&lt;&gt;""),"●","")</x:f>
      </x:c>
      <x:c r="L458" s="165" t="str">
        <x:f>IF(AND(L$5&gt;=$C458,L$5&lt;=$D458,$A458&lt;&gt;""),"●","")</x:f>
      </x:c>
      <x:c r="M458" s="165" t="str">
        <x:f>IF(AND(M$5&gt;=$C458,M$5&lt;=$D458,$A458&lt;&gt;""),"●","")</x:f>
      </x:c>
      <x:c r="N458" s="165" t="str">
        <x:f>IF(AND(N$5&gt;=$C458,N$5&lt;=$D458,$A458&lt;&gt;""),"●","")</x:f>
      </x:c>
      <x:c r="O458" s="165" t="str">
        <x:f>IF(AND(O$5&gt;=$C458,O$5&lt;=$D458,$A458&lt;&gt;""),"●","")</x:f>
      </x:c>
      <x:c r="P458" s="165" t="str">
        <x:f>IF(AND(P$5&gt;=$C458,P$5&lt;=$D458,$A458&lt;&gt;""),"●","")</x:f>
      </x:c>
      <x:c r="Q458" s="165" t="str">
        <x:f>IF(AND(Q$5&gt;=$C458,Q$5&lt;=$D458,$A458&lt;&gt;""),"●","")</x:f>
      </x:c>
      <x:c r="R458" s="165" t="str">
        <x:f>IF(AND(R$5&gt;=$C458,R$5&lt;=$D458,$A458&lt;&gt;""),"●","")</x:f>
      </x:c>
      <x:c r="S458" s="165" t="str">
        <x:f>IF(AND(S$5&gt;=$C458,S$5&lt;=$D458,$A458&lt;&gt;""),"●","")</x:f>
      </x:c>
      <x:c r="T458" s="165" t="str">
        <x:f>IF(AND(T$5&gt;=$C458,T$5&lt;=$D458,$A458&lt;&gt;""),"●","")</x:f>
      </x:c>
      <x:c r="U458" s="165" t="str">
        <x:f>IF(AND(U$5&gt;=$C458,U$5&lt;=$D458,$A458&lt;&gt;""),"●","")</x:f>
      </x:c>
      <x:c r="V458" s="165" t="str">
        <x:f>IF(AND(V$5&gt;=$C458,V$5&lt;=$D458,$A458&lt;&gt;""),"●","")</x:f>
      </x:c>
      <x:c r="W458" s="165" t="str">
        <x:f>IF(AND(W$5&gt;=$C458,W$5&lt;=$D458,$A458&lt;&gt;""),"●","")</x:f>
      </x:c>
      <x:c r="X458" s="165" t="str">
        <x:f>IF(AND(X$5&gt;=$C458,X$5&lt;=$D458,$A458&lt;&gt;""),"●","")</x:f>
      </x:c>
      <x:c r="Y458" s="165" t="str">
        <x:f>IF(AND(Y$5&gt;=$C458,Y$5&lt;=$D458,$A458&lt;&gt;""),"●","")</x:f>
      </x:c>
      <x:c r="Z458" s="165" t="str">
        <x:f>IF(AND(Z$5&gt;=$C458,Z$5&lt;=$D458,$A458&lt;&gt;""),"●","")</x:f>
      </x:c>
      <x:c r="AA458" s="165" t="str">
        <x:f>IF(AND(AA$5&gt;=$C458,AA$5&lt;=$D458,$A458&lt;&gt;""),"●","")</x:f>
      </x:c>
      <x:c r="AB458" s="165" t="str">
        <x:f>IF(AND(AB$5&gt;=$C458,AB$5&lt;=$D458,$A458&lt;&gt;""),"●","")</x:f>
      </x:c>
      <x:c r="AC458" s="165" t="str">
        <x:f>IF(AND(AC$5&gt;=$C458,AC$5&lt;=$D458,$A458&lt;&gt;""),"●","")</x:f>
      </x:c>
      <x:c r="AD458" s="165" t="str">
        <x:f>IF(AND(AD$5&gt;=$C458,AD$5&lt;=$D458,$A458&lt;&gt;""),"●","")</x:f>
      </x:c>
      <x:c r="AE458" s="165" t="str">
        <x:f>IF(AND(AE$5&gt;=$C458,AE$5&lt;=$D458,$A458&lt;&gt;""),"●","")</x:f>
      </x:c>
      <x:c r="AF458" s="165" t="str">
        <x:f>IF(AND(AF$5&gt;=$C458,AF$5&lt;=$D458,$A458&lt;&gt;""),"●","")</x:f>
      </x:c>
      <x:c r="AG458" s="165" t="str">
        <x:f>IF(AND(AG$5&gt;=$C458,AG$5&lt;=$D458,$A458&lt;&gt;""),"●","")</x:f>
      </x:c>
      <x:c r="AH458" s="165" t="str">
        <x:f>IF(AND(AH$5&gt;=$C458,AH$5&lt;=$D458,$A458&lt;&gt;""),"●","")</x:f>
      </x:c>
      <x:c r="AI458" s="165" t="str">
        <x:f>IF(AND(AI$5&gt;=$C458,AI$5&lt;=$D458,$A458&lt;&gt;""),"●","")</x:f>
      </x:c>
      <x:c r="AJ458" s="165" t="str">
        <x:f>IF(AND(AJ$5&gt;=$C458,AJ$5&lt;=$D458,$A458&lt;&gt;""),"●","")</x:f>
      </x:c>
      <x:c r="AK458" s="165" t="str">
        <x:f>IF(AND(AK$5&gt;=$C458,AK$5&lt;=$D458,$A458&lt;&gt;""),"●","")</x:f>
      </x:c>
      <x:c r="AL458" s="165" t="str">
        <x:f>IF(AND(AL$5&gt;=$C458,AL$5&lt;=$D458,$A458&lt;&gt;""),"●","")</x:f>
      </x:c>
      <x:c r="AM458" s="165" t="str">
        <x:f>IF(AND(AM$5&gt;=$C458,AM$5&lt;=$D458,$A458&lt;&gt;""),"●","")</x:f>
      </x:c>
      <x:c r="AN458" s="165" t="str">
        <x:f>IF(AND(AN$5&gt;=$C458,AN$5&lt;=$D458,$A458&lt;&gt;""),"●","")</x:f>
      </x:c>
      <x:c r="AO458" s="165" t="str">
        <x:f>IF(AND(AO$5&gt;=$C458,AO$5&lt;=$D458,$A458&lt;&gt;""),"●","")</x:f>
      </x:c>
      <x:c r="AP458" s="165" t="str">
        <x:f>IF(AND(AP$5&gt;=$C458,AP$5&lt;=$D458,$A458&lt;&gt;""),"●","")</x:f>
      </x:c>
      <x:c r="AQ458" s="165" t="str">
        <x:f>IF(AND(AQ$5&gt;=$C458,AQ$5&lt;=$D458,$A458&lt;&gt;""),"●","")</x:f>
      </x:c>
      <x:c r="AR458" s="165" t="str">
        <x:f>IF(AND(AR$5&gt;=$C458,AR$5&lt;=$D458,$A458&lt;&gt;""),"●","")</x:f>
      </x:c>
      <x:c r="AS458" s="165" t="str">
        <x:f>IF(AND(AS$5&gt;=$C458,AS$5&lt;=$D458,$A458&lt;&gt;""),"●","")</x:f>
      </x:c>
      <x:c r="AT458" s="165" t="str">
        <x:f>IF(AND(AT$5&gt;=$C458,AT$5&lt;=$D458,$A458&lt;&gt;""),"●","")</x:f>
      </x:c>
      <x:c r="AU458" s="165" t="str">
        <x:f>IF(AND(AU$5&gt;=$C458,AU$5&lt;=$D458,$A458&lt;&gt;""),"●","")</x:f>
      </x:c>
      <x:c r="AV458" s="165" t="str">
        <x:f>IF(AND(AV$5&gt;=$C458,AV$5&lt;=$D458,$A458&lt;&gt;""),"●","")</x:f>
      </x:c>
      <x:c r="AW458" s="165" t="str">
        <x:f>IF(AND(AW$5&gt;=$C458,AW$5&lt;=$D458,$A458&lt;&gt;""),"●","")</x:f>
      </x:c>
      <x:c r="AX458" s="165" t="str">
        <x:f>IF(AND(AX$5&gt;=$C458,AX$5&lt;=$D458,$A458&lt;&gt;""),"●","")</x:f>
      </x:c>
      <x:c r="AY458" s="165" t="str">
        <x:f>IF(AND(AY$5&gt;=$C458,AY$5&lt;=$D458,$A458&lt;&gt;""),"●","")</x:f>
      </x:c>
      <x:c r="AZ458" s="165" t="str">
        <x:f>IF(AND(AZ$5&gt;=$C458,AZ$5&lt;=$D458,$A458&lt;&gt;""),"●","")</x:f>
      </x:c>
      <x:c r="BA458" s="165" t="str">
        <x:f>IF(AND(BA$5&gt;=$C458,BA$5&lt;=$D458,$A458&lt;&gt;""),"●","")</x:f>
      </x:c>
      <x:c r="BB458" s="165" t="str">
        <x:f>IF(AND(BB$5&gt;=$C458,BB$5&lt;=$D458,$A458&lt;&gt;""),"●","")</x:f>
      </x:c>
      <x:c r="BC458" s="165" t="str">
        <x:f>IF(AND(BC$5&gt;=$C458,BC$5&lt;=$D458,$A458&lt;&gt;""),"●","")</x:f>
      </x:c>
      <x:c r="BD458" s="165" t="str">
        <x:f>IF(AND(BD$5&gt;=$C458,BD$5&lt;=$D458,$A458&lt;&gt;""),"●","")</x:f>
      </x:c>
      <x:c r="BE458" s="165" t="str">
        <x:f>IF(AND(BE$5&gt;=$C458,BE$5&lt;=$D458,$A458&lt;&gt;""),"●","")</x:f>
      </x:c>
      <x:c r="BF458" s="165" t="str">
        <x:f>IF(AND(BF$5&gt;=$C458,BF$5&lt;=$D458,$A458&lt;&gt;""),"●","")</x:f>
      </x:c>
      <x:c r="BG458" s="165" t="str">
        <x:f>IF(AND(BG$5&gt;=$C458,BG$5&lt;=$D458,$A458&lt;&gt;""),"●","")</x:f>
      </x:c>
      <x:c r="BH458" s="165" t="str">
        <x:f>IF(AND(BH$5&gt;=$C458,BH$5&lt;=$D458,$A458&lt;&gt;""),"●","")</x:f>
      </x:c>
      <x:c r="BI458" s="165" t="str">
        <x:f>IF(AND(BI$5&gt;=$C458,BI$5&lt;=$D458,$A458&lt;&gt;""),"●","")</x:f>
      </x:c>
      <x:c r="BJ458" s="165" t="str">
        <x:f>IF(AND(BJ$5&gt;=$C458,BJ$5&lt;=$D458,$A458&lt;&gt;""),"●","")</x:f>
      </x:c>
      <x:c r="BK458" s="165" t="str">
        <x:f>IF(AND(BK$5&gt;=$C458,BK$5&lt;=$D458,$A458&lt;&gt;""),"●","")</x:f>
      </x:c>
      <x:c r="BL458" s="165" t="str">
        <x:f>IF(AND(BL$5&gt;=$C458,BL$5&lt;=$D458,$A458&lt;&gt;""),"●","")</x:f>
      </x:c>
      <x:c r="BM458" s="165" t="str">
        <x:f>IF(AND(BM$5&gt;=$C458,BM$5&lt;=$D458,$A458&lt;&gt;""),"●","")</x:f>
      </x:c>
      <x:c r="BN458" s="165" t="str">
        <x:f>IF(AND(BN$5&gt;=$C458,BN$5&lt;=$D458,$A458&lt;&gt;""),"●","")</x:f>
      </x:c>
      <x:c r="BO458" s="165" t="str">
        <x:f>IF(AND(BO$5&gt;=$C458,BO$5&lt;=$D458,$A458&lt;&gt;""),"●","")</x:f>
      </x:c>
      <x:c r="BP458" s="165" t="str">
        <x:f>IF(AND(BP$5&gt;=$C458,BP$5&lt;=$D458,$A458&lt;&gt;""),"●","")</x:f>
      </x:c>
      <x:c r="BQ458" s="165" t="str">
        <x:f>IF(AND(BQ$5&gt;=$C458,BQ$5&lt;=$D458,$A458&lt;&gt;""),"●","")</x:f>
      </x:c>
      <x:c r="BR458" s="165" t="str">
        <x:f>IF(AND(BR$5&gt;=$C458,BR$5&lt;=$D458,$A458&lt;&gt;""),"●","")</x:f>
      </x:c>
      <x:c r="BS458" s="165" t="str">
        <x:f>IF(AND(BS$5&gt;=$C458,BS$5&lt;=$D458,$A458&lt;&gt;""),"●","")</x:f>
      </x:c>
      <x:c r="BT458" s="165" t="str">
        <x:f>IF(AND(BT$5&gt;=$C458,BT$5&lt;=$D458,$A458&lt;&gt;""),"●","")</x:f>
      </x:c>
      <x:c r="BU458" s="165" t="str">
        <x:f>IF(AND(BU$5&gt;=$C458,BU$5&lt;=$D458,$A458&lt;&gt;""),"●","")</x:f>
      </x:c>
      <x:c r="BV458" s="165" t="str">
        <x:f>IF(AND(BV$5&gt;=$C458,BV$5&lt;=$D458,$A458&lt;&gt;""),"●","")</x:f>
      </x:c>
      <x:c r="BW458" s="165" t="str">
        <x:f>IF(AND(BW$5&gt;=$C458,BW$5&lt;=$D458,$A458&lt;&gt;""),"●","")</x:f>
      </x:c>
    </x:row>
    <x:row r="459">
      <x:c r="A459" s="159" t="str">
        <x:f>IF('รายการสัญญา'!A459="","",'รายการสัญญา'!A459)</x:f>
      </x:c>
      <x:c r="B459" s="159" t="str">
        <x:f>IF('รายการสัญญา'!A459="","",'รายการสัญญา'!C459)</x:f>
      </x:c>
      <x:c r="C459" s="162" t="str">
        <x:f>IF('รายการสัญญา'!A459="","",'รายการสัญญา'!E459)</x:f>
      </x:c>
      <x:c r="D459" s="162" t="str">
        <x:f>IF('รายการสัญญา'!A459="","",'รายการสัญญา'!G459)</x:f>
      </x:c>
      <x:c r="E459" s="159" t="str">
        <x:f>IF('รายการสัญญา'!A459="","",'รายการสัญญา'!K459)</x:f>
      </x:c>
      <x:c r="F459" s="165" t="str">
        <x:f>IF(AND(F$5&gt;=$C459,F$5&lt;=$D459,$A459&lt;&gt;""),"●","")</x:f>
      </x:c>
      <x:c r="G459" s="165" t="str">
        <x:f>IF(AND(G$5&gt;=$C459,G$5&lt;=$D459,$A459&lt;&gt;""),"●","")</x:f>
      </x:c>
      <x:c r="H459" s="165" t="str">
        <x:f>IF(AND(H$5&gt;=$C459,H$5&lt;=$D459,$A459&lt;&gt;""),"●","")</x:f>
      </x:c>
      <x:c r="I459" s="165" t="str">
        <x:f>IF(AND(I$5&gt;=$C459,I$5&lt;=$D459,$A459&lt;&gt;""),"●","")</x:f>
      </x:c>
      <x:c r="J459" s="165" t="str">
        <x:f>IF(AND(J$5&gt;=$C459,J$5&lt;=$D459,$A459&lt;&gt;""),"●","")</x:f>
      </x:c>
      <x:c r="K459" s="165" t="str">
        <x:f>IF(AND(K$5&gt;=$C459,K$5&lt;=$D459,$A459&lt;&gt;""),"●","")</x:f>
      </x:c>
      <x:c r="L459" s="165" t="str">
        <x:f>IF(AND(L$5&gt;=$C459,L$5&lt;=$D459,$A459&lt;&gt;""),"●","")</x:f>
      </x:c>
      <x:c r="M459" s="165" t="str">
        <x:f>IF(AND(M$5&gt;=$C459,M$5&lt;=$D459,$A459&lt;&gt;""),"●","")</x:f>
      </x:c>
      <x:c r="N459" s="165" t="str">
        <x:f>IF(AND(N$5&gt;=$C459,N$5&lt;=$D459,$A459&lt;&gt;""),"●","")</x:f>
      </x:c>
      <x:c r="O459" s="165" t="str">
        <x:f>IF(AND(O$5&gt;=$C459,O$5&lt;=$D459,$A459&lt;&gt;""),"●","")</x:f>
      </x:c>
      <x:c r="P459" s="165" t="str">
        <x:f>IF(AND(P$5&gt;=$C459,P$5&lt;=$D459,$A459&lt;&gt;""),"●","")</x:f>
      </x:c>
      <x:c r="Q459" s="165" t="str">
        <x:f>IF(AND(Q$5&gt;=$C459,Q$5&lt;=$D459,$A459&lt;&gt;""),"●","")</x:f>
      </x:c>
      <x:c r="R459" s="165" t="str">
        <x:f>IF(AND(R$5&gt;=$C459,R$5&lt;=$D459,$A459&lt;&gt;""),"●","")</x:f>
      </x:c>
      <x:c r="S459" s="165" t="str">
        <x:f>IF(AND(S$5&gt;=$C459,S$5&lt;=$D459,$A459&lt;&gt;""),"●","")</x:f>
      </x:c>
      <x:c r="T459" s="165" t="str">
        <x:f>IF(AND(T$5&gt;=$C459,T$5&lt;=$D459,$A459&lt;&gt;""),"●","")</x:f>
      </x:c>
      <x:c r="U459" s="165" t="str">
        <x:f>IF(AND(U$5&gt;=$C459,U$5&lt;=$D459,$A459&lt;&gt;""),"●","")</x:f>
      </x:c>
      <x:c r="V459" s="165" t="str">
        <x:f>IF(AND(V$5&gt;=$C459,V$5&lt;=$D459,$A459&lt;&gt;""),"●","")</x:f>
      </x:c>
      <x:c r="W459" s="165" t="str">
        <x:f>IF(AND(W$5&gt;=$C459,W$5&lt;=$D459,$A459&lt;&gt;""),"●","")</x:f>
      </x:c>
      <x:c r="X459" s="165" t="str">
        <x:f>IF(AND(X$5&gt;=$C459,X$5&lt;=$D459,$A459&lt;&gt;""),"●","")</x:f>
      </x:c>
      <x:c r="Y459" s="165" t="str">
        <x:f>IF(AND(Y$5&gt;=$C459,Y$5&lt;=$D459,$A459&lt;&gt;""),"●","")</x:f>
      </x:c>
      <x:c r="Z459" s="165" t="str">
        <x:f>IF(AND(Z$5&gt;=$C459,Z$5&lt;=$D459,$A459&lt;&gt;""),"●","")</x:f>
      </x:c>
      <x:c r="AA459" s="165" t="str">
        <x:f>IF(AND(AA$5&gt;=$C459,AA$5&lt;=$D459,$A459&lt;&gt;""),"●","")</x:f>
      </x:c>
      <x:c r="AB459" s="165" t="str">
        <x:f>IF(AND(AB$5&gt;=$C459,AB$5&lt;=$D459,$A459&lt;&gt;""),"●","")</x:f>
      </x:c>
      <x:c r="AC459" s="165" t="str">
        <x:f>IF(AND(AC$5&gt;=$C459,AC$5&lt;=$D459,$A459&lt;&gt;""),"●","")</x:f>
      </x:c>
      <x:c r="AD459" s="165" t="str">
        <x:f>IF(AND(AD$5&gt;=$C459,AD$5&lt;=$D459,$A459&lt;&gt;""),"●","")</x:f>
      </x:c>
      <x:c r="AE459" s="165" t="str">
        <x:f>IF(AND(AE$5&gt;=$C459,AE$5&lt;=$D459,$A459&lt;&gt;""),"●","")</x:f>
      </x:c>
      <x:c r="AF459" s="165" t="str">
        <x:f>IF(AND(AF$5&gt;=$C459,AF$5&lt;=$D459,$A459&lt;&gt;""),"●","")</x:f>
      </x:c>
      <x:c r="AG459" s="165" t="str">
        <x:f>IF(AND(AG$5&gt;=$C459,AG$5&lt;=$D459,$A459&lt;&gt;""),"●","")</x:f>
      </x:c>
      <x:c r="AH459" s="165" t="str">
        <x:f>IF(AND(AH$5&gt;=$C459,AH$5&lt;=$D459,$A459&lt;&gt;""),"●","")</x:f>
      </x:c>
      <x:c r="AI459" s="165" t="str">
        <x:f>IF(AND(AI$5&gt;=$C459,AI$5&lt;=$D459,$A459&lt;&gt;""),"●","")</x:f>
      </x:c>
      <x:c r="AJ459" s="165" t="str">
        <x:f>IF(AND(AJ$5&gt;=$C459,AJ$5&lt;=$D459,$A459&lt;&gt;""),"●","")</x:f>
      </x:c>
      <x:c r="AK459" s="165" t="str">
        <x:f>IF(AND(AK$5&gt;=$C459,AK$5&lt;=$D459,$A459&lt;&gt;""),"●","")</x:f>
      </x:c>
      <x:c r="AL459" s="165" t="str">
        <x:f>IF(AND(AL$5&gt;=$C459,AL$5&lt;=$D459,$A459&lt;&gt;""),"●","")</x:f>
      </x:c>
      <x:c r="AM459" s="165" t="str">
        <x:f>IF(AND(AM$5&gt;=$C459,AM$5&lt;=$D459,$A459&lt;&gt;""),"●","")</x:f>
      </x:c>
      <x:c r="AN459" s="165" t="str">
        <x:f>IF(AND(AN$5&gt;=$C459,AN$5&lt;=$D459,$A459&lt;&gt;""),"●","")</x:f>
      </x:c>
      <x:c r="AO459" s="165" t="str">
        <x:f>IF(AND(AO$5&gt;=$C459,AO$5&lt;=$D459,$A459&lt;&gt;""),"●","")</x:f>
      </x:c>
      <x:c r="AP459" s="165" t="str">
        <x:f>IF(AND(AP$5&gt;=$C459,AP$5&lt;=$D459,$A459&lt;&gt;""),"●","")</x:f>
      </x:c>
      <x:c r="AQ459" s="165" t="str">
        <x:f>IF(AND(AQ$5&gt;=$C459,AQ$5&lt;=$D459,$A459&lt;&gt;""),"●","")</x:f>
      </x:c>
      <x:c r="AR459" s="165" t="str">
        <x:f>IF(AND(AR$5&gt;=$C459,AR$5&lt;=$D459,$A459&lt;&gt;""),"●","")</x:f>
      </x:c>
      <x:c r="AS459" s="165" t="str">
        <x:f>IF(AND(AS$5&gt;=$C459,AS$5&lt;=$D459,$A459&lt;&gt;""),"●","")</x:f>
      </x:c>
      <x:c r="AT459" s="165" t="str">
        <x:f>IF(AND(AT$5&gt;=$C459,AT$5&lt;=$D459,$A459&lt;&gt;""),"●","")</x:f>
      </x:c>
      <x:c r="AU459" s="165" t="str">
        <x:f>IF(AND(AU$5&gt;=$C459,AU$5&lt;=$D459,$A459&lt;&gt;""),"●","")</x:f>
      </x:c>
      <x:c r="AV459" s="165" t="str">
        <x:f>IF(AND(AV$5&gt;=$C459,AV$5&lt;=$D459,$A459&lt;&gt;""),"●","")</x:f>
      </x:c>
      <x:c r="AW459" s="165" t="str">
        <x:f>IF(AND(AW$5&gt;=$C459,AW$5&lt;=$D459,$A459&lt;&gt;""),"●","")</x:f>
      </x:c>
      <x:c r="AX459" s="165" t="str">
        <x:f>IF(AND(AX$5&gt;=$C459,AX$5&lt;=$D459,$A459&lt;&gt;""),"●","")</x:f>
      </x:c>
      <x:c r="AY459" s="165" t="str">
        <x:f>IF(AND(AY$5&gt;=$C459,AY$5&lt;=$D459,$A459&lt;&gt;""),"●","")</x:f>
      </x:c>
      <x:c r="AZ459" s="165" t="str">
        <x:f>IF(AND(AZ$5&gt;=$C459,AZ$5&lt;=$D459,$A459&lt;&gt;""),"●","")</x:f>
      </x:c>
      <x:c r="BA459" s="165" t="str">
        <x:f>IF(AND(BA$5&gt;=$C459,BA$5&lt;=$D459,$A459&lt;&gt;""),"●","")</x:f>
      </x:c>
      <x:c r="BB459" s="165" t="str">
        <x:f>IF(AND(BB$5&gt;=$C459,BB$5&lt;=$D459,$A459&lt;&gt;""),"●","")</x:f>
      </x:c>
      <x:c r="BC459" s="165" t="str">
        <x:f>IF(AND(BC$5&gt;=$C459,BC$5&lt;=$D459,$A459&lt;&gt;""),"●","")</x:f>
      </x:c>
      <x:c r="BD459" s="165" t="str">
        <x:f>IF(AND(BD$5&gt;=$C459,BD$5&lt;=$D459,$A459&lt;&gt;""),"●","")</x:f>
      </x:c>
      <x:c r="BE459" s="165" t="str">
        <x:f>IF(AND(BE$5&gt;=$C459,BE$5&lt;=$D459,$A459&lt;&gt;""),"●","")</x:f>
      </x:c>
      <x:c r="BF459" s="165" t="str">
        <x:f>IF(AND(BF$5&gt;=$C459,BF$5&lt;=$D459,$A459&lt;&gt;""),"●","")</x:f>
      </x:c>
      <x:c r="BG459" s="165" t="str">
        <x:f>IF(AND(BG$5&gt;=$C459,BG$5&lt;=$D459,$A459&lt;&gt;""),"●","")</x:f>
      </x:c>
      <x:c r="BH459" s="165" t="str">
        <x:f>IF(AND(BH$5&gt;=$C459,BH$5&lt;=$D459,$A459&lt;&gt;""),"●","")</x:f>
      </x:c>
      <x:c r="BI459" s="165" t="str">
        <x:f>IF(AND(BI$5&gt;=$C459,BI$5&lt;=$D459,$A459&lt;&gt;""),"●","")</x:f>
      </x:c>
      <x:c r="BJ459" s="165" t="str">
        <x:f>IF(AND(BJ$5&gt;=$C459,BJ$5&lt;=$D459,$A459&lt;&gt;""),"●","")</x:f>
      </x:c>
      <x:c r="BK459" s="165" t="str">
        <x:f>IF(AND(BK$5&gt;=$C459,BK$5&lt;=$D459,$A459&lt;&gt;""),"●","")</x:f>
      </x:c>
      <x:c r="BL459" s="165" t="str">
        <x:f>IF(AND(BL$5&gt;=$C459,BL$5&lt;=$D459,$A459&lt;&gt;""),"●","")</x:f>
      </x:c>
      <x:c r="BM459" s="165" t="str">
        <x:f>IF(AND(BM$5&gt;=$C459,BM$5&lt;=$D459,$A459&lt;&gt;""),"●","")</x:f>
      </x:c>
      <x:c r="BN459" s="165" t="str">
        <x:f>IF(AND(BN$5&gt;=$C459,BN$5&lt;=$D459,$A459&lt;&gt;""),"●","")</x:f>
      </x:c>
      <x:c r="BO459" s="165" t="str">
        <x:f>IF(AND(BO$5&gt;=$C459,BO$5&lt;=$D459,$A459&lt;&gt;""),"●","")</x:f>
      </x:c>
      <x:c r="BP459" s="165" t="str">
        <x:f>IF(AND(BP$5&gt;=$C459,BP$5&lt;=$D459,$A459&lt;&gt;""),"●","")</x:f>
      </x:c>
      <x:c r="BQ459" s="165" t="str">
        <x:f>IF(AND(BQ$5&gt;=$C459,BQ$5&lt;=$D459,$A459&lt;&gt;""),"●","")</x:f>
      </x:c>
      <x:c r="BR459" s="165" t="str">
        <x:f>IF(AND(BR$5&gt;=$C459,BR$5&lt;=$D459,$A459&lt;&gt;""),"●","")</x:f>
      </x:c>
      <x:c r="BS459" s="165" t="str">
        <x:f>IF(AND(BS$5&gt;=$C459,BS$5&lt;=$D459,$A459&lt;&gt;""),"●","")</x:f>
      </x:c>
      <x:c r="BT459" s="165" t="str">
        <x:f>IF(AND(BT$5&gt;=$C459,BT$5&lt;=$D459,$A459&lt;&gt;""),"●","")</x:f>
      </x:c>
      <x:c r="BU459" s="165" t="str">
        <x:f>IF(AND(BU$5&gt;=$C459,BU$5&lt;=$D459,$A459&lt;&gt;""),"●","")</x:f>
      </x:c>
      <x:c r="BV459" s="165" t="str">
        <x:f>IF(AND(BV$5&gt;=$C459,BV$5&lt;=$D459,$A459&lt;&gt;""),"●","")</x:f>
      </x:c>
      <x:c r="BW459" s="165" t="str">
        <x:f>IF(AND(BW$5&gt;=$C459,BW$5&lt;=$D459,$A459&lt;&gt;""),"●","")</x:f>
      </x:c>
    </x:row>
    <x:row r="460">
      <x:c r="A460" s="159" t="str">
        <x:f>IF('รายการสัญญา'!A460="","",'รายการสัญญา'!A460)</x:f>
      </x:c>
      <x:c r="B460" s="159" t="str">
        <x:f>IF('รายการสัญญา'!A460="","",'รายการสัญญา'!C460)</x:f>
      </x:c>
      <x:c r="C460" s="162" t="str">
        <x:f>IF('รายการสัญญา'!A460="","",'รายการสัญญา'!E460)</x:f>
      </x:c>
      <x:c r="D460" s="162" t="str">
        <x:f>IF('รายการสัญญา'!A460="","",'รายการสัญญา'!G460)</x:f>
      </x:c>
      <x:c r="E460" s="159" t="str">
        <x:f>IF('รายการสัญญา'!A460="","",'รายการสัญญา'!K460)</x:f>
      </x:c>
      <x:c r="F460" s="165" t="str">
        <x:f>IF(AND(F$5&gt;=$C460,F$5&lt;=$D460,$A460&lt;&gt;""),"●","")</x:f>
      </x:c>
      <x:c r="G460" s="165" t="str">
        <x:f>IF(AND(G$5&gt;=$C460,G$5&lt;=$D460,$A460&lt;&gt;""),"●","")</x:f>
      </x:c>
      <x:c r="H460" s="165" t="str">
        <x:f>IF(AND(H$5&gt;=$C460,H$5&lt;=$D460,$A460&lt;&gt;""),"●","")</x:f>
      </x:c>
      <x:c r="I460" s="165" t="str">
        <x:f>IF(AND(I$5&gt;=$C460,I$5&lt;=$D460,$A460&lt;&gt;""),"●","")</x:f>
      </x:c>
      <x:c r="J460" s="165" t="str">
        <x:f>IF(AND(J$5&gt;=$C460,J$5&lt;=$D460,$A460&lt;&gt;""),"●","")</x:f>
      </x:c>
      <x:c r="K460" s="165" t="str">
        <x:f>IF(AND(K$5&gt;=$C460,K$5&lt;=$D460,$A460&lt;&gt;""),"●","")</x:f>
      </x:c>
      <x:c r="L460" s="165" t="str">
        <x:f>IF(AND(L$5&gt;=$C460,L$5&lt;=$D460,$A460&lt;&gt;""),"●","")</x:f>
      </x:c>
      <x:c r="M460" s="165" t="str">
        <x:f>IF(AND(M$5&gt;=$C460,M$5&lt;=$D460,$A460&lt;&gt;""),"●","")</x:f>
      </x:c>
      <x:c r="N460" s="165" t="str">
        <x:f>IF(AND(N$5&gt;=$C460,N$5&lt;=$D460,$A460&lt;&gt;""),"●","")</x:f>
      </x:c>
      <x:c r="O460" s="165" t="str">
        <x:f>IF(AND(O$5&gt;=$C460,O$5&lt;=$D460,$A460&lt;&gt;""),"●","")</x:f>
      </x:c>
      <x:c r="P460" s="165" t="str">
        <x:f>IF(AND(P$5&gt;=$C460,P$5&lt;=$D460,$A460&lt;&gt;""),"●","")</x:f>
      </x:c>
      <x:c r="Q460" s="165" t="str">
        <x:f>IF(AND(Q$5&gt;=$C460,Q$5&lt;=$D460,$A460&lt;&gt;""),"●","")</x:f>
      </x:c>
      <x:c r="R460" s="165" t="str">
        <x:f>IF(AND(R$5&gt;=$C460,R$5&lt;=$D460,$A460&lt;&gt;""),"●","")</x:f>
      </x:c>
      <x:c r="S460" s="165" t="str">
        <x:f>IF(AND(S$5&gt;=$C460,S$5&lt;=$D460,$A460&lt;&gt;""),"●","")</x:f>
      </x:c>
      <x:c r="T460" s="165" t="str">
        <x:f>IF(AND(T$5&gt;=$C460,T$5&lt;=$D460,$A460&lt;&gt;""),"●","")</x:f>
      </x:c>
      <x:c r="U460" s="165" t="str">
        <x:f>IF(AND(U$5&gt;=$C460,U$5&lt;=$D460,$A460&lt;&gt;""),"●","")</x:f>
      </x:c>
      <x:c r="V460" s="165" t="str">
        <x:f>IF(AND(V$5&gt;=$C460,V$5&lt;=$D460,$A460&lt;&gt;""),"●","")</x:f>
      </x:c>
      <x:c r="W460" s="165" t="str">
        <x:f>IF(AND(W$5&gt;=$C460,W$5&lt;=$D460,$A460&lt;&gt;""),"●","")</x:f>
      </x:c>
      <x:c r="X460" s="165" t="str">
        <x:f>IF(AND(X$5&gt;=$C460,X$5&lt;=$D460,$A460&lt;&gt;""),"●","")</x:f>
      </x:c>
      <x:c r="Y460" s="165" t="str">
        <x:f>IF(AND(Y$5&gt;=$C460,Y$5&lt;=$D460,$A460&lt;&gt;""),"●","")</x:f>
      </x:c>
      <x:c r="Z460" s="165" t="str">
        <x:f>IF(AND(Z$5&gt;=$C460,Z$5&lt;=$D460,$A460&lt;&gt;""),"●","")</x:f>
      </x:c>
      <x:c r="AA460" s="165" t="str">
        <x:f>IF(AND(AA$5&gt;=$C460,AA$5&lt;=$D460,$A460&lt;&gt;""),"●","")</x:f>
      </x:c>
      <x:c r="AB460" s="165" t="str">
        <x:f>IF(AND(AB$5&gt;=$C460,AB$5&lt;=$D460,$A460&lt;&gt;""),"●","")</x:f>
      </x:c>
      <x:c r="AC460" s="165" t="str">
        <x:f>IF(AND(AC$5&gt;=$C460,AC$5&lt;=$D460,$A460&lt;&gt;""),"●","")</x:f>
      </x:c>
      <x:c r="AD460" s="165" t="str">
        <x:f>IF(AND(AD$5&gt;=$C460,AD$5&lt;=$D460,$A460&lt;&gt;""),"●","")</x:f>
      </x:c>
      <x:c r="AE460" s="165" t="str">
        <x:f>IF(AND(AE$5&gt;=$C460,AE$5&lt;=$D460,$A460&lt;&gt;""),"●","")</x:f>
      </x:c>
      <x:c r="AF460" s="165" t="str">
        <x:f>IF(AND(AF$5&gt;=$C460,AF$5&lt;=$D460,$A460&lt;&gt;""),"●","")</x:f>
      </x:c>
      <x:c r="AG460" s="165" t="str">
        <x:f>IF(AND(AG$5&gt;=$C460,AG$5&lt;=$D460,$A460&lt;&gt;""),"●","")</x:f>
      </x:c>
      <x:c r="AH460" s="165" t="str">
        <x:f>IF(AND(AH$5&gt;=$C460,AH$5&lt;=$D460,$A460&lt;&gt;""),"●","")</x:f>
      </x:c>
      <x:c r="AI460" s="165" t="str">
        <x:f>IF(AND(AI$5&gt;=$C460,AI$5&lt;=$D460,$A460&lt;&gt;""),"●","")</x:f>
      </x:c>
      <x:c r="AJ460" s="165" t="str">
        <x:f>IF(AND(AJ$5&gt;=$C460,AJ$5&lt;=$D460,$A460&lt;&gt;""),"●","")</x:f>
      </x:c>
      <x:c r="AK460" s="165" t="str">
        <x:f>IF(AND(AK$5&gt;=$C460,AK$5&lt;=$D460,$A460&lt;&gt;""),"●","")</x:f>
      </x:c>
      <x:c r="AL460" s="165" t="str">
        <x:f>IF(AND(AL$5&gt;=$C460,AL$5&lt;=$D460,$A460&lt;&gt;""),"●","")</x:f>
      </x:c>
      <x:c r="AM460" s="165" t="str">
        <x:f>IF(AND(AM$5&gt;=$C460,AM$5&lt;=$D460,$A460&lt;&gt;""),"●","")</x:f>
      </x:c>
      <x:c r="AN460" s="165" t="str">
        <x:f>IF(AND(AN$5&gt;=$C460,AN$5&lt;=$D460,$A460&lt;&gt;""),"●","")</x:f>
      </x:c>
      <x:c r="AO460" s="165" t="str">
        <x:f>IF(AND(AO$5&gt;=$C460,AO$5&lt;=$D460,$A460&lt;&gt;""),"●","")</x:f>
      </x:c>
      <x:c r="AP460" s="165" t="str">
        <x:f>IF(AND(AP$5&gt;=$C460,AP$5&lt;=$D460,$A460&lt;&gt;""),"●","")</x:f>
      </x:c>
      <x:c r="AQ460" s="165" t="str">
        <x:f>IF(AND(AQ$5&gt;=$C460,AQ$5&lt;=$D460,$A460&lt;&gt;""),"●","")</x:f>
      </x:c>
      <x:c r="AR460" s="165" t="str">
        <x:f>IF(AND(AR$5&gt;=$C460,AR$5&lt;=$D460,$A460&lt;&gt;""),"●","")</x:f>
      </x:c>
      <x:c r="AS460" s="165" t="str">
        <x:f>IF(AND(AS$5&gt;=$C460,AS$5&lt;=$D460,$A460&lt;&gt;""),"●","")</x:f>
      </x:c>
      <x:c r="AT460" s="165" t="str">
        <x:f>IF(AND(AT$5&gt;=$C460,AT$5&lt;=$D460,$A460&lt;&gt;""),"●","")</x:f>
      </x:c>
      <x:c r="AU460" s="165" t="str">
        <x:f>IF(AND(AU$5&gt;=$C460,AU$5&lt;=$D460,$A460&lt;&gt;""),"●","")</x:f>
      </x:c>
      <x:c r="AV460" s="165" t="str">
        <x:f>IF(AND(AV$5&gt;=$C460,AV$5&lt;=$D460,$A460&lt;&gt;""),"●","")</x:f>
      </x:c>
      <x:c r="AW460" s="165" t="str">
        <x:f>IF(AND(AW$5&gt;=$C460,AW$5&lt;=$D460,$A460&lt;&gt;""),"●","")</x:f>
      </x:c>
      <x:c r="AX460" s="165" t="str">
        <x:f>IF(AND(AX$5&gt;=$C460,AX$5&lt;=$D460,$A460&lt;&gt;""),"●","")</x:f>
      </x:c>
      <x:c r="AY460" s="165" t="str">
        <x:f>IF(AND(AY$5&gt;=$C460,AY$5&lt;=$D460,$A460&lt;&gt;""),"●","")</x:f>
      </x:c>
      <x:c r="AZ460" s="165" t="str">
        <x:f>IF(AND(AZ$5&gt;=$C460,AZ$5&lt;=$D460,$A460&lt;&gt;""),"●","")</x:f>
      </x:c>
      <x:c r="BA460" s="165" t="str">
        <x:f>IF(AND(BA$5&gt;=$C460,BA$5&lt;=$D460,$A460&lt;&gt;""),"●","")</x:f>
      </x:c>
      <x:c r="BB460" s="165" t="str">
        <x:f>IF(AND(BB$5&gt;=$C460,BB$5&lt;=$D460,$A460&lt;&gt;""),"●","")</x:f>
      </x:c>
      <x:c r="BC460" s="165" t="str">
        <x:f>IF(AND(BC$5&gt;=$C460,BC$5&lt;=$D460,$A460&lt;&gt;""),"●","")</x:f>
      </x:c>
      <x:c r="BD460" s="165" t="str">
        <x:f>IF(AND(BD$5&gt;=$C460,BD$5&lt;=$D460,$A460&lt;&gt;""),"●","")</x:f>
      </x:c>
      <x:c r="BE460" s="165" t="str">
        <x:f>IF(AND(BE$5&gt;=$C460,BE$5&lt;=$D460,$A460&lt;&gt;""),"●","")</x:f>
      </x:c>
      <x:c r="BF460" s="165" t="str">
        <x:f>IF(AND(BF$5&gt;=$C460,BF$5&lt;=$D460,$A460&lt;&gt;""),"●","")</x:f>
      </x:c>
      <x:c r="BG460" s="165" t="str">
        <x:f>IF(AND(BG$5&gt;=$C460,BG$5&lt;=$D460,$A460&lt;&gt;""),"●","")</x:f>
      </x:c>
      <x:c r="BH460" s="165" t="str">
        <x:f>IF(AND(BH$5&gt;=$C460,BH$5&lt;=$D460,$A460&lt;&gt;""),"●","")</x:f>
      </x:c>
      <x:c r="BI460" s="165" t="str">
        <x:f>IF(AND(BI$5&gt;=$C460,BI$5&lt;=$D460,$A460&lt;&gt;""),"●","")</x:f>
      </x:c>
      <x:c r="BJ460" s="165" t="str">
        <x:f>IF(AND(BJ$5&gt;=$C460,BJ$5&lt;=$D460,$A460&lt;&gt;""),"●","")</x:f>
      </x:c>
      <x:c r="BK460" s="165" t="str">
        <x:f>IF(AND(BK$5&gt;=$C460,BK$5&lt;=$D460,$A460&lt;&gt;""),"●","")</x:f>
      </x:c>
      <x:c r="BL460" s="165" t="str">
        <x:f>IF(AND(BL$5&gt;=$C460,BL$5&lt;=$D460,$A460&lt;&gt;""),"●","")</x:f>
      </x:c>
      <x:c r="BM460" s="165" t="str">
        <x:f>IF(AND(BM$5&gt;=$C460,BM$5&lt;=$D460,$A460&lt;&gt;""),"●","")</x:f>
      </x:c>
      <x:c r="BN460" s="165" t="str">
        <x:f>IF(AND(BN$5&gt;=$C460,BN$5&lt;=$D460,$A460&lt;&gt;""),"●","")</x:f>
      </x:c>
      <x:c r="BO460" s="165" t="str">
        <x:f>IF(AND(BO$5&gt;=$C460,BO$5&lt;=$D460,$A460&lt;&gt;""),"●","")</x:f>
      </x:c>
      <x:c r="BP460" s="165" t="str">
        <x:f>IF(AND(BP$5&gt;=$C460,BP$5&lt;=$D460,$A460&lt;&gt;""),"●","")</x:f>
      </x:c>
      <x:c r="BQ460" s="165" t="str">
        <x:f>IF(AND(BQ$5&gt;=$C460,BQ$5&lt;=$D460,$A460&lt;&gt;""),"●","")</x:f>
      </x:c>
      <x:c r="BR460" s="165" t="str">
        <x:f>IF(AND(BR$5&gt;=$C460,BR$5&lt;=$D460,$A460&lt;&gt;""),"●","")</x:f>
      </x:c>
      <x:c r="BS460" s="165" t="str">
        <x:f>IF(AND(BS$5&gt;=$C460,BS$5&lt;=$D460,$A460&lt;&gt;""),"●","")</x:f>
      </x:c>
      <x:c r="BT460" s="165" t="str">
        <x:f>IF(AND(BT$5&gt;=$C460,BT$5&lt;=$D460,$A460&lt;&gt;""),"●","")</x:f>
      </x:c>
      <x:c r="BU460" s="165" t="str">
        <x:f>IF(AND(BU$5&gt;=$C460,BU$5&lt;=$D460,$A460&lt;&gt;""),"●","")</x:f>
      </x:c>
      <x:c r="BV460" s="165" t="str">
        <x:f>IF(AND(BV$5&gt;=$C460,BV$5&lt;=$D460,$A460&lt;&gt;""),"●","")</x:f>
      </x:c>
      <x:c r="BW460" s="165" t="str">
        <x:f>IF(AND(BW$5&gt;=$C460,BW$5&lt;=$D460,$A460&lt;&gt;""),"●","")</x:f>
      </x:c>
    </x:row>
    <x:row r="461">
      <x:c r="A461" s="159" t="str">
        <x:f>IF('รายการสัญญา'!A461="","",'รายการสัญญา'!A461)</x:f>
      </x:c>
      <x:c r="B461" s="159" t="str">
        <x:f>IF('รายการสัญญา'!A461="","",'รายการสัญญา'!C461)</x:f>
      </x:c>
      <x:c r="C461" s="162" t="str">
        <x:f>IF('รายการสัญญา'!A461="","",'รายการสัญญา'!E461)</x:f>
      </x:c>
      <x:c r="D461" s="162" t="str">
        <x:f>IF('รายการสัญญา'!A461="","",'รายการสัญญา'!G461)</x:f>
      </x:c>
      <x:c r="E461" s="159" t="str">
        <x:f>IF('รายการสัญญา'!A461="","",'รายการสัญญา'!K461)</x:f>
      </x:c>
      <x:c r="F461" s="165" t="str">
        <x:f>IF(AND(F$5&gt;=$C461,F$5&lt;=$D461,$A461&lt;&gt;""),"●","")</x:f>
      </x:c>
      <x:c r="G461" s="165" t="str">
        <x:f>IF(AND(G$5&gt;=$C461,G$5&lt;=$D461,$A461&lt;&gt;""),"●","")</x:f>
      </x:c>
      <x:c r="H461" s="165" t="str">
        <x:f>IF(AND(H$5&gt;=$C461,H$5&lt;=$D461,$A461&lt;&gt;""),"●","")</x:f>
      </x:c>
      <x:c r="I461" s="165" t="str">
        <x:f>IF(AND(I$5&gt;=$C461,I$5&lt;=$D461,$A461&lt;&gt;""),"●","")</x:f>
      </x:c>
      <x:c r="J461" s="165" t="str">
        <x:f>IF(AND(J$5&gt;=$C461,J$5&lt;=$D461,$A461&lt;&gt;""),"●","")</x:f>
      </x:c>
      <x:c r="K461" s="165" t="str">
        <x:f>IF(AND(K$5&gt;=$C461,K$5&lt;=$D461,$A461&lt;&gt;""),"●","")</x:f>
      </x:c>
      <x:c r="L461" s="165" t="str">
        <x:f>IF(AND(L$5&gt;=$C461,L$5&lt;=$D461,$A461&lt;&gt;""),"●","")</x:f>
      </x:c>
      <x:c r="M461" s="165" t="str">
        <x:f>IF(AND(M$5&gt;=$C461,M$5&lt;=$D461,$A461&lt;&gt;""),"●","")</x:f>
      </x:c>
      <x:c r="N461" s="165" t="str">
        <x:f>IF(AND(N$5&gt;=$C461,N$5&lt;=$D461,$A461&lt;&gt;""),"●","")</x:f>
      </x:c>
      <x:c r="O461" s="165" t="str">
        <x:f>IF(AND(O$5&gt;=$C461,O$5&lt;=$D461,$A461&lt;&gt;""),"●","")</x:f>
      </x:c>
      <x:c r="P461" s="165" t="str">
        <x:f>IF(AND(P$5&gt;=$C461,P$5&lt;=$D461,$A461&lt;&gt;""),"●","")</x:f>
      </x:c>
      <x:c r="Q461" s="165" t="str">
        <x:f>IF(AND(Q$5&gt;=$C461,Q$5&lt;=$D461,$A461&lt;&gt;""),"●","")</x:f>
      </x:c>
      <x:c r="R461" s="165" t="str">
        <x:f>IF(AND(R$5&gt;=$C461,R$5&lt;=$D461,$A461&lt;&gt;""),"●","")</x:f>
      </x:c>
      <x:c r="S461" s="165" t="str">
        <x:f>IF(AND(S$5&gt;=$C461,S$5&lt;=$D461,$A461&lt;&gt;""),"●","")</x:f>
      </x:c>
      <x:c r="T461" s="165" t="str">
        <x:f>IF(AND(T$5&gt;=$C461,T$5&lt;=$D461,$A461&lt;&gt;""),"●","")</x:f>
      </x:c>
      <x:c r="U461" s="165" t="str">
        <x:f>IF(AND(U$5&gt;=$C461,U$5&lt;=$D461,$A461&lt;&gt;""),"●","")</x:f>
      </x:c>
      <x:c r="V461" s="165" t="str">
        <x:f>IF(AND(V$5&gt;=$C461,V$5&lt;=$D461,$A461&lt;&gt;""),"●","")</x:f>
      </x:c>
      <x:c r="W461" s="165" t="str">
        <x:f>IF(AND(W$5&gt;=$C461,W$5&lt;=$D461,$A461&lt;&gt;""),"●","")</x:f>
      </x:c>
      <x:c r="X461" s="165" t="str">
        <x:f>IF(AND(X$5&gt;=$C461,X$5&lt;=$D461,$A461&lt;&gt;""),"●","")</x:f>
      </x:c>
      <x:c r="Y461" s="165" t="str">
        <x:f>IF(AND(Y$5&gt;=$C461,Y$5&lt;=$D461,$A461&lt;&gt;""),"●","")</x:f>
      </x:c>
      <x:c r="Z461" s="165" t="str">
        <x:f>IF(AND(Z$5&gt;=$C461,Z$5&lt;=$D461,$A461&lt;&gt;""),"●","")</x:f>
      </x:c>
      <x:c r="AA461" s="165" t="str">
        <x:f>IF(AND(AA$5&gt;=$C461,AA$5&lt;=$D461,$A461&lt;&gt;""),"●","")</x:f>
      </x:c>
      <x:c r="AB461" s="165" t="str">
        <x:f>IF(AND(AB$5&gt;=$C461,AB$5&lt;=$D461,$A461&lt;&gt;""),"●","")</x:f>
      </x:c>
      <x:c r="AC461" s="165" t="str">
        <x:f>IF(AND(AC$5&gt;=$C461,AC$5&lt;=$D461,$A461&lt;&gt;""),"●","")</x:f>
      </x:c>
      <x:c r="AD461" s="165" t="str">
        <x:f>IF(AND(AD$5&gt;=$C461,AD$5&lt;=$D461,$A461&lt;&gt;""),"●","")</x:f>
      </x:c>
      <x:c r="AE461" s="165" t="str">
        <x:f>IF(AND(AE$5&gt;=$C461,AE$5&lt;=$D461,$A461&lt;&gt;""),"●","")</x:f>
      </x:c>
      <x:c r="AF461" s="165" t="str">
        <x:f>IF(AND(AF$5&gt;=$C461,AF$5&lt;=$D461,$A461&lt;&gt;""),"●","")</x:f>
      </x:c>
      <x:c r="AG461" s="165" t="str">
        <x:f>IF(AND(AG$5&gt;=$C461,AG$5&lt;=$D461,$A461&lt;&gt;""),"●","")</x:f>
      </x:c>
      <x:c r="AH461" s="165" t="str">
        <x:f>IF(AND(AH$5&gt;=$C461,AH$5&lt;=$D461,$A461&lt;&gt;""),"●","")</x:f>
      </x:c>
      <x:c r="AI461" s="165" t="str">
        <x:f>IF(AND(AI$5&gt;=$C461,AI$5&lt;=$D461,$A461&lt;&gt;""),"●","")</x:f>
      </x:c>
      <x:c r="AJ461" s="165" t="str">
        <x:f>IF(AND(AJ$5&gt;=$C461,AJ$5&lt;=$D461,$A461&lt;&gt;""),"●","")</x:f>
      </x:c>
      <x:c r="AK461" s="165" t="str">
        <x:f>IF(AND(AK$5&gt;=$C461,AK$5&lt;=$D461,$A461&lt;&gt;""),"●","")</x:f>
      </x:c>
      <x:c r="AL461" s="165" t="str">
        <x:f>IF(AND(AL$5&gt;=$C461,AL$5&lt;=$D461,$A461&lt;&gt;""),"●","")</x:f>
      </x:c>
      <x:c r="AM461" s="165" t="str">
        <x:f>IF(AND(AM$5&gt;=$C461,AM$5&lt;=$D461,$A461&lt;&gt;""),"●","")</x:f>
      </x:c>
      <x:c r="AN461" s="165" t="str">
        <x:f>IF(AND(AN$5&gt;=$C461,AN$5&lt;=$D461,$A461&lt;&gt;""),"●","")</x:f>
      </x:c>
      <x:c r="AO461" s="165" t="str">
        <x:f>IF(AND(AO$5&gt;=$C461,AO$5&lt;=$D461,$A461&lt;&gt;""),"●","")</x:f>
      </x:c>
      <x:c r="AP461" s="165" t="str">
        <x:f>IF(AND(AP$5&gt;=$C461,AP$5&lt;=$D461,$A461&lt;&gt;""),"●","")</x:f>
      </x:c>
      <x:c r="AQ461" s="165" t="str">
        <x:f>IF(AND(AQ$5&gt;=$C461,AQ$5&lt;=$D461,$A461&lt;&gt;""),"●","")</x:f>
      </x:c>
      <x:c r="AR461" s="165" t="str">
        <x:f>IF(AND(AR$5&gt;=$C461,AR$5&lt;=$D461,$A461&lt;&gt;""),"●","")</x:f>
      </x:c>
      <x:c r="AS461" s="165" t="str">
        <x:f>IF(AND(AS$5&gt;=$C461,AS$5&lt;=$D461,$A461&lt;&gt;""),"●","")</x:f>
      </x:c>
      <x:c r="AT461" s="165" t="str">
        <x:f>IF(AND(AT$5&gt;=$C461,AT$5&lt;=$D461,$A461&lt;&gt;""),"●","")</x:f>
      </x:c>
      <x:c r="AU461" s="165" t="str">
        <x:f>IF(AND(AU$5&gt;=$C461,AU$5&lt;=$D461,$A461&lt;&gt;""),"●","")</x:f>
      </x:c>
      <x:c r="AV461" s="165" t="str">
        <x:f>IF(AND(AV$5&gt;=$C461,AV$5&lt;=$D461,$A461&lt;&gt;""),"●","")</x:f>
      </x:c>
      <x:c r="AW461" s="165" t="str">
        <x:f>IF(AND(AW$5&gt;=$C461,AW$5&lt;=$D461,$A461&lt;&gt;""),"●","")</x:f>
      </x:c>
      <x:c r="AX461" s="165" t="str">
        <x:f>IF(AND(AX$5&gt;=$C461,AX$5&lt;=$D461,$A461&lt;&gt;""),"●","")</x:f>
      </x:c>
      <x:c r="AY461" s="165" t="str">
        <x:f>IF(AND(AY$5&gt;=$C461,AY$5&lt;=$D461,$A461&lt;&gt;""),"●","")</x:f>
      </x:c>
      <x:c r="AZ461" s="165" t="str">
        <x:f>IF(AND(AZ$5&gt;=$C461,AZ$5&lt;=$D461,$A461&lt;&gt;""),"●","")</x:f>
      </x:c>
      <x:c r="BA461" s="165" t="str">
        <x:f>IF(AND(BA$5&gt;=$C461,BA$5&lt;=$D461,$A461&lt;&gt;""),"●","")</x:f>
      </x:c>
      <x:c r="BB461" s="165" t="str">
        <x:f>IF(AND(BB$5&gt;=$C461,BB$5&lt;=$D461,$A461&lt;&gt;""),"●","")</x:f>
      </x:c>
      <x:c r="BC461" s="165" t="str">
        <x:f>IF(AND(BC$5&gt;=$C461,BC$5&lt;=$D461,$A461&lt;&gt;""),"●","")</x:f>
      </x:c>
      <x:c r="BD461" s="165" t="str">
        <x:f>IF(AND(BD$5&gt;=$C461,BD$5&lt;=$D461,$A461&lt;&gt;""),"●","")</x:f>
      </x:c>
      <x:c r="BE461" s="165" t="str">
        <x:f>IF(AND(BE$5&gt;=$C461,BE$5&lt;=$D461,$A461&lt;&gt;""),"●","")</x:f>
      </x:c>
      <x:c r="BF461" s="165" t="str">
        <x:f>IF(AND(BF$5&gt;=$C461,BF$5&lt;=$D461,$A461&lt;&gt;""),"●","")</x:f>
      </x:c>
      <x:c r="BG461" s="165" t="str">
        <x:f>IF(AND(BG$5&gt;=$C461,BG$5&lt;=$D461,$A461&lt;&gt;""),"●","")</x:f>
      </x:c>
      <x:c r="BH461" s="165" t="str">
        <x:f>IF(AND(BH$5&gt;=$C461,BH$5&lt;=$D461,$A461&lt;&gt;""),"●","")</x:f>
      </x:c>
      <x:c r="BI461" s="165" t="str">
        <x:f>IF(AND(BI$5&gt;=$C461,BI$5&lt;=$D461,$A461&lt;&gt;""),"●","")</x:f>
      </x:c>
      <x:c r="BJ461" s="165" t="str">
        <x:f>IF(AND(BJ$5&gt;=$C461,BJ$5&lt;=$D461,$A461&lt;&gt;""),"●","")</x:f>
      </x:c>
      <x:c r="BK461" s="165" t="str">
        <x:f>IF(AND(BK$5&gt;=$C461,BK$5&lt;=$D461,$A461&lt;&gt;""),"●","")</x:f>
      </x:c>
      <x:c r="BL461" s="165" t="str">
        <x:f>IF(AND(BL$5&gt;=$C461,BL$5&lt;=$D461,$A461&lt;&gt;""),"●","")</x:f>
      </x:c>
      <x:c r="BM461" s="165" t="str">
        <x:f>IF(AND(BM$5&gt;=$C461,BM$5&lt;=$D461,$A461&lt;&gt;""),"●","")</x:f>
      </x:c>
      <x:c r="BN461" s="165" t="str">
        <x:f>IF(AND(BN$5&gt;=$C461,BN$5&lt;=$D461,$A461&lt;&gt;""),"●","")</x:f>
      </x:c>
      <x:c r="BO461" s="165" t="str">
        <x:f>IF(AND(BO$5&gt;=$C461,BO$5&lt;=$D461,$A461&lt;&gt;""),"●","")</x:f>
      </x:c>
      <x:c r="BP461" s="165" t="str">
        <x:f>IF(AND(BP$5&gt;=$C461,BP$5&lt;=$D461,$A461&lt;&gt;""),"●","")</x:f>
      </x:c>
      <x:c r="BQ461" s="165" t="str">
        <x:f>IF(AND(BQ$5&gt;=$C461,BQ$5&lt;=$D461,$A461&lt;&gt;""),"●","")</x:f>
      </x:c>
      <x:c r="BR461" s="165" t="str">
        <x:f>IF(AND(BR$5&gt;=$C461,BR$5&lt;=$D461,$A461&lt;&gt;""),"●","")</x:f>
      </x:c>
      <x:c r="BS461" s="165" t="str">
        <x:f>IF(AND(BS$5&gt;=$C461,BS$5&lt;=$D461,$A461&lt;&gt;""),"●","")</x:f>
      </x:c>
      <x:c r="BT461" s="165" t="str">
        <x:f>IF(AND(BT$5&gt;=$C461,BT$5&lt;=$D461,$A461&lt;&gt;""),"●","")</x:f>
      </x:c>
      <x:c r="BU461" s="165" t="str">
        <x:f>IF(AND(BU$5&gt;=$C461,BU$5&lt;=$D461,$A461&lt;&gt;""),"●","")</x:f>
      </x:c>
      <x:c r="BV461" s="165" t="str">
        <x:f>IF(AND(BV$5&gt;=$C461,BV$5&lt;=$D461,$A461&lt;&gt;""),"●","")</x:f>
      </x:c>
      <x:c r="BW461" s="165" t="str">
        <x:f>IF(AND(BW$5&gt;=$C461,BW$5&lt;=$D461,$A461&lt;&gt;""),"●","")</x:f>
      </x:c>
    </x:row>
    <x:row r="462">
      <x:c r="A462" s="159" t="str">
        <x:f>IF('รายการสัญญา'!A462="","",'รายการสัญญา'!A462)</x:f>
      </x:c>
      <x:c r="B462" s="159" t="str">
        <x:f>IF('รายการสัญญา'!A462="","",'รายการสัญญา'!C462)</x:f>
      </x:c>
      <x:c r="C462" s="162" t="str">
        <x:f>IF('รายการสัญญา'!A462="","",'รายการสัญญา'!E462)</x:f>
      </x:c>
      <x:c r="D462" s="162" t="str">
        <x:f>IF('รายการสัญญา'!A462="","",'รายการสัญญา'!G462)</x:f>
      </x:c>
      <x:c r="E462" s="159" t="str">
        <x:f>IF('รายการสัญญา'!A462="","",'รายการสัญญา'!K462)</x:f>
      </x:c>
      <x:c r="F462" s="165" t="str">
        <x:f>IF(AND(F$5&gt;=$C462,F$5&lt;=$D462,$A462&lt;&gt;""),"●","")</x:f>
      </x:c>
      <x:c r="G462" s="165" t="str">
        <x:f>IF(AND(G$5&gt;=$C462,G$5&lt;=$D462,$A462&lt;&gt;""),"●","")</x:f>
      </x:c>
      <x:c r="H462" s="165" t="str">
        <x:f>IF(AND(H$5&gt;=$C462,H$5&lt;=$D462,$A462&lt;&gt;""),"●","")</x:f>
      </x:c>
      <x:c r="I462" s="165" t="str">
        <x:f>IF(AND(I$5&gt;=$C462,I$5&lt;=$D462,$A462&lt;&gt;""),"●","")</x:f>
      </x:c>
      <x:c r="J462" s="165" t="str">
        <x:f>IF(AND(J$5&gt;=$C462,J$5&lt;=$D462,$A462&lt;&gt;""),"●","")</x:f>
      </x:c>
      <x:c r="K462" s="165" t="str">
        <x:f>IF(AND(K$5&gt;=$C462,K$5&lt;=$D462,$A462&lt;&gt;""),"●","")</x:f>
      </x:c>
      <x:c r="L462" s="165" t="str">
        <x:f>IF(AND(L$5&gt;=$C462,L$5&lt;=$D462,$A462&lt;&gt;""),"●","")</x:f>
      </x:c>
      <x:c r="M462" s="165" t="str">
        <x:f>IF(AND(M$5&gt;=$C462,M$5&lt;=$D462,$A462&lt;&gt;""),"●","")</x:f>
      </x:c>
      <x:c r="N462" s="165" t="str">
        <x:f>IF(AND(N$5&gt;=$C462,N$5&lt;=$D462,$A462&lt;&gt;""),"●","")</x:f>
      </x:c>
      <x:c r="O462" s="165" t="str">
        <x:f>IF(AND(O$5&gt;=$C462,O$5&lt;=$D462,$A462&lt;&gt;""),"●","")</x:f>
      </x:c>
      <x:c r="P462" s="165" t="str">
        <x:f>IF(AND(P$5&gt;=$C462,P$5&lt;=$D462,$A462&lt;&gt;""),"●","")</x:f>
      </x:c>
      <x:c r="Q462" s="165" t="str">
        <x:f>IF(AND(Q$5&gt;=$C462,Q$5&lt;=$D462,$A462&lt;&gt;""),"●","")</x:f>
      </x:c>
      <x:c r="R462" s="165" t="str">
        <x:f>IF(AND(R$5&gt;=$C462,R$5&lt;=$D462,$A462&lt;&gt;""),"●","")</x:f>
      </x:c>
      <x:c r="S462" s="165" t="str">
        <x:f>IF(AND(S$5&gt;=$C462,S$5&lt;=$D462,$A462&lt;&gt;""),"●","")</x:f>
      </x:c>
      <x:c r="T462" s="165" t="str">
        <x:f>IF(AND(T$5&gt;=$C462,T$5&lt;=$D462,$A462&lt;&gt;""),"●","")</x:f>
      </x:c>
      <x:c r="U462" s="165" t="str">
        <x:f>IF(AND(U$5&gt;=$C462,U$5&lt;=$D462,$A462&lt;&gt;""),"●","")</x:f>
      </x:c>
      <x:c r="V462" s="165" t="str">
        <x:f>IF(AND(V$5&gt;=$C462,V$5&lt;=$D462,$A462&lt;&gt;""),"●","")</x:f>
      </x:c>
      <x:c r="W462" s="165" t="str">
        <x:f>IF(AND(W$5&gt;=$C462,W$5&lt;=$D462,$A462&lt;&gt;""),"●","")</x:f>
      </x:c>
      <x:c r="X462" s="165" t="str">
        <x:f>IF(AND(X$5&gt;=$C462,X$5&lt;=$D462,$A462&lt;&gt;""),"●","")</x:f>
      </x:c>
      <x:c r="Y462" s="165" t="str">
        <x:f>IF(AND(Y$5&gt;=$C462,Y$5&lt;=$D462,$A462&lt;&gt;""),"●","")</x:f>
      </x:c>
      <x:c r="Z462" s="165" t="str">
        <x:f>IF(AND(Z$5&gt;=$C462,Z$5&lt;=$D462,$A462&lt;&gt;""),"●","")</x:f>
      </x:c>
      <x:c r="AA462" s="165" t="str">
        <x:f>IF(AND(AA$5&gt;=$C462,AA$5&lt;=$D462,$A462&lt;&gt;""),"●","")</x:f>
      </x:c>
      <x:c r="AB462" s="165" t="str">
        <x:f>IF(AND(AB$5&gt;=$C462,AB$5&lt;=$D462,$A462&lt;&gt;""),"●","")</x:f>
      </x:c>
      <x:c r="AC462" s="165" t="str">
        <x:f>IF(AND(AC$5&gt;=$C462,AC$5&lt;=$D462,$A462&lt;&gt;""),"●","")</x:f>
      </x:c>
      <x:c r="AD462" s="165" t="str">
        <x:f>IF(AND(AD$5&gt;=$C462,AD$5&lt;=$D462,$A462&lt;&gt;""),"●","")</x:f>
      </x:c>
      <x:c r="AE462" s="165" t="str">
        <x:f>IF(AND(AE$5&gt;=$C462,AE$5&lt;=$D462,$A462&lt;&gt;""),"●","")</x:f>
      </x:c>
      <x:c r="AF462" s="165" t="str">
        <x:f>IF(AND(AF$5&gt;=$C462,AF$5&lt;=$D462,$A462&lt;&gt;""),"●","")</x:f>
      </x:c>
      <x:c r="AG462" s="165" t="str">
        <x:f>IF(AND(AG$5&gt;=$C462,AG$5&lt;=$D462,$A462&lt;&gt;""),"●","")</x:f>
      </x:c>
      <x:c r="AH462" s="165" t="str">
        <x:f>IF(AND(AH$5&gt;=$C462,AH$5&lt;=$D462,$A462&lt;&gt;""),"●","")</x:f>
      </x:c>
      <x:c r="AI462" s="165" t="str">
        <x:f>IF(AND(AI$5&gt;=$C462,AI$5&lt;=$D462,$A462&lt;&gt;""),"●","")</x:f>
      </x:c>
      <x:c r="AJ462" s="165" t="str">
        <x:f>IF(AND(AJ$5&gt;=$C462,AJ$5&lt;=$D462,$A462&lt;&gt;""),"●","")</x:f>
      </x:c>
      <x:c r="AK462" s="165" t="str">
        <x:f>IF(AND(AK$5&gt;=$C462,AK$5&lt;=$D462,$A462&lt;&gt;""),"●","")</x:f>
      </x:c>
      <x:c r="AL462" s="165" t="str">
        <x:f>IF(AND(AL$5&gt;=$C462,AL$5&lt;=$D462,$A462&lt;&gt;""),"●","")</x:f>
      </x:c>
      <x:c r="AM462" s="165" t="str">
        <x:f>IF(AND(AM$5&gt;=$C462,AM$5&lt;=$D462,$A462&lt;&gt;""),"●","")</x:f>
      </x:c>
      <x:c r="AN462" s="165" t="str">
        <x:f>IF(AND(AN$5&gt;=$C462,AN$5&lt;=$D462,$A462&lt;&gt;""),"●","")</x:f>
      </x:c>
      <x:c r="AO462" s="165" t="str">
        <x:f>IF(AND(AO$5&gt;=$C462,AO$5&lt;=$D462,$A462&lt;&gt;""),"●","")</x:f>
      </x:c>
      <x:c r="AP462" s="165" t="str">
        <x:f>IF(AND(AP$5&gt;=$C462,AP$5&lt;=$D462,$A462&lt;&gt;""),"●","")</x:f>
      </x:c>
      <x:c r="AQ462" s="165" t="str">
        <x:f>IF(AND(AQ$5&gt;=$C462,AQ$5&lt;=$D462,$A462&lt;&gt;""),"●","")</x:f>
      </x:c>
      <x:c r="AR462" s="165" t="str">
        <x:f>IF(AND(AR$5&gt;=$C462,AR$5&lt;=$D462,$A462&lt;&gt;""),"●","")</x:f>
      </x:c>
      <x:c r="AS462" s="165" t="str">
        <x:f>IF(AND(AS$5&gt;=$C462,AS$5&lt;=$D462,$A462&lt;&gt;""),"●","")</x:f>
      </x:c>
      <x:c r="AT462" s="165" t="str">
        <x:f>IF(AND(AT$5&gt;=$C462,AT$5&lt;=$D462,$A462&lt;&gt;""),"●","")</x:f>
      </x:c>
      <x:c r="AU462" s="165" t="str">
        <x:f>IF(AND(AU$5&gt;=$C462,AU$5&lt;=$D462,$A462&lt;&gt;""),"●","")</x:f>
      </x:c>
      <x:c r="AV462" s="165" t="str">
        <x:f>IF(AND(AV$5&gt;=$C462,AV$5&lt;=$D462,$A462&lt;&gt;""),"●","")</x:f>
      </x:c>
      <x:c r="AW462" s="165" t="str">
        <x:f>IF(AND(AW$5&gt;=$C462,AW$5&lt;=$D462,$A462&lt;&gt;""),"●","")</x:f>
      </x:c>
      <x:c r="AX462" s="165" t="str">
        <x:f>IF(AND(AX$5&gt;=$C462,AX$5&lt;=$D462,$A462&lt;&gt;""),"●","")</x:f>
      </x:c>
      <x:c r="AY462" s="165" t="str">
        <x:f>IF(AND(AY$5&gt;=$C462,AY$5&lt;=$D462,$A462&lt;&gt;""),"●","")</x:f>
      </x:c>
      <x:c r="AZ462" s="165" t="str">
        <x:f>IF(AND(AZ$5&gt;=$C462,AZ$5&lt;=$D462,$A462&lt;&gt;""),"●","")</x:f>
      </x:c>
      <x:c r="BA462" s="165" t="str">
        <x:f>IF(AND(BA$5&gt;=$C462,BA$5&lt;=$D462,$A462&lt;&gt;""),"●","")</x:f>
      </x:c>
      <x:c r="BB462" s="165" t="str">
        <x:f>IF(AND(BB$5&gt;=$C462,BB$5&lt;=$D462,$A462&lt;&gt;""),"●","")</x:f>
      </x:c>
      <x:c r="BC462" s="165" t="str">
        <x:f>IF(AND(BC$5&gt;=$C462,BC$5&lt;=$D462,$A462&lt;&gt;""),"●","")</x:f>
      </x:c>
      <x:c r="BD462" s="165" t="str">
        <x:f>IF(AND(BD$5&gt;=$C462,BD$5&lt;=$D462,$A462&lt;&gt;""),"●","")</x:f>
      </x:c>
      <x:c r="BE462" s="165" t="str">
        <x:f>IF(AND(BE$5&gt;=$C462,BE$5&lt;=$D462,$A462&lt;&gt;""),"●","")</x:f>
      </x:c>
      <x:c r="BF462" s="165" t="str">
        <x:f>IF(AND(BF$5&gt;=$C462,BF$5&lt;=$D462,$A462&lt;&gt;""),"●","")</x:f>
      </x:c>
      <x:c r="BG462" s="165" t="str">
        <x:f>IF(AND(BG$5&gt;=$C462,BG$5&lt;=$D462,$A462&lt;&gt;""),"●","")</x:f>
      </x:c>
      <x:c r="BH462" s="165" t="str">
        <x:f>IF(AND(BH$5&gt;=$C462,BH$5&lt;=$D462,$A462&lt;&gt;""),"●","")</x:f>
      </x:c>
      <x:c r="BI462" s="165" t="str">
        <x:f>IF(AND(BI$5&gt;=$C462,BI$5&lt;=$D462,$A462&lt;&gt;""),"●","")</x:f>
      </x:c>
      <x:c r="BJ462" s="165" t="str">
        <x:f>IF(AND(BJ$5&gt;=$C462,BJ$5&lt;=$D462,$A462&lt;&gt;""),"●","")</x:f>
      </x:c>
      <x:c r="BK462" s="165" t="str">
        <x:f>IF(AND(BK$5&gt;=$C462,BK$5&lt;=$D462,$A462&lt;&gt;""),"●","")</x:f>
      </x:c>
      <x:c r="BL462" s="165" t="str">
        <x:f>IF(AND(BL$5&gt;=$C462,BL$5&lt;=$D462,$A462&lt;&gt;""),"●","")</x:f>
      </x:c>
      <x:c r="BM462" s="165" t="str">
        <x:f>IF(AND(BM$5&gt;=$C462,BM$5&lt;=$D462,$A462&lt;&gt;""),"●","")</x:f>
      </x:c>
      <x:c r="BN462" s="165" t="str">
        <x:f>IF(AND(BN$5&gt;=$C462,BN$5&lt;=$D462,$A462&lt;&gt;""),"●","")</x:f>
      </x:c>
      <x:c r="BO462" s="165" t="str">
        <x:f>IF(AND(BO$5&gt;=$C462,BO$5&lt;=$D462,$A462&lt;&gt;""),"●","")</x:f>
      </x:c>
      <x:c r="BP462" s="165" t="str">
        <x:f>IF(AND(BP$5&gt;=$C462,BP$5&lt;=$D462,$A462&lt;&gt;""),"●","")</x:f>
      </x:c>
      <x:c r="BQ462" s="165" t="str">
        <x:f>IF(AND(BQ$5&gt;=$C462,BQ$5&lt;=$D462,$A462&lt;&gt;""),"●","")</x:f>
      </x:c>
      <x:c r="BR462" s="165" t="str">
        <x:f>IF(AND(BR$5&gt;=$C462,BR$5&lt;=$D462,$A462&lt;&gt;""),"●","")</x:f>
      </x:c>
      <x:c r="BS462" s="165" t="str">
        <x:f>IF(AND(BS$5&gt;=$C462,BS$5&lt;=$D462,$A462&lt;&gt;""),"●","")</x:f>
      </x:c>
      <x:c r="BT462" s="165" t="str">
        <x:f>IF(AND(BT$5&gt;=$C462,BT$5&lt;=$D462,$A462&lt;&gt;""),"●","")</x:f>
      </x:c>
      <x:c r="BU462" s="165" t="str">
        <x:f>IF(AND(BU$5&gt;=$C462,BU$5&lt;=$D462,$A462&lt;&gt;""),"●","")</x:f>
      </x:c>
      <x:c r="BV462" s="165" t="str">
        <x:f>IF(AND(BV$5&gt;=$C462,BV$5&lt;=$D462,$A462&lt;&gt;""),"●","")</x:f>
      </x:c>
      <x:c r="BW462" s="165" t="str">
        <x:f>IF(AND(BW$5&gt;=$C462,BW$5&lt;=$D462,$A462&lt;&gt;""),"●","")</x:f>
      </x:c>
    </x:row>
    <x:row r="463">
      <x:c r="A463" s="159" t="str">
        <x:f>IF('รายการสัญญา'!A463="","",'รายการสัญญา'!A463)</x:f>
      </x:c>
      <x:c r="B463" s="159" t="str">
        <x:f>IF('รายการสัญญา'!A463="","",'รายการสัญญา'!C463)</x:f>
      </x:c>
      <x:c r="C463" s="162" t="str">
        <x:f>IF('รายการสัญญา'!A463="","",'รายการสัญญา'!E463)</x:f>
      </x:c>
      <x:c r="D463" s="162" t="str">
        <x:f>IF('รายการสัญญา'!A463="","",'รายการสัญญา'!G463)</x:f>
      </x:c>
      <x:c r="E463" s="159" t="str">
        <x:f>IF('รายการสัญญา'!A463="","",'รายการสัญญา'!K463)</x:f>
      </x:c>
      <x:c r="F463" s="165" t="str">
        <x:f>IF(AND(F$5&gt;=$C463,F$5&lt;=$D463,$A463&lt;&gt;""),"●","")</x:f>
      </x:c>
      <x:c r="G463" s="165" t="str">
        <x:f>IF(AND(G$5&gt;=$C463,G$5&lt;=$D463,$A463&lt;&gt;""),"●","")</x:f>
      </x:c>
      <x:c r="H463" s="165" t="str">
        <x:f>IF(AND(H$5&gt;=$C463,H$5&lt;=$D463,$A463&lt;&gt;""),"●","")</x:f>
      </x:c>
      <x:c r="I463" s="165" t="str">
        <x:f>IF(AND(I$5&gt;=$C463,I$5&lt;=$D463,$A463&lt;&gt;""),"●","")</x:f>
      </x:c>
      <x:c r="J463" s="165" t="str">
        <x:f>IF(AND(J$5&gt;=$C463,J$5&lt;=$D463,$A463&lt;&gt;""),"●","")</x:f>
      </x:c>
      <x:c r="K463" s="165" t="str">
        <x:f>IF(AND(K$5&gt;=$C463,K$5&lt;=$D463,$A463&lt;&gt;""),"●","")</x:f>
      </x:c>
      <x:c r="L463" s="165" t="str">
        <x:f>IF(AND(L$5&gt;=$C463,L$5&lt;=$D463,$A463&lt;&gt;""),"●","")</x:f>
      </x:c>
      <x:c r="M463" s="165" t="str">
        <x:f>IF(AND(M$5&gt;=$C463,M$5&lt;=$D463,$A463&lt;&gt;""),"●","")</x:f>
      </x:c>
      <x:c r="N463" s="165" t="str">
        <x:f>IF(AND(N$5&gt;=$C463,N$5&lt;=$D463,$A463&lt;&gt;""),"●","")</x:f>
      </x:c>
      <x:c r="O463" s="165" t="str">
        <x:f>IF(AND(O$5&gt;=$C463,O$5&lt;=$D463,$A463&lt;&gt;""),"●","")</x:f>
      </x:c>
      <x:c r="P463" s="165" t="str">
        <x:f>IF(AND(P$5&gt;=$C463,P$5&lt;=$D463,$A463&lt;&gt;""),"●","")</x:f>
      </x:c>
      <x:c r="Q463" s="165" t="str">
        <x:f>IF(AND(Q$5&gt;=$C463,Q$5&lt;=$D463,$A463&lt;&gt;""),"●","")</x:f>
      </x:c>
      <x:c r="R463" s="165" t="str">
        <x:f>IF(AND(R$5&gt;=$C463,R$5&lt;=$D463,$A463&lt;&gt;""),"●","")</x:f>
      </x:c>
      <x:c r="S463" s="165" t="str">
        <x:f>IF(AND(S$5&gt;=$C463,S$5&lt;=$D463,$A463&lt;&gt;""),"●","")</x:f>
      </x:c>
      <x:c r="T463" s="165" t="str">
        <x:f>IF(AND(T$5&gt;=$C463,T$5&lt;=$D463,$A463&lt;&gt;""),"●","")</x:f>
      </x:c>
      <x:c r="U463" s="165" t="str">
        <x:f>IF(AND(U$5&gt;=$C463,U$5&lt;=$D463,$A463&lt;&gt;""),"●","")</x:f>
      </x:c>
      <x:c r="V463" s="165" t="str">
        <x:f>IF(AND(V$5&gt;=$C463,V$5&lt;=$D463,$A463&lt;&gt;""),"●","")</x:f>
      </x:c>
      <x:c r="W463" s="165" t="str">
        <x:f>IF(AND(W$5&gt;=$C463,W$5&lt;=$D463,$A463&lt;&gt;""),"●","")</x:f>
      </x:c>
      <x:c r="X463" s="165" t="str">
        <x:f>IF(AND(X$5&gt;=$C463,X$5&lt;=$D463,$A463&lt;&gt;""),"●","")</x:f>
      </x:c>
      <x:c r="Y463" s="165" t="str">
        <x:f>IF(AND(Y$5&gt;=$C463,Y$5&lt;=$D463,$A463&lt;&gt;""),"●","")</x:f>
      </x:c>
      <x:c r="Z463" s="165" t="str">
        <x:f>IF(AND(Z$5&gt;=$C463,Z$5&lt;=$D463,$A463&lt;&gt;""),"●","")</x:f>
      </x:c>
      <x:c r="AA463" s="165" t="str">
        <x:f>IF(AND(AA$5&gt;=$C463,AA$5&lt;=$D463,$A463&lt;&gt;""),"●","")</x:f>
      </x:c>
      <x:c r="AB463" s="165" t="str">
        <x:f>IF(AND(AB$5&gt;=$C463,AB$5&lt;=$D463,$A463&lt;&gt;""),"●","")</x:f>
      </x:c>
      <x:c r="AC463" s="165" t="str">
        <x:f>IF(AND(AC$5&gt;=$C463,AC$5&lt;=$D463,$A463&lt;&gt;""),"●","")</x:f>
      </x:c>
      <x:c r="AD463" s="165" t="str">
        <x:f>IF(AND(AD$5&gt;=$C463,AD$5&lt;=$D463,$A463&lt;&gt;""),"●","")</x:f>
      </x:c>
      <x:c r="AE463" s="165" t="str">
        <x:f>IF(AND(AE$5&gt;=$C463,AE$5&lt;=$D463,$A463&lt;&gt;""),"●","")</x:f>
      </x:c>
      <x:c r="AF463" s="165" t="str">
        <x:f>IF(AND(AF$5&gt;=$C463,AF$5&lt;=$D463,$A463&lt;&gt;""),"●","")</x:f>
      </x:c>
      <x:c r="AG463" s="165" t="str">
        <x:f>IF(AND(AG$5&gt;=$C463,AG$5&lt;=$D463,$A463&lt;&gt;""),"●","")</x:f>
      </x:c>
      <x:c r="AH463" s="165" t="str">
        <x:f>IF(AND(AH$5&gt;=$C463,AH$5&lt;=$D463,$A463&lt;&gt;""),"●","")</x:f>
      </x:c>
      <x:c r="AI463" s="165" t="str">
        <x:f>IF(AND(AI$5&gt;=$C463,AI$5&lt;=$D463,$A463&lt;&gt;""),"●","")</x:f>
      </x:c>
      <x:c r="AJ463" s="165" t="str">
        <x:f>IF(AND(AJ$5&gt;=$C463,AJ$5&lt;=$D463,$A463&lt;&gt;""),"●","")</x:f>
      </x:c>
      <x:c r="AK463" s="165" t="str">
        <x:f>IF(AND(AK$5&gt;=$C463,AK$5&lt;=$D463,$A463&lt;&gt;""),"●","")</x:f>
      </x:c>
      <x:c r="AL463" s="165" t="str">
        <x:f>IF(AND(AL$5&gt;=$C463,AL$5&lt;=$D463,$A463&lt;&gt;""),"●","")</x:f>
      </x:c>
      <x:c r="AM463" s="165" t="str">
        <x:f>IF(AND(AM$5&gt;=$C463,AM$5&lt;=$D463,$A463&lt;&gt;""),"●","")</x:f>
      </x:c>
      <x:c r="AN463" s="165" t="str">
        <x:f>IF(AND(AN$5&gt;=$C463,AN$5&lt;=$D463,$A463&lt;&gt;""),"●","")</x:f>
      </x:c>
      <x:c r="AO463" s="165" t="str">
        <x:f>IF(AND(AO$5&gt;=$C463,AO$5&lt;=$D463,$A463&lt;&gt;""),"●","")</x:f>
      </x:c>
      <x:c r="AP463" s="165" t="str">
        <x:f>IF(AND(AP$5&gt;=$C463,AP$5&lt;=$D463,$A463&lt;&gt;""),"●","")</x:f>
      </x:c>
      <x:c r="AQ463" s="165" t="str">
        <x:f>IF(AND(AQ$5&gt;=$C463,AQ$5&lt;=$D463,$A463&lt;&gt;""),"●","")</x:f>
      </x:c>
      <x:c r="AR463" s="165" t="str">
        <x:f>IF(AND(AR$5&gt;=$C463,AR$5&lt;=$D463,$A463&lt;&gt;""),"●","")</x:f>
      </x:c>
      <x:c r="AS463" s="165" t="str">
        <x:f>IF(AND(AS$5&gt;=$C463,AS$5&lt;=$D463,$A463&lt;&gt;""),"●","")</x:f>
      </x:c>
      <x:c r="AT463" s="165" t="str">
        <x:f>IF(AND(AT$5&gt;=$C463,AT$5&lt;=$D463,$A463&lt;&gt;""),"●","")</x:f>
      </x:c>
      <x:c r="AU463" s="165" t="str">
        <x:f>IF(AND(AU$5&gt;=$C463,AU$5&lt;=$D463,$A463&lt;&gt;""),"●","")</x:f>
      </x:c>
      <x:c r="AV463" s="165" t="str">
        <x:f>IF(AND(AV$5&gt;=$C463,AV$5&lt;=$D463,$A463&lt;&gt;""),"●","")</x:f>
      </x:c>
      <x:c r="AW463" s="165" t="str">
        <x:f>IF(AND(AW$5&gt;=$C463,AW$5&lt;=$D463,$A463&lt;&gt;""),"●","")</x:f>
      </x:c>
      <x:c r="AX463" s="165" t="str">
        <x:f>IF(AND(AX$5&gt;=$C463,AX$5&lt;=$D463,$A463&lt;&gt;""),"●","")</x:f>
      </x:c>
      <x:c r="AY463" s="165" t="str">
        <x:f>IF(AND(AY$5&gt;=$C463,AY$5&lt;=$D463,$A463&lt;&gt;""),"●","")</x:f>
      </x:c>
      <x:c r="AZ463" s="165" t="str">
        <x:f>IF(AND(AZ$5&gt;=$C463,AZ$5&lt;=$D463,$A463&lt;&gt;""),"●","")</x:f>
      </x:c>
      <x:c r="BA463" s="165" t="str">
        <x:f>IF(AND(BA$5&gt;=$C463,BA$5&lt;=$D463,$A463&lt;&gt;""),"●","")</x:f>
      </x:c>
      <x:c r="BB463" s="165" t="str">
        <x:f>IF(AND(BB$5&gt;=$C463,BB$5&lt;=$D463,$A463&lt;&gt;""),"●","")</x:f>
      </x:c>
      <x:c r="BC463" s="165" t="str">
        <x:f>IF(AND(BC$5&gt;=$C463,BC$5&lt;=$D463,$A463&lt;&gt;""),"●","")</x:f>
      </x:c>
      <x:c r="BD463" s="165" t="str">
        <x:f>IF(AND(BD$5&gt;=$C463,BD$5&lt;=$D463,$A463&lt;&gt;""),"●","")</x:f>
      </x:c>
      <x:c r="BE463" s="165" t="str">
        <x:f>IF(AND(BE$5&gt;=$C463,BE$5&lt;=$D463,$A463&lt;&gt;""),"●","")</x:f>
      </x:c>
      <x:c r="BF463" s="165" t="str">
        <x:f>IF(AND(BF$5&gt;=$C463,BF$5&lt;=$D463,$A463&lt;&gt;""),"●","")</x:f>
      </x:c>
      <x:c r="BG463" s="165" t="str">
        <x:f>IF(AND(BG$5&gt;=$C463,BG$5&lt;=$D463,$A463&lt;&gt;""),"●","")</x:f>
      </x:c>
      <x:c r="BH463" s="165" t="str">
        <x:f>IF(AND(BH$5&gt;=$C463,BH$5&lt;=$D463,$A463&lt;&gt;""),"●","")</x:f>
      </x:c>
      <x:c r="BI463" s="165" t="str">
        <x:f>IF(AND(BI$5&gt;=$C463,BI$5&lt;=$D463,$A463&lt;&gt;""),"●","")</x:f>
      </x:c>
      <x:c r="BJ463" s="165" t="str">
        <x:f>IF(AND(BJ$5&gt;=$C463,BJ$5&lt;=$D463,$A463&lt;&gt;""),"●","")</x:f>
      </x:c>
      <x:c r="BK463" s="165" t="str">
        <x:f>IF(AND(BK$5&gt;=$C463,BK$5&lt;=$D463,$A463&lt;&gt;""),"●","")</x:f>
      </x:c>
      <x:c r="BL463" s="165" t="str">
        <x:f>IF(AND(BL$5&gt;=$C463,BL$5&lt;=$D463,$A463&lt;&gt;""),"●","")</x:f>
      </x:c>
      <x:c r="BM463" s="165" t="str">
        <x:f>IF(AND(BM$5&gt;=$C463,BM$5&lt;=$D463,$A463&lt;&gt;""),"●","")</x:f>
      </x:c>
      <x:c r="BN463" s="165" t="str">
        <x:f>IF(AND(BN$5&gt;=$C463,BN$5&lt;=$D463,$A463&lt;&gt;""),"●","")</x:f>
      </x:c>
      <x:c r="BO463" s="165" t="str">
        <x:f>IF(AND(BO$5&gt;=$C463,BO$5&lt;=$D463,$A463&lt;&gt;""),"●","")</x:f>
      </x:c>
      <x:c r="BP463" s="165" t="str">
        <x:f>IF(AND(BP$5&gt;=$C463,BP$5&lt;=$D463,$A463&lt;&gt;""),"●","")</x:f>
      </x:c>
      <x:c r="BQ463" s="165" t="str">
        <x:f>IF(AND(BQ$5&gt;=$C463,BQ$5&lt;=$D463,$A463&lt;&gt;""),"●","")</x:f>
      </x:c>
      <x:c r="BR463" s="165" t="str">
        <x:f>IF(AND(BR$5&gt;=$C463,BR$5&lt;=$D463,$A463&lt;&gt;""),"●","")</x:f>
      </x:c>
      <x:c r="BS463" s="165" t="str">
        <x:f>IF(AND(BS$5&gt;=$C463,BS$5&lt;=$D463,$A463&lt;&gt;""),"●","")</x:f>
      </x:c>
      <x:c r="BT463" s="165" t="str">
        <x:f>IF(AND(BT$5&gt;=$C463,BT$5&lt;=$D463,$A463&lt;&gt;""),"●","")</x:f>
      </x:c>
      <x:c r="BU463" s="165" t="str">
        <x:f>IF(AND(BU$5&gt;=$C463,BU$5&lt;=$D463,$A463&lt;&gt;""),"●","")</x:f>
      </x:c>
      <x:c r="BV463" s="165" t="str">
        <x:f>IF(AND(BV$5&gt;=$C463,BV$5&lt;=$D463,$A463&lt;&gt;""),"●","")</x:f>
      </x:c>
      <x:c r="BW463" s="165" t="str">
        <x:f>IF(AND(BW$5&gt;=$C463,BW$5&lt;=$D463,$A463&lt;&gt;""),"●","")</x:f>
      </x:c>
    </x:row>
    <x:row r="464">
      <x:c r="A464" s="159" t="str">
        <x:f>IF('รายการสัญญา'!A464="","",'รายการสัญญา'!A464)</x:f>
      </x:c>
      <x:c r="B464" s="159" t="str">
        <x:f>IF('รายการสัญญา'!A464="","",'รายการสัญญา'!C464)</x:f>
      </x:c>
      <x:c r="C464" s="162" t="str">
        <x:f>IF('รายการสัญญา'!A464="","",'รายการสัญญา'!E464)</x:f>
      </x:c>
      <x:c r="D464" s="162" t="str">
        <x:f>IF('รายการสัญญา'!A464="","",'รายการสัญญา'!G464)</x:f>
      </x:c>
      <x:c r="E464" s="159" t="str">
        <x:f>IF('รายการสัญญา'!A464="","",'รายการสัญญา'!K464)</x:f>
      </x:c>
      <x:c r="F464" s="165" t="str">
        <x:f>IF(AND(F$5&gt;=$C464,F$5&lt;=$D464,$A464&lt;&gt;""),"●","")</x:f>
      </x:c>
      <x:c r="G464" s="165" t="str">
        <x:f>IF(AND(G$5&gt;=$C464,G$5&lt;=$D464,$A464&lt;&gt;""),"●","")</x:f>
      </x:c>
      <x:c r="H464" s="165" t="str">
        <x:f>IF(AND(H$5&gt;=$C464,H$5&lt;=$D464,$A464&lt;&gt;""),"●","")</x:f>
      </x:c>
      <x:c r="I464" s="165" t="str">
        <x:f>IF(AND(I$5&gt;=$C464,I$5&lt;=$D464,$A464&lt;&gt;""),"●","")</x:f>
      </x:c>
      <x:c r="J464" s="165" t="str">
        <x:f>IF(AND(J$5&gt;=$C464,J$5&lt;=$D464,$A464&lt;&gt;""),"●","")</x:f>
      </x:c>
      <x:c r="K464" s="165" t="str">
        <x:f>IF(AND(K$5&gt;=$C464,K$5&lt;=$D464,$A464&lt;&gt;""),"●","")</x:f>
      </x:c>
      <x:c r="L464" s="165" t="str">
        <x:f>IF(AND(L$5&gt;=$C464,L$5&lt;=$D464,$A464&lt;&gt;""),"●","")</x:f>
      </x:c>
      <x:c r="M464" s="165" t="str">
        <x:f>IF(AND(M$5&gt;=$C464,M$5&lt;=$D464,$A464&lt;&gt;""),"●","")</x:f>
      </x:c>
      <x:c r="N464" s="165" t="str">
        <x:f>IF(AND(N$5&gt;=$C464,N$5&lt;=$D464,$A464&lt;&gt;""),"●","")</x:f>
      </x:c>
      <x:c r="O464" s="165" t="str">
        <x:f>IF(AND(O$5&gt;=$C464,O$5&lt;=$D464,$A464&lt;&gt;""),"●","")</x:f>
      </x:c>
      <x:c r="P464" s="165" t="str">
        <x:f>IF(AND(P$5&gt;=$C464,P$5&lt;=$D464,$A464&lt;&gt;""),"●","")</x:f>
      </x:c>
      <x:c r="Q464" s="165" t="str">
        <x:f>IF(AND(Q$5&gt;=$C464,Q$5&lt;=$D464,$A464&lt;&gt;""),"●","")</x:f>
      </x:c>
      <x:c r="R464" s="165" t="str">
        <x:f>IF(AND(R$5&gt;=$C464,R$5&lt;=$D464,$A464&lt;&gt;""),"●","")</x:f>
      </x:c>
      <x:c r="S464" s="165" t="str">
        <x:f>IF(AND(S$5&gt;=$C464,S$5&lt;=$D464,$A464&lt;&gt;""),"●","")</x:f>
      </x:c>
      <x:c r="T464" s="165" t="str">
        <x:f>IF(AND(T$5&gt;=$C464,T$5&lt;=$D464,$A464&lt;&gt;""),"●","")</x:f>
      </x:c>
      <x:c r="U464" s="165" t="str">
        <x:f>IF(AND(U$5&gt;=$C464,U$5&lt;=$D464,$A464&lt;&gt;""),"●","")</x:f>
      </x:c>
      <x:c r="V464" s="165" t="str">
        <x:f>IF(AND(V$5&gt;=$C464,V$5&lt;=$D464,$A464&lt;&gt;""),"●","")</x:f>
      </x:c>
      <x:c r="W464" s="165" t="str">
        <x:f>IF(AND(W$5&gt;=$C464,W$5&lt;=$D464,$A464&lt;&gt;""),"●","")</x:f>
      </x:c>
      <x:c r="X464" s="165" t="str">
        <x:f>IF(AND(X$5&gt;=$C464,X$5&lt;=$D464,$A464&lt;&gt;""),"●","")</x:f>
      </x:c>
      <x:c r="Y464" s="165" t="str">
        <x:f>IF(AND(Y$5&gt;=$C464,Y$5&lt;=$D464,$A464&lt;&gt;""),"●","")</x:f>
      </x:c>
      <x:c r="Z464" s="165" t="str">
        <x:f>IF(AND(Z$5&gt;=$C464,Z$5&lt;=$D464,$A464&lt;&gt;""),"●","")</x:f>
      </x:c>
      <x:c r="AA464" s="165" t="str">
        <x:f>IF(AND(AA$5&gt;=$C464,AA$5&lt;=$D464,$A464&lt;&gt;""),"●","")</x:f>
      </x:c>
      <x:c r="AB464" s="165" t="str">
        <x:f>IF(AND(AB$5&gt;=$C464,AB$5&lt;=$D464,$A464&lt;&gt;""),"●","")</x:f>
      </x:c>
      <x:c r="AC464" s="165" t="str">
        <x:f>IF(AND(AC$5&gt;=$C464,AC$5&lt;=$D464,$A464&lt;&gt;""),"●","")</x:f>
      </x:c>
      <x:c r="AD464" s="165" t="str">
        <x:f>IF(AND(AD$5&gt;=$C464,AD$5&lt;=$D464,$A464&lt;&gt;""),"●","")</x:f>
      </x:c>
      <x:c r="AE464" s="165" t="str">
        <x:f>IF(AND(AE$5&gt;=$C464,AE$5&lt;=$D464,$A464&lt;&gt;""),"●","")</x:f>
      </x:c>
      <x:c r="AF464" s="165" t="str">
        <x:f>IF(AND(AF$5&gt;=$C464,AF$5&lt;=$D464,$A464&lt;&gt;""),"●","")</x:f>
      </x:c>
      <x:c r="AG464" s="165" t="str">
        <x:f>IF(AND(AG$5&gt;=$C464,AG$5&lt;=$D464,$A464&lt;&gt;""),"●","")</x:f>
      </x:c>
      <x:c r="AH464" s="165" t="str">
        <x:f>IF(AND(AH$5&gt;=$C464,AH$5&lt;=$D464,$A464&lt;&gt;""),"●","")</x:f>
      </x:c>
      <x:c r="AI464" s="165" t="str">
        <x:f>IF(AND(AI$5&gt;=$C464,AI$5&lt;=$D464,$A464&lt;&gt;""),"●","")</x:f>
      </x:c>
      <x:c r="AJ464" s="165" t="str">
        <x:f>IF(AND(AJ$5&gt;=$C464,AJ$5&lt;=$D464,$A464&lt;&gt;""),"●","")</x:f>
      </x:c>
      <x:c r="AK464" s="165" t="str">
        <x:f>IF(AND(AK$5&gt;=$C464,AK$5&lt;=$D464,$A464&lt;&gt;""),"●","")</x:f>
      </x:c>
      <x:c r="AL464" s="165" t="str">
        <x:f>IF(AND(AL$5&gt;=$C464,AL$5&lt;=$D464,$A464&lt;&gt;""),"●","")</x:f>
      </x:c>
      <x:c r="AM464" s="165" t="str">
        <x:f>IF(AND(AM$5&gt;=$C464,AM$5&lt;=$D464,$A464&lt;&gt;""),"●","")</x:f>
      </x:c>
      <x:c r="AN464" s="165" t="str">
        <x:f>IF(AND(AN$5&gt;=$C464,AN$5&lt;=$D464,$A464&lt;&gt;""),"●","")</x:f>
      </x:c>
      <x:c r="AO464" s="165" t="str">
        <x:f>IF(AND(AO$5&gt;=$C464,AO$5&lt;=$D464,$A464&lt;&gt;""),"●","")</x:f>
      </x:c>
      <x:c r="AP464" s="165" t="str">
        <x:f>IF(AND(AP$5&gt;=$C464,AP$5&lt;=$D464,$A464&lt;&gt;""),"●","")</x:f>
      </x:c>
      <x:c r="AQ464" s="165" t="str">
        <x:f>IF(AND(AQ$5&gt;=$C464,AQ$5&lt;=$D464,$A464&lt;&gt;""),"●","")</x:f>
      </x:c>
      <x:c r="AR464" s="165" t="str">
        <x:f>IF(AND(AR$5&gt;=$C464,AR$5&lt;=$D464,$A464&lt;&gt;""),"●","")</x:f>
      </x:c>
      <x:c r="AS464" s="165" t="str">
        <x:f>IF(AND(AS$5&gt;=$C464,AS$5&lt;=$D464,$A464&lt;&gt;""),"●","")</x:f>
      </x:c>
      <x:c r="AT464" s="165" t="str">
        <x:f>IF(AND(AT$5&gt;=$C464,AT$5&lt;=$D464,$A464&lt;&gt;""),"●","")</x:f>
      </x:c>
      <x:c r="AU464" s="165" t="str">
        <x:f>IF(AND(AU$5&gt;=$C464,AU$5&lt;=$D464,$A464&lt;&gt;""),"●","")</x:f>
      </x:c>
      <x:c r="AV464" s="165" t="str">
        <x:f>IF(AND(AV$5&gt;=$C464,AV$5&lt;=$D464,$A464&lt;&gt;""),"●","")</x:f>
      </x:c>
      <x:c r="AW464" s="165" t="str">
        <x:f>IF(AND(AW$5&gt;=$C464,AW$5&lt;=$D464,$A464&lt;&gt;""),"●","")</x:f>
      </x:c>
      <x:c r="AX464" s="165" t="str">
        <x:f>IF(AND(AX$5&gt;=$C464,AX$5&lt;=$D464,$A464&lt;&gt;""),"●","")</x:f>
      </x:c>
      <x:c r="AY464" s="165" t="str">
        <x:f>IF(AND(AY$5&gt;=$C464,AY$5&lt;=$D464,$A464&lt;&gt;""),"●","")</x:f>
      </x:c>
      <x:c r="AZ464" s="165" t="str">
        <x:f>IF(AND(AZ$5&gt;=$C464,AZ$5&lt;=$D464,$A464&lt;&gt;""),"●","")</x:f>
      </x:c>
      <x:c r="BA464" s="165" t="str">
        <x:f>IF(AND(BA$5&gt;=$C464,BA$5&lt;=$D464,$A464&lt;&gt;""),"●","")</x:f>
      </x:c>
      <x:c r="BB464" s="165" t="str">
        <x:f>IF(AND(BB$5&gt;=$C464,BB$5&lt;=$D464,$A464&lt;&gt;""),"●","")</x:f>
      </x:c>
      <x:c r="BC464" s="165" t="str">
        <x:f>IF(AND(BC$5&gt;=$C464,BC$5&lt;=$D464,$A464&lt;&gt;""),"●","")</x:f>
      </x:c>
      <x:c r="BD464" s="165" t="str">
        <x:f>IF(AND(BD$5&gt;=$C464,BD$5&lt;=$D464,$A464&lt;&gt;""),"●","")</x:f>
      </x:c>
      <x:c r="BE464" s="165" t="str">
        <x:f>IF(AND(BE$5&gt;=$C464,BE$5&lt;=$D464,$A464&lt;&gt;""),"●","")</x:f>
      </x:c>
      <x:c r="BF464" s="165" t="str">
        <x:f>IF(AND(BF$5&gt;=$C464,BF$5&lt;=$D464,$A464&lt;&gt;""),"●","")</x:f>
      </x:c>
      <x:c r="BG464" s="165" t="str">
        <x:f>IF(AND(BG$5&gt;=$C464,BG$5&lt;=$D464,$A464&lt;&gt;""),"●","")</x:f>
      </x:c>
      <x:c r="BH464" s="165" t="str">
        <x:f>IF(AND(BH$5&gt;=$C464,BH$5&lt;=$D464,$A464&lt;&gt;""),"●","")</x:f>
      </x:c>
      <x:c r="BI464" s="165" t="str">
        <x:f>IF(AND(BI$5&gt;=$C464,BI$5&lt;=$D464,$A464&lt;&gt;""),"●","")</x:f>
      </x:c>
      <x:c r="BJ464" s="165" t="str">
        <x:f>IF(AND(BJ$5&gt;=$C464,BJ$5&lt;=$D464,$A464&lt;&gt;""),"●","")</x:f>
      </x:c>
      <x:c r="BK464" s="165" t="str">
        <x:f>IF(AND(BK$5&gt;=$C464,BK$5&lt;=$D464,$A464&lt;&gt;""),"●","")</x:f>
      </x:c>
      <x:c r="BL464" s="165" t="str">
        <x:f>IF(AND(BL$5&gt;=$C464,BL$5&lt;=$D464,$A464&lt;&gt;""),"●","")</x:f>
      </x:c>
      <x:c r="BM464" s="165" t="str">
        <x:f>IF(AND(BM$5&gt;=$C464,BM$5&lt;=$D464,$A464&lt;&gt;""),"●","")</x:f>
      </x:c>
      <x:c r="BN464" s="165" t="str">
        <x:f>IF(AND(BN$5&gt;=$C464,BN$5&lt;=$D464,$A464&lt;&gt;""),"●","")</x:f>
      </x:c>
      <x:c r="BO464" s="165" t="str">
        <x:f>IF(AND(BO$5&gt;=$C464,BO$5&lt;=$D464,$A464&lt;&gt;""),"●","")</x:f>
      </x:c>
      <x:c r="BP464" s="165" t="str">
        <x:f>IF(AND(BP$5&gt;=$C464,BP$5&lt;=$D464,$A464&lt;&gt;""),"●","")</x:f>
      </x:c>
      <x:c r="BQ464" s="165" t="str">
        <x:f>IF(AND(BQ$5&gt;=$C464,BQ$5&lt;=$D464,$A464&lt;&gt;""),"●","")</x:f>
      </x:c>
      <x:c r="BR464" s="165" t="str">
        <x:f>IF(AND(BR$5&gt;=$C464,BR$5&lt;=$D464,$A464&lt;&gt;""),"●","")</x:f>
      </x:c>
      <x:c r="BS464" s="165" t="str">
        <x:f>IF(AND(BS$5&gt;=$C464,BS$5&lt;=$D464,$A464&lt;&gt;""),"●","")</x:f>
      </x:c>
      <x:c r="BT464" s="165" t="str">
        <x:f>IF(AND(BT$5&gt;=$C464,BT$5&lt;=$D464,$A464&lt;&gt;""),"●","")</x:f>
      </x:c>
      <x:c r="BU464" s="165" t="str">
        <x:f>IF(AND(BU$5&gt;=$C464,BU$5&lt;=$D464,$A464&lt;&gt;""),"●","")</x:f>
      </x:c>
      <x:c r="BV464" s="165" t="str">
        <x:f>IF(AND(BV$5&gt;=$C464,BV$5&lt;=$D464,$A464&lt;&gt;""),"●","")</x:f>
      </x:c>
      <x:c r="BW464" s="165" t="str">
        <x:f>IF(AND(BW$5&gt;=$C464,BW$5&lt;=$D464,$A464&lt;&gt;""),"●","")</x:f>
      </x:c>
    </x:row>
    <x:row r="465">
      <x:c r="A465" s="159" t="str">
        <x:f>IF('รายการสัญญา'!A465="","",'รายการสัญญา'!A465)</x:f>
      </x:c>
      <x:c r="B465" s="159" t="str">
        <x:f>IF('รายการสัญญา'!A465="","",'รายการสัญญา'!C465)</x:f>
      </x:c>
      <x:c r="C465" s="162" t="str">
        <x:f>IF('รายการสัญญา'!A465="","",'รายการสัญญา'!E465)</x:f>
      </x:c>
      <x:c r="D465" s="162" t="str">
        <x:f>IF('รายการสัญญา'!A465="","",'รายการสัญญา'!G465)</x:f>
      </x:c>
      <x:c r="E465" s="159" t="str">
        <x:f>IF('รายการสัญญา'!A465="","",'รายการสัญญา'!K465)</x:f>
      </x:c>
      <x:c r="F465" s="165" t="str">
        <x:f>IF(AND(F$5&gt;=$C465,F$5&lt;=$D465,$A465&lt;&gt;""),"●","")</x:f>
      </x:c>
      <x:c r="G465" s="165" t="str">
        <x:f>IF(AND(G$5&gt;=$C465,G$5&lt;=$D465,$A465&lt;&gt;""),"●","")</x:f>
      </x:c>
      <x:c r="H465" s="165" t="str">
        <x:f>IF(AND(H$5&gt;=$C465,H$5&lt;=$D465,$A465&lt;&gt;""),"●","")</x:f>
      </x:c>
      <x:c r="I465" s="165" t="str">
        <x:f>IF(AND(I$5&gt;=$C465,I$5&lt;=$D465,$A465&lt;&gt;""),"●","")</x:f>
      </x:c>
      <x:c r="J465" s="165" t="str">
        <x:f>IF(AND(J$5&gt;=$C465,J$5&lt;=$D465,$A465&lt;&gt;""),"●","")</x:f>
      </x:c>
      <x:c r="K465" s="165" t="str">
        <x:f>IF(AND(K$5&gt;=$C465,K$5&lt;=$D465,$A465&lt;&gt;""),"●","")</x:f>
      </x:c>
      <x:c r="L465" s="165" t="str">
        <x:f>IF(AND(L$5&gt;=$C465,L$5&lt;=$D465,$A465&lt;&gt;""),"●","")</x:f>
      </x:c>
      <x:c r="M465" s="165" t="str">
        <x:f>IF(AND(M$5&gt;=$C465,M$5&lt;=$D465,$A465&lt;&gt;""),"●","")</x:f>
      </x:c>
      <x:c r="N465" s="165" t="str">
        <x:f>IF(AND(N$5&gt;=$C465,N$5&lt;=$D465,$A465&lt;&gt;""),"●","")</x:f>
      </x:c>
      <x:c r="O465" s="165" t="str">
        <x:f>IF(AND(O$5&gt;=$C465,O$5&lt;=$D465,$A465&lt;&gt;""),"●","")</x:f>
      </x:c>
      <x:c r="P465" s="165" t="str">
        <x:f>IF(AND(P$5&gt;=$C465,P$5&lt;=$D465,$A465&lt;&gt;""),"●","")</x:f>
      </x:c>
      <x:c r="Q465" s="165" t="str">
        <x:f>IF(AND(Q$5&gt;=$C465,Q$5&lt;=$D465,$A465&lt;&gt;""),"●","")</x:f>
      </x:c>
      <x:c r="R465" s="165" t="str">
        <x:f>IF(AND(R$5&gt;=$C465,R$5&lt;=$D465,$A465&lt;&gt;""),"●","")</x:f>
      </x:c>
      <x:c r="S465" s="165" t="str">
        <x:f>IF(AND(S$5&gt;=$C465,S$5&lt;=$D465,$A465&lt;&gt;""),"●","")</x:f>
      </x:c>
      <x:c r="T465" s="165" t="str">
        <x:f>IF(AND(T$5&gt;=$C465,T$5&lt;=$D465,$A465&lt;&gt;""),"●","")</x:f>
      </x:c>
      <x:c r="U465" s="165" t="str">
        <x:f>IF(AND(U$5&gt;=$C465,U$5&lt;=$D465,$A465&lt;&gt;""),"●","")</x:f>
      </x:c>
      <x:c r="V465" s="165" t="str">
        <x:f>IF(AND(V$5&gt;=$C465,V$5&lt;=$D465,$A465&lt;&gt;""),"●","")</x:f>
      </x:c>
      <x:c r="W465" s="165" t="str">
        <x:f>IF(AND(W$5&gt;=$C465,W$5&lt;=$D465,$A465&lt;&gt;""),"●","")</x:f>
      </x:c>
      <x:c r="X465" s="165" t="str">
        <x:f>IF(AND(X$5&gt;=$C465,X$5&lt;=$D465,$A465&lt;&gt;""),"●","")</x:f>
      </x:c>
      <x:c r="Y465" s="165" t="str">
        <x:f>IF(AND(Y$5&gt;=$C465,Y$5&lt;=$D465,$A465&lt;&gt;""),"●","")</x:f>
      </x:c>
      <x:c r="Z465" s="165" t="str">
        <x:f>IF(AND(Z$5&gt;=$C465,Z$5&lt;=$D465,$A465&lt;&gt;""),"●","")</x:f>
      </x:c>
      <x:c r="AA465" s="165" t="str">
        <x:f>IF(AND(AA$5&gt;=$C465,AA$5&lt;=$D465,$A465&lt;&gt;""),"●","")</x:f>
      </x:c>
      <x:c r="AB465" s="165" t="str">
        <x:f>IF(AND(AB$5&gt;=$C465,AB$5&lt;=$D465,$A465&lt;&gt;""),"●","")</x:f>
      </x:c>
      <x:c r="AC465" s="165" t="str">
        <x:f>IF(AND(AC$5&gt;=$C465,AC$5&lt;=$D465,$A465&lt;&gt;""),"●","")</x:f>
      </x:c>
      <x:c r="AD465" s="165" t="str">
        <x:f>IF(AND(AD$5&gt;=$C465,AD$5&lt;=$D465,$A465&lt;&gt;""),"●","")</x:f>
      </x:c>
      <x:c r="AE465" s="165" t="str">
        <x:f>IF(AND(AE$5&gt;=$C465,AE$5&lt;=$D465,$A465&lt;&gt;""),"●","")</x:f>
      </x:c>
      <x:c r="AF465" s="165" t="str">
        <x:f>IF(AND(AF$5&gt;=$C465,AF$5&lt;=$D465,$A465&lt;&gt;""),"●","")</x:f>
      </x:c>
      <x:c r="AG465" s="165" t="str">
        <x:f>IF(AND(AG$5&gt;=$C465,AG$5&lt;=$D465,$A465&lt;&gt;""),"●","")</x:f>
      </x:c>
      <x:c r="AH465" s="165" t="str">
        <x:f>IF(AND(AH$5&gt;=$C465,AH$5&lt;=$D465,$A465&lt;&gt;""),"●","")</x:f>
      </x:c>
      <x:c r="AI465" s="165" t="str">
        <x:f>IF(AND(AI$5&gt;=$C465,AI$5&lt;=$D465,$A465&lt;&gt;""),"●","")</x:f>
      </x:c>
      <x:c r="AJ465" s="165" t="str">
        <x:f>IF(AND(AJ$5&gt;=$C465,AJ$5&lt;=$D465,$A465&lt;&gt;""),"●","")</x:f>
      </x:c>
      <x:c r="AK465" s="165" t="str">
        <x:f>IF(AND(AK$5&gt;=$C465,AK$5&lt;=$D465,$A465&lt;&gt;""),"●","")</x:f>
      </x:c>
      <x:c r="AL465" s="165" t="str">
        <x:f>IF(AND(AL$5&gt;=$C465,AL$5&lt;=$D465,$A465&lt;&gt;""),"●","")</x:f>
      </x:c>
      <x:c r="AM465" s="165" t="str">
        <x:f>IF(AND(AM$5&gt;=$C465,AM$5&lt;=$D465,$A465&lt;&gt;""),"●","")</x:f>
      </x:c>
      <x:c r="AN465" s="165" t="str">
        <x:f>IF(AND(AN$5&gt;=$C465,AN$5&lt;=$D465,$A465&lt;&gt;""),"●","")</x:f>
      </x:c>
      <x:c r="AO465" s="165" t="str">
        <x:f>IF(AND(AO$5&gt;=$C465,AO$5&lt;=$D465,$A465&lt;&gt;""),"●","")</x:f>
      </x:c>
      <x:c r="AP465" s="165" t="str">
        <x:f>IF(AND(AP$5&gt;=$C465,AP$5&lt;=$D465,$A465&lt;&gt;""),"●","")</x:f>
      </x:c>
      <x:c r="AQ465" s="165" t="str">
        <x:f>IF(AND(AQ$5&gt;=$C465,AQ$5&lt;=$D465,$A465&lt;&gt;""),"●","")</x:f>
      </x:c>
      <x:c r="AR465" s="165" t="str">
        <x:f>IF(AND(AR$5&gt;=$C465,AR$5&lt;=$D465,$A465&lt;&gt;""),"●","")</x:f>
      </x:c>
      <x:c r="AS465" s="165" t="str">
        <x:f>IF(AND(AS$5&gt;=$C465,AS$5&lt;=$D465,$A465&lt;&gt;""),"●","")</x:f>
      </x:c>
      <x:c r="AT465" s="165" t="str">
        <x:f>IF(AND(AT$5&gt;=$C465,AT$5&lt;=$D465,$A465&lt;&gt;""),"●","")</x:f>
      </x:c>
      <x:c r="AU465" s="165" t="str">
        <x:f>IF(AND(AU$5&gt;=$C465,AU$5&lt;=$D465,$A465&lt;&gt;""),"●","")</x:f>
      </x:c>
      <x:c r="AV465" s="165" t="str">
        <x:f>IF(AND(AV$5&gt;=$C465,AV$5&lt;=$D465,$A465&lt;&gt;""),"●","")</x:f>
      </x:c>
      <x:c r="AW465" s="165" t="str">
        <x:f>IF(AND(AW$5&gt;=$C465,AW$5&lt;=$D465,$A465&lt;&gt;""),"●","")</x:f>
      </x:c>
      <x:c r="AX465" s="165" t="str">
        <x:f>IF(AND(AX$5&gt;=$C465,AX$5&lt;=$D465,$A465&lt;&gt;""),"●","")</x:f>
      </x:c>
      <x:c r="AY465" s="165" t="str">
        <x:f>IF(AND(AY$5&gt;=$C465,AY$5&lt;=$D465,$A465&lt;&gt;""),"●","")</x:f>
      </x:c>
      <x:c r="AZ465" s="165" t="str">
        <x:f>IF(AND(AZ$5&gt;=$C465,AZ$5&lt;=$D465,$A465&lt;&gt;""),"●","")</x:f>
      </x:c>
      <x:c r="BA465" s="165" t="str">
        <x:f>IF(AND(BA$5&gt;=$C465,BA$5&lt;=$D465,$A465&lt;&gt;""),"●","")</x:f>
      </x:c>
      <x:c r="BB465" s="165" t="str">
        <x:f>IF(AND(BB$5&gt;=$C465,BB$5&lt;=$D465,$A465&lt;&gt;""),"●","")</x:f>
      </x:c>
      <x:c r="BC465" s="165" t="str">
        <x:f>IF(AND(BC$5&gt;=$C465,BC$5&lt;=$D465,$A465&lt;&gt;""),"●","")</x:f>
      </x:c>
      <x:c r="BD465" s="165" t="str">
        <x:f>IF(AND(BD$5&gt;=$C465,BD$5&lt;=$D465,$A465&lt;&gt;""),"●","")</x:f>
      </x:c>
      <x:c r="BE465" s="165" t="str">
        <x:f>IF(AND(BE$5&gt;=$C465,BE$5&lt;=$D465,$A465&lt;&gt;""),"●","")</x:f>
      </x:c>
      <x:c r="BF465" s="165" t="str">
        <x:f>IF(AND(BF$5&gt;=$C465,BF$5&lt;=$D465,$A465&lt;&gt;""),"●","")</x:f>
      </x:c>
      <x:c r="BG465" s="165" t="str">
        <x:f>IF(AND(BG$5&gt;=$C465,BG$5&lt;=$D465,$A465&lt;&gt;""),"●","")</x:f>
      </x:c>
      <x:c r="BH465" s="165" t="str">
        <x:f>IF(AND(BH$5&gt;=$C465,BH$5&lt;=$D465,$A465&lt;&gt;""),"●","")</x:f>
      </x:c>
      <x:c r="BI465" s="165" t="str">
        <x:f>IF(AND(BI$5&gt;=$C465,BI$5&lt;=$D465,$A465&lt;&gt;""),"●","")</x:f>
      </x:c>
      <x:c r="BJ465" s="165" t="str">
        <x:f>IF(AND(BJ$5&gt;=$C465,BJ$5&lt;=$D465,$A465&lt;&gt;""),"●","")</x:f>
      </x:c>
      <x:c r="BK465" s="165" t="str">
        <x:f>IF(AND(BK$5&gt;=$C465,BK$5&lt;=$D465,$A465&lt;&gt;""),"●","")</x:f>
      </x:c>
      <x:c r="BL465" s="165" t="str">
        <x:f>IF(AND(BL$5&gt;=$C465,BL$5&lt;=$D465,$A465&lt;&gt;""),"●","")</x:f>
      </x:c>
      <x:c r="BM465" s="165" t="str">
        <x:f>IF(AND(BM$5&gt;=$C465,BM$5&lt;=$D465,$A465&lt;&gt;""),"●","")</x:f>
      </x:c>
      <x:c r="BN465" s="165" t="str">
        <x:f>IF(AND(BN$5&gt;=$C465,BN$5&lt;=$D465,$A465&lt;&gt;""),"●","")</x:f>
      </x:c>
      <x:c r="BO465" s="165" t="str">
        <x:f>IF(AND(BO$5&gt;=$C465,BO$5&lt;=$D465,$A465&lt;&gt;""),"●","")</x:f>
      </x:c>
      <x:c r="BP465" s="165" t="str">
        <x:f>IF(AND(BP$5&gt;=$C465,BP$5&lt;=$D465,$A465&lt;&gt;""),"●","")</x:f>
      </x:c>
      <x:c r="BQ465" s="165" t="str">
        <x:f>IF(AND(BQ$5&gt;=$C465,BQ$5&lt;=$D465,$A465&lt;&gt;""),"●","")</x:f>
      </x:c>
      <x:c r="BR465" s="165" t="str">
        <x:f>IF(AND(BR$5&gt;=$C465,BR$5&lt;=$D465,$A465&lt;&gt;""),"●","")</x:f>
      </x:c>
      <x:c r="BS465" s="165" t="str">
        <x:f>IF(AND(BS$5&gt;=$C465,BS$5&lt;=$D465,$A465&lt;&gt;""),"●","")</x:f>
      </x:c>
      <x:c r="BT465" s="165" t="str">
        <x:f>IF(AND(BT$5&gt;=$C465,BT$5&lt;=$D465,$A465&lt;&gt;""),"●","")</x:f>
      </x:c>
      <x:c r="BU465" s="165" t="str">
        <x:f>IF(AND(BU$5&gt;=$C465,BU$5&lt;=$D465,$A465&lt;&gt;""),"●","")</x:f>
      </x:c>
      <x:c r="BV465" s="165" t="str">
        <x:f>IF(AND(BV$5&gt;=$C465,BV$5&lt;=$D465,$A465&lt;&gt;""),"●","")</x:f>
      </x:c>
      <x:c r="BW465" s="165" t="str">
        <x:f>IF(AND(BW$5&gt;=$C465,BW$5&lt;=$D465,$A465&lt;&gt;""),"●","")</x:f>
      </x:c>
    </x:row>
    <x:row r="466">
      <x:c r="A466" s="159" t="str">
        <x:f>IF('รายการสัญญา'!A466="","",'รายการสัญญา'!A466)</x:f>
      </x:c>
      <x:c r="B466" s="159" t="str">
        <x:f>IF('รายการสัญญา'!A466="","",'รายการสัญญา'!C466)</x:f>
      </x:c>
      <x:c r="C466" s="162" t="str">
        <x:f>IF('รายการสัญญา'!A466="","",'รายการสัญญา'!E466)</x:f>
      </x:c>
      <x:c r="D466" s="162" t="str">
        <x:f>IF('รายการสัญญา'!A466="","",'รายการสัญญา'!G466)</x:f>
      </x:c>
      <x:c r="E466" s="159" t="str">
        <x:f>IF('รายการสัญญา'!A466="","",'รายการสัญญา'!K466)</x:f>
      </x:c>
      <x:c r="F466" s="165" t="str">
        <x:f>IF(AND(F$5&gt;=$C466,F$5&lt;=$D466,$A466&lt;&gt;""),"●","")</x:f>
      </x:c>
      <x:c r="G466" s="165" t="str">
        <x:f>IF(AND(G$5&gt;=$C466,G$5&lt;=$D466,$A466&lt;&gt;""),"●","")</x:f>
      </x:c>
      <x:c r="H466" s="165" t="str">
        <x:f>IF(AND(H$5&gt;=$C466,H$5&lt;=$D466,$A466&lt;&gt;""),"●","")</x:f>
      </x:c>
      <x:c r="I466" s="165" t="str">
        <x:f>IF(AND(I$5&gt;=$C466,I$5&lt;=$D466,$A466&lt;&gt;""),"●","")</x:f>
      </x:c>
      <x:c r="J466" s="165" t="str">
        <x:f>IF(AND(J$5&gt;=$C466,J$5&lt;=$D466,$A466&lt;&gt;""),"●","")</x:f>
      </x:c>
      <x:c r="K466" s="165" t="str">
        <x:f>IF(AND(K$5&gt;=$C466,K$5&lt;=$D466,$A466&lt;&gt;""),"●","")</x:f>
      </x:c>
      <x:c r="L466" s="165" t="str">
        <x:f>IF(AND(L$5&gt;=$C466,L$5&lt;=$D466,$A466&lt;&gt;""),"●","")</x:f>
      </x:c>
      <x:c r="M466" s="165" t="str">
        <x:f>IF(AND(M$5&gt;=$C466,M$5&lt;=$D466,$A466&lt;&gt;""),"●","")</x:f>
      </x:c>
      <x:c r="N466" s="165" t="str">
        <x:f>IF(AND(N$5&gt;=$C466,N$5&lt;=$D466,$A466&lt;&gt;""),"●","")</x:f>
      </x:c>
      <x:c r="O466" s="165" t="str">
        <x:f>IF(AND(O$5&gt;=$C466,O$5&lt;=$D466,$A466&lt;&gt;""),"●","")</x:f>
      </x:c>
      <x:c r="P466" s="165" t="str">
        <x:f>IF(AND(P$5&gt;=$C466,P$5&lt;=$D466,$A466&lt;&gt;""),"●","")</x:f>
      </x:c>
      <x:c r="Q466" s="165" t="str">
        <x:f>IF(AND(Q$5&gt;=$C466,Q$5&lt;=$D466,$A466&lt;&gt;""),"●","")</x:f>
      </x:c>
      <x:c r="R466" s="165" t="str">
        <x:f>IF(AND(R$5&gt;=$C466,R$5&lt;=$D466,$A466&lt;&gt;""),"●","")</x:f>
      </x:c>
      <x:c r="S466" s="165" t="str">
        <x:f>IF(AND(S$5&gt;=$C466,S$5&lt;=$D466,$A466&lt;&gt;""),"●","")</x:f>
      </x:c>
      <x:c r="T466" s="165" t="str">
        <x:f>IF(AND(T$5&gt;=$C466,T$5&lt;=$D466,$A466&lt;&gt;""),"●","")</x:f>
      </x:c>
      <x:c r="U466" s="165" t="str">
        <x:f>IF(AND(U$5&gt;=$C466,U$5&lt;=$D466,$A466&lt;&gt;""),"●","")</x:f>
      </x:c>
      <x:c r="V466" s="165" t="str">
        <x:f>IF(AND(V$5&gt;=$C466,V$5&lt;=$D466,$A466&lt;&gt;""),"●","")</x:f>
      </x:c>
      <x:c r="W466" s="165" t="str">
        <x:f>IF(AND(W$5&gt;=$C466,W$5&lt;=$D466,$A466&lt;&gt;""),"●","")</x:f>
      </x:c>
      <x:c r="X466" s="165" t="str">
        <x:f>IF(AND(X$5&gt;=$C466,X$5&lt;=$D466,$A466&lt;&gt;""),"●","")</x:f>
      </x:c>
      <x:c r="Y466" s="165" t="str">
        <x:f>IF(AND(Y$5&gt;=$C466,Y$5&lt;=$D466,$A466&lt;&gt;""),"●","")</x:f>
      </x:c>
      <x:c r="Z466" s="165" t="str">
        <x:f>IF(AND(Z$5&gt;=$C466,Z$5&lt;=$D466,$A466&lt;&gt;""),"●","")</x:f>
      </x:c>
      <x:c r="AA466" s="165" t="str">
        <x:f>IF(AND(AA$5&gt;=$C466,AA$5&lt;=$D466,$A466&lt;&gt;""),"●","")</x:f>
      </x:c>
      <x:c r="AB466" s="165" t="str">
        <x:f>IF(AND(AB$5&gt;=$C466,AB$5&lt;=$D466,$A466&lt;&gt;""),"●","")</x:f>
      </x:c>
      <x:c r="AC466" s="165" t="str">
        <x:f>IF(AND(AC$5&gt;=$C466,AC$5&lt;=$D466,$A466&lt;&gt;""),"●","")</x:f>
      </x:c>
      <x:c r="AD466" s="165" t="str">
        <x:f>IF(AND(AD$5&gt;=$C466,AD$5&lt;=$D466,$A466&lt;&gt;""),"●","")</x:f>
      </x:c>
      <x:c r="AE466" s="165" t="str">
        <x:f>IF(AND(AE$5&gt;=$C466,AE$5&lt;=$D466,$A466&lt;&gt;""),"●","")</x:f>
      </x:c>
      <x:c r="AF466" s="165" t="str">
        <x:f>IF(AND(AF$5&gt;=$C466,AF$5&lt;=$D466,$A466&lt;&gt;""),"●","")</x:f>
      </x:c>
      <x:c r="AG466" s="165" t="str">
        <x:f>IF(AND(AG$5&gt;=$C466,AG$5&lt;=$D466,$A466&lt;&gt;""),"●","")</x:f>
      </x:c>
      <x:c r="AH466" s="165" t="str">
        <x:f>IF(AND(AH$5&gt;=$C466,AH$5&lt;=$D466,$A466&lt;&gt;""),"●","")</x:f>
      </x:c>
      <x:c r="AI466" s="165" t="str">
        <x:f>IF(AND(AI$5&gt;=$C466,AI$5&lt;=$D466,$A466&lt;&gt;""),"●","")</x:f>
      </x:c>
      <x:c r="AJ466" s="165" t="str">
        <x:f>IF(AND(AJ$5&gt;=$C466,AJ$5&lt;=$D466,$A466&lt;&gt;""),"●","")</x:f>
      </x:c>
      <x:c r="AK466" s="165" t="str">
        <x:f>IF(AND(AK$5&gt;=$C466,AK$5&lt;=$D466,$A466&lt;&gt;""),"●","")</x:f>
      </x:c>
      <x:c r="AL466" s="165" t="str">
        <x:f>IF(AND(AL$5&gt;=$C466,AL$5&lt;=$D466,$A466&lt;&gt;""),"●","")</x:f>
      </x:c>
      <x:c r="AM466" s="165" t="str">
        <x:f>IF(AND(AM$5&gt;=$C466,AM$5&lt;=$D466,$A466&lt;&gt;""),"●","")</x:f>
      </x:c>
      <x:c r="AN466" s="165" t="str">
        <x:f>IF(AND(AN$5&gt;=$C466,AN$5&lt;=$D466,$A466&lt;&gt;""),"●","")</x:f>
      </x:c>
      <x:c r="AO466" s="165" t="str">
        <x:f>IF(AND(AO$5&gt;=$C466,AO$5&lt;=$D466,$A466&lt;&gt;""),"●","")</x:f>
      </x:c>
      <x:c r="AP466" s="165" t="str">
        <x:f>IF(AND(AP$5&gt;=$C466,AP$5&lt;=$D466,$A466&lt;&gt;""),"●","")</x:f>
      </x:c>
      <x:c r="AQ466" s="165" t="str">
        <x:f>IF(AND(AQ$5&gt;=$C466,AQ$5&lt;=$D466,$A466&lt;&gt;""),"●","")</x:f>
      </x:c>
      <x:c r="AR466" s="165" t="str">
        <x:f>IF(AND(AR$5&gt;=$C466,AR$5&lt;=$D466,$A466&lt;&gt;""),"●","")</x:f>
      </x:c>
      <x:c r="AS466" s="165" t="str">
        <x:f>IF(AND(AS$5&gt;=$C466,AS$5&lt;=$D466,$A466&lt;&gt;""),"●","")</x:f>
      </x:c>
      <x:c r="AT466" s="165" t="str">
        <x:f>IF(AND(AT$5&gt;=$C466,AT$5&lt;=$D466,$A466&lt;&gt;""),"●","")</x:f>
      </x:c>
      <x:c r="AU466" s="165" t="str">
        <x:f>IF(AND(AU$5&gt;=$C466,AU$5&lt;=$D466,$A466&lt;&gt;""),"●","")</x:f>
      </x:c>
      <x:c r="AV466" s="165" t="str">
        <x:f>IF(AND(AV$5&gt;=$C466,AV$5&lt;=$D466,$A466&lt;&gt;""),"●","")</x:f>
      </x:c>
      <x:c r="AW466" s="165" t="str">
        <x:f>IF(AND(AW$5&gt;=$C466,AW$5&lt;=$D466,$A466&lt;&gt;""),"●","")</x:f>
      </x:c>
      <x:c r="AX466" s="165" t="str">
        <x:f>IF(AND(AX$5&gt;=$C466,AX$5&lt;=$D466,$A466&lt;&gt;""),"●","")</x:f>
      </x:c>
      <x:c r="AY466" s="165" t="str">
        <x:f>IF(AND(AY$5&gt;=$C466,AY$5&lt;=$D466,$A466&lt;&gt;""),"●","")</x:f>
      </x:c>
      <x:c r="AZ466" s="165" t="str">
        <x:f>IF(AND(AZ$5&gt;=$C466,AZ$5&lt;=$D466,$A466&lt;&gt;""),"●","")</x:f>
      </x:c>
      <x:c r="BA466" s="165" t="str">
        <x:f>IF(AND(BA$5&gt;=$C466,BA$5&lt;=$D466,$A466&lt;&gt;""),"●","")</x:f>
      </x:c>
      <x:c r="BB466" s="165" t="str">
        <x:f>IF(AND(BB$5&gt;=$C466,BB$5&lt;=$D466,$A466&lt;&gt;""),"●","")</x:f>
      </x:c>
      <x:c r="BC466" s="165" t="str">
        <x:f>IF(AND(BC$5&gt;=$C466,BC$5&lt;=$D466,$A466&lt;&gt;""),"●","")</x:f>
      </x:c>
      <x:c r="BD466" s="165" t="str">
        <x:f>IF(AND(BD$5&gt;=$C466,BD$5&lt;=$D466,$A466&lt;&gt;""),"●","")</x:f>
      </x:c>
      <x:c r="BE466" s="165" t="str">
        <x:f>IF(AND(BE$5&gt;=$C466,BE$5&lt;=$D466,$A466&lt;&gt;""),"●","")</x:f>
      </x:c>
      <x:c r="BF466" s="165" t="str">
        <x:f>IF(AND(BF$5&gt;=$C466,BF$5&lt;=$D466,$A466&lt;&gt;""),"●","")</x:f>
      </x:c>
      <x:c r="BG466" s="165" t="str">
        <x:f>IF(AND(BG$5&gt;=$C466,BG$5&lt;=$D466,$A466&lt;&gt;""),"●","")</x:f>
      </x:c>
      <x:c r="BH466" s="165" t="str">
        <x:f>IF(AND(BH$5&gt;=$C466,BH$5&lt;=$D466,$A466&lt;&gt;""),"●","")</x:f>
      </x:c>
      <x:c r="BI466" s="165" t="str">
        <x:f>IF(AND(BI$5&gt;=$C466,BI$5&lt;=$D466,$A466&lt;&gt;""),"●","")</x:f>
      </x:c>
      <x:c r="BJ466" s="165" t="str">
        <x:f>IF(AND(BJ$5&gt;=$C466,BJ$5&lt;=$D466,$A466&lt;&gt;""),"●","")</x:f>
      </x:c>
      <x:c r="BK466" s="165" t="str">
        <x:f>IF(AND(BK$5&gt;=$C466,BK$5&lt;=$D466,$A466&lt;&gt;""),"●","")</x:f>
      </x:c>
      <x:c r="BL466" s="165" t="str">
        <x:f>IF(AND(BL$5&gt;=$C466,BL$5&lt;=$D466,$A466&lt;&gt;""),"●","")</x:f>
      </x:c>
      <x:c r="BM466" s="165" t="str">
        <x:f>IF(AND(BM$5&gt;=$C466,BM$5&lt;=$D466,$A466&lt;&gt;""),"●","")</x:f>
      </x:c>
      <x:c r="BN466" s="165" t="str">
        <x:f>IF(AND(BN$5&gt;=$C466,BN$5&lt;=$D466,$A466&lt;&gt;""),"●","")</x:f>
      </x:c>
      <x:c r="BO466" s="165" t="str">
        <x:f>IF(AND(BO$5&gt;=$C466,BO$5&lt;=$D466,$A466&lt;&gt;""),"●","")</x:f>
      </x:c>
      <x:c r="BP466" s="165" t="str">
        <x:f>IF(AND(BP$5&gt;=$C466,BP$5&lt;=$D466,$A466&lt;&gt;""),"●","")</x:f>
      </x:c>
      <x:c r="BQ466" s="165" t="str">
        <x:f>IF(AND(BQ$5&gt;=$C466,BQ$5&lt;=$D466,$A466&lt;&gt;""),"●","")</x:f>
      </x:c>
      <x:c r="BR466" s="165" t="str">
        <x:f>IF(AND(BR$5&gt;=$C466,BR$5&lt;=$D466,$A466&lt;&gt;""),"●","")</x:f>
      </x:c>
      <x:c r="BS466" s="165" t="str">
        <x:f>IF(AND(BS$5&gt;=$C466,BS$5&lt;=$D466,$A466&lt;&gt;""),"●","")</x:f>
      </x:c>
      <x:c r="BT466" s="165" t="str">
        <x:f>IF(AND(BT$5&gt;=$C466,BT$5&lt;=$D466,$A466&lt;&gt;""),"●","")</x:f>
      </x:c>
      <x:c r="BU466" s="165" t="str">
        <x:f>IF(AND(BU$5&gt;=$C466,BU$5&lt;=$D466,$A466&lt;&gt;""),"●","")</x:f>
      </x:c>
      <x:c r="BV466" s="165" t="str">
        <x:f>IF(AND(BV$5&gt;=$C466,BV$5&lt;=$D466,$A466&lt;&gt;""),"●","")</x:f>
      </x:c>
      <x:c r="BW466" s="165" t="str">
        <x:f>IF(AND(BW$5&gt;=$C466,BW$5&lt;=$D466,$A466&lt;&gt;""),"●","")</x:f>
      </x:c>
    </x:row>
    <x:row r="467">
      <x:c r="A467" s="159" t="str">
        <x:f>IF('รายการสัญญา'!A467="","",'รายการสัญญา'!A467)</x:f>
      </x:c>
      <x:c r="B467" s="159" t="str">
        <x:f>IF('รายการสัญญา'!A467="","",'รายการสัญญา'!C467)</x:f>
      </x:c>
      <x:c r="C467" s="162" t="str">
        <x:f>IF('รายการสัญญา'!A467="","",'รายการสัญญา'!E467)</x:f>
      </x:c>
      <x:c r="D467" s="162" t="str">
        <x:f>IF('รายการสัญญา'!A467="","",'รายการสัญญา'!G467)</x:f>
      </x:c>
      <x:c r="E467" s="159" t="str">
        <x:f>IF('รายการสัญญา'!A467="","",'รายการสัญญา'!K467)</x:f>
      </x:c>
      <x:c r="F467" s="165" t="str">
        <x:f>IF(AND(F$5&gt;=$C467,F$5&lt;=$D467,$A467&lt;&gt;""),"●","")</x:f>
      </x:c>
      <x:c r="G467" s="165" t="str">
        <x:f>IF(AND(G$5&gt;=$C467,G$5&lt;=$D467,$A467&lt;&gt;""),"●","")</x:f>
      </x:c>
      <x:c r="H467" s="165" t="str">
        <x:f>IF(AND(H$5&gt;=$C467,H$5&lt;=$D467,$A467&lt;&gt;""),"●","")</x:f>
      </x:c>
      <x:c r="I467" s="165" t="str">
        <x:f>IF(AND(I$5&gt;=$C467,I$5&lt;=$D467,$A467&lt;&gt;""),"●","")</x:f>
      </x:c>
      <x:c r="J467" s="165" t="str">
        <x:f>IF(AND(J$5&gt;=$C467,J$5&lt;=$D467,$A467&lt;&gt;""),"●","")</x:f>
      </x:c>
      <x:c r="K467" s="165" t="str">
        <x:f>IF(AND(K$5&gt;=$C467,K$5&lt;=$D467,$A467&lt;&gt;""),"●","")</x:f>
      </x:c>
      <x:c r="L467" s="165" t="str">
        <x:f>IF(AND(L$5&gt;=$C467,L$5&lt;=$D467,$A467&lt;&gt;""),"●","")</x:f>
      </x:c>
      <x:c r="M467" s="165" t="str">
        <x:f>IF(AND(M$5&gt;=$C467,M$5&lt;=$D467,$A467&lt;&gt;""),"●","")</x:f>
      </x:c>
      <x:c r="N467" s="165" t="str">
        <x:f>IF(AND(N$5&gt;=$C467,N$5&lt;=$D467,$A467&lt;&gt;""),"●","")</x:f>
      </x:c>
      <x:c r="O467" s="165" t="str">
        <x:f>IF(AND(O$5&gt;=$C467,O$5&lt;=$D467,$A467&lt;&gt;""),"●","")</x:f>
      </x:c>
      <x:c r="P467" s="165" t="str">
        <x:f>IF(AND(P$5&gt;=$C467,P$5&lt;=$D467,$A467&lt;&gt;""),"●","")</x:f>
      </x:c>
      <x:c r="Q467" s="165" t="str">
        <x:f>IF(AND(Q$5&gt;=$C467,Q$5&lt;=$D467,$A467&lt;&gt;""),"●","")</x:f>
      </x:c>
      <x:c r="R467" s="165" t="str">
        <x:f>IF(AND(R$5&gt;=$C467,R$5&lt;=$D467,$A467&lt;&gt;""),"●","")</x:f>
      </x:c>
      <x:c r="S467" s="165" t="str">
        <x:f>IF(AND(S$5&gt;=$C467,S$5&lt;=$D467,$A467&lt;&gt;""),"●","")</x:f>
      </x:c>
      <x:c r="T467" s="165" t="str">
        <x:f>IF(AND(T$5&gt;=$C467,T$5&lt;=$D467,$A467&lt;&gt;""),"●","")</x:f>
      </x:c>
      <x:c r="U467" s="165" t="str">
        <x:f>IF(AND(U$5&gt;=$C467,U$5&lt;=$D467,$A467&lt;&gt;""),"●","")</x:f>
      </x:c>
      <x:c r="V467" s="165" t="str">
        <x:f>IF(AND(V$5&gt;=$C467,V$5&lt;=$D467,$A467&lt;&gt;""),"●","")</x:f>
      </x:c>
      <x:c r="W467" s="165" t="str">
        <x:f>IF(AND(W$5&gt;=$C467,W$5&lt;=$D467,$A467&lt;&gt;""),"●","")</x:f>
      </x:c>
      <x:c r="X467" s="165" t="str">
        <x:f>IF(AND(X$5&gt;=$C467,X$5&lt;=$D467,$A467&lt;&gt;""),"●","")</x:f>
      </x:c>
      <x:c r="Y467" s="165" t="str">
        <x:f>IF(AND(Y$5&gt;=$C467,Y$5&lt;=$D467,$A467&lt;&gt;""),"●","")</x:f>
      </x:c>
      <x:c r="Z467" s="165" t="str">
        <x:f>IF(AND(Z$5&gt;=$C467,Z$5&lt;=$D467,$A467&lt;&gt;""),"●","")</x:f>
      </x:c>
      <x:c r="AA467" s="165" t="str">
        <x:f>IF(AND(AA$5&gt;=$C467,AA$5&lt;=$D467,$A467&lt;&gt;""),"●","")</x:f>
      </x:c>
      <x:c r="AB467" s="165" t="str">
        <x:f>IF(AND(AB$5&gt;=$C467,AB$5&lt;=$D467,$A467&lt;&gt;""),"●","")</x:f>
      </x:c>
      <x:c r="AC467" s="165" t="str">
        <x:f>IF(AND(AC$5&gt;=$C467,AC$5&lt;=$D467,$A467&lt;&gt;""),"●","")</x:f>
      </x:c>
      <x:c r="AD467" s="165" t="str">
        <x:f>IF(AND(AD$5&gt;=$C467,AD$5&lt;=$D467,$A467&lt;&gt;""),"●","")</x:f>
      </x:c>
      <x:c r="AE467" s="165" t="str">
        <x:f>IF(AND(AE$5&gt;=$C467,AE$5&lt;=$D467,$A467&lt;&gt;""),"●","")</x:f>
      </x:c>
      <x:c r="AF467" s="165" t="str">
        <x:f>IF(AND(AF$5&gt;=$C467,AF$5&lt;=$D467,$A467&lt;&gt;""),"●","")</x:f>
      </x:c>
      <x:c r="AG467" s="165" t="str">
        <x:f>IF(AND(AG$5&gt;=$C467,AG$5&lt;=$D467,$A467&lt;&gt;""),"●","")</x:f>
      </x:c>
      <x:c r="AH467" s="165" t="str">
        <x:f>IF(AND(AH$5&gt;=$C467,AH$5&lt;=$D467,$A467&lt;&gt;""),"●","")</x:f>
      </x:c>
      <x:c r="AI467" s="165" t="str">
        <x:f>IF(AND(AI$5&gt;=$C467,AI$5&lt;=$D467,$A467&lt;&gt;""),"●","")</x:f>
      </x:c>
      <x:c r="AJ467" s="165" t="str">
        <x:f>IF(AND(AJ$5&gt;=$C467,AJ$5&lt;=$D467,$A467&lt;&gt;""),"●","")</x:f>
      </x:c>
      <x:c r="AK467" s="165" t="str">
        <x:f>IF(AND(AK$5&gt;=$C467,AK$5&lt;=$D467,$A467&lt;&gt;""),"●","")</x:f>
      </x:c>
      <x:c r="AL467" s="165" t="str">
        <x:f>IF(AND(AL$5&gt;=$C467,AL$5&lt;=$D467,$A467&lt;&gt;""),"●","")</x:f>
      </x:c>
      <x:c r="AM467" s="165" t="str">
        <x:f>IF(AND(AM$5&gt;=$C467,AM$5&lt;=$D467,$A467&lt;&gt;""),"●","")</x:f>
      </x:c>
      <x:c r="AN467" s="165" t="str">
        <x:f>IF(AND(AN$5&gt;=$C467,AN$5&lt;=$D467,$A467&lt;&gt;""),"●","")</x:f>
      </x:c>
      <x:c r="AO467" s="165" t="str">
        <x:f>IF(AND(AO$5&gt;=$C467,AO$5&lt;=$D467,$A467&lt;&gt;""),"●","")</x:f>
      </x:c>
      <x:c r="AP467" s="165" t="str">
        <x:f>IF(AND(AP$5&gt;=$C467,AP$5&lt;=$D467,$A467&lt;&gt;""),"●","")</x:f>
      </x:c>
      <x:c r="AQ467" s="165" t="str">
        <x:f>IF(AND(AQ$5&gt;=$C467,AQ$5&lt;=$D467,$A467&lt;&gt;""),"●","")</x:f>
      </x:c>
      <x:c r="AR467" s="165" t="str">
        <x:f>IF(AND(AR$5&gt;=$C467,AR$5&lt;=$D467,$A467&lt;&gt;""),"●","")</x:f>
      </x:c>
      <x:c r="AS467" s="165" t="str">
        <x:f>IF(AND(AS$5&gt;=$C467,AS$5&lt;=$D467,$A467&lt;&gt;""),"●","")</x:f>
      </x:c>
      <x:c r="AT467" s="165" t="str">
        <x:f>IF(AND(AT$5&gt;=$C467,AT$5&lt;=$D467,$A467&lt;&gt;""),"●","")</x:f>
      </x:c>
      <x:c r="AU467" s="165" t="str">
        <x:f>IF(AND(AU$5&gt;=$C467,AU$5&lt;=$D467,$A467&lt;&gt;""),"●","")</x:f>
      </x:c>
      <x:c r="AV467" s="165" t="str">
        <x:f>IF(AND(AV$5&gt;=$C467,AV$5&lt;=$D467,$A467&lt;&gt;""),"●","")</x:f>
      </x:c>
      <x:c r="AW467" s="165" t="str">
        <x:f>IF(AND(AW$5&gt;=$C467,AW$5&lt;=$D467,$A467&lt;&gt;""),"●","")</x:f>
      </x:c>
      <x:c r="AX467" s="165" t="str">
        <x:f>IF(AND(AX$5&gt;=$C467,AX$5&lt;=$D467,$A467&lt;&gt;""),"●","")</x:f>
      </x:c>
      <x:c r="AY467" s="165" t="str">
        <x:f>IF(AND(AY$5&gt;=$C467,AY$5&lt;=$D467,$A467&lt;&gt;""),"●","")</x:f>
      </x:c>
      <x:c r="AZ467" s="165" t="str">
        <x:f>IF(AND(AZ$5&gt;=$C467,AZ$5&lt;=$D467,$A467&lt;&gt;""),"●","")</x:f>
      </x:c>
      <x:c r="BA467" s="165" t="str">
        <x:f>IF(AND(BA$5&gt;=$C467,BA$5&lt;=$D467,$A467&lt;&gt;""),"●","")</x:f>
      </x:c>
      <x:c r="BB467" s="165" t="str">
        <x:f>IF(AND(BB$5&gt;=$C467,BB$5&lt;=$D467,$A467&lt;&gt;""),"●","")</x:f>
      </x:c>
      <x:c r="BC467" s="165" t="str">
        <x:f>IF(AND(BC$5&gt;=$C467,BC$5&lt;=$D467,$A467&lt;&gt;""),"●","")</x:f>
      </x:c>
      <x:c r="BD467" s="165" t="str">
        <x:f>IF(AND(BD$5&gt;=$C467,BD$5&lt;=$D467,$A467&lt;&gt;""),"●","")</x:f>
      </x:c>
      <x:c r="BE467" s="165" t="str">
        <x:f>IF(AND(BE$5&gt;=$C467,BE$5&lt;=$D467,$A467&lt;&gt;""),"●","")</x:f>
      </x:c>
      <x:c r="BF467" s="165" t="str">
        <x:f>IF(AND(BF$5&gt;=$C467,BF$5&lt;=$D467,$A467&lt;&gt;""),"●","")</x:f>
      </x:c>
      <x:c r="BG467" s="165" t="str">
        <x:f>IF(AND(BG$5&gt;=$C467,BG$5&lt;=$D467,$A467&lt;&gt;""),"●","")</x:f>
      </x:c>
      <x:c r="BH467" s="165" t="str">
        <x:f>IF(AND(BH$5&gt;=$C467,BH$5&lt;=$D467,$A467&lt;&gt;""),"●","")</x:f>
      </x:c>
      <x:c r="BI467" s="165" t="str">
        <x:f>IF(AND(BI$5&gt;=$C467,BI$5&lt;=$D467,$A467&lt;&gt;""),"●","")</x:f>
      </x:c>
      <x:c r="BJ467" s="165" t="str">
        <x:f>IF(AND(BJ$5&gt;=$C467,BJ$5&lt;=$D467,$A467&lt;&gt;""),"●","")</x:f>
      </x:c>
      <x:c r="BK467" s="165" t="str">
        <x:f>IF(AND(BK$5&gt;=$C467,BK$5&lt;=$D467,$A467&lt;&gt;""),"●","")</x:f>
      </x:c>
      <x:c r="BL467" s="165" t="str">
        <x:f>IF(AND(BL$5&gt;=$C467,BL$5&lt;=$D467,$A467&lt;&gt;""),"●","")</x:f>
      </x:c>
      <x:c r="BM467" s="165" t="str">
        <x:f>IF(AND(BM$5&gt;=$C467,BM$5&lt;=$D467,$A467&lt;&gt;""),"●","")</x:f>
      </x:c>
      <x:c r="BN467" s="165" t="str">
        <x:f>IF(AND(BN$5&gt;=$C467,BN$5&lt;=$D467,$A467&lt;&gt;""),"●","")</x:f>
      </x:c>
      <x:c r="BO467" s="165" t="str">
        <x:f>IF(AND(BO$5&gt;=$C467,BO$5&lt;=$D467,$A467&lt;&gt;""),"●","")</x:f>
      </x:c>
      <x:c r="BP467" s="165" t="str">
        <x:f>IF(AND(BP$5&gt;=$C467,BP$5&lt;=$D467,$A467&lt;&gt;""),"●","")</x:f>
      </x:c>
      <x:c r="BQ467" s="165" t="str">
        <x:f>IF(AND(BQ$5&gt;=$C467,BQ$5&lt;=$D467,$A467&lt;&gt;""),"●","")</x:f>
      </x:c>
      <x:c r="BR467" s="165" t="str">
        <x:f>IF(AND(BR$5&gt;=$C467,BR$5&lt;=$D467,$A467&lt;&gt;""),"●","")</x:f>
      </x:c>
      <x:c r="BS467" s="165" t="str">
        <x:f>IF(AND(BS$5&gt;=$C467,BS$5&lt;=$D467,$A467&lt;&gt;""),"●","")</x:f>
      </x:c>
      <x:c r="BT467" s="165" t="str">
        <x:f>IF(AND(BT$5&gt;=$C467,BT$5&lt;=$D467,$A467&lt;&gt;""),"●","")</x:f>
      </x:c>
      <x:c r="BU467" s="165" t="str">
        <x:f>IF(AND(BU$5&gt;=$C467,BU$5&lt;=$D467,$A467&lt;&gt;""),"●","")</x:f>
      </x:c>
      <x:c r="BV467" s="165" t="str">
        <x:f>IF(AND(BV$5&gt;=$C467,BV$5&lt;=$D467,$A467&lt;&gt;""),"●","")</x:f>
      </x:c>
      <x:c r="BW467" s="165" t="str">
        <x:f>IF(AND(BW$5&gt;=$C467,BW$5&lt;=$D467,$A467&lt;&gt;""),"●","")</x:f>
      </x:c>
    </x:row>
    <x:row r="468">
      <x:c r="A468" s="159" t="str">
        <x:f>IF('รายการสัญญา'!A468="","",'รายการสัญญา'!A468)</x:f>
      </x:c>
      <x:c r="B468" s="159" t="str">
        <x:f>IF('รายการสัญญา'!A468="","",'รายการสัญญา'!C468)</x:f>
      </x:c>
      <x:c r="C468" s="162" t="str">
        <x:f>IF('รายการสัญญา'!A468="","",'รายการสัญญา'!E468)</x:f>
      </x:c>
      <x:c r="D468" s="162" t="str">
        <x:f>IF('รายการสัญญา'!A468="","",'รายการสัญญา'!G468)</x:f>
      </x:c>
      <x:c r="E468" s="159" t="str">
        <x:f>IF('รายการสัญญา'!A468="","",'รายการสัญญา'!K468)</x:f>
      </x:c>
      <x:c r="F468" s="165" t="str">
        <x:f>IF(AND(F$5&gt;=$C468,F$5&lt;=$D468,$A468&lt;&gt;""),"●","")</x:f>
      </x:c>
      <x:c r="G468" s="165" t="str">
        <x:f>IF(AND(G$5&gt;=$C468,G$5&lt;=$D468,$A468&lt;&gt;""),"●","")</x:f>
      </x:c>
      <x:c r="H468" s="165" t="str">
        <x:f>IF(AND(H$5&gt;=$C468,H$5&lt;=$D468,$A468&lt;&gt;""),"●","")</x:f>
      </x:c>
      <x:c r="I468" s="165" t="str">
        <x:f>IF(AND(I$5&gt;=$C468,I$5&lt;=$D468,$A468&lt;&gt;""),"●","")</x:f>
      </x:c>
      <x:c r="J468" s="165" t="str">
        <x:f>IF(AND(J$5&gt;=$C468,J$5&lt;=$D468,$A468&lt;&gt;""),"●","")</x:f>
      </x:c>
      <x:c r="K468" s="165" t="str">
        <x:f>IF(AND(K$5&gt;=$C468,K$5&lt;=$D468,$A468&lt;&gt;""),"●","")</x:f>
      </x:c>
      <x:c r="L468" s="165" t="str">
        <x:f>IF(AND(L$5&gt;=$C468,L$5&lt;=$D468,$A468&lt;&gt;""),"●","")</x:f>
      </x:c>
      <x:c r="M468" s="165" t="str">
        <x:f>IF(AND(M$5&gt;=$C468,M$5&lt;=$D468,$A468&lt;&gt;""),"●","")</x:f>
      </x:c>
      <x:c r="N468" s="165" t="str">
        <x:f>IF(AND(N$5&gt;=$C468,N$5&lt;=$D468,$A468&lt;&gt;""),"●","")</x:f>
      </x:c>
      <x:c r="O468" s="165" t="str">
        <x:f>IF(AND(O$5&gt;=$C468,O$5&lt;=$D468,$A468&lt;&gt;""),"●","")</x:f>
      </x:c>
      <x:c r="P468" s="165" t="str">
        <x:f>IF(AND(P$5&gt;=$C468,P$5&lt;=$D468,$A468&lt;&gt;""),"●","")</x:f>
      </x:c>
      <x:c r="Q468" s="165" t="str">
        <x:f>IF(AND(Q$5&gt;=$C468,Q$5&lt;=$D468,$A468&lt;&gt;""),"●","")</x:f>
      </x:c>
      <x:c r="R468" s="165" t="str">
        <x:f>IF(AND(R$5&gt;=$C468,R$5&lt;=$D468,$A468&lt;&gt;""),"●","")</x:f>
      </x:c>
      <x:c r="S468" s="165" t="str">
        <x:f>IF(AND(S$5&gt;=$C468,S$5&lt;=$D468,$A468&lt;&gt;""),"●","")</x:f>
      </x:c>
      <x:c r="T468" s="165" t="str">
        <x:f>IF(AND(T$5&gt;=$C468,T$5&lt;=$D468,$A468&lt;&gt;""),"●","")</x:f>
      </x:c>
      <x:c r="U468" s="165" t="str">
        <x:f>IF(AND(U$5&gt;=$C468,U$5&lt;=$D468,$A468&lt;&gt;""),"●","")</x:f>
      </x:c>
      <x:c r="V468" s="165" t="str">
        <x:f>IF(AND(V$5&gt;=$C468,V$5&lt;=$D468,$A468&lt;&gt;""),"●","")</x:f>
      </x:c>
      <x:c r="W468" s="165" t="str">
        <x:f>IF(AND(W$5&gt;=$C468,W$5&lt;=$D468,$A468&lt;&gt;""),"●","")</x:f>
      </x:c>
      <x:c r="X468" s="165" t="str">
        <x:f>IF(AND(X$5&gt;=$C468,X$5&lt;=$D468,$A468&lt;&gt;""),"●","")</x:f>
      </x:c>
      <x:c r="Y468" s="165" t="str">
        <x:f>IF(AND(Y$5&gt;=$C468,Y$5&lt;=$D468,$A468&lt;&gt;""),"●","")</x:f>
      </x:c>
      <x:c r="Z468" s="165" t="str">
        <x:f>IF(AND(Z$5&gt;=$C468,Z$5&lt;=$D468,$A468&lt;&gt;""),"●","")</x:f>
      </x:c>
      <x:c r="AA468" s="165" t="str">
        <x:f>IF(AND(AA$5&gt;=$C468,AA$5&lt;=$D468,$A468&lt;&gt;""),"●","")</x:f>
      </x:c>
      <x:c r="AB468" s="165" t="str">
        <x:f>IF(AND(AB$5&gt;=$C468,AB$5&lt;=$D468,$A468&lt;&gt;""),"●","")</x:f>
      </x:c>
      <x:c r="AC468" s="165" t="str">
        <x:f>IF(AND(AC$5&gt;=$C468,AC$5&lt;=$D468,$A468&lt;&gt;""),"●","")</x:f>
      </x:c>
      <x:c r="AD468" s="165" t="str">
        <x:f>IF(AND(AD$5&gt;=$C468,AD$5&lt;=$D468,$A468&lt;&gt;""),"●","")</x:f>
      </x:c>
      <x:c r="AE468" s="165" t="str">
        <x:f>IF(AND(AE$5&gt;=$C468,AE$5&lt;=$D468,$A468&lt;&gt;""),"●","")</x:f>
      </x:c>
      <x:c r="AF468" s="165" t="str">
        <x:f>IF(AND(AF$5&gt;=$C468,AF$5&lt;=$D468,$A468&lt;&gt;""),"●","")</x:f>
      </x:c>
      <x:c r="AG468" s="165" t="str">
        <x:f>IF(AND(AG$5&gt;=$C468,AG$5&lt;=$D468,$A468&lt;&gt;""),"●","")</x:f>
      </x:c>
      <x:c r="AH468" s="165" t="str">
        <x:f>IF(AND(AH$5&gt;=$C468,AH$5&lt;=$D468,$A468&lt;&gt;""),"●","")</x:f>
      </x:c>
      <x:c r="AI468" s="165" t="str">
        <x:f>IF(AND(AI$5&gt;=$C468,AI$5&lt;=$D468,$A468&lt;&gt;""),"●","")</x:f>
      </x:c>
      <x:c r="AJ468" s="165" t="str">
        <x:f>IF(AND(AJ$5&gt;=$C468,AJ$5&lt;=$D468,$A468&lt;&gt;""),"●","")</x:f>
      </x:c>
      <x:c r="AK468" s="165" t="str">
        <x:f>IF(AND(AK$5&gt;=$C468,AK$5&lt;=$D468,$A468&lt;&gt;""),"●","")</x:f>
      </x:c>
      <x:c r="AL468" s="165" t="str">
        <x:f>IF(AND(AL$5&gt;=$C468,AL$5&lt;=$D468,$A468&lt;&gt;""),"●","")</x:f>
      </x:c>
      <x:c r="AM468" s="165" t="str">
        <x:f>IF(AND(AM$5&gt;=$C468,AM$5&lt;=$D468,$A468&lt;&gt;""),"●","")</x:f>
      </x:c>
      <x:c r="AN468" s="165" t="str">
        <x:f>IF(AND(AN$5&gt;=$C468,AN$5&lt;=$D468,$A468&lt;&gt;""),"●","")</x:f>
      </x:c>
      <x:c r="AO468" s="165" t="str">
        <x:f>IF(AND(AO$5&gt;=$C468,AO$5&lt;=$D468,$A468&lt;&gt;""),"●","")</x:f>
      </x:c>
      <x:c r="AP468" s="165" t="str">
        <x:f>IF(AND(AP$5&gt;=$C468,AP$5&lt;=$D468,$A468&lt;&gt;""),"●","")</x:f>
      </x:c>
      <x:c r="AQ468" s="165" t="str">
        <x:f>IF(AND(AQ$5&gt;=$C468,AQ$5&lt;=$D468,$A468&lt;&gt;""),"●","")</x:f>
      </x:c>
      <x:c r="AR468" s="165" t="str">
        <x:f>IF(AND(AR$5&gt;=$C468,AR$5&lt;=$D468,$A468&lt;&gt;""),"●","")</x:f>
      </x:c>
      <x:c r="AS468" s="165" t="str">
        <x:f>IF(AND(AS$5&gt;=$C468,AS$5&lt;=$D468,$A468&lt;&gt;""),"●","")</x:f>
      </x:c>
      <x:c r="AT468" s="165" t="str">
        <x:f>IF(AND(AT$5&gt;=$C468,AT$5&lt;=$D468,$A468&lt;&gt;""),"●","")</x:f>
      </x:c>
      <x:c r="AU468" s="165" t="str">
        <x:f>IF(AND(AU$5&gt;=$C468,AU$5&lt;=$D468,$A468&lt;&gt;""),"●","")</x:f>
      </x:c>
      <x:c r="AV468" s="165" t="str">
        <x:f>IF(AND(AV$5&gt;=$C468,AV$5&lt;=$D468,$A468&lt;&gt;""),"●","")</x:f>
      </x:c>
      <x:c r="AW468" s="165" t="str">
        <x:f>IF(AND(AW$5&gt;=$C468,AW$5&lt;=$D468,$A468&lt;&gt;""),"●","")</x:f>
      </x:c>
      <x:c r="AX468" s="165" t="str">
        <x:f>IF(AND(AX$5&gt;=$C468,AX$5&lt;=$D468,$A468&lt;&gt;""),"●","")</x:f>
      </x:c>
      <x:c r="AY468" s="165" t="str">
        <x:f>IF(AND(AY$5&gt;=$C468,AY$5&lt;=$D468,$A468&lt;&gt;""),"●","")</x:f>
      </x:c>
      <x:c r="AZ468" s="165" t="str">
        <x:f>IF(AND(AZ$5&gt;=$C468,AZ$5&lt;=$D468,$A468&lt;&gt;""),"●","")</x:f>
      </x:c>
      <x:c r="BA468" s="165" t="str">
        <x:f>IF(AND(BA$5&gt;=$C468,BA$5&lt;=$D468,$A468&lt;&gt;""),"●","")</x:f>
      </x:c>
      <x:c r="BB468" s="165" t="str">
        <x:f>IF(AND(BB$5&gt;=$C468,BB$5&lt;=$D468,$A468&lt;&gt;""),"●","")</x:f>
      </x:c>
      <x:c r="BC468" s="165" t="str">
        <x:f>IF(AND(BC$5&gt;=$C468,BC$5&lt;=$D468,$A468&lt;&gt;""),"●","")</x:f>
      </x:c>
      <x:c r="BD468" s="165" t="str">
        <x:f>IF(AND(BD$5&gt;=$C468,BD$5&lt;=$D468,$A468&lt;&gt;""),"●","")</x:f>
      </x:c>
      <x:c r="BE468" s="165" t="str">
        <x:f>IF(AND(BE$5&gt;=$C468,BE$5&lt;=$D468,$A468&lt;&gt;""),"●","")</x:f>
      </x:c>
      <x:c r="BF468" s="165" t="str">
        <x:f>IF(AND(BF$5&gt;=$C468,BF$5&lt;=$D468,$A468&lt;&gt;""),"●","")</x:f>
      </x:c>
      <x:c r="BG468" s="165" t="str">
        <x:f>IF(AND(BG$5&gt;=$C468,BG$5&lt;=$D468,$A468&lt;&gt;""),"●","")</x:f>
      </x:c>
      <x:c r="BH468" s="165" t="str">
        <x:f>IF(AND(BH$5&gt;=$C468,BH$5&lt;=$D468,$A468&lt;&gt;""),"●","")</x:f>
      </x:c>
      <x:c r="BI468" s="165" t="str">
        <x:f>IF(AND(BI$5&gt;=$C468,BI$5&lt;=$D468,$A468&lt;&gt;""),"●","")</x:f>
      </x:c>
      <x:c r="BJ468" s="165" t="str">
        <x:f>IF(AND(BJ$5&gt;=$C468,BJ$5&lt;=$D468,$A468&lt;&gt;""),"●","")</x:f>
      </x:c>
      <x:c r="BK468" s="165" t="str">
        <x:f>IF(AND(BK$5&gt;=$C468,BK$5&lt;=$D468,$A468&lt;&gt;""),"●","")</x:f>
      </x:c>
      <x:c r="BL468" s="165" t="str">
        <x:f>IF(AND(BL$5&gt;=$C468,BL$5&lt;=$D468,$A468&lt;&gt;""),"●","")</x:f>
      </x:c>
      <x:c r="BM468" s="165" t="str">
        <x:f>IF(AND(BM$5&gt;=$C468,BM$5&lt;=$D468,$A468&lt;&gt;""),"●","")</x:f>
      </x:c>
      <x:c r="BN468" s="165" t="str">
        <x:f>IF(AND(BN$5&gt;=$C468,BN$5&lt;=$D468,$A468&lt;&gt;""),"●","")</x:f>
      </x:c>
      <x:c r="BO468" s="165" t="str">
        <x:f>IF(AND(BO$5&gt;=$C468,BO$5&lt;=$D468,$A468&lt;&gt;""),"●","")</x:f>
      </x:c>
      <x:c r="BP468" s="165" t="str">
        <x:f>IF(AND(BP$5&gt;=$C468,BP$5&lt;=$D468,$A468&lt;&gt;""),"●","")</x:f>
      </x:c>
      <x:c r="BQ468" s="165" t="str">
        <x:f>IF(AND(BQ$5&gt;=$C468,BQ$5&lt;=$D468,$A468&lt;&gt;""),"●","")</x:f>
      </x:c>
      <x:c r="BR468" s="165" t="str">
        <x:f>IF(AND(BR$5&gt;=$C468,BR$5&lt;=$D468,$A468&lt;&gt;""),"●","")</x:f>
      </x:c>
      <x:c r="BS468" s="165" t="str">
        <x:f>IF(AND(BS$5&gt;=$C468,BS$5&lt;=$D468,$A468&lt;&gt;""),"●","")</x:f>
      </x:c>
      <x:c r="BT468" s="165" t="str">
        <x:f>IF(AND(BT$5&gt;=$C468,BT$5&lt;=$D468,$A468&lt;&gt;""),"●","")</x:f>
      </x:c>
      <x:c r="BU468" s="165" t="str">
        <x:f>IF(AND(BU$5&gt;=$C468,BU$5&lt;=$D468,$A468&lt;&gt;""),"●","")</x:f>
      </x:c>
      <x:c r="BV468" s="165" t="str">
        <x:f>IF(AND(BV$5&gt;=$C468,BV$5&lt;=$D468,$A468&lt;&gt;""),"●","")</x:f>
      </x:c>
      <x:c r="BW468" s="165" t="str">
        <x:f>IF(AND(BW$5&gt;=$C468,BW$5&lt;=$D468,$A468&lt;&gt;""),"●","")</x:f>
      </x:c>
    </x:row>
    <x:row r="469">
      <x:c r="A469" s="159" t="str">
        <x:f>IF('รายการสัญญา'!A469="","",'รายการสัญญา'!A469)</x:f>
      </x:c>
      <x:c r="B469" s="159" t="str">
        <x:f>IF('รายการสัญญา'!A469="","",'รายการสัญญา'!C469)</x:f>
      </x:c>
      <x:c r="C469" s="162" t="str">
        <x:f>IF('รายการสัญญา'!A469="","",'รายการสัญญา'!E469)</x:f>
      </x:c>
      <x:c r="D469" s="162" t="str">
        <x:f>IF('รายการสัญญา'!A469="","",'รายการสัญญา'!G469)</x:f>
      </x:c>
      <x:c r="E469" s="159" t="str">
        <x:f>IF('รายการสัญญา'!A469="","",'รายการสัญญา'!K469)</x:f>
      </x:c>
      <x:c r="F469" s="165" t="str">
        <x:f>IF(AND(F$5&gt;=$C469,F$5&lt;=$D469,$A469&lt;&gt;""),"●","")</x:f>
      </x:c>
      <x:c r="G469" s="165" t="str">
        <x:f>IF(AND(G$5&gt;=$C469,G$5&lt;=$D469,$A469&lt;&gt;""),"●","")</x:f>
      </x:c>
      <x:c r="H469" s="165" t="str">
        <x:f>IF(AND(H$5&gt;=$C469,H$5&lt;=$D469,$A469&lt;&gt;""),"●","")</x:f>
      </x:c>
      <x:c r="I469" s="165" t="str">
        <x:f>IF(AND(I$5&gt;=$C469,I$5&lt;=$D469,$A469&lt;&gt;""),"●","")</x:f>
      </x:c>
      <x:c r="J469" s="165" t="str">
        <x:f>IF(AND(J$5&gt;=$C469,J$5&lt;=$D469,$A469&lt;&gt;""),"●","")</x:f>
      </x:c>
      <x:c r="K469" s="165" t="str">
        <x:f>IF(AND(K$5&gt;=$C469,K$5&lt;=$D469,$A469&lt;&gt;""),"●","")</x:f>
      </x:c>
      <x:c r="L469" s="165" t="str">
        <x:f>IF(AND(L$5&gt;=$C469,L$5&lt;=$D469,$A469&lt;&gt;""),"●","")</x:f>
      </x:c>
      <x:c r="M469" s="165" t="str">
        <x:f>IF(AND(M$5&gt;=$C469,M$5&lt;=$D469,$A469&lt;&gt;""),"●","")</x:f>
      </x:c>
      <x:c r="N469" s="165" t="str">
        <x:f>IF(AND(N$5&gt;=$C469,N$5&lt;=$D469,$A469&lt;&gt;""),"●","")</x:f>
      </x:c>
      <x:c r="O469" s="165" t="str">
        <x:f>IF(AND(O$5&gt;=$C469,O$5&lt;=$D469,$A469&lt;&gt;""),"●","")</x:f>
      </x:c>
      <x:c r="P469" s="165" t="str">
        <x:f>IF(AND(P$5&gt;=$C469,P$5&lt;=$D469,$A469&lt;&gt;""),"●","")</x:f>
      </x:c>
      <x:c r="Q469" s="165" t="str">
        <x:f>IF(AND(Q$5&gt;=$C469,Q$5&lt;=$D469,$A469&lt;&gt;""),"●","")</x:f>
      </x:c>
      <x:c r="R469" s="165" t="str">
        <x:f>IF(AND(R$5&gt;=$C469,R$5&lt;=$D469,$A469&lt;&gt;""),"●","")</x:f>
      </x:c>
      <x:c r="S469" s="165" t="str">
        <x:f>IF(AND(S$5&gt;=$C469,S$5&lt;=$D469,$A469&lt;&gt;""),"●","")</x:f>
      </x:c>
      <x:c r="T469" s="165" t="str">
        <x:f>IF(AND(T$5&gt;=$C469,T$5&lt;=$D469,$A469&lt;&gt;""),"●","")</x:f>
      </x:c>
      <x:c r="U469" s="165" t="str">
        <x:f>IF(AND(U$5&gt;=$C469,U$5&lt;=$D469,$A469&lt;&gt;""),"●","")</x:f>
      </x:c>
      <x:c r="V469" s="165" t="str">
        <x:f>IF(AND(V$5&gt;=$C469,V$5&lt;=$D469,$A469&lt;&gt;""),"●","")</x:f>
      </x:c>
      <x:c r="W469" s="165" t="str">
        <x:f>IF(AND(W$5&gt;=$C469,W$5&lt;=$D469,$A469&lt;&gt;""),"●","")</x:f>
      </x:c>
      <x:c r="X469" s="165" t="str">
        <x:f>IF(AND(X$5&gt;=$C469,X$5&lt;=$D469,$A469&lt;&gt;""),"●","")</x:f>
      </x:c>
      <x:c r="Y469" s="165" t="str">
        <x:f>IF(AND(Y$5&gt;=$C469,Y$5&lt;=$D469,$A469&lt;&gt;""),"●","")</x:f>
      </x:c>
      <x:c r="Z469" s="165" t="str">
        <x:f>IF(AND(Z$5&gt;=$C469,Z$5&lt;=$D469,$A469&lt;&gt;""),"●","")</x:f>
      </x:c>
      <x:c r="AA469" s="165" t="str">
        <x:f>IF(AND(AA$5&gt;=$C469,AA$5&lt;=$D469,$A469&lt;&gt;""),"●","")</x:f>
      </x:c>
      <x:c r="AB469" s="165" t="str">
        <x:f>IF(AND(AB$5&gt;=$C469,AB$5&lt;=$D469,$A469&lt;&gt;""),"●","")</x:f>
      </x:c>
      <x:c r="AC469" s="165" t="str">
        <x:f>IF(AND(AC$5&gt;=$C469,AC$5&lt;=$D469,$A469&lt;&gt;""),"●","")</x:f>
      </x:c>
      <x:c r="AD469" s="165" t="str">
        <x:f>IF(AND(AD$5&gt;=$C469,AD$5&lt;=$D469,$A469&lt;&gt;""),"●","")</x:f>
      </x:c>
      <x:c r="AE469" s="165" t="str">
        <x:f>IF(AND(AE$5&gt;=$C469,AE$5&lt;=$D469,$A469&lt;&gt;""),"●","")</x:f>
      </x:c>
      <x:c r="AF469" s="165" t="str">
        <x:f>IF(AND(AF$5&gt;=$C469,AF$5&lt;=$D469,$A469&lt;&gt;""),"●","")</x:f>
      </x:c>
      <x:c r="AG469" s="165" t="str">
        <x:f>IF(AND(AG$5&gt;=$C469,AG$5&lt;=$D469,$A469&lt;&gt;""),"●","")</x:f>
      </x:c>
      <x:c r="AH469" s="165" t="str">
        <x:f>IF(AND(AH$5&gt;=$C469,AH$5&lt;=$D469,$A469&lt;&gt;""),"●","")</x:f>
      </x:c>
      <x:c r="AI469" s="165" t="str">
        <x:f>IF(AND(AI$5&gt;=$C469,AI$5&lt;=$D469,$A469&lt;&gt;""),"●","")</x:f>
      </x:c>
      <x:c r="AJ469" s="165" t="str">
        <x:f>IF(AND(AJ$5&gt;=$C469,AJ$5&lt;=$D469,$A469&lt;&gt;""),"●","")</x:f>
      </x:c>
      <x:c r="AK469" s="165" t="str">
        <x:f>IF(AND(AK$5&gt;=$C469,AK$5&lt;=$D469,$A469&lt;&gt;""),"●","")</x:f>
      </x:c>
      <x:c r="AL469" s="165" t="str">
        <x:f>IF(AND(AL$5&gt;=$C469,AL$5&lt;=$D469,$A469&lt;&gt;""),"●","")</x:f>
      </x:c>
      <x:c r="AM469" s="165" t="str">
        <x:f>IF(AND(AM$5&gt;=$C469,AM$5&lt;=$D469,$A469&lt;&gt;""),"●","")</x:f>
      </x:c>
      <x:c r="AN469" s="165" t="str">
        <x:f>IF(AND(AN$5&gt;=$C469,AN$5&lt;=$D469,$A469&lt;&gt;""),"●","")</x:f>
      </x:c>
      <x:c r="AO469" s="165" t="str">
        <x:f>IF(AND(AO$5&gt;=$C469,AO$5&lt;=$D469,$A469&lt;&gt;""),"●","")</x:f>
      </x:c>
      <x:c r="AP469" s="165" t="str">
        <x:f>IF(AND(AP$5&gt;=$C469,AP$5&lt;=$D469,$A469&lt;&gt;""),"●","")</x:f>
      </x:c>
      <x:c r="AQ469" s="165" t="str">
        <x:f>IF(AND(AQ$5&gt;=$C469,AQ$5&lt;=$D469,$A469&lt;&gt;""),"●","")</x:f>
      </x:c>
      <x:c r="AR469" s="165" t="str">
        <x:f>IF(AND(AR$5&gt;=$C469,AR$5&lt;=$D469,$A469&lt;&gt;""),"●","")</x:f>
      </x:c>
      <x:c r="AS469" s="165" t="str">
        <x:f>IF(AND(AS$5&gt;=$C469,AS$5&lt;=$D469,$A469&lt;&gt;""),"●","")</x:f>
      </x:c>
      <x:c r="AT469" s="165" t="str">
        <x:f>IF(AND(AT$5&gt;=$C469,AT$5&lt;=$D469,$A469&lt;&gt;""),"●","")</x:f>
      </x:c>
      <x:c r="AU469" s="165" t="str">
        <x:f>IF(AND(AU$5&gt;=$C469,AU$5&lt;=$D469,$A469&lt;&gt;""),"●","")</x:f>
      </x:c>
      <x:c r="AV469" s="165" t="str">
        <x:f>IF(AND(AV$5&gt;=$C469,AV$5&lt;=$D469,$A469&lt;&gt;""),"●","")</x:f>
      </x:c>
      <x:c r="AW469" s="165" t="str">
        <x:f>IF(AND(AW$5&gt;=$C469,AW$5&lt;=$D469,$A469&lt;&gt;""),"●","")</x:f>
      </x:c>
      <x:c r="AX469" s="165" t="str">
        <x:f>IF(AND(AX$5&gt;=$C469,AX$5&lt;=$D469,$A469&lt;&gt;""),"●","")</x:f>
      </x:c>
      <x:c r="AY469" s="165" t="str">
        <x:f>IF(AND(AY$5&gt;=$C469,AY$5&lt;=$D469,$A469&lt;&gt;""),"●","")</x:f>
      </x:c>
      <x:c r="AZ469" s="165" t="str">
        <x:f>IF(AND(AZ$5&gt;=$C469,AZ$5&lt;=$D469,$A469&lt;&gt;""),"●","")</x:f>
      </x:c>
      <x:c r="BA469" s="165" t="str">
        <x:f>IF(AND(BA$5&gt;=$C469,BA$5&lt;=$D469,$A469&lt;&gt;""),"●","")</x:f>
      </x:c>
      <x:c r="BB469" s="165" t="str">
        <x:f>IF(AND(BB$5&gt;=$C469,BB$5&lt;=$D469,$A469&lt;&gt;""),"●","")</x:f>
      </x:c>
      <x:c r="BC469" s="165" t="str">
        <x:f>IF(AND(BC$5&gt;=$C469,BC$5&lt;=$D469,$A469&lt;&gt;""),"●","")</x:f>
      </x:c>
      <x:c r="BD469" s="165" t="str">
        <x:f>IF(AND(BD$5&gt;=$C469,BD$5&lt;=$D469,$A469&lt;&gt;""),"●","")</x:f>
      </x:c>
      <x:c r="BE469" s="165" t="str">
        <x:f>IF(AND(BE$5&gt;=$C469,BE$5&lt;=$D469,$A469&lt;&gt;""),"●","")</x:f>
      </x:c>
      <x:c r="BF469" s="165" t="str">
        <x:f>IF(AND(BF$5&gt;=$C469,BF$5&lt;=$D469,$A469&lt;&gt;""),"●","")</x:f>
      </x:c>
      <x:c r="BG469" s="165" t="str">
        <x:f>IF(AND(BG$5&gt;=$C469,BG$5&lt;=$D469,$A469&lt;&gt;""),"●","")</x:f>
      </x:c>
      <x:c r="BH469" s="165" t="str">
        <x:f>IF(AND(BH$5&gt;=$C469,BH$5&lt;=$D469,$A469&lt;&gt;""),"●","")</x:f>
      </x:c>
      <x:c r="BI469" s="165" t="str">
        <x:f>IF(AND(BI$5&gt;=$C469,BI$5&lt;=$D469,$A469&lt;&gt;""),"●","")</x:f>
      </x:c>
      <x:c r="BJ469" s="165" t="str">
        <x:f>IF(AND(BJ$5&gt;=$C469,BJ$5&lt;=$D469,$A469&lt;&gt;""),"●","")</x:f>
      </x:c>
      <x:c r="BK469" s="165" t="str">
        <x:f>IF(AND(BK$5&gt;=$C469,BK$5&lt;=$D469,$A469&lt;&gt;""),"●","")</x:f>
      </x:c>
      <x:c r="BL469" s="165" t="str">
        <x:f>IF(AND(BL$5&gt;=$C469,BL$5&lt;=$D469,$A469&lt;&gt;""),"●","")</x:f>
      </x:c>
      <x:c r="BM469" s="165" t="str">
        <x:f>IF(AND(BM$5&gt;=$C469,BM$5&lt;=$D469,$A469&lt;&gt;""),"●","")</x:f>
      </x:c>
      <x:c r="BN469" s="165" t="str">
        <x:f>IF(AND(BN$5&gt;=$C469,BN$5&lt;=$D469,$A469&lt;&gt;""),"●","")</x:f>
      </x:c>
      <x:c r="BO469" s="165" t="str">
        <x:f>IF(AND(BO$5&gt;=$C469,BO$5&lt;=$D469,$A469&lt;&gt;""),"●","")</x:f>
      </x:c>
      <x:c r="BP469" s="165" t="str">
        <x:f>IF(AND(BP$5&gt;=$C469,BP$5&lt;=$D469,$A469&lt;&gt;""),"●","")</x:f>
      </x:c>
      <x:c r="BQ469" s="165" t="str">
        <x:f>IF(AND(BQ$5&gt;=$C469,BQ$5&lt;=$D469,$A469&lt;&gt;""),"●","")</x:f>
      </x:c>
      <x:c r="BR469" s="165" t="str">
        <x:f>IF(AND(BR$5&gt;=$C469,BR$5&lt;=$D469,$A469&lt;&gt;""),"●","")</x:f>
      </x:c>
      <x:c r="BS469" s="165" t="str">
        <x:f>IF(AND(BS$5&gt;=$C469,BS$5&lt;=$D469,$A469&lt;&gt;""),"●","")</x:f>
      </x:c>
      <x:c r="BT469" s="165" t="str">
        <x:f>IF(AND(BT$5&gt;=$C469,BT$5&lt;=$D469,$A469&lt;&gt;""),"●","")</x:f>
      </x:c>
      <x:c r="BU469" s="165" t="str">
        <x:f>IF(AND(BU$5&gt;=$C469,BU$5&lt;=$D469,$A469&lt;&gt;""),"●","")</x:f>
      </x:c>
      <x:c r="BV469" s="165" t="str">
        <x:f>IF(AND(BV$5&gt;=$C469,BV$5&lt;=$D469,$A469&lt;&gt;""),"●","")</x:f>
      </x:c>
      <x:c r="BW469" s="165" t="str">
        <x:f>IF(AND(BW$5&gt;=$C469,BW$5&lt;=$D469,$A469&lt;&gt;""),"●","")</x:f>
      </x:c>
    </x:row>
    <x:row r="470">
      <x:c r="A470" s="159" t="str">
        <x:f>IF('รายการสัญญา'!A470="","",'รายการสัญญา'!A470)</x:f>
      </x:c>
      <x:c r="B470" s="159" t="str">
        <x:f>IF('รายการสัญญา'!A470="","",'รายการสัญญา'!C470)</x:f>
      </x:c>
      <x:c r="C470" s="162" t="str">
        <x:f>IF('รายการสัญญา'!A470="","",'รายการสัญญา'!E470)</x:f>
      </x:c>
      <x:c r="D470" s="162" t="str">
        <x:f>IF('รายการสัญญา'!A470="","",'รายการสัญญา'!G470)</x:f>
      </x:c>
      <x:c r="E470" s="159" t="str">
        <x:f>IF('รายการสัญญา'!A470="","",'รายการสัญญา'!K470)</x:f>
      </x:c>
      <x:c r="F470" s="165" t="str">
        <x:f>IF(AND(F$5&gt;=$C470,F$5&lt;=$D470,$A470&lt;&gt;""),"●","")</x:f>
      </x:c>
      <x:c r="G470" s="165" t="str">
        <x:f>IF(AND(G$5&gt;=$C470,G$5&lt;=$D470,$A470&lt;&gt;""),"●","")</x:f>
      </x:c>
      <x:c r="H470" s="165" t="str">
        <x:f>IF(AND(H$5&gt;=$C470,H$5&lt;=$D470,$A470&lt;&gt;""),"●","")</x:f>
      </x:c>
      <x:c r="I470" s="165" t="str">
        <x:f>IF(AND(I$5&gt;=$C470,I$5&lt;=$D470,$A470&lt;&gt;""),"●","")</x:f>
      </x:c>
      <x:c r="J470" s="165" t="str">
        <x:f>IF(AND(J$5&gt;=$C470,J$5&lt;=$D470,$A470&lt;&gt;""),"●","")</x:f>
      </x:c>
      <x:c r="K470" s="165" t="str">
        <x:f>IF(AND(K$5&gt;=$C470,K$5&lt;=$D470,$A470&lt;&gt;""),"●","")</x:f>
      </x:c>
      <x:c r="L470" s="165" t="str">
        <x:f>IF(AND(L$5&gt;=$C470,L$5&lt;=$D470,$A470&lt;&gt;""),"●","")</x:f>
      </x:c>
      <x:c r="M470" s="165" t="str">
        <x:f>IF(AND(M$5&gt;=$C470,M$5&lt;=$D470,$A470&lt;&gt;""),"●","")</x:f>
      </x:c>
      <x:c r="N470" s="165" t="str">
        <x:f>IF(AND(N$5&gt;=$C470,N$5&lt;=$D470,$A470&lt;&gt;""),"●","")</x:f>
      </x:c>
      <x:c r="O470" s="165" t="str">
        <x:f>IF(AND(O$5&gt;=$C470,O$5&lt;=$D470,$A470&lt;&gt;""),"●","")</x:f>
      </x:c>
      <x:c r="P470" s="165" t="str">
        <x:f>IF(AND(P$5&gt;=$C470,P$5&lt;=$D470,$A470&lt;&gt;""),"●","")</x:f>
      </x:c>
      <x:c r="Q470" s="165" t="str">
        <x:f>IF(AND(Q$5&gt;=$C470,Q$5&lt;=$D470,$A470&lt;&gt;""),"●","")</x:f>
      </x:c>
      <x:c r="R470" s="165" t="str">
        <x:f>IF(AND(R$5&gt;=$C470,R$5&lt;=$D470,$A470&lt;&gt;""),"●","")</x:f>
      </x:c>
      <x:c r="S470" s="165" t="str">
        <x:f>IF(AND(S$5&gt;=$C470,S$5&lt;=$D470,$A470&lt;&gt;""),"●","")</x:f>
      </x:c>
      <x:c r="T470" s="165" t="str">
        <x:f>IF(AND(T$5&gt;=$C470,T$5&lt;=$D470,$A470&lt;&gt;""),"●","")</x:f>
      </x:c>
      <x:c r="U470" s="165" t="str">
        <x:f>IF(AND(U$5&gt;=$C470,U$5&lt;=$D470,$A470&lt;&gt;""),"●","")</x:f>
      </x:c>
      <x:c r="V470" s="165" t="str">
        <x:f>IF(AND(V$5&gt;=$C470,V$5&lt;=$D470,$A470&lt;&gt;""),"●","")</x:f>
      </x:c>
      <x:c r="W470" s="165" t="str">
        <x:f>IF(AND(W$5&gt;=$C470,W$5&lt;=$D470,$A470&lt;&gt;""),"●","")</x:f>
      </x:c>
      <x:c r="X470" s="165" t="str">
        <x:f>IF(AND(X$5&gt;=$C470,X$5&lt;=$D470,$A470&lt;&gt;""),"●","")</x:f>
      </x:c>
      <x:c r="Y470" s="165" t="str">
        <x:f>IF(AND(Y$5&gt;=$C470,Y$5&lt;=$D470,$A470&lt;&gt;""),"●","")</x:f>
      </x:c>
      <x:c r="Z470" s="165" t="str">
        <x:f>IF(AND(Z$5&gt;=$C470,Z$5&lt;=$D470,$A470&lt;&gt;""),"●","")</x:f>
      </x:c>
      <x:c r="AA470" s="165" t="str">
        <x:f>IF(AND(AA$5&gt;=$C470,AA$5&lt;=$D470,$A470&lt;&gt;""),"●","")</x:f>
      </x:c>
      <x:c r="AB470" s="165" t="str">
        <x:f>IF(AND(AB$5&gt;=$C470,AB$5&lt;=$D470,$A470&lt;&gt;""),"●","")</x:f>
      </x:c>
      <x:c r="AC470" s="165" t="str">
        <x:f>IF(AND(AC$5&gt;=$C470,AC$5&lt;=$D470,$A470&lt;&gt;""),"●","")</x:f>
      </x:c>
      <x:c r="AD470" s="165" t="str">
        <x:f>IF(AND(AD$5&gt;=$C470,AD$5&lt;=$D470,$A470&lt;&gt;""),"●","")</x:f>
      </x:c>
      <x:c r="AE470" s="165" t="str">
        <x:f>IF(AND(AE$5&gt;=$C470,AE$5&lt;=$D470,$A470&lt;&gt;""),"●","")</x:f>
      </x:c>
      <x:c r="AF470" s="165" t="str">
        <x:f>IF(AND(AF$5&gt;=$C470,AF$5&lt;=$D470,$A470&lt;&gt;""),"●","")</x:f>
      </x:c>
      <x:c r="AG470" s="165" t="str">
        <x:f>IF(AND(AG$5&gt;=$C470,AG$5&lt;=$D470,$A470&lt;&gt;""),"●","")</x:f>
      </x:c>
      <x:c r="AH470" s="165" t="str">
        <x:f>IF(AND(AH$5&gt;=$C470,AH$5&lt;=$D470,$A470&lt;&gt;""),"●","")</x:f>
      </x:c>
      <x:c r="AI470" s="165" t="str">
        <x:f>IF(AND(AI$5&gt;=$C470,AI$5&lt;=$D470,$A470&lt;&gt;""),"●","")</x:f>
      </x:c>
      <x:c r="AJ470" s="165" t="str">
        <x:f>IF(AND(AJ$5&gt;=$C470,AJ$5&lt;=$D470,$A470&lt;&gt;""),"●","")</x:f>
      </x:c>
      <x:c r="AK470" s="165" t="str">
        <x:f>IF(AND(AK$5&gt;=$C470,AK$5&lt;=$D470,$A470&lt;&gt;""),"●","")</x:f>
      </x:c>
      <x:c r="AL470" s="165" t="str">
        <x:f>IF(AND(AL$5&gt;=$C470,AL$5&lt;=$D470,$A470&lt;&gt;""),"●","")</x:f>
      </x:c>
      <x:c r="AM470" s="165" t="str">
        <x:f>IF(AND(AM$5&gt;=$C470,AM$5&lt;=$D470,$A470&lt;&gt;""),"●","")</x:f>
      </x:c>
      <x:c r="AN470" s="165" t="str">
        <x:f>IF(AND(AN$5&gt;=$C470,AN$5&lt;=$D470,$A470&lt;&gt;""),"●","")</x:f>
      </x:c>
      <x:c r="AO470" s="165" t="str">
        <x:f>IF(AND(AO$5&gt;=$C470,AO$5&lt;=$D470,$A470&lt;&gt;""),"●","")</x:f>
      </x:c>
      <x:c r="AP470" s="165" t="str">
        <x:f>IF(AND(AP$5&gt;=$C470,AP$5&lt;=$D470,$A470&lt;&gt;""),"●","")</x:f>
      </x:c>
      <x:c r="AQ470" s="165" t="str">
        <x:f>IF(AND(AQ$5&gt;=$C470,AQ$5&lt;=$D470,$A470&lt;&gt;""),"●","")</x:f>
      </x:c>
      <x:c r="AR470" s="165" t="str">
        <x:f>IF(AND(AR$5&gt;=$C470,AR$5&lt;=$D470,$A470&lt;&gt;""),"●","")</x:f>
      </x:c>
      <x:c r="AS470" s="165" t="str">
        <x:f>IF(AND(AS$5&gt;=$C470,AS$5&lt;=$D470,$A470&lt;&gt;""),"●","")</x:f>
      </x:c>
      <x:c r="AT470" s="165" t="str">
        <x:f>IF(AND(AT$5&gt;=$C470,AT$5&lt;=$D470,$A470&lt;&gt;""),"●","")</x:f>
      </x:c>
      <x:c r="AU470" s="165" t="str">
        <x:f>IF(AND(AU$5&gt;=$C470,AU$5&lt;=$D470,$A470&lt;&gt;""),"●","")</x:f>
      </x:c>
      <x:c r="AV470" s="165" t="str">
        <x:f>IF(AND(AV$5&gt;=$C470,AV$5&lt;=$D470,$A470&lt;&gt;""),"●","")</x:f>
      </x:c>
      <x:c r="AW470" s="165" t="str">
        <x:f>IF(AND(AW$5&gt;=$C470,AW$5&lt;=$D470,$A470&lt;&gt;""),"●","")</x:f>
      </x:c>
      <x:c r="AX470" s="165" t="str">
        <x:f>IF(AND(AX$5&gt;=$C470,AX$5&lt;=$D470,$A470&lt;&gt;""),"●","")</x:f>
      </x:c>
      <x:c r="AY470" s="165" t="str">
        <x:f>IF(AND(AY$5&gt;=$C470,AY$5&lt;=$D470,$A470&lt;&gt;""),"●","")</x:f>
      </x:c>
      <x:c r="AZ470" s="165" t="str">
        <x:f>IF(AND(AZ$5&gt;=$C470,AZ$5&lt;=$D470,$A470&lt;&gt;""),"●","")</x:f>
      </x:c>
      <x:c r="BA470" s="165" t="str">
        <x:f>IF(AND(BA$5&gt;=$C470,BA$5&lt;=$D470,$A470&lt;&gt;""),"●","")</x:f>
      </x:c>
      <x:c r="BB470" s="165" t="str">
        <x:f>IF(AND(BB$5&gt;=$C470,BB$5&lt;=$D470,$A470&lt;&gt;""),"●","")</x:f>
      </x:c>
      <x:c r="BC470" s="165" t="str">
        <x:f>IF(AND(BC$5&gt;=$C470,BC$5&lt;=$D470,$A470&lt;&gt;""),"●","")</x:f>
      </x:c>
      <x:c r="BD470" s="165" t="str">
        <x:f>IF(AND(BD$5&gt;=$C470,BD$5&lt;=$D470,$A470&lt;&gt;""),"●","")</x:f>
      </x:c>
      <x:c r="BE470" s="165" t="str">
        <x:f>IF(AND(BE$5&gt;=$C470,BE$5&lt;=$D470,$A470&lt;&gt;""),"●","")</x:f>
      </x:c>
      <x:c r="BF470" s="165" t="str">
        <x:f>IF(AND(BF$5&gt;=$C470,BF$5&lt;=$D470,$A470&lt;&gt;""),"●","")</x:f>
      </x:c>
      <x:c r="BG470" s="165" t="str">
        <x:f>IF(AND(BG$5&gt;=$C470,BG$5&lt;=$D470,$A470&lt;&gt;""),"●","")</x:f>
      </x:c>
      <x:c r="BH470" s="165" t="str">
        <x:f>IF(AND(BH$5&gt;=$C470,BH$5&lt;=$D470,$A470&lt;&gt;""),"●","")</x:f>
      </x:c>
      <x:c r="BI470" s="165" t="str">
        <x:f>IF(AND(BI$5&gt;=$C470,BI$5&lt;=$D470,$A470&lt;&gt;""),"●","")</x:f>
      </x:c>
      <x:c r="BJ470" s="165" t="str">
        <x:f>IF(AND(BJ$5&gt;=$C470,BJ$5&lt;=$D470,$A470&lt;&gt;""),"●","")</x:f>
      </x:c>
      <x:c r="BK470" s="165" t="str">
        <x:f>IF(AND(BK$5&gt;=$C470,BK$5&lt;=$D470,$A470&lt;&gt;""),"●","")</x:f>
      </x:c>
      <x:c r="BL470" s="165" t="str">
        <x:f>IF(AND(BL$5&gt;=$C470,BL$5&lt;=$D470,$A470&lt;&gt;""),"●","")</x:f>
      </x:c>
      <x:c r="BM470" s="165" t="str">
        <x:f>IF(AND(BM$5&gt;=$C470,BM$5&lt;=$D470,$A470&lt;&gt;""),"●","")</x:f>
      </x:c>
      <x:c r="BN470" s="165" t="str">
        <x:f>IF(AND(BN$5&gt;=$C470,BN$5&lt;=$D470,$A470&lt;&gt;""),"●","")</x:f>
      </x:c>
      <x:c r="BO470" s="165" t="str">
        <x:f>IF(AND(BO$5&gt;=$C470,BO$5&lt;=$D470,$A470&lt;&gt;""),"●","")</x:f>
      </x:c>
      <x:c r="BP470" s="165" t="str">
        <x:f>IF(AND(BP$5&gt;=$C470,BP$5&lt;=$D470,$A470&lt;&gt;""),"●","")</x:f>
      </x:c>
      <x:c r="BQ470" s="165" t="str">
        <x:f>IF(AND(BQ$5&gt;=$C470,BQ$5&lt;=$D470,$A470&lt;&gt;""),"●","")</x:f>
      </x:c>
      <x:c r="BR470" s="165" t="str">
        <x:f>IF(AND(BR$5&gt;=$C470,BR$5&lt;=$D470,$A470&lt;&gt;""),"●","")</x:f>
      </x:c>
      <x:c r="BS470" s="165" t="str">
        <x:f>IF(AND(BS$5&gt;=$C470,BS$5&lt;=$D470,$A470&lt;&gt;""),"●","")</x:f>
      </x:c>
      <x:c r="BT470" s="165" t="str">
        <x:f>IF(AND(BT$5&gt;=$C470,BT$5&lt;=$D470,$A470&lt;&gt;""),"●","")</x:f>
      </x:c>
      <x:c r="BU470" s="165" t="str">
        <x:f>IF(AND(BU$5&gt;=$C470,BU$5&lt;=$D470,$A470&lt;&gt;""),"●","")</x:f>
      </x:c>
      <x:c r="BV470" s="165" t="str">
        <x:f>IF(AND(BV$5&gt;=$C470,BV$5&lt;=$D470,$A470&lt;&gt;""),"●","")</x:f>
      </x:c>
      <x:c r="BW470" s="165" t="str">
        <x:f>IF(AND(BW$5&gt;=$C470,BW$5&lt;=$D470,$A470&lt;&gt;""),"●","")</x:f>
      </x:c>
    </x:row>
    <x:row r="471">
      <x:c r="A471" s="159" t="str">
        <x:f>IF('รายการสัญญา'!A471="","",'รายการสัญญา'!A471)</x:f>
      </x:c>
      <x:c r="B471" s="159" t="str">
        <x:f>IF('รายการสัญญา'!A471="","",'รายการสัญญา'!C471)</x:f>
      </x:c>
      <x:c r="C471" s="162" t="str">
        <x:f>IF('รายการสัญญา'!A471="","",'รายการสัญญา'!E471)</x:f>
      </x:c>
      <x:c r="D471" s="162" t="str">
        <x:f>IF('รายการสัญญา'!A471="","",'รายการสัญญา'!G471)</x:f>
      </x:c>
      <x:c r="E471" s="159" t="str">
        <x:f>IF('รายการสัญญา'!A471="","",'รายการสัญญา'!K471)</x:f>
      </x:c>
      <x:c r="F471" s="165" t="str">
        <x:f>IF(AND(F$5&gt;=$C471,F$5&lt;=$D471,$A471&lt;&gt;""),"●","")</x:f>
      </x:c>
      <x:c r="G471" s="165" t="str">
        <x:f>IF(AND(G$5&gt;=$C471,G$5&lt;=$D471,$A471&lt;&gt;""),"●","")</x:f>
      </x:c>
      <x:c r="H471" s="165" t="str">
        <x:f>IF(AND(H$5&gt;=$C471,H$5&lt;=$D471,$A471&lt;&gt;""),"●","")</x:f>
      </x:c>
      <x:c r="I471" s="165" t="str">
        <x:f>IF(AND(I$5&gt;=$C471,I$5&lt;=$D471,$A471&lt;&gt;""),"●","")</x:f>
      </x:c>
      <x:c r="J471" s="165" t="str">
        <x:f>IF(AND(J$5&gt;=$C471,J$5&lt;=$D471,$A471&lt;&gt;""),"●","")</x:f>
      </x:c>
      <x:c r="K471" s="165" t="str">
        <x:f>IF(AND(K$5&gt;=$C471,K$5&lt;=$D471,$A471&lt;&gt;""),"●","")</x:f>
      </x:c>
      <x:c r="L471" s="165" t="str">
        <x:f>IF(AND(L$5&gt;=$C471,L$5&lt;=$D471,$A471&lt;&gt;""),"●","")</x:f>
      </x:c>
      <x:c r="M471" s="165" t="str">
        <x:f>IF(AND(M$5&gt;=$C471,M$5&lt;=$D471,$A471&lt;&gt;""),"●","")</x:f>
      </x:c>
      <x:c r="N471" s="165" t="str">
        <x:f>IF(AND(N$5&gt;=$C471,N$5&lt;=$D471,$A471&lt;&gt;""),"●","")</x:f>
      </x:c>
      <x:c r="O471" s="165" t="str">
        <x:f>IF(AND(O$5&gt;=$C471,O$5&lt;=$D471,$A471&lt;&gt;""),"●","")</x:f>
      </x:c>
      <x:c r="P471" s="165" t="str">
        <x:f>IF(AND(P$5&gt;=$C471,P$5&lt;=$D471,$A471&lt;&gt;""),"●","")</x:f>
      </x:c>
      <x:c r="Q471" s="165" t="str">
        <x:f>IF(AND(Q$5&gt;=$C471,Q$5&lt;=$D471,$A471&lt;&gt;""),"●","")</x:f>
      </x:c>
      <x:c r="R471" s="165" t="str">
        <x:f>IF(AND(R$5&gt;=$C471,R$5&lt;=$D471,$A471&lt;&gt;""),"●","")</x:f>
      </x:c>
      <x:c r="S471" s="165" t="str">
        <x:f>IF(AND(S$5&gt;=$C471,S$5&lt;=$D471,$A471&lt;&gt;""),"●","")</x:f>
      </x:c>
      <x:c r="T471" s="165" t="str">
        <x:f>IF(AND(T$5&gt;=$C471,T$5&lt;=$D471,$A471&lt;&gt;""),"●","")</x:f>
      </x:c>
      <x:c r="U471" s="165" t="str">
        <x:f>IF(AND(U$5&gt;=$C471,U$5&lt;=$D471,$A471&lt;&gt;""),"●","")</x:f>
      </x:c>
      <x:c r="V471" s="165" t="str">
        <x:f>IF(AND(V$5&gt;=$C471,V$5&lt;=$D471,$A471&lt;&gt;""),"●","")</x:f>
      </x:c>
      <x:c r="W471" s="165" t="str">
        <x:f>IF(AND(W$5&gt;=$C471,W$5&lt;=$D471,$A471&lt;&gt;""),"●","")</x:f>
      </x:c>
      <x:c r="X471" s="165" t="str">
        <x:f>IF(AND(X$5&gt;=$C471,X$5&lt;=$D471,$A471&lt;&gt;""),"●","")</x:f>
      </x:c>
      <x:c r="Y471" s="165" t="str">
        <x:f>IF(AND(Y$5&gt;=$C471,Y$5&lt;=$D471,$A471&lt;&gt;""),"●","")</x:f>
      </x:c>
      <x:c r="Z471" s="165" t="str">
        <x:f>IF(AND(Z$5&gt;=$C471,Z$5&lt;=$D471,$A471&lt;&gt;""),"●","")</x:f>
      </x:c>
      <x:c r="AA471" s="165" t="str">
        <x:f>IF(AND(AA$5&gt;=$C471,AA$5&lt;=$D471,$A471&lt;&gt;""),"●","")</x:f>
      </x:c>
      <x:c r="AB471" s="165" t="str">
        <x:f>IF(AND(AB$5&gt;=$C471,AB$5&lt;=$D471,$A471&lt;&gt;""),"●","")</x:f>
      </x:c>
      <x:c r="AC471" s="165" t="str">
        <x:f>IF(AND(AC$5&gt;=$C471,AC$5&lt;=$D471,$A471&lt;&gt;""),"●","")</x:f>
      </x:c>
      <x:c r="AD471" s="165" t="str">
        <x:f>IF(AND(AD$5&gt;=$C471,AD$5&lt;=$D471,$A471&lt;&gt;""),"●","")</x:f>
      </x:c>
      <x:c r="AE471" s="165" t="str">
        <x:f>IF(AND(AE$5&gt;=$C471,AE$5&lt;=$D471,$A471&lt;&gt;""),"●","")</x:f>
      </x:c>
      <x:c r="AF471" s="165" t="str">
        <x:f>IF(AND(AF$5&gt;=$C471,AF$5&lt;=$D471,$A471&lt;&gt;""),"●","")</x:f>
      </x:c>
      <x:c r="AG471" s="165" t="str">
        <x:f>IF(AND(AG$5&gt;=$C471,AG$5&lt;=$D471,$A471&lt;&gt;""),"●","")</x:f>
      </x:c>
      <x:c r="AH471" s="165" t="str">
        <x:f>IF(AND(AH$5&gt;=$C471,AH$5&lt;=$D471,$A471&lt;&gt;""),"●","")</x:f>
      </x:c>
      <x:c r="AI471" s="165" t="str">
        <x:f>IF(AND(AI$5&gt;=$C471,AI$5&lt;=$D471,$A471&lt;&gt;""),"●","")</x:f>
      </x:c>
      <x:c r="AJ471" s="165" t="str">
        <x:f>IF(AND(AJ$5&gt;=$C471,AJ$5&lt;=$D471,$A471&lt;&gt;""),"●","")</x:f>
      </x:c>
      <x:c r="AK471" s="165" t="str">
        <x:f>IF(AND(AK$5&gt;=$C471,AK$5&lt;=$D471,$A471&lt;&gt;""),"●","")</x:f>
      </x:c>
      <x:c r="AL471" s="165" t="str">
        <x:f>IF(AND(AL$5&gt;=$C471,AL$5&lt;=$D471,$A471&lt;&gt;""),"●","")</x:f>
      </x:c>
      <x:c r="AM471" s="165" t="str">
        <x:f>IF(AND(AM$5&gt;=$C471,AM$5&lt;=$D471,$A471&lt;&gt;""),"●","")</x:f>
      </x:c>
      <x:c r="AN471" s="165" t="str">
        <x:f>IF(AND(AN$5&gt;=$C471,AN$5&lt;=$D471,$A471&lt;&gt;""),"●","")</x:f>
      </x:c>
      <x:c r="AO471" s="165" t="str">
        <x:f>IF(AND(AO$5&gt;=$C471,AO$5&lt;=$D471,$A471&lt;&gt;""),"●","")</x:f>
      </x:c>
      <x:c r="AP471" s="165" t="str">
        <x:f>IF(AND(AP$5&gt;=$C471,AP$5&lt;=$D471,$A471&lt;&gt;""),"●","")</x:f>
      </x:c>
      <x:c r="AQ471" s="165" t="str">
        <x:f>IF(AND(AQ$5&gt;=$C471,AQ$5&lt;=$D471,$A471&lt;&gt;""),"●","")</x:f>
      </x:c>
      <x:c r="AR471" s="165" t="str">
        <x:f>IF(AND(AR$5&gt;=$C471,AR$5&lt;=$D471,$A471&lt;&gt;""),"●","")</x:f>
      </x:c>
      <x:c r="AS471" s="165" t="str">
        <x:f>IF(AND(AS$5&gt;=$C471,AS$5&lt;=$D471,$A471&lt;&gt;""),"●","")</x:f>
      </x:c>
      <x:c r="AT471" s="165" t="str">
        <x:f>IF(AND(AT$5&gt;=$C471,AT$5&lt;=$D471,$A471&lt;&gt;""),"●","")</x:f>
      </x:c>
      <x:c r="AU471" s="165" t="str">
        <x:f>IF(AND(AU$5&gt;=$C471,AU$5&lt;=$D471,$A471&lt;&gt;""),"●","")</x:f>
      </x:c>
      <x:c r="AV471" s="165" t="str">
        <x:f>IF(AND(AV$5&gt;=$C471,AV$5&lt;=$D471,$A471&lt;&gt;""),"●","")</x:f>
      </x:c>
      <x:c r="AW471" s="165" t="str">
        <x:f>IF(AND(AW$5&gt;=$C471,AW$5&lt;=$D471,$A471&lt;&gt;""),"●","")</x:f>
      </x:c>
      <x:c r="AX471" s="165" t="str">
        <x:f>IF(AND(AX$5&gt;=$C471,AX$5&lt;=$D471,$A471&lt;&gt;""),"●","")</x:f>
      </x:c>
      <x:c r="AY471" s="165" t="str">
        <x:f>IF(AND(AY$5&gt;=$C471,AY$5&lt;=$D471,$A471&lt;&gt;""),"●","")</x:f>
      </x:c>
      <x:c r="AZ471" s="165" t="str">
        <x:f>IF(AND(AZ$5&gt;=$C471,AZ$5&lt;=$D471,$A471&lt;&gt;""),"●","")</x:f>
      </x:c>
      <x:c r="BA471" s="165" t="str">
        <x:f>IF(AND(BA$5&gt;=$C471,BA$5&lt;=$D471,$A471&lt;&gt;""),"●","")</x:f>
      </x:c>
      <x:c r="BB471" s="165" t="str">
        <x:f>IF(AND(BB$5&gt;=$C471,BB$5&lt;=$D471,$A471&lt;&gt;""),"●","")</x:f>
      </x:c>
      <x:c r="BC471" s="165" t="str">
        <x:f>IF(AND(BC$5&gt;=$C471,BC$5&lt;=$D471,$A471&lt;&gt;""),"●","")</x:f>
      </x:c>
      <x:c r="BD471" s="165" t="str">
        <x:f>IF(AND(BD$5&gt;=$C471,BD$5&lt;=$D471,$A471&lt;&gt;""),"●","")</x:f>
      </x:c>
      <x:c r="BE471" s="165" t="str">
        <x:f>IF(AND(BE$5&gt;=$C471,BE$5&lt;=$D471,$A471&lt;&gt;""),"●","")</x:f>
      </x:c>
      <x:c r="BF471" s="165" t="str">
        <x:f>IF(AND(BF$5&gt;=$C471,BF$5&lt;=$D471,$A471&lt;&gt;""),"●","")</x:f>
      </x:c>
      <x:c r="BG471" s="165" t="str">
        <x:f>IF(AND(BG$5&gt;=$C471,BG$5&lt;=$D471,$A471&lt;&gt;""),"●","")</x:f>
      </x:c>
      <x:c r="BH471" s="165" t="str">
        <x:f>IF(AND(BH$5&gt;=$C471,BH$5&lt;=$D471,$A471&lt;&gt;""),"●","")</x:f>
      </x:c>
      <x:c r="BI471" s="165" t="str">
        <x:f>IF(AND(BI$5&gt;=$C471,BI$5&lt;=$D471,$A471&lt;&gt;""),"●","")</x:f>
      </x:c>
      <x:c r="BJ471" s="165" t="str">
        <x:f>IF(AND(BJ$5&gt;=$C471,BJ$5&lt;=$D471,$A471&lt;&gt;""),"●","")</x:f>
      </x:c>
      <x:c r="BK471" s="165" t="str">
        <x:f>IF(AND(BK$5&gt;=$C471,BK$5&lt;=$D471,$A471&lt;&gt;""),"●","")</x:f>
      </x:c>
      <x:c r="BL471" s="165" t="str">
        <x:f>IF(AND(BL$5&gt;=$C471,BL$5&lt;=$D471,$A471&lt;&gt;""),"●","")</x:f>
      </x:c>
      <x:c r="BM471" s="165" t="str">
        <x:f>IF(AND(BM$5&gt;=$C471,BM$5&lt;=$D471,$A471&lt;&gt;""),"●","")</x:f>
      </x:c>
      <x:c r="BN471" s="165" t="str">
        <x:f>IF(AND(BN$5&gt;=$C471,BN$5&lt;=$D471,$A471&lt;&gt;""),"●","")</x:f>
      </x:c>
      <x:c r="BO471" s="165" t="str">
        <x:f>IF(AND(BO$5&gt;=$C471,BO$5&lt;=$D471,$A471&lt;&gt;""),"●","")</x:f>
      </x:c>
      <x:c r="BP471" s="165" t="str">
        <x:f>IF(AND(BP$5&gt;=$C471,BP$5&lt;=$D471,$A471&lt;&gt;""),"●","")</x:f>
      </x:c>
      <x:c r="BQ471" s="165" t="str">
        <x:f>IF(AND(BQ$5&gt;=$C471,BQ$5&lt;=$D471,$A471&lt;&gt;""),"●","")</x:f>
      </x:c>
      <x:c r="BR471" s="165" t="str">
        <x:f>IF(AND(BR$5&gt;=$C471,BR$5&lt;=$D471,$A471&lt;&gt;""),"●","")</x:f>
      </x:c>
      <x:c r="BS471" s="165" t="str">
        <x:f>IF(AND(BS$5&gt;=$C471,BS$5&lt;=$D471,$A471&lt;&gt;""),"●","")</x:f>
      </x:c>
      <x:c r="BT471" s="165" t="str">
        <x:f>IF(AND(BT$5&gt;=$C471,BT$5&lt;=$D471,$A471&lt;&gt;""),"●","")</x:f>
      </x:c>
      <x:c r="BU471" s="165" t="str">
        <x:f>IF(AND(BU$5&gt;=$C471,BU$5&lt;=$D471,$A471&lt;&gt;""),"●","")</x:f>
      </x:c>
      <x:c r="BV471" s="165" t="str">
        <x:f>IF(AND(BV$5&gt;=$C471,BV$5&lt;=$D471,$A471&lt;&gt;""),"●","")</x:f>
      </x:c>
      <x:c r="BW471" s="165" t="str">
        <x:f>IF(AND(BW$5&gt;=$C471,BW$5&lt;=$D471,$A471&lt;&gt;""),"●","")</x:f>
      </x:c>
    </x:row>
    <x:row r="472">
      <x:c r="A472" s="159" t="str">
        <x:f>IF('รายการสัญญา'!A472="","",'รายการสัญญา'!A472)</x:f>
      </x:c>
      <x:c r="B472" s="159" t="str">
        <x:f>IF('รายการสัญญา'!A472="","",'รายการสัญญา'!C472)</x:f>
      </x:c>
      <x:c r="C472" s="162" t="str">
        <x:f>IF('รายการสัญญา'!A472="","",'รายการสัญญา'!E472)</x:f>
      </x:c>
      <x:c r="D472" s="162" t="str">
        <x:f>IF('รายการสัญญา'!A472="","",'รายการสัญญา'!G472)</x:f>
      </x:c>
      <x:c r="E472" s="159" t="str">
        <x:f>IF('รายการสัญญา'!A472="","",'รายการสัญญา'!K472)</x:f>
      </x:c>
      <x:c r="F472" s="165" t="str">
        <x:f>IF(AND(F$5&gt;=$C472,F$5&lt;=$D472,$A472&lt;&gt;""),"●","")</x:f>
      </x:c>
      <x:c r="G472" s="165" t="str">
        <x:f>IF(AND(G$5&gt;=$C472,G$5&lt;=$D472,$A472&lt;&gt;""),"●","")</x:f>
      </x:c>
      <x:c r="H472" s="165" t="str">
        <x:f>IF(AND(H$5&gt;=$C472,H$5&lt;=$D472,$A472&lt;&gt;""),"●","")</x:f>
      </x:c>
      <x:c r="I472" s="165" t="str">
        <x:f>IF(AND(I$5&gt;=$C472,I$5&lt;=$D472,$A472&lt;&gt;""),"●","")</x:f>
      </x:c>
      <x:c r="J472" s="165" t="str">
        <x:f>IF(AND(J$5&gt;=$C472,J$5&lt;=$D472,$A472&lt;&gt;""),"●","")</x:f>
      </x:c>
      <x:c r="K472" s="165" t="str">
        <x:f>IF(AND(K$5&gt;=$C472,K$5&lt;=$D472,$A472&lt;&gt;""),"●","")</x:f>
      </x:c>
      <x:c r="L472" s="165" t="str">
        <x:f>IF(AND(L$5&gt;=$C472,L$5&lt;=$D472,$A472&lt;&gt;""),"●","")</x:f>
      </x:c>
      <x:c r="M472" s="165" t="str">
        <x:f>IF(AND(M$5&gt;=$C472,M$5&lt;=$D472,$A472&lt;&gt;""),"●","")</x:f>
      </x:c>
      <x:c r="N472" s="165" t="str">
        <x:f>IF(AND(N$5&gt;=$C472,N$5&lt;=$D472,$A472&lt;&gt;""),"●","")</x:f>
      </x:c>
      <x:c r="O472" s="165" t="str">
        <x:f>IF(AND(O$5&gt;=$C472,O$5&lt;=$D472,$A472&lt;&gt;""),"●","")</x:f>
      </x:c>
      <x:c r="P472" s="165" t="str">
        <x:f>IF(AND(P$5&gt;=$C472,P$5&lt;=$D472,$A472&lt;&gt;""),"●","")</x:f>
      </x:c>
      <x:c r="Q472" s="165" t="str">
        <x:f>IF(AND(Q$5&gt;=$C472,Q$5&lt;=$D472,$A472&lt;&gt;""),"●","")</x:f>
      </x:c>
      <x:c r="R472" s="165" t="str">
        <x:f>IF(AND(R$5&gt;=$C472,R$5&lt;=$D472,$A472&lt;&gt;""),"●","")</x:f>
      </x:c>
      <x:c r="S472" s="165" t="str">
        <x:f>IF(AND(S$5&gt;=$C472,S$5&lt;=$D472,$A472&lt;&gt;""),"●","")</x:f>
      </x:c>
      <x:c r="T472" s="165" t="str">
        <x:f>IF(AND(T$5&gt;=$C472,T$5&lt;=$D472,$A472&lt;&gt;""),"●","")</x:f>
      </x:c>
      <x:c r="U472" s="165" t="str">
        <x:f>IF(AND(U$5&gt;=$C472,U$5&lt;=$D472,$A472&lt;&gt;""),"●","")</x:f>
      </x:c>
      <x:c r="V472" s="165" t="str">
        <x:f>IF(AND(V$5&gt;=$C472,V$5&lt;=$D472,$A472&lt;&gt;""),"●","")</x:f>
      </x:c>
      <x:c r="W472" s="165" t="str">
        <x:f>IF(AND(W$5&gt;=$C472,W$5&lt;=$D472,$A472&lt;&gt;""),"●","")</x:f>
      </x:c>
      <x:c r="X472" s="165" t="str">
        <x:f>IF(AND(X$5&gt;=$C472,X$5&lt;=$D472,$A472&lt;&gt;""),"●","")</x:f>
      </x:c>
      <x:c r="Y472" s="165" t="str">
        <x:f>IF(AND(Y$5&gt;=$C472,Y$5&lt;=$D472,$A472&lt;&gt;""),"●","")</x:f>
      </x:c>
      <x:c r="Z472" s="165" t="str">
        <x:f>IF(AND(Z$5&gt;=$C472,Z$5&lt;=$D472,$A472&lt;&gt;""),"●","")</x:f>
      </x:c>
      <x:c r="AA472" s="165" t="str">
        <x:f>IF(AND(AA$5&gt;=$C472,AA$5&lt;=$D472,$A472&lt;&gt;""),"●","")</x:f>
      </x:c>
      <x:c r="AB472" s="165" t="str">
        <x:f>IF(AND(AB$5&gt;=$C472,AB$5&lt;=$D472,$A472&lt;&gt;""),"●","")</x:f>
      </x:c>
      <x:c r="AC472" s="165" t="str">
        <x:f>IF(AND(AC$5&gt;=$C472,AC$5&lt;=$D472,$A472&lt;&gt;""),"●","")</x:f>
      </x:c>
      <x:c r="AD472" s="165" t="str">
        <x:f>IF(AND(AD$5&gt;=$C472,AD$5&lt;=$D472,$A472&lt;&gt;""),"●","")</x:f>
      </x:c>
      <x:c r="AE472" s="165" t="str">
        <x:f>IF(AND(AE$5&gt;=$C472,AE$5&lt;=$D472,$A472&lt;&gt;""),"●","")</x:f>
      </x:c>
      <x:c r="AF472" s="165" t="str">
        <x:f>IF(AND(AF$5&gt;=$C472,AF$5&lt;=$D472,$A472&lt;&gt;""),"●","")</x:f>
      </x:c>
      <x:c r="AG472" s="165" t="str">
        <x:f>IF(AND(AG$5&gt;=$C472,AG$5&lt;=$D472,$A472&lt;&gt;""),"●","")</x:f>
      </x:c>
      <x:c r="AH472" s="165" t="str">
        <x:f>IF(AND(AH$5&gt;=$C472,AH$5&lt;=$D472,$A472&lt;&gt;""),"●","")</x:f>
      </x:c>
      <x:c r="AI472" s="165" t="str">
        <x:f>IF(AND(AI$5&gt;=$C472,AI$5&lt;=$D472,$A472&lt;&gt;""),"●","")</x:f>
      </x:c>
      <x:c r="AJ472" s="165" t="str">
        <x:f>IF(AND(AJ$5&gt;=$C472,AJ$5&lt;=$D472,$A472&lt;&gt;""),"●","")</x:f>
      </x:c>
      <x:c r="AK472" s="165" t="str">
        <x:f>IF(AND(AK$5&gt;=$C472,AK$5&lt;=$D472,$A472&lt;&gt;""),"●","")</x:f>
      </x:c>
      <x:c r="AL472" s="165" t="str">
        <x:f>IF(AND(AL$5&gt;=$C472,AL$5&lt;=$D472,$A472&lt;&gt;""),"●","")</x:f>
      </x:c>
      <x:c r="AM472" s="165" t="str">
        <x:f>IF(AND(AM$5&gt;=$C472,AM$5&lt;=$D472,$A472&lt;&gt;""),"●","")</x:f>
      </x:c>
      <x:c r="AN472" s="165" t="str">
        <x:f>IF(AND(AN$5&gt;=$C472,AN$5&lt;=$D472,$A472&lt;&gt;""),"●","")</x:f>
      </x:c>
      <x:c r="AO472" s="165" t="str">
        <x:f>IF(AND(AO$5&gt;=$C472,AO$5&lt;=$D472,$A472&lt;&gt;""),"●","")</x:f>
      </x:c>
      <x:c r="AP472" s="165" t="str">
        <x:f>IF(AND(AP$5&gt;=$C472,AP$5&lt;=$D472,$A472&lt;&gt;""),"●","")</x:f>
      </x:c>
      <x:c r="AQ472" s="165" t="str">
        <x:f>IF(AND(AQ$5&gt;=$C472,AQ$5&lt;=$D472,$A472&lt;&gt;""),"●","")</x:f>
      </x:c>
      <x:c r="AR472" s="165" t="str">
        <x:f>IF(AND(AR$5&gt;=$C472,AR$5&lt;=$D472,$A472&lt;&gt;""),"●","")</x:f>
      </x:c>
      <x:c r="AS472" s="165" t="str">
        <x:f>IF(AND(AS$5&gt;=$C472,AS$5&lt;=$D472,$A472&lt;&gt;""),"●","")</x:f>
      </x:c>
      <x:c r="AT472" s="165" t="str">
        <x:f>IF(AND(AT$5&gt;=$C472,AT$5&lt;=$D472,$A472&lt;&gt;""),"●","")</x:f>
      </x:c>
      <x:c r="AU472" s="165" t="str">
        <x:f>IF(AND(AU$5&gt;=$C472,AU$5&lt;=$D472,$A472&lt;&gt;""),"●","")</x:f>
      </x:c>
      <x:c r="AV472" s="165" t="str">
        <x:f>IF(AND(AV$5&gt;=$C472,AV$5&lt;=$D472,$A472&lt;&gt;""),"●","")</x:f>
      </x:c>
      <x:c r="AW472" s="165" t="str">
        <x:f>IF(AND(AW$5&gt;=$C472,AW$5&lt;=$D472,$A472&lt;&gt;""),"●","")</x:f>
      </x:c>
      <x:c r="AX472" s="165" t="str">
        <x:f>IF(AND(AX$5&gt;=$C472,AX$5&lt;=$D472,$A472&lt;&gt;""),"●","")</x:f>
      </x:c>
      <x:c r="AY472" s="165" t="str">
        <x:f>IF(AND(AY$5&gt;=$C472,AY$5&lt;=$D472,$A472&lt;&gt;""),"●","")</x:f>
      </x:c>
      <x:c r="AZ472" s="165" t="str">
        <x:f>IF(AND(AZ$5&gt;=$C472,AZ$5&lt;=$D472,$A472&lt;&gt;""),"●","")</x:f>
      </x:c>
      <x:c r="BA472" s="165" t="str">
        <x:f>IF(AND(BA$5&gt;=$C472,BA$5&lt;=$D472,$A472&lt;&gt;""),"●","")</x:f>
      </x:c>
      <x:c r="BB472" s="165" t="str">
        <x:f>IF(AND(BB$5&gt;=$C472,BB$5&lt;=$D472,$A472&lt;&gt;""),"●","")</x:f>
      </x:c>
      <x:c r="BC472" s="165" t="str">
        <x:f>IF(AND(BC$5&gt;=$C472,BC$5&lt;=$D472,$A472&lt;&gt;""),"●","")</x:f>
      </x:c>
      <x:c r="BD472" s="165" t="str">
        <x:f>IF(AND(BD$5&gt;=$C472,BD$5&lt;=$D472,$A472&lt;&gt;""),"●","")</x:f>
      </x:c>
      <x:c r="BE472" s="165" t="str">
        <x:f>IF(AND(BE$5&gt;=$C472,BE$5&lt;=$D472,$A472&lt;&gt;""),"●","")</x:f>
      </x:c>
      <x:c r="BF472" s="165" t="str">
        <x:f>IF(AND(BF$5&gt;=$C472,BF$5&lt;=$D472,$A472&lt;&gt;""),"●","")</x:f>
      </x:c>
      <x:c r="BG472" s="165" t="str">
        <x:f>IF(AND(BG$5&gt;=$C472,BG$5&lt;=$D472,$A472&lt;&gt;""),"●","")</x:f>
      </x:c>
      <x:c r="BH472" s="165" t="str">
        <x:f>IF(AND(BH$5&gt;=$C472,BH$5&lt;=$D472,$A472&lt;&gt;""),"●","")</x:f>
      </x:c>
      <x:c r="BI472" s="165" t="str">
        <x:f>IF(AND(BI$5&gt;=$C472,BI$5&lt;=$D472,$A472&lt;&gt;""),"●","")</x:f>
      </x:c>
      <x:c r="BJ472" s="165" t="str">
        <x:f>IF(AND(BJ$5&gt;=$C472,BJ$5&lt;=$D472,$A472&lt;&gt;""),"●","")</x:f>
      </x:c>
      <x:c r="BK472" s="165" t="str">
        <x:f>IF(AND(BK$5&gt;=$C472,BK$5&lt;=$D472,$A472&lt;&gt;""),"●","")</x:f>
      </x:c>
      <x:c r="BL472" s="165" t="str">
        <x:f>IF(AND(BL$5&gt;=$C472,BL$5&lt;=$D472,$A472&lt;&gt;""),"●","")</x:f>
      </x:c>
      <x:c r="BM472" s="165" t="str">
        <x:f>IF(AND(BM$5&gt;=$C472,BM$5&lt;=$D472,$A472&lt;&gt;""),"●","")</x:f>
      </x:c>
      <x:c r="BN472" s="165" t="str">
        <x:f>IF(AND(BN$5&gt;=$C472,BN$5&lt;=$D472,$A472&lt;&gt;""),"●","")</x:f>
      </x:c>
      <x:c r="BO472" s="165" t="str">
        <x:f>IF(AND(BO$5&gt;=$C472,BO$5&lt;=$D472,$A472&lt;&gt;""),"●","")</x:f>
      </x:c>
      <x:c r="BP472" s="165" t="str">
        <x:f>IF(AND(BP$5&gt;=$C472,BP$5&lt;=$D472,$A472&lt;&gt;""),"●","")</x:f>
      </x:c>
      <x:c r="BQ472" s="165" t="str">
        <x:f>IF(AND(BQ$5&gt;=$C472,BQ$5&lt;=$D472,$A472&lt;&gt;""),"●","")</x:f>
      </x:c>
      <x:c r="BR472" s="165" t="str">
        <x:f>IF(AND(BR$5&gt;=$C472,BR$5&lt;=$D472,$A472&lt;&gt;""),"●","")</x:f>
      </x:c>
      <x:c r="BS472" s="165" t="str">
        <x:f>IF(AND(BS$5&gt;=$C472,BS$5&lt;=$D472,$A472&lt;&gt;""),"●","")</x:f>
      </x:c>
      <x:c r="BT472" s="165" t="str">
        <x:f>IF(AND(BT$5&gt;=$C472,BT$5&lt;=$D472,$A472&lt;&gt;""),"●","")</x:f>
      </x:c>
      <x:c r="BU472" s="165" t="str">
        <x:f>IF(AND(BU$5&gt;=$C472,BU$5&lt;=$D472,$A472&lt;&gt;""),"●","")</x:f>
      </x:c>
      <x:c r="BV472" s="165" t="str">
        <x:f>IF(AND(BV$5&gt;=$C472,BV$5&lt;=$D472,$A472&lt;&gt;""),"●","")</x:f>
      </x:c>
      <x:c r="BW472" s="165" t="str">
        <x:f>IF(AND(BW$5&gt;=$C472,BW$5&lt;=$D472,$A472&lt;&gt;""),"●","")</x:f>
      </x:c>
    </x:row>
    <x:row r="473">
      <x:c r="A473" s="159" t="str">
        <x:f>IF('รายการสัญญา'!A473="","",'รายการสัญญา'!A473)</x:f>
      </x:c>
      <x:c r="B473" s="159" t="str">
        <x:f>IF('รายการสัญญา'!A473="","",'รายการสัญญา'!C473)</x:f>
      </x:c>
      <x:c r="C473" s="162" t="str">
        <x:f>IF('รายการสัญญา'!A473="","",'รายการสัญญา'!E473)</x:f>
      </x:c>
      <x:c r="D473" s="162" t="str">
        <x:f>IF('รายการสัญญา'!A473="","",'รายการสัญญา'!G473)</x:f>
      </x:c>
      <x:c r="E473" s="159" t="str">
        <x:f>IF('รายการสัญญา'!A473="","",'รายการสัญญา'!K473)</x:f>
      </x:c>
      <x:c r="F473" s="165" t="str">
        <x:f>IF(AND(F$5&gt;=$C473,F$5&lt;=$D473,$A473&lt;&gt;""),"●","")</x:f>
      </x:c>
      <x:c r="G473" s="165" t="str">
        <x:f>IF(AND(G$5&gt;=$C473,G$5&lt;=$D473,$A473&lt;&gt;""),"●","")</x:f>
      </x:c>
      <x:c r="H473" s="165" t="str">
        <x:f>IF(AND(H$5&gt;=$C473,H$5&lt;=$D473,$A473&lt;&gt;""),"●","")</x:f>
      </x:c>
      <x:c r="I473" s="165" t="str">
        <x:f>IF(AND(I$5&gt;=$C473,I$5&lt;=$D473,$A473&lt;&gt;""),"●","")</x:f>
      </x:c>
      <x:c r="J473" s="165" t="str">
        <x:f>IF(AND(J$5&gt;=$C473,J$5&lt;=$D473,$A473&lt;&gt;""),"●","")</x:f>
      </x:c>
      <x:c r="K473" s="165" t="str">
        <x:f>IF(AND(K$5&gt;=$C473,K$5&lt;=$D473,$A473&lt;&gt;""),"●","")</x:f>
      </x:c>
      <x:c r="L473" s="165" t="str">
        <x:f>IF(AND(L$5&gt;=$C473,L$5&lt;=$D473,$A473&lt;&gt;""),"●","")</x:f>
      </x:c>
      <x:c r="M473" s="165" t="str">
        <x:f>IF(AND(M$5&gt;=$C473,M$5&lt;=$D473,$A473&lt;&gt;""),"●","")</x:f>
      </x:c>
      <x:c r="N473" s="165" t="str">
        <x:f>IF(AND(N$5&gt;=$C473,N$5&lt;=$D473,$A473&lt;&gt;""),"●","")</x:f>
      </x:c>
      <x:c r="O473" s="165" t="str">
        <x:f>IF(AND(O$5&gt;=$C473,O$5&lt;=$D473,$A473&lt;&gt;""),"●","")</x:f>
      </x:c>
      <x:c r="P473" s="165" t="str">
        <x:f>IF(AND(P$5&gt;=$C473,P$5&lt;=$D473,$A473&lt;&gt;""),"●","")</x:f>
      </x:c>
      <x:c r="Q473" s="165" t="str">
        <x:f>IF(AND(Q$5&gt;=$C473,Q$5&lt;=$D473,$A473&lt;&gt;""),"●","")</x:f>
      </x:c>
      <x:c r="R473" s="165" t="str">
        <x:f>IF(AND(R$5&gt;=$C473,R$5&lt;=$D473,$A473&lt;&gt;""),"●","")</x:f>
      </x:c>
      <x:c r="S473" s="165" t="str">
        <x:f>IF(AND(S$5&gt;=$C473,S$5&lt;=$D473,$A473&lt;&gt;""),"●","")</x:f>
      </x:c>
      <x:c r="T473" s="165" t="str">
        <x:f>IF(AND(T$5&gt;=$C473,T$5&lt;=$D473,$A473&lt;&gt;""),"●","")</x:f>
      </x:c>
      <x:c r="U473" s="165" t="str">
        <x:f>IF(AND(U$5&gt;=$C473,U$5&lt;=$D473,$A473&lt;&gt;""),"●","")</x:f>
      </x:c>
      <x:c r="V473" s="165" t="str">
        <x:f>IF(AND(V$5&gt;=$C473,V$5&lt;=$D473,$A473&lt;&gt;""),"●","")</x:f>
      </x:c>
      <x:c r="W473" s="165" t="str">
        <x:f>IF(AND(W$5&gt;=$C473,W$5&lt;=$D473,$A473&lt;&gt;""),"●","")</x:f>
      </x:c>
      <x:c r="X473" s="165" t="str">
        <x:f>IF(AND(X$5&gt;=$C473,X$5&lt;=$D473,$A473&lt;&gt;""),"●","")</x:f>
      </x:c>
      <x:c r="Y473" s="165" t="str">
        <x:f>IF(AND(Y$5&gt;=$C473,Y$5&lt;=$D473,$A473&lt;&gt;""),"●","")</x:f>
      </x:c>
      <x:c r="Z473" s="165" t="str">
        <x:f>IF(AND(Z$5&gt;=$C473,Z$5&lt;=$D473,$A473&lt;&gt;""),"●","")</x:f>
      </x:c>
      <x:c r="AA473" s="165" t="str">
        <x:f>IF(AND(AA$5&gt;=$C473,AA$5&lt;=$D473,$A473&lt;&gt;""),"●","")</x:f>
      </x:c>
      <x:c r="AB473" s="165" t="str">
        <x:f>IF(AND(AB$5&gt;=$C473,AB$5&lt;=$D473,$A473&lt;&gt;""),"●","")</x:f>
      </x:c>
      <x:c r="AC473" s="165" t="str">
        <x:f>IF(AND(AC$5&gt;=$C473,AC$5&lt;=$D473,$A473&lt;&gt;""),"●","")</x:f>
      </x:c>
      <x:c r="AD473" s="165" t="str">
        <x:f>IF(AND(AD$5&gt;=$C473,AD$5&lt;=$D473,$A473&lt;&gt;""),"●","")</x:f>
      </x:c>
      <x:c r="AE473" s="165" t="str">
        <x:f>IF(AND(AE$5&gt;=$C473,AE$5&lt;=$D473,$A473&lt;&gt;""),"●","")</x:f>
      </x:c>
      <x:c r="AF473" s="165" t="str">
        <x:f>IF(AND(AF$5&gt;=$C473,AF$5&lt;=$D473,$A473&lt;&gt;""),"●","")</x:f>
      </x:c>
      <x:c r="AG473" s="165" t="str">
        <x:f>IF(AND(AG$5&gt;=$C473,AG$5&lt;=$D473,$A473&lt;&gt;""),"●","")</x:f>
      </x:c>
      <x:c r="AH473" s="165" t="str">
        <x:f>IF(AND(AH$5&gt;=$C473,AH$5&lt;=$D473,$A473&lt;&gt;""),"●","")</x:f>
      </x:c>
      <x:c r="AI473" s="165" t="str">
        <x:f>IF(AND(AI$5&gt;=$C473,AI$5&lt;=$D473,$A473&lt;&gt;""),"●","")</x:f>
      </x:c>
      <x:c r="AJ473" s="165" t="str">
        <x:f>IF(AND(AJ$5&gt;=$C473,AJ$5&lt;=$D473,$A473&lt;&gt;""),"●","")</x:f>
      </x:c>
      <x:c r="AK473" s="165" t="str">
        <x:f>IF(AND(AK$5&gt;=$C473,AK$5&lt;=$D473,$A473&lt;&gt;""),"●","")</x:f>
      </x:c>
      <x:c r="AL473" s="165" t="str">
        <x:f>IF(AND(AL$5&gt;=$C473,AL$5&lt;=$D473,$A473&lt;&gt;""),"●","")</x:f>
      </x:c>
      <x:c r="AM473" s="165" t="str">
        <x:f>IF(AND(AM$5&gt;=$C473,AM$5&lt;=$D473,$A473&lt;&gt;""),"●","")</x:f>
      </x:c>
      <x:c r="AN473" s="165" t="str">
        <x:f>IF(AND(AN$5&gt;=$C473,AN$5&lt;=$D473,$A473&lt;&gt;""),"●","")</x:f>
      </x:c>
      <x:c r="AO473" s="165" t="str">
        <x:f>IF(AND(AO$5&gt;=$C473,AO$5&lt;=$D473,$A473&lt;&gt;""),"●","")</x:f>
      </x:c>
      <x:c r="AP473" s="165" t="str">
        <x:f>IF(AND(AP$5&gt;=$C473,AP$5&lt;=$D473,$A473&lt;&gt;""),"●","")</x:f>
      </x:c>
      <x:c r="AQ473" s="165" t="str">
        <x:f>IF(AND(AQ$5&gt;=$C473,AQ$5&lt;=$D473,$A473&lt;&gt;""),"●","")</x:f>
      </x:c>
      <x:c r="AR473" s="165" t="str">
        <x:f>IF(AND(AR$5&gt;=$C473,AR$5&lt;=$D473,$A473&lt;&gt;""),"●","")</x:f>
      </x:c>
      <x:c r="AS473" s="165" t="str">
        <x:f>IF(AND(AS$5&gt;=$C473,AS$5&lt;=$D473,$A473&lt;&gt;""),"●","")</x:f>
      </x:c>
      <x:c r="AT473" s="165" t="str">
        <x:f>IF(AND(AT$5&gt;=$C473,AT$5&lt;=$D473,$A473&lt;&gt;""),"●","")</x:f>
      </x:c>
      <x:c r="AU473" s="165" t="str">
        <x:f>IF(AND(AU$5&gt;=$C473,AU$5&lt;=$D473,$A473&lt;&gt;""),"●","")</x:f>
      </x:c>
      <x:c r="AV473" s="165" t="str">
        <x:f>IF(AND(AV$5&gt;=$C473,AV$5&lt;=$D473,$A473&lt;&gt;""),"●","")</x:f>
      </x:c>
      <x:c r="AW473" s="165" t="str">
        <x:f>IF(AND(AW$5&gt;=$C473,AW$5&lt;=$D473,$A473&lt;&gt;""),"●","")</x:f>
      </x:c>
      <x:c r="AX473" s="165" t="str">
        <x:f>IF(AND(AX$5&gt;=$C473,AX$5&lt;=$D473,$A473&lt;&gt;""),"●","")</x:f>
      </x:c>
      <x:c r="AY473" s="165" t="str">
        <x:f>IF(AND(AY$5&gt;=$C473,AY$5&lt;=$D473,$A473&lt;&gt;""),"●","")</x:f>
      </x:c>
      <x:c r="AZ473" s="165" t="str">
        <x:f>IF(AND(AZ$5&gt;=$C473,AZ$5&lt;=$D473,$A473&lt;&gt;""),"●","")</x:f>
      </x:c>
      <x:c r="BA473" s="165" t="str">
        <x:f>IF(AND(BA$5&gt;=$C473,BA$5&lt;=$D473,$A473&lt;&gt;""),"●","")</x:f>
      </x:c>
      <x:c r="BB473" s="165" t="str">
        <x:f>IF(AND(BB$5&gt;=$C473,BB$5&lt;=$D473,$A473&lt;&gt;""),"●","")</x:f>
      </x:c>
      <x:c r="BC473" s="165" t="str">
        <x:f>IF(AND(BC$5&gt;=$C473,BC$5&lt;=$D473,$A473&lt;&gt;""),"●","")</x:f>
      </x:c>
      <x:c r="BD473" s="165" t="str">
        <x:f>IF(AND(BD$5&gt;=$C473,BD$5&lt;=$D473,$A473&lt;&gt;""),"●","")</x:f>
      </x:c>
      <x:c r="BE473" s="165" t="str">
        <x:f>IF(AND(BE$5&gt;=$C473,BE$5&lt;=$D473,$A473&lt;&gt;""),"●","")</x:f>
      </x:c>
      <x:c r="BF473" s="165" t="str">
        <x:f>IF(AND(BF$5&gt;=$C473,BF$5&lt;=$D473,$A473&lt;&gt;""),"●","")</x:f>
      </x:c>
      <x:c r="BG473" s="165" t="str">
        <x:f>IF(AND(BG$5&gt;=$C473,BG$5&lt;=$D473,$A473&lt;&gt;""),"●","")</x:f>
      </x:c>
      <x:c r="BH473" s="165" t="str">
        <x:f>IF(AND(BH$5&gt;=$C473,BH$5&lt;=$D473,$A473&lt;&gt;""),"●","")</x:f>
      </x:c>
      <x:c r="BI473" s="165" t="str">
        <x:f>IF(AND(BI$5&gt;=$C473,BI$5&lt;=$D473,$A473&lt;&gt;""),"●","")</x:f>
      </x:c>
      <x:c r="BJ473" s="165" t="str">
        <x:f>IF(AND(BJ$5&gt;=$C473,BJ$5&lt;=$D473,$A473&lt;&gt;""),"●","")</x:f>
      </x:c>
      <x:c r="BK473" s="165" t="str">
        <x:f>IF(AND(BK$5&gt;=$C473,BK$5&lt;=$D473,$A473&lt;&gt;""),"●","")</x:f>
      </x:c>
      <x:c r="BL473" s="165" t="str">
        <x:f>IF(AND(BL$5&gt;=$C473,BL$5&lt;=$D473,$A473&lt;&gt;""),"●","")</x:f>
      </x:c>
      <x:c r="BM473" s="165" t="str">
        <x:f>IF(AND(BM$5&gt;=$C473,BM$5&lt;=$D473,$A473&lt;&gt;""),"●","")</x:f>
      </x:c>
      <x:c r="BN473" s="165" t="str">
        <x:f>IF(AND(BN$5&gt;=$C473,BN$5&lt;=$D473,$A473&lt;&gt;""),"●","")</x:f>
      </x:c>
      <x:c r="BO473" s="165" t="str">
        <x:f>IF(AND(BO$5&gt;=$C473,BO$5&lt;=$D473,$A473&lt;&gt;""),"●","")</x:f>
      </x:c>
      <x:c r="BP473" s="165" t="str">
        <x:f>IF(AND(BP$5&gt;=$C473,BP$5&lt;=$D473,$A473&lt;&gt;""),"●","")</x:f>
      </x:c>
      <x:c r="BQ473" s="165" t="str">
        <x:f>IF(AND(BQ$5&gt;=$C473,BQ$5&lt;=$D473,$A473&lt;&gt;""),"●","")</x:f>
      </x:c>
      <x:c r="BR473" s="165" t="str">
        <x:f>IF(AND(BR$5&gt;=$C473,BR$5&lt;=$D473,$A473&lt;&gt;""),"●","")</x:f>
      </x:c>
      <x:c r="BS473" s="165" t="str">
        <x:f>IF(AND(BS$5&gt;=$C473,BS$5&lt;=$D473,$A473&lt;&gt;""),"●","")</x:f>
      </x:c>
      <x:c r="BT473" s="165" t="str">
        <x:f>IF(AND(BT$5&gt;=$C473,BT$5&lt;=$D473,$A473&lt;&gt;""),"●","")</x:f>
      </x:c>
      <x:c r="BU473" s="165" t="str">
        <x:f>IF(AND(BU$5&gt;=$C473,BU$5&lt;=$D473,$A473&lt;&gt;""),"●","")</x:f>
      </x:c>
      <x:c r="BV473" s="165" t="str">
        <x:f>IF(AND(BV$5&gt;=$C473,BV$5&lt;=$D473,$A473&lt;&gt;""),"●","")</x:f>
      </x:c>
      <x:c r="BW473" s="165" t="str">
        <x:f>IF(AND(BW$5&gt;=$C473,BW$5&lt;=$D473,$A473&lt;&gt;""),"●","")</x:f>
      </x:c>
    </x:row>
    <x:row r="474">
      <x:c r="A474" s="159" t="str">
        <x:f>IF('รายการสัญญา'!A474="","",'รายการสัญญา'!A474)</x:f>
      </x:c>
      <x:c r="B474" s="159" t="str">
        <x:f>IF('รายการสัญญา'!A474="","",'รายการสัญญา'!C474)</x:f>
      </x:c>
      <x:c r="C474" s="162" t="str">
        <x:f>IF('รายการสัญญา'!A474="","",'รายการสัญญา'!E474)</x:f>
      </x:c>
      <x:c r="D474" s="162" t="str">
        <x:f>IF('รายการสัญญา'!A474="","",'รายการสัญญา'!G474)</x:f>
      </x:c>
      <x:c r="E474" s="159" t="str">
        <x:f>IF('รายการสัญญา'!A474="","",'รายการสัญญา'!K474)</x:f>
      </x:c>
      <x:c r="F474" s="165" t="str">
        <x:f>IF(AND(F$5&gt;=$C474,F$5&lt;=$D474,$A474&lt;&gt;""),"●","")</x:f>
      </x:c>
      <x:c r="G474" s="165" t="str">
        <x:f>IF(AND(G$5&gt;=$C474,G$5&lt;=$D474,$A474&lt;&gt;""),"●","")</x:f>
      </x:c>
      <x:c r="H474" s="165" t="str">
        <x:f>IF(AND(H$5&gt;=$C474,H$5&lt;=$D474,$A474&lt;&gt;""),"●","")</x:f>
      </x:c>
      <x:c r="I474" s="165" t="str">
        <x:f>IF(AND(I$5&gt;=$C474,I$5&lt;=$D474,$A474&lt;&gt;""),"●","")</x:f>
      </x:c>
      <x:c r="J474" s="165" t="str">
        <x:f>IF(AND(J$5&gt;=$C474,J$5&lt;=$D474,$A474&lt;&gt;""),"●","")</x:f>
      </x:c>
      <x:c r="K474" s="165" t="str">
        <x:f>IF(AND(K$5&gt;=$C474,K$5&lt;=$D474,$A474&lt;&gt;""),"●","")</x:f>
      </x:c>
      <x:c r="L474" s="165" t="str">
        <x:f>IF(AND(L$5&gt;=$C474,L$5&lt;=$D474,$A474&lt;&gt;""),"●","")</x:f>
      </x:c>
      <x:c r="M474" s="165" t="str">
        <x:f>IF(AND(M$5&gt;=$C474,M$5&lt;=$D474,$A474&lt;&gt;""),"●","")</x:f>
      </x:c>
      <x:c r="N474" s="165" t="str">
        <x:f>IF(AND(N$5&gt;=$C474,N$5&lt;=$D474,$A474&lt;&gt;""),"●","")</x:f>
      </x:c>
      <x:c r="O474" s="165" t="str">
        <x:f>IF(AND(O$5&gt;=$C474,O$5&lt;=$D474,$A474&lt;&gt;""),"●","")</x:f>
      </x:c>
      <x:c r="P474" s="165" t="str">
        <x:f>IF(AND(P$5&gt;=$C474,P$5&lt;=$D474,$A474&lt;&gt;""),"●","")</x:f>
      </x:c>
      <x:c r="Q474" s="165" t="str">
        <x:f>IF(AND(Q$5&gt;=$C474,Q$5&lt;=$D474,$A474&lt;&gt;""),"●","")</x:f>
      </x:c>
      <x:c r="R474" s="165" t="str">
        <x:f>IF(AND(R$5&gt;=$C474,R$5&lt;=$D474,$A474&lt;&gt;""),"●","")</x:f>
      </x:c>
      <x:c r="S474" s="165" t="str">
        <x:f>IF(AND(S$5&gt;=$C474,S$5&lt;=$D474,$A474&lt;&gt;""),"●","")</x:f>
      </x:c>
      <x:c r="T474" s="165" t="str">
        <x:f>IF(AND(T$5&gt;=$C474,T$5&lt;=$D474,$A474&lt;&gt;""),"●","")</x:f>
      </x:c>
      <x:c r="U474" s="165" t="str">
        <x:f>IF(AND(U$5&gt;=$C474,U$5&lt;=$D474,$A474&lt;&gt;""),"●","")</x:f>
      </x:c>
      <x:c r="V474" s="165" t="str">
        <x:f>IF(AND(V$5&gt;=$C474,V$5&lt;=$D474,$A474&lt;&gt;""),"●","")</x:f>
      </x:c>
      <x:c r="W474" s="165" t="str">
        <x:f>IF(AND(W$5&gt;=$C474,W$5&lt;=$D474,$A474&lt;&gt;""),"●","")</x:f>
      </x:c>
      <x:c r="X474" s="165" t="str">
        <x:f>IF(AND(X$5&gt;=$C474,X$5&lt;=$D474,$A474&lt;&gt;""),"●","")</x:f>
      </x:c>
      <x:c r="Y474" s="165" t="str">
        <x:f>IF(AND(Y$5&gt;=$C474,Y$5&lt;=$D474,$A474&lt;&gt;""),"●","")</x:f>
      </x:c>
      <x:c r="Z474" s="165" t="str">
        <x:f>IF(AND(Z$5&gt;=$C474,Z$5&lt;=$D474,$A474&lt;&gt;""),"●","")</x:f>
      </x:c>
      <x:c r="AA474" s="165" t="str">
        <x:f>IF(AND(AA$5&gt;=$C474,AA$5&lt;=$D474,$A474&lt;&gt;""),"●","")</x:f>
      </x:c>
      <x:c r="AB474" s="165" t="str">
        <x:f>IF(AND(AB$5&gt;=$C474,AB$5&lt;=$D474,$A474&lt;&gt;""),"●","")</x:f>
      </x:c>
      <x:c r="AC474" s="165" t="str">
        <x:f>IF(AND(AC$5&gt;=$C474,AC$5&lt;=$D474,$A474&lt;&gt;""),"●","")</x:f>
      </x:c>
      <x:c r="AD474" s="165" t="str">
        <x:f>IF(AND(AD$5&gt;=$C474,AD$5&lt;=$D474,$A474&lt;&gt;""),"●","")</x:f>
      </x:c>
      <x:c r="AE474" s="165" t="str">
        <x:f>IF(AND(AE$5&gt;=$C474,AE$5&lt;=$D474,$A474&lt;&gt;""),"●","")</x:f>
      </x:c>
      <x:c r="AF474" s="165" t="str">
        <x:f>IF(AND(AF$5&gt;=$C474,AF$5&lt;=$D474,$A474&lt;&gt;""),"●","")</x:f>
      </x:c>
      <x:c r="AG474" s="165" t="str">
        <x:f>IF(AND(AG$5&gt;=$C474,AG$5&lt;=$D474,$A474&lt;&gt;""),"●","")</x:f>
      </x:c>
      <x:c r="AH474" s="165" t="str">
        <x:f>IF(AND(AH$5&gt;=$C474,AH$5&lt;=$D474,$A474&lt;&gt;""),"●","")</x:f>
      </x:c>
      <x:c r="AI474" s="165" t="str">
        <x:f>IF(AND(AI$5&gt;=$C474,AI$5&lt;=$D474,$A474&lt;&gt;""),"●","")</x:f>
      </x:c>
      <x:c r="AJ474" s="165" t="str">
        <x:f>IF(AND(AJ$5&gt;=$C474,AJ$5&lt;=$D474,$A474&lt;&gt;""),"●","")</x:f>
      </x:c>
      <x:c r="AK474" s="165" t="str">
        <x:f>IF(AND(AK$5&gt;=$C474,AK$5&lt;=$D474,$A474&lt;&gt;""),"●","")</x:f>
      </x:c>
      <x:c r="AL474" s="165" t="str">
        <x:f>IF(AND(AL$5&gt;=$C474,AL$5&lt;=$D474,$A474&lt;&gt;""),"●","")</x:f>
      </x:c>
      <x:c r="AM474" s="165" t="str">
        <x:f>IF(AND(AM$5&gt;=$C474,AM$5&lt;=$D474,$A474&lt;&gt;""),"●","")</x:f>
      </x:c>
      <x:c r="AN474" s="165" t="str">
        <x:f>IF(AND(AN$5&gt;=$C474,AN$5&lt;=$D474,$A474&lt;&gt;""),"●","")</x:f>
      </x:c>
      <x:c r="AO474" s="165" t="str">
        <x:f>IF(AND(AO$5&gt;=$C474,AO$5&lt;=$D474,$A474&lt;&gt;""),"●","")</x:f>
      </x:c>
      <x:c r="AP474" s="165" t="str">
        <x:f>IF(AND(AP$5&gt;=$C474,AP$5&lt;=$D474,$A474&lt;&gt;""),"●","")</x:f>
      </x:c>
      <x:c r="AQ474" s="165" t="str">
        <x:f>IF(AND(AQ$5&gt;=$C474,AQ$5&lt;=$D474,$A474&lt;&gt;""),"●","")</x:f>
      </x:c>
      <x:c r="AR474" s="165" t="str">
        <x:f>IF(AND(AR$5&gt;=$C474,AR$5&lt;=$D474,$A474&lt;&gt;""),"●","")</x:f>
      </x:c>
      <x:c r="AS474" s="165" t="str">
        <x:f>IF(AND(AS$5&gt;=$C474,AS$5&lt;=$D474,$A474&lt;&gt;""),"●","")</x:f>
      </x:c>
      <x:c r="AT474" s="165" t="str">
        <x:f>IF(AND(AT$5&gt;=$C474,AT$5&lt;=$D474,$A474&lt;&gt;""),"●","")</x:f>
      </x:c>
      <x:c r="AU474" s="165" t="str">
        <x:f>IF(AND(AU$5&gt;=$C474,AU$5&lt;=$D474,$A474&lt;&gt;""),"●","")</x:f>
      </x:c>
      <x:c r="AV474" s="165" t="str">
        <x:f>IF(AND(AV$5&gt;=$C474,AV$5&lt;=$D474,$A474&lt;&gt;""),"●","")</x:f>
      </x:c>
      <x:c r="AW474" s="165" t="str">
        <x:f>IF(AND(AW$5&gt;=$C474,AW$5&lt;=$D474,$A474&lt;&gt;""),"●","")</x:f>
      </x:c>
      <x:c r="AX474" s="165" t="str">
        <x:f>IF(AND(AX$5&gt;=$C474,AX$5&lt;=$D474,$A474&lt;&gt;""),"●","")</x:f>
      </x:c>
      <x:c r="AY474" s="165" t="str">
        <x:f>IF(AND(AY$5&gt;=$C474,AY$5&lt;=$D474,$A474&lt;&gt;""),"●","")</x:f>
      </x:c>
      <x:c r="AZ474" s="165" t="str">
        <x:f>IF(AND(AZ$5&gt;=$C474,AZ$5&lt;=$D474,$A474&lt;&gt;""),"●","")</x:f>
      </x:c>
      <x:c r="BA474" s="165" t="str">
        <x:f>IF(AND(BA$5&gt;=$C474,BA$5&lt;=$D474,$A474&lt;&gt;""),"●","")</x:f>
      </x:c>
      <x:c r="BB474" s="165" t="str">
        <x:f>IF(AND(BB$5&gt;=$C474,BB$5&lt;=$D474,$A474&lt;&gt;""),"●","")</x:f>
      </x:c>
      <x:c r="BC474" s="165" t="str">
        <x:f>IF(AND(BC$5&gt;=$C474,BC$5&lt;=$D474,$A474&lt;&gt;""),"●","")</x:f>
      </x:c>
      <x:c r="BD474" s="165" t="str">
        <x:f>IF(AND(BD$5&gt;=$C474,BD$5&lt;=$D474,$A474&lt;&gt;""),"●","")</x:f>
      </x:c>
      <x:c r="BE474" s="165" t="str">
        <x:f>IF(AND(BE$5&gt;=$C474,BE$5&lt;=$D474,$A474&lt;&gt;""),"●","")</x:f>
      </x:c>
      <x:c r="BF474" s="165" t="str">
        <x:f>IF(AND(BF$5&gt;=$C474,BF$5&lt;=$D474,$A474&lt;&gt;""),"●","")</x:f>
      </x:c>
      <x:c r="BG474" s="165" t="str">
        <x:f>IF(AND(BG$5&gt;=$C474,BG$5&lt;=$D474,$A474&lt;&gt;""),"●","")</x:f>
      </x:c>
      <x:c r="BH474" s="165" t="str">
        <x:f>IF(AND(BH$5&gt;=$C474,BH$5&lt;=$D474,$A474&lt;&gt;""),"●","")</x:f>
      </x:c>
      <x:c r="BI474" s="165" t="str">
        <x:f>IF(AND(BI$5&gt;=$C474,BI$5&lt;=$D474,$A474&lt;&gt;""),"●","")</x:f>
      </x:c>
      <x:c r="BJ474" s="165" t="str">
        <x:f>IF(AND(BJ$5&gt;=$C474,BJ$5&lt;=$D474,$A474&lt;&gt;""),"●","")</x:f>
      </x:c>
      <x:c r="BK474" s="165" t="str">
        <x:f>IF(AND(BK$5&gt;=$C474,BK$5&lt;=$D474,$A474&lt;&gt;""),"●","")</x:f>
      </x:c>
      <x:c r="BL474" s="165" t="str">
        <x:f>IF(AND(BL$5&gt;=$C474,BL$5&lt;=$D474,$A474&lt;&gt;""),"●","")</x:f>
      </x:c>
      <x:c r="BM474" s="165" t="str">
        <x:f>IF(AND(BM$5&gt;=$C474,BM$5&lt;=$D474,$A474&lt;&gt;""),"●","")</x:f>
      </x:c>
      <x:c r="BN474" s="165" t="str">
        <x:f>IF(AND(BN$5&gt;=$C474,BN$5&lt;=$D474,$A474&lt;&gt;""),"●","")</x:f>
      </x:c>
      <x:c r="BO474" s="165" t="str">
        <x:f>IF(AND(BO$5&gt;=$C474,BO$5&lt;=$D474,$A474&lt;&gt;""),"●","")</x:f>
      </x:c>
      <x:c r="BP474" s="165" t="str">
        <x:f>IF(AND(BP$5&gt;=$C474,BP$5&lt;=$D474,$A474&lt;&gt;""),"●","")</x:f>
      </x:c>
      <x:c r="BQ474" s="165" t="str">
        <x:f>IF(AND(BQ$5&gt;=$C474,BQ$5&lt;=$D474,$A474&lt;&gt;""),"●","")</x:f>
      </x:c>
      <x:c r="BR474" s="165" t="str">
        <x:f>IF(AND(BR$5&gt;=$C474,BR$5&lt;=$D474,$A474&lt;&gt;""),"●","")</x:f>
      </x:c>
      <x:c r="BS474" s="165" t="str">
        <x:f>IF(AND(BS$5&gt;=$C474,BS$5&lt;=$D474,$A474&lt;&gt;""),"●","")</x:f>
      </x:c>
      <x:c r="BT474" s="165" t="str">
        <x:f>IF(AND(BT$5&gt;=$C474,BT$5&lt;=$D474,$A474&lt;&gt;""),"●","")</x:f>
      </x:c>
      <x:c r="BU474" s="165" t="str">
        <x:f>IF(AND(BU$5&gt;=$C474,BU$5&lt;=$D474,$A474&lt;&gt;""),"●","")</x:f>
      </x:c>
      <x:c r="BV474" s="165" t="str">
        <x:f>IF(AND(BV$5&gt;=$C474,BV$5&lt;=$D474,$A474&lt;&gt;""),"●","")</x:f>
      </x:c>
      <x:c r="BW474" s="165" t="str">
        <x:f>IF(AND(BW$5&gt;=$C474,BW$5&lt;=$D474,$A474&lt;&gt;""),"●","")</x:f>
      </x:c>
    </x:row>
    <x:row r="475">
      <x:c r="A475" s="159" t="str">
        <x:f>IF('รายการสัญญา'!A475="","",'รายการสัญญา'!A475)</x:f>
      </x:c>
      <x:c r="B475" s="159" t="str">
        <x:f>IF('รายการสัญญา'!A475="","",'รายการสัญญา'!C475)</x:f>
      </x:c>
      <x:c r="C475" s="162" t="str">
        <x:f>IF('รายการสัญญา'!A475="","",'รายการสัญญา'!E475)</x:f>
      </x:c>
      <x:c r="D475" s="162" t="str">
        <x:f>IF('รายการสัญญา'!A475="","",'รายการสัญญา'!G475)</x:f>
      </x:c>
      <x:c r="E475" s="159" t="str">
        <x:f>IF('รายการสัญญา'!A475="","",'รายการสัญญา'!K475)</x:f>
      </x:c>
      <x:c r="F475" s="165" t="str">
        <x:f>IF(AND(F$5&gt;=$C475,F$5&lt;=$D475,$A475&lt;&gt;""),"●","")</x:f>
      </x:c>
      <x:c r="G475" s="165" t="str">
        <x:f>IF(AND(G$5&gt;=$C475,G$5&lt;=$D475,$A475&lt;&gt;""),"●","")</x:f>
      </x:c>
      <x:c r="H475" s="165" t="str">
        <x:f>IF(AND(H$5&gt;=$C475,H$5&lt;=$D475,$A475&lt;&gt;""),"●","")</x:f>
      </x:c>
      <x:c r="I475" s="165" t="str">
        <x:f>IF(AND(I$5&gt;=$C475,I$5&lt;=$D475,$A475&lt;&gt;""),"●","")</x:f>
      </x:c>
      <x:c r="J475" s="165" t="str">
        <x:f>IF(AND(J$5&gt;=$C475,J$5&lt;=$D475,$A475&lt;&gt;""),"●","")</x:f>
      </x:c>
      <x:c r="K475" s="165" t="str">
        <x:f>IF(AND(K$5&gt;=$C475,K$5&lt;=$D475,$A475&lt;&gt;""),"●","")</x:f>
      </x:c>
      <x:c r="L475" s="165" t="str">
        <x:f>IF(AND(L$5&gt;=$C475,L$5&lt;=$D475,$A475&lt;&gt;""),"●","")</x:f>
      </x:c>
      <x:c r="M475" s="165" t="str">
        <x:f>IF(AND(M$5&gt;=$C475,M$5&lt;=$D475,$A475&lt;&gt;""),"●","")</x:f>
      </x:c>
      <x:c r="N475" s="165" t="str">
        <x:f>IF(AND(N$5&gt;=$C475,N$5&lt;=$D475,$A475&lt;&gt;""),"●","")</x:f>
      </x:c>
      <x:c r="O475" s="165" t="str">
        <x:f>IF(AND(O$5&gt;=$C475,O$5&lt;=$D475,$A475&lt;&gt;""),"●","")</x:f>
      </x:c>
      <x:c r="P475" s="165" t="str">
        <x:f>IF(AND(P$5&gt;=$C475,P$5&lt;=$D475,$A475&lt;&gt;""),"●","")</x:f>
      </x:c>
      <x:c r="Q475" s="165" t="str">
        <x:f>IF(AND(Q$5&gt;=$C475,Q$5&lt;=$D475,$A475&lt;&gt;""),"●","")</x:f>
      </x:c>
      <x:c r="R475" s="165" t="str">
        <x:f>IF(AND(R$5&gt;=$C475,R$5&lt;=$D475,$A475&lt;&gt;""),"●","")</x:f>
      </x:c>
      <x:c r="S475" s="165" t="str">
        <x:f>IF(AND(S$5&gt;=$C475,S$5&lt;=$D475,$A475&lt;&gt;""),"●","")</x:f>
      </x:c>
      <x:c r="T475" s="165" t="str">
        <x:f>IF(AND(T$5&gt;=$C475,T$5&lt;=$D475,$A475&lt;&gt;""),"●","")</x:f>
      </x:c>
      <x:c r="U475" s="165" t="str">
        <x:f>IF(AND(U$5&gt;=$C475,U$5&lt;=$D475,$A475&lt;&gt;""),"●","")</x:f>
      </x:c>
      <x:c r="V475" s="165" t="str">
        <x:f>IF(AND(V$5&gt;=$C475,V$5&lt;=$D475,$A475&lt;&gt;""),"●","")</x:f>
      </x:c>
      <x:c r="W475" s="165" t="str">
        <x:f>IF(AND(W$5&gt;=$C475,W$5&lt;=$D475,$A475&lt;&gt;""),"●","")</x:f>
      </x:c>
      <x:c r="X475" s="165" t="str">
        <x:f>IF(AND(X$5&gt;=$C475,X$5&lt;=$D475,$A475&lt;&gt;""),"●","")</x:f>
      </x:c>
      <x:c r="Y475" s="165" t="str">
        <x:f>IF(AND(Y$5&gt;=$C475,Y$5&lt;=$D475,$A475&lt;&gt;""),"●","")</x:f>
      </x:c>
      <x:c r="Z475" s="165" t="str">
        <x:f>IF(AND(Z$5&gt;=$C475,Z$5&lt;=$D475,$A475&lt;&gt;""),"●","")</x:f>
      </x:c>
      <x:c r="AA475" s="165" t="str">
        <x:f>IF(AND(AA$5&gt;=$C475,AA$5&lt;=$D475,$A475&lt;&gt;""),"●","")</x:f>
      </x:c>
      <x:c r="AB475" s="165" t="str">
        <x:f>IF(AND(AB$5&gt;=$C475,AB$5&lt;=$D475,$A475&lt;&gt;""),"●","")</x:f>
      </x:c>
      <x:c r="AC475" s="165" t="str">
        <x:f>IF(AND(AC$5&gt;=$C475,AC$5&lt;=$D475,$A475&lt;&gt;""),"●","")</x:f>
      </x:c>
      <x:c r="AD475" s="165" t="str">
        <x:f>IF(AND(AD$5&gt;=$C475,AD$5&lt;=$D475,$A475&lt;&gt;""),"●","")</x:f>
      </x:c>
      <x:c r="AE475" s="165" t="str">
        <x:f>IF(AND(AE$5&gt;=$C475,AE$5&lt;=$D475,$A475&lt;&gt;""),"●","")</x:f>
      </x:c>
      <x:c r="AF475" s="165" t="str">
        <x:f>IF(AND(AF$5&gt;=$C475,AF$5&lt;=$D475,$A475&lt;&gt;""),"●","")</x:f>
      </x:c>
      <x:c r="AG475" s="165" t="str">
        <x:f>IF(AND(AG$5&gt;=$C475,AG$5&lt;=$D475,$A475&lt;&gt;""),"●","")</x:f>
      </x:c>
      <x:c r="AH475" s="165" t="str">
        <x:f>IF(AND(AH$5&gt;=$C475,AH$5&lt;=$D475,$A475&lt;&gt;""),"●","")</x:f>
      </x:c>
      <x:c r="AI475" s="165" t="str">
        <x:f>IF(AND(AI$5&gt;=$C475,AI$5&lt;=$D475,$A475&lt;&gt;""),"●","")</x:f>
      </x:c>
      <x:c r="AJ475" s="165" t="str">
        <x:f>IF(AND(AJ$5&gt;=$C475,AJ$5&lt;=$D475,$A475&lt;&gt;""),"●","")</x:f>
      </x:c>
      <x:c r="AK475" s="165" t="str">
        <x:f>IF(AND(AK$5&gt;=$C475,AK$5&lt;=$D475,$A475&lt;&gt;""),"●","")</x:f>
      </x:c>
      <x:c r="AL475" s="165" t="str">
        <x:f>IF(AND(AL$5&gt;=$C475,AL$5&lt;=$D475,$A475&lt;&gt;""),"●","")</x:f>
      </x:c>
      <x:c r="AM475" s="165" t="str">
        <x:f>IF(AND(AM$5&gt;=$C475,AM$5&lt;=$D475,$A475&lt;&gt;""),"●","")</x:f>
      </x:c>
      <x:c r="AN475" s="165" t="str">
        <x:f>IF(AND(AN$5&gt;=$C475,AN$5&lt;=$D475,$A475&lt;&gt;""),"●","")</x:f>
      </x:c>
      <x:c r="AO475" s="165" t="str">
        <x:f>IF(AND(AO$5&gt;=$C475,AO$5&lt;=$D475,$A475&lt;&gt;""),"●","")</x:f>
      </x:c>
      <x:c r="AP475" s="165" t="str">
        <x:f>IF(AND(AP$5&gt;=$C475,AP$5&lt;=$D475,$A475&lt;&gt;""),"●","")</x:f>
      </x:c>
      <x:c r="AQ475" s="165" t="str">
        <x:f>IF(AND(AQ$5&gt;=$C475,AQ$5&lt;=$D475,$A475&lt;&gt;""),"●","")</x:f>
      </x:c>
      <x:c r="AR475" s="165" t="str">
        <x:f>IF(AND(AR$5&gt;=$C475,AR$5&lt;=$D475,$A475&lt;&gt;""),"●","")</x:f>
      </x:c>
      <x:c r="AS475" s="165" t="str">
        <x:f>IF(AND(AS$5&gt;=$C475,AS$5&lt;=$D475,$A475&lt;&gt;""),"●","")</x:f>
      </x:c>
      <x:c r="AT475" s="165" t="str">
        <x:f>IF(AND(AT$5&gt;=$C475,AT$5&lt;=$D475,$A475&lt;&gt;""),"●","")</x:f>
      </x:c>
      <x:c r="AU475" s="165" t="str">
        <x:f>IF(AND(AU$5&gt;=$C475,AU$5&lt;=$D475,$A475&lt;&gt;""),"●","")</x:f>
      </x:c>
      <x:c r="AV475" s="165" t="str">
        <x:f>IF(AND(AV$5&gt;=$C475,AV$5&lt;=$D475,$A475&lt;&gt;""),"●","")</x:f>
      </x:c>
      <x:c r="AW475" s="165" t="str">
        <x:f>IF(AND(AW$5&gt;=$C475,AW$5&lt;=$D475,$A475&lt;&gt;""),"●","")</x:f>
      </x:c>
      <x:c r="AX475" s="165" t="str">
        <x:f>IF(AND(AX$5&gt;=$C475,AX$5&lt;=$D475,$A475&lt;&gt;""),"●","")</x:f>
      </x:c>
      <x:c r="AY475" s="165" t="str">
        <x:f>IF(AND(AY$5&gt;=$C475,AY$5&lt;=$D475,$A475&lt;&gt;""),"●","")</x:f>
      </x:c>
      <x:c r="AZ475" s="165" t="str">
        <x:f>IF(AND(AZ$5&gt;=$C475,AZ$5&lt;=$D475,$A475&lt;&gt;""),"●","")</x:f>
      </x:c>
      <x:c r="BA475" s="165" t="str">
        <x:f>IF(AND(BA$5&gt;=$C475,BA$5&lt;=$D475,$A475&lt;&gt;""),"●","")</x:f>
      </x:c>
      <x:c r="BB475" s="165" t="str">
        <x:f>IF(AND(BB$5&gt;=$C475,BB$5&lt;=$D475,$A475&lt;&gt;""),"●","")</x:f>
      </x:c>
      <x:c r="BC475" s="165" t="str">
        <x:f>IF(AND(BC$5&gt;=$C475,BC$5&lt;=$D475,$A475&lt;&gt;""),"●","")</x:f>
      </x:c>
      <x:c r="BD475" s="165" t="str">
        <x:f>IF(AND(BD$5&gt;=$C475,BD$5&lt;=$D475,$A475&lt;&gt;""),"●","")</x:f>
      </x:c>
      <x:c r="BE475" s="165" t="str">
        <x:f>IF(AND(BE$5&gt;=$C475,BE$5&lt;=$D475,$A475&lt;&gt;""),"●","")</x:f>
      </x:c>
      <x:c r="BF475" s="165" t="str">
        <x:f>IF(AND(BF$5&gt;=$C475,BF$5&lt;=$D475,$A475&lt;&gt;""),"●","")</x:f>
      </x:c>
      <x:c r="BG475" s="165" t="str">
        <x:f>IF(AND(BG$5&gt;=$C475,BG$5&lt;=$D475,$A475&lt;&gt;""),"●","")</x:f>
      </x:c>
      <x:c r="BH475" s="165" t="str">
        <x:f>IF(AND(BH$5&gt;=$C475,BH$5&lt;=$D475,$A475&lt;&gt;""),"●","")</x:f>
      </x:c>
      <x:c r="BI475" s="165" t="str">
        <x:f>IF(AND(BI$5&gt;=$C475,BI$5&lt;=$D475,$A475&lt;&gt;""),"●","")</x:f>
      </x:c>
      <x:c r="BJ475" s="165" t="str">
        <x:f>IF(AND(BJ$5&gt;=$C475,BJ$5&lt;=$D475,$A475&lt;&gt;""),"●","")</x:f>
      </x:c>
      <x:c r="BK475" s="165" t="str">
        <x:f>IF(AND(BK$5&gt;=$C475,BK$5&lt;=$D475,$A475&lt;&gt;""),"●","")</x:f>
      </x:c>
      <x:c r="BL475" s="165" t="str">
        <x:f>IF(AND(BL$5&gt;=$C475,BL$5&lt;=$D475,$A475&lt;&gt;""),"●","")</x:f>
      </x:c>
      <x:c r="BM475" s="165" t="str">
        <x:f>IF(AND(BM$5&gt;=$C475,BM$5&lt;=$D475,$A475&lt;&gt;""),"●","")</x:f>
      </x:c>
      <x:c r="BN475" s="165" t="str">
        <x:f>IF(AND(BN$5&gt;=$C475,BN$5&lt;=$D475,$A475&lt;&gt;""),"●","")</x:f>
      </x:c>
      <x:c r="BO475" s="165" t="str">
        <x:f>IF(AND(BO$5&gt;=$C475,BO$5&lt;=$D475,$A475&lt;&gt;""),"●","")</x:f>
      </x:c>
      <x:c r="BP475" s="165" t="str">
        <x:f>IF(AND(BP$5&gt;=$C475,BP$5&lt;=$D475,$A475&lt;&gt;""),"●","")</x:f>
      </x:c>
      <x:c r="BQ475" s="165" t="str">
        <x:f>IF(AND(BQ$5&gt;=$C475,BQ$5&lt;=$D475,$A475&lt;&gt;""),"●","")</x:f>
      </x:c>
      <x:c r="BR475" s="165" t="str">
        <x:f>IF(AND(BR$5&gt;=$C475,BR$5&lt;=$D475,$A475&lt;&gt;""),"●","")</x:f>
      </x:c>
      <x:c r="BS475" s="165" t="str">
        <x:f>IF(AND(BS$5&gt;=$C475,BS$5&lt;=$D475,$A475&lt;&gt;""),"●","")</x:f>
      </x:c>
      <x:c r="BT475" s="165" t="str">
        <x:f>IF(AND(BT$5&gt;=$C475,BT$5&lt;=$D475,$A475&lt;&gt;""),"●","")</x:f>
      </x:c>
      <x:c r="BU475" s="165" t="str">
        <x:f>IF(AND(BU$5&gt;=$C475,BU$5&lt;=$D475,$A475&lt;&gt;""),"●","")</x:f>
      </x:c>
      <x:c r="BV475" s="165" t="str">
        <x:f>IF(AND(BV$5&gt;=$C475,BV$5&lt;=$D475,$A475&lt;&gt;""),"●","")</x:f>
      </x:c>
      <x:c r="BW475" s="165" t="str">
        <x:f>IF(AND(BW$5&gt;=$C475,BW$5&lt;=$D475,$A475&lt;&gt;""),"●","")</x:f>
      </x:c>
    </x:row>
    <x:row r="476">
      <x:c r="A476" s="159" t="str">
        <x:f>IF('รายการสัญญา'!A476="","",'รายการสัญญา'!A476)</x:f>
      </x:c>
      <x:c r="B476" s="159" t="str">
        <x:f>IF('รายการสัญญา'!A476="","",'รายการสัญญา'!C476)</x:f>
      </x:c>
      <x:c r="C476" s="162" t="str">
        <x:f>IF('รายการสัญญา'!A476="","",'รายการสัญญา'!E476)</x:f>
      </x:c>
      <x:c r="D476" s="162" t="str">
        <x:f>IF('รายการสัญญา'!A476="","",'รายการสัญญา'!G476)</x:f>
      </x:c>
      <x:c r="E476" s="159" t="str">
        <x:f>IF('รายการสัญญา'!A476="","",'รายการสัญญา'!K476)</x:f>
      </x:c>
      <x:c r="F476" s="165" t="str">
        <x:f>IF(AND(F$5&gt;=$C476,F$5&lt;=$D476,$A476&lt;&gt;""),"●","")</x:f>
      </x:c>
      <x:c r="G476" s="165" t="str">
        <x:f>IF(AND(G$5&gt;=$C476,G$5&lt;=$D476,$A476&lt;&gt;""),"●","")</x:f>
      </x:c>
      <x:c r="H476" s="165" t="str">
        <x:f>IF(AND(H$5&gt;=$C476,H$5&lt;=$D476,$A476&lt;&gt;""),"●","")</x:f>
      </x:c>
      <x:c r="I476" s="165" t="str">
        <x:f>IF(AND(I$5&gt;=$C476,I$5&lt;=$D476,$A476&lt;&gt;""),"●","")</x:f>
      </x:c>
      <x:c r="J476" s="165" t="str">
        <x:f>IF(AND(J$5&gt;=$C476,J$5&lt;=$D476,$A476&lt;&gt;""),"●","")</x:f>
      </x:c>
      <x:c r="K476" s="165" t="str">
        <x:f>IF(AND(K$5&gt;=$C476,K$5&lt;=$D476,$A476&lt;&gt;""),"●","")</x:f>
      </x:c>
      <x:c r="L476" s="165" t="str">
        <x:f>IF(AND(L$5&gt;=$C476,L$5&lt;=$D476,$A476&lt;&gt;""),"●","")</x:f>
      </x:c>
      <x:c r="M476" s="165" t="str">
        <x:f>IF(AND(M$5&gt;=$C476,M$5&lt;=$D476,$A476&lt;&gt;""),"●","")</x:f>
      </x:c>
      <x:c r="N476" s="165" t="str">
        <x:f>IF(AND(N$5&gt;=$C476,N$5&lt;=$D476,$A476&lt;&gt;""),"●","")</x:f>
      </x:c>
      <x:c r="O476" s="165" t="str">
        <x:f>IF(AND(O$5&gt;=$C476,O$5&lt;=$D476,$A476&lt;&gt;""),"●","")</x:f>
      </x:c>
      <x:c r="P476" s="165" t="str">
        <x:f>IF(AND(P$5&gt;=$C476,P$5&lt;=$D476,$A476&lt;&gt;""),"●","")</x:f>
      </x:c>
      <x:c r="Q476" s="165" t="str">
        <x:f>IF(AND(Q$5&gt;=$C476,Q$5&lt;=$D476,$A476&lt;&gt;""),"●","")</x:f>
      </x:c>
      <x:c r="R476" s="165" t="str">
        <x:f>IF(AND(R$5&gt;=$C476,R$5&lt;=$D476,$A476&lt;&gt;""),"●","")</x:f>
      </x:c>
      <x:c r="S476" s="165" t="str">
        <x:f>IF(AND(S$5&gt;=$C476,S$5&lt;=$D476,$A476&lt;&gt;""),"●","")</x:f>
      </x:c>
      <x:c r="T476" s="165" t="str">
        <x:f>IF(AND(T$5&gt;=$C476,T$5&lt;=$D476,$A476&lt;&gt;""),"●","")</x:f>
      </x:c>
      <x:c r="U476" s="165" t="str">
        <x:f>IF(AND(U$5&gt;=$C476,U$5&lt;=$D476,$A476&lt;&gt;""),"●","")</x:f>
      </x:c>
      <x:c r="V476" s="165" t="str">
        <x:f>IF(AND(V$5&gt;=$C476,V$5&lt;=$D476,$A476&lt;&gt;""),"●","")</x:f>
      </x:c>
      <x:c r="W476" s="165" t="str">
        <x:f>IF(AND(W$5&gt;=$C476,W$5&lt;=$D476,$A476&lt;&gt;""),"●","")</x:f>
      </x:c>
      <x:c r="X476" s="165" t="str">
        <x:f>IF(AND(X$5&gt;=$C476,X$5&lt;=$D476,$A476&lt;&gt;""),"●","")</x:f>
      </x:c>
      <x:c r="Y476" s="165" t="str">
        <x:f>IF(AND(Y$5&gt;=$C476,Y$5&lt;=$D476,$A476&lt;&gt;""),"●","")</x:f>
      </x:c>
      <x:c r="Z476" s="165" t="str">
        <x:f>IF(AND(Z$5&gt;=$C476,Z$5&lt;=$D476,$A476&lt;&gt;""),"●","")</x:f>
      </x:c>
      <x:c r="AA476" s="165" t="str">
        <x:f>IF(AND(AA$5&gt;=$C476,AA$5&lt;=$D476,$A476&lt;&gt;""),"●","")</x:f>
      </x:c>
      <x:c r="AB476" s="165" t="str">
        <x:f>IF(AND(AB$5&gt;=$C476,AB$5&lt;=$D476,$A476&lt;&gt;""),"●","")</x:f>
      </x:c>
      <x:c r="AC476" s="165" t="str">
        <x:f>IF(AND(AC$5&gt;=$C476,AC$5&lt;=$D476,$A476&lt;&gt;""),"●","")</x:f>
      </x:c>
      <x:c r="AD476" s="165" t="str">
        <x:f>IF(AND(AD$5&gt;=$C476,AD$5&lt;=$D476,$A476&lt;&gt;""),"●","")</x:f>
      </x:c>
      <x:c r="AE476" s="165" t="str">
        <x:f>IF(AND(AE$5&gt;=$C476,AE$5&lt;=$D476,$A476&lt;&gt;""),"●","")</x:f>
      </x:c>
      <x:c r="AF476" s="165" t="str">
        <x:f>IF(AND(AF$5&gt;=$C476,AF$5&lt;=$D476,$A476&lt;&gt;""),"●","")</x:f>
      </x:c>
      <x:c r="AG476" s="165" t="str">
        <x:f>IF(AND(AG$5&gt;=$C476,AG$5&lt;=$D476,$A476&lt;&gt;""),"●","")</x:f>
      </x:c>
      <x:c r="AH476" s="165" t="str">
        <x:f>IF(AND(AH$5&gt;=$C476,AH$5&lt;=$D476,$A476&lt;&gt;""),"●","")</x:f>
      </x:c>
      <x:c r="AI476" s="165" t="str">
        <x:f>IF(AND(AI$5&gt;=$C476,AI$5&lt;=$D476,$A476&lt;&gt;""),"●","")</x:f>
      </x:c>
      <x:c r="AJ476" s="165" t="str">
        <x:f>IF(AND(AJ$5&gt;=$C476,AJ$5&lt;=$D476,$A476&lt;&gt;""),"●","")</x:f>
      </x:c>
      <x:c r="AK476" s="165" t="str">
        <x:f>IF(AND(AK$5&gt;=$C476,AK$5&lt;=$D476,$A476&lt;&gt;""),"●","")</x:f>
      </x:c>
      <x:c r="AL476" s="165" t="str">
        <x:f>IF(AND(AL$5&gt;=$C476,AL$5&lt;=$D476,$A476&lt;&gt;""),"●","")</x:f>
      </x:c>
      <x:c r="AM476" s="165" t="str">
        <x:f>IF(AND(AM$5&gt;=$C476,AM$5&lt;=$D476,$A476&lt;&gt;""),"●","")</x:f>
      </x:c>
      <x:c r="AN476" s="165" t="str">
        <x:f>IF(AND(AN$5&gt;=$C476,AN$5&lt;=$D476,$A476&lt;&gt;""),"●","")</x:f>
      </x:c>
      <x:c r="AO476" s="165" t="str">
        <x:f>IF(AND(AO$5&gt;=$C476,AO$5&lt;=$D476,$A476&lt;&gt;""),"●","")</x:f>
      </x:c>
      <x:c r="AP476" s="165" t="str">
        <x:f>IF(AND(AP$5&gt;=$C476,AP$5&lt;=$D476,$A476&lt;&gt;""),"●","")</x:f>
      </x:c>
      <x:c r="AQ476" s="165" t="str">
        <x:f>IF(AND(AQ$5&gt;=$C476,AQ$5&lt;=$D476,$A476&lt;&gt;""),"●","")</x:f>
      </x:c>
      <x:c r="AR476" s="165" t="str">
        <x:f>IF(AND(AR$5&gt;=$C476,AR$5&lt;=$D476,$A476&lt;&gt;""),"●","")</x:f>
      </x:c>
      <x:c r="AS476" s="165" t="str">
        <x:f>IF(AND(AS$5&gt;=$C476,AS$5&lt;=$D476,$A476&lt;&gt;""),"●","")</x:f>
      </x:c>
      <x:c r="AT476" s="165" t="str">
        <x:f>IF(AND(AT$5&gt;=$C476,AT$5&lt;=$D476,$A476&lt;&gt;""),"●","")</x:f>
      </x:c>
      <x:c r="AU476" s="165" t="str">
        <x:f>IF(AND(AU$5&gt;=$C476,AU$5&lt;=$D476,$A476&lt;&gt;""),"●","")</x:f>
      </x:c>
      <x:c r="AV476" s="165" t="str">
        <x:f>IF(AND(AV$5&gt;=$C476,AV$5&lt;=$D476,$A476&lt;&gt;""),"●","")</x:f>
      </x:c>
      <x:c r="AW476" s="165" t="str">
        <x:f>IF(AND(AW$5&gt;=$C476,AW$5&lt;=$D476,$A476&lt;&gt;""),"●","")</x:f>
      </x:c>
      <x:c r="AX476" s="165" t="str">
        <x:f>IF(AND(AX$5&gt;=$C476,AX$5&lt;=$D476,$A476&lt;&gt;""),"●","")</x:f>
      </x:c>
      <x:c r="AY476" s="165" t="str">
        <x:f>IF(AND(AY$5&gt;=$C476,AY$5&lt;=$D476,$A476&lt;&gt;""),"●","")</x:f>
      </x:c>
      <x:c r="AZ476" s="165" t="str">
        <x:f>IF(AND(AZ$5&gt;=$C476,AZ$5&lt;=$D476,$A476&lt;&gt;""),"●","")</x:f>
      </x:c>
      <x:c r="BA476" s="165" t="str">
        <x:f>IF(AND(BA$5&gt;=$C476,BA$5&lt;=$D476,$A476&lt;&gt;""),"●","")</x:f>
      </x:c>
      <x:c r="BB476" s="165" t="str">
        <x:f>IF(AND(BB$5&gt;=$C476,BB$5&lt;=$D476,$A476&lt;&gt;""),"●","")</x:f>
      </x:c>
      <x:c r="BC476" s="165" t="str">
        <x:f>IF(AND(BC$5&gt;=$C476,BC$5&lt;=$D476,$A476&lt;&gt;""),"●","")</x:f>
      </x:c>
      <x:c r="BD476" s="165" t="str">
        <x:f>IF(AND(BD$5&gt;=$C476,BD$5&lt;=$D476,$A476&lt;&gt;""),"●","")</x:f>
      </x:c>
      <x:c r="BE476" s="165" t="str">
        <x:f>IF(AND(BE$5&gt;=$C476,BE$5&lt;=$D476,$A476&lt;&gt;""),"●","")</x:f>
      </x:c>
      <x:c r="BF476" s="165" t="str">
        <x:f>IF(AND(BF$5&gt;=$C476,BF$5&lt;=$D476,$A476&lt;&gt;""),"●","")</x:f>
      </x:c>
      <x:c r="BG476" s="165" t="str">
        <x:f>IF(AND(BG$5&gt;=$C476,BG$5&lt;=$D476,$A476&lt;&gt;""),"●","")</x:f>
      </x:c>
      <x:c r="BH476" s="165" t="str">
        <x:f>IF(AND(BH$5&gt;=$C476,BH$5&lt;=$D476,$A476&lt;&gt;""),"●","")</x:f>
      </x:c>
      <x:c r="BI476" s="165" t="str">
        <x:f>IF(AND(BI$5&gt;=$C476,BI$5&lt;=$D476,$A476&lt;&gt;""),"●","")</x:f>
      </x:c>
      <x:c r="BJ476" s="165" t="str">
        <x:f>IF(AND(BJ$5&gt;=$C476,BJ$5&lt;=$D476,$A476&lt;&gt;""),"●","")</x:f>
      </x:c>
      <x:c r="BK476" s="165" t="str">
        <x:f>IF(AND(BK$5&gt;=$C476,BK$5&lt;=$D476,$A476&lt;&gt;""),"●","")</x:f>
      </x:c>
      <x:c r="BL476" s="165" t="str">
        <x:f>IF(AND(BL$5&gt;=$C476,BL$5&lt;=$D476,$A476&lt;&gt;""),"●","")</x:f>
      </x:c>
      <x:c r="BM476" s="165" t="str">
        <x:f>IF(AND(BM$5&gt;=$C476,BM$5&lt;=$D476,$A476&lt;&gt;""),"●","")</x:f>
      </x:c>
      <x:c r="BN476" s="165" t="str">
        <x:f>IF(AND(BN$5&gt;=$C476,BN$5&lt;=$D476,$A476&lt;&gt;""),"●","")</x:f>
      </x:c>
      <x:c r="BO476" s="165" t="str">
        <x:f>IF(AND(BO$5&gt;=$C476,BO$5&lt;=$D476,$A476&lt;&gt;""),"●","")</x:f>
      </x:c>
      <x:c r="BP476" s="165" t="str">
        <x:f>IF(AND(BP$5&gt;=$C476,BP$5&lt;=$D476,$A476&lt;&gt;""),"●","")</x:f>
      </x:c>
      <x:c r="BQ476" s="165" t="str">
        <x:f>IF(AND(BQ$5&gt;=$C476,BQ$5&lt;=$D476,$A476&lt;&gt;""),"●","")</x:f>
      </x:c>
      <x:c r="BR476" s="165" t="str">
        <x:f>IF(AND(BR$5&gt;=$C476,BR$5&lt;=$D476,$A476&lt;&gt;""),"●","")</x:f>
      </x:c>
      <x:c r="BS476" s="165" t="str">
        <x:f>IF(AND(BS$5&gt;=$C476,BS$5&lt;=$D476,$A476&lt;&gt;""),"●","")</x:f>
      </x:c>
      <x:c r="BT476" s="165" t="str">
        <x:f>IF(AND(BT$5&gt;=$C476,BT$5&lt;=$D476,$A476&lt;&gt;""),"●","")</x:f>
      </x:c>
      <x:c r="BU476" s="165" t="str">
        <x:f>IF(AND(BU$5&gt;=$C476,BU$5&lt;=$D476,$A476&lt;&gt;""),"●","")</x:f>
      </x:c>
      <x:c r="BV476" s="165" t="str">
        <x:f>IF(AND(BV$5&gt;=$C476,BV$5&lt;=$D476,$A476&lt;&gt;""),"●","")</x:f>
      </x:c>
      <x:c r="BW476" s="165" t="str">
        <x:f>IF(AND(BW$5&gt;=$C476,BW$5&lt;=$D476,$A476&lt;&gt;""),"●","")</x:f>
      </x:c>
    </x:row>
    <x:row r="477">
      <x:c r="A477" s="159" t="str">
        <x:f>IF('รายการสัญญา'!A477="","",'รายการสัญญา'!A477)</x:f>
      </x:c>
      <x:c r="B477" s="159" t="str">
        <x:f>IF('รายการสัญญา'!A477="","",'รายการสัญญา'!C477)</x:f>
      </x:c>
      <x:c r="C477" s="162" t="str">
        <x:f>IF('รายการสัญญา'!A477="","",'รายการสัญญา'!E477)</x:f>
      </x:c>
      <x:c r="D477" s="162" t="str">
        <x:f>IF('รายการสัญญา'!A477="","",'รายการสัญญา'!G477)</x:f>
      </x:c>
      <x:c r="E477" s="159" t="str">
        <x:f>IF('รายการสัญญา'!A477="","",'รายการสัญญา'!K477)</x:f>
      </x:c>
      <x:c r="F477" s="165" t="str">
        <x:f>IF(AND(F$5&gt;=$C477,F$5&lt;=$D477,$A477&lt;&gt;""),"●","")</x:f>
      </x:c>
      <x:c r="G477" s="165" t="str">
        <x:f>IF(AND(G$5&gt;=$C477,G$5&lt;=$D477,$A477&lt;&gt;""),"●","")</x:f>
      </x:c>
      <x:c r="H477" s="165" t="str">
        <x:f>IF(AND(H$5&gt;=$C477,H$5&lt;=$D477,$A477&lt;&gt;""),"●","")</x:f>
      </x:c>
      <x:c r="I477" s="165" t="str">
        <x:f>IF(AND(I$5&gt;=$C477,I$5&lt;=$D477,$A477&lt;&gt;""),"●","")</x:f>
      </x:c>
      <x:c r="J477" s="165" t="str">
        <x:f>IF(AND(J$5&gt;=$C477,J$5&lt;=$D477,$A477&lt;&gt;""),"●","")</x:f>
      </x:c>
      <x:c r="K477" s="165" t="str">
        <x:f>IF(AND(K$5&gt;=$C477,K$5&lt;=$D477,$A477&lt;&gt;""),"●","")</x:f>
      </x:c>
      <x:c r="L477" s="165" t="str">
        <x:f>IF(AND(L$5&gt;=$C477,L$5&lt;=$D477,$A477&lt;&gt;""),"●","")</x:f>
      </x:c>
      <x:c r="M477" s="165" t="str">
        <x:f>IF(AND(M$5&gt;=$C477,M$5&lt;=$D477,$A477&lt;&gt;""),"●","")</x:f>
      </x:c>
      <x:c r="N477" s="165" t="str">
        <x:f>IF(AND(N$5&gt;=$C477,N$5&lt;=$D477,$A477&lt;&gt;""),"●","")</x:f>
      </x:c>
      <x:c r="O477" s="165" t="str">
        <x:f>IF(AND(O$5&gt;=$C477,O$5&lt;=$D477,$A477&lt;&gt;""),"●","")</x:f>
      </x:c>
      <x:c r="P477" s="165" t="str">
        <x:f>IF(AND(P$5&gt;=$C477,P$5&lt;=$D477,$A477&lt;&gt;""),"●","")</x:f>
      </x:c>
      <x:c r="Q477" s="165" t="str">
        <x:f>IF(AND(Q$5&gt;=$C477,Q$5&lt;=$D477,$A477&lt;&gt;""),"●","")</x:f>
      </x:c>
      <x:c r="R477" s="165" t="str">
        <x:f>IF(AND(R$5&gt;=$C477,R$5&lt;=$D477,$A477&lt;&gt;""),"●","")</x:f>
      </x:c>
      <x:c r="S477" s="165" t="str">
        <x:f>IF(AND(S$5&gt;=$C477,S$5&lt;=$D477,$A477&lt;&gt;""),"●","")</x:f>
      </x:c>
      <x:c r="T477" s="165" t="str">
        <x:f>IF(AND(T$5&gt;=$C477,T$5&lt;=$D477,$A477&lt;&gt;""),"●","")</x:f>
      </x:c>
      <x:c r="U477" s="165" t="str">
        <x:f>IF(AND(U$5&gt;=$C477,U$5&lt;=$D477,$A477&lt;&gt;""),"●","")</x:f>
      </x:c>
      <x:c r="V477" s="165" t="str">
        <x:f>IF(AND(V$5&gt;=$C477,V$5&lt;=$D477,$A477&lt;&gt;""),"●","")</x:f>
      </x:c>
      <x:c r="W477" s="165" t="str">
        <x:f>IF(AND(W$5&gt;=$C477,W$5&lt;=$D477,$A477&lt;&gt;""),"●","")</x:f>
      </x:c>
      <x:c r="X477" s="165" t="str">
        <x:f>IF(AND(X$5&gt;=$C477,X$5&lt;=$D477,$A477&lt;&gt;""),"●","")</x:f>
      </x:c>
      <x:c r="Y477" s="165" t="str">
        <x:f>IF(AND(Y$5&gt;=$C477,Y$5&lt;=$D477,$A477&lt;&gt;""),"●","")</x:f>
      </x:c>
      <x:c r="Z477" s="165" t="str">
        <x:f>IF(AND(Z$5&gt;=$C477,Z$5&lt;=$D477,$A477&lt;&gt;""),"●","")</x:f>
      </x:c>
      <x:c r="AA477" s="165" t="str">
        <x:f>IF(AND(AA$5&gt;=$C477,AA$5&lt;=$D477,$A477&lt;&gt;""),"●","")</x:f>
      </x:c>
      <x:c r="AB477" s="165" t="str">
        <x:f>IF(AND(AB$5&gt;=$C477,AB$5&lt;=$D477,$A477&lt;&gt;""),"●","")</x:f>
      </x:c>
      <x:c r="AC477" s="165" t="str">
        <x:f>IF(AND(AC$5&gt;=$C477,AC$5&lt;=$D477,$A477&lt;&gt;""),"●","")</x:f>
      </x:c>
      <x:c r="AD477" s="165" t="str">
        <x:f>IF(AND(AD$5&gt;=$C477,AD$5&lt;=$D477,$A477&lt;&gt;""),"●","")</x:f>
      </x:c>
      <x:c r="AE477" s="165" t="str">
        <x:f>IF(AND(AE$5&gt;=$C477,AE$5&lt;=$D477,$A477&lt;&gt;""),"●","")</x:f>
      </x:c>
      <x:c r="AF477" s="165" t="str">
        <x:f>IF(AND(AF$5&gt;=$C477,AF$5&lt;=$D477,$A477&lt;&gt;""),"●","")</x:f>
      </x:c>
      <x:c r="AG477" s="165" t="str">
        <x:f>IF(AND(AG$5&gt;=$C477,AG$5&lt;=$D477,$A477&lt;&gt;""),"●","")</x:f>
      </x:c>
      <x:c r="AH477" s="165" t="str">
        <x:f>IF(AND(AH$5&gt;=$C477,AH$5&lt;=$D477,$A477&lt;&gt;""),"●","")</x:f>
      </x:c>
      <x:c r="AI477" s="165" t="str">
        <x:f>IF(AND(AI$5&gt;=$C477,AI$5&lt;=$D477,$A477&lt;&gt;""),"●","")</x:f>
      </x:c>
      <x:c r="AJ477" s="165" t="str">
        <x:f>IF(AND(AJ$5&gt;=$C477,AJ$5&lt;=$D477,$A477&lt;&gt;""),"●","")</x:f>
      </x:c>
      <x:c r="AK477" s="165" t="str">
        <x:f>IF(AND(AK$5&gt;=$C477,AK$5&lt;=$D477,$A477&lt;&gt;""),"●","")</x:f>
      </x:c>
      <x:c r="AL477" s="165" t="str">
        <x:f>IF(AND(AL$5&gt;=$C477,AL$5&lt;=$D477,$A477&lt;&gt;""),"●","")</x:f>
      </x:c>
      <x:c r="AM477" s="165" t="str">
        <x:f>IF(AND(AM$5&gt;=$C477,AM$5&lt;=$D477,$A477&lt;&gt;""),"●","")</x:f>
      </x:c>
      <x:c r="AN477" s="165" t="str">
        <x:f>IF(AND(AN$5&gt;=$C477,AN$5&lt;=$D477,$A477&lt;&gt;""),"●","")</x:f>
      </x:c>
      <x:c r="AO477" s="165" t="str">
        <x:f>IF(AND(AO$5&gt;=$C477,AO$5&lt;=$D477,$A477&lt;&gt;""),"●","")</x:f>
      </x:c>
      <x:c r="AP477" s="165" t="str">
        <x:f>IF(AND(AP$5&gt;=$C477,AP$5&lt;=$D477,$A477&lt;&gt;""),"●","")</x:f>
      </x:c>
      <x:c r="AQ477" s="165" t="str">
        <x:f>IF(AND(AQ$5&gt;=$C477,AQ$5&lt;=$D477,$A477&lt;&gt;""),"●","")</x:f>
      </x:c>
      <x:c r="AR477" s="165" t="str">
        <x:f>IF(AND(AR$5&gt;=$C477,AR$5&lt;=$D477,$A477&lt;&gt;""),"●","")</x:f>
      </x:c>
      <x:c r="AS477" s="165" t="str">
        <x:f>IF(AND(AS$5&gt;=$C477,AS$5&lt;=$D477,$A477&lt;&gt;""),"●","")</x:f>
      </x:c>
      <x:c r="AT477" s="165" t="str">
        <x:f>IF(AND(AT$5&gt;=$C477,AT$5&lt;=$D477,$A477&lt;&gt;""),"●","")</x:f>
      </x:c>
      <x:c r="AU477" s="165" t="str">
        <x:f>IF(AND(AU$5&gt;=$C477,AU$5&lt;=$D477,$A477&lt;&gt;""),"●","")</x:f>
      </x:c>
      <x:c r="AV477" s="165" t="str">
        <x:f>IF(AND(AV$5&gt;=$C477,AV$5&lt;=$D477,$A477&lt;&gt;""),"●","")</x:f>
      </x:c>
      <x:c r="AW477" s="165" t="str">
        <x:f>IF(AND(AW$5&gt;=$C477,AW$5&lt;=$D477,$A477&lt;&gt;""),"●","")</x:f>
      </x:c>
      <x:c r="AX477" s="165" t="str">
        <x:f>IF(AND(AX$5&gt;=$C477,AX$5&lt;=$D477,$A477&lt;&gt;""),"●","")</x:f>
      </x:c>
      <x:c r="AY477" s="165" t="str">
        <x:f>IF(AND(AY$5&gt;=$C477,AY$5&lt;=$D477,$A477&lt;&gt;""),"●","")</x:f>
      </x:c>
      <x:c r="AZ477" s="165" t="str">
        <x:f>IF(AND(AZ$5&gt;=$C477,AZ$5&lt;=$D477,$A477&lt;&gt;""),"●","")</x:f>
      </x:c>
      <x:c r="BA477" s="165" t="str">
        <x:f>IF(AND(BA$5&gt;=$C477,BA$5&lt;=$D477,$A477&lt;&gt;""),"●","")</x:f>
      </x:c>
      <x:c r="BB477" s="165" t="str">
        <x:f>IF(AND(BB$5&gt;=$C477,BB$5&lt;=$D477,$A477&lt;&gt;""),"●","")</x:f>
      </x:c>
      <x:c r="BC477" s="165" t="str">
        <x:f>IF(AND(BC$5&gt;=$C477,BC$5&lt;=$D477,$A477&lt;&gt;""),"●","")</x:f>
      </x:c>
      <x:c r="BD477" s="165" t="str">
        <x:f>IF(AND(BD$5&gt;=$C477,BD$5&lt;=$D477,$A477&lt;&gt;""),"●","")</x:f>
      </x:c>
      <x:c r="BE477" s="165" t="str">
        <x:f>IF(AND(BE$5&gt;=$C477,BE$5&lt;=$D477,$A477&lt;&gt;""),"●","")</x:f>
      </x:c>
      <x:c r="BF477" s="165" t="str">
        <x:f>IF(AND(BF$5&gt;=$C477,BF$5&lt;=$D477,$A477&lt;&gt;""),"●","")</x:f>
      </x:c>
      <x:c r="BG477" s="165" t="str">
        <x:f>IF(AND(BG$5&gt;=$C477,BG$5&lt;=$D477,$A477&lt;&gt;""),"●","")</x:f>
      </x:c>
      <x:c r="BH477" s="165" t="str">
        <x:f>IF(AND(BH$5&gt;=$C477,BH$5&lt;=$D477,$A477&lt;&gt;""),"●","")</x:f>
      </x:c>
      <x:c r="BI477" s="165" t="str">
        <x:f>IF(AND(BI$5&gt;=$C477,BI$5&lt;=$D477,$A477&lt;&gt;""),"●","")</x:f>
      </x:c>
      <x:c r="BJ477" s="165" t="str">
        <x:f>IF(AND(BJ$5&gt;=$C477,BJ$5&lt;=$D477,$A477&lt;&gt;""),"●","")</x:f>
      </x:c>
      <x:c r="BK477" s="165" t="str">
        <x:f>IF(AND(BK$5&gt;=$C477,BK$5&lt;=$D477,$A477&lt;&gt;""),"●","")</x:f>
      </x:c>
      <x:c r="BL477" s="165" t="str">
        <x:f>IF(AND(BL$5&gt;=$C477,BL$5&lt;=$D477,$A477&lt;&gt;""),"●","")</x:f>
      </x:c>
      <x:c r="BM477" s="165" t="str">
        <x:f>IF(AND(BM$5&gt;=$C477,BM$5&lt;=$D477,$A477&lt;&gt;""),"●","")</x:f>
      </x:c>
      <x:c r="BN477" s="165" t="str">
        <x:f>IF(AND(BN$5&gt;=$C477,BN$5&lt;=$D477,$A477&lt;&gt;""),"●","")</x:f>
      </x:c>
      <x:c r="BO477" s="165" t="str">
        <x:f>IF(AND(BO$5&gt;=$C477,BO$5&lt;=$D477,$A477&lt;&gt;""),"●","")</x:f>
      </x:c>
      <x:c r="BP477" s="165" t="str">
        <x:f>IF(AND(BP$5&gt;=$C477,BP$5&lt;=$D477,$A477&lt;&gt;""),"●","")</x:f>
      </x:c>
      <x:c r="BQ477" s="165" t="str">
        <x:f>IF(AND(BQ$5&gt;=$C477,BQ$5&lt;=$D477,$A477&lt;&gt;""),"●","")</x:f>
      </x:c>
      <x:c r="BR477" s="165" t="str">
        <x:f>IF(AND(BR$5&gt;=$C477,BR$5&lt;=$D477,$A477&lt;&gt;""),"●","")</x:f>
      </x:c>
      <x:c r="BS477" s="165" t="str">
        <x:f>IF(AND(BS$5&gt;=$C477,BS$5&lt;=$D477,$A477&lt;&gt;""),"●","")</x:f>
      </x:c>
      <x:c r="BT477" s="165" t="str">
        <x:f>IF(AND(BT$5&gt;=$C477,BT$5&lt;=$D477,$A477&lt;&gt;""),"●","")</x:f>
      </x:c>
      <x:c r="BU477" s="165" t="str">
        <x:f>IF(AND(BU$5&gt;=$C477,BU$5&lt;=$D477,$A477&lt;&gt;""),"●","")</x:f>
      </x:c>
      <x:c r="BV477" s="165" t="str">
        <x:f>IF(AND(BV$5&gt;=$C477,BV$5&lt;=$D477,$A477&lt;&gt;""),"●","")</x:f>
      </x:c>
      <x:c r="BW477" s="165" t="str">
        <x:f>IF(AND(BW$5&gt;=$C477,BW$5&lt;=$D477,$A477&lt;&gt;""),"●","")</x:f>
      </x:c>
    </x:row>
    <x:row r="478">
      <x:c r="A478" s="159" t="str">
        <x:f>IF('รายการสัญญา'!A478="","",'รายการสัญญา'!A478)</x:f>
      </x:c>
      <x:c r="B478" s="159" t="str">
        <x:f>IF('รายการสัญญา'!A478="","",'รายการสัญญา'!C478)</x:f>
      </x:c>
      <x:c r="C478" s="162" t="str">
        <x:f>IF('รายการสัญญา'!A478="","",'รายการสัญญา'!E478)</x:f>
      </x:c>
      <x:c r="D478" s="162" t="str">
        <x:f>IF('รายการสัญญา'!A478="","",'รายการสัญญา'!G478)</x:f>
      </x:c>
      <x:c r="E478" s="159" t="str">
        <x:f>IF('รายการสัญญา'!A478="","",'รายการสัญญา'!K478)</x:f>
      </x:c>
      <x:c r="F478" s="165" t="str">
        <x:f>IF(AND(F$5&gt;=$C478,F$5&lt;=$D478,$A478&lt;&gt;""),"●","")</x:f>
      </x:c>
      <x:c r="G478" s="165" t="str">
        <x:f>IF(AND(G$5&gt;=$C478,G$5&lt;=$D478,$A478&lt;&gt;""),"●","")</x:f>
      </x:c>
      <x:c r="H478" s="165" t="str">
        <x:f>IF(AND(H$5&gt;=$C478,H$5&lt;=$D478,$A478&lt;&gt;""),"●","")</x:f>
      </x:c>
      <x:c r="I478" s="165" t="str">
        <x:f>IF(AND(I$5&gt;=$C478,I$5&lt;=$D478,$A478&lt;&gt;""),"●","")</x:f>
      </x:c>
      <x:c r="J478" s="165" t="str">
        <x:f>IF(AND(J$5&gt;=$C478,J$5&lt;=$D478,$A478&lt;&gt;""),"●","")</x:f>
      </x:c>
      <x:c r="K478" s="165" t="str">
        <x:f>IF(AND(K$5&gt;=$C478,K$5&lt;=$D478,$A478&lt;&gt;""),"●","")</x:f>
      </x:c>
      <x:c r="L478" s="165" t="str">
        <x:f>IF(AND(L$5&gt;=$C478,L$5&lt;=$D478,$A478&lt;&gt;""),"●","")</x:f>
      </x:c>
      <x:c r="M478" s="165" t="str">
        <x:f>IF(AND(M$5&gt;=$C478,M$5&lt;=$D478,$A478&lt;&gt;""),"●","")</x:f>
      </x:c>
      <x:c r="N478" s="165" t="str">
        <x:f>IF(AND(N$5&gt;=$C478,N$5&lt;=$D478,$A478&lt;&gt;""),"●","")</x:f>
      </x:c>
      <x:c r="O478" s="165" t="str">
        <x:f>IF(AND(O$5&gt;=$C478,O$5&lt;=$D478,$A478&lt;&gt;""),"●","")</x:f>
      </x:c>
      <x:c r="P478" s="165" t="str">
        <x:f>IF(AND(P$5&gt;=$C478,P$5&lt;=$D478,$A478&lt;&gt;""),"●","")</x:f>
      </x:c>
      <x:c r="Q478" s="165" t="str">
        <x:f>IF(AND(Q$5&gt;=$C478,Q$5&lt;=$D478,$A478&lt;&gt;""),"●","")</x:f>
      </x:c>
      <x:c r="R478" s="165" t="str">
        <x:f>IF(AND(R$5&gt;=$C478,R$5&lt;=$D478,$A478&lt;&gt;""),"●","")</x:f>
      </x:c>
      <x:c r="S478" s="165" t="str">
        <x:f>IF(AND(S$5&gt;=$C478,S$5&lt;=$D478,$A478&lt;&gt;""),"●","")</x:f>
      </x:c>
      <x:c r="T478" s="165" t="str">
        <x:f>IF(AND(T$5&gt;=$C478,T$5&lt;=$D478,$A478&lt;&gt;""),"●","")</x:f>
      </x:c>
      <x:c r="U478" s="165" t="str">
        <x:f>IF(AND(U$5&gt;=$C478,U$5&lt;=$D478,$A478&lt;&gt;""),"●","")</x:f>
      </x:c>
      <x:c r="V478" s="165" t="str">
        <x:f>IF(AND(V$5&gt;=$C478,V$5&lt;=$D478,$A478&lt;&gt;""),"●","")</x:f>
      </x:c>
      <x:c r="W478" s="165" t="str">
        <x:f>IF(AND(W$5&gt;=$C478,W$5&lt;=$D478,$A478&lt;&gt;""),"●","")</x:f>
      </x:c>
      <x:c r="X478" s="165" t="str">
        <x:f>IF(AND(X$5&gt;=$C478,X$5&lt;=$D478,$A478&lt;&gt;""),"●","")</x:f>
      </x:c>
      <x:c r="Y478" s="165" t="str">
        <x:f>IF(AND(Y$5&gt;=$C478,Y$5&lt;=$D478,$A478&lt;&gt;""),"●","")</x:f>
      </x:c>
      <x:c r="Z478" s="165" t="str">
        <x:f>IF(AND(Z$5&gt;=$C478,Z$5&lt;=$D478,$A478&lt;&gt;""),"●","")</x:f>
      </x:c>
      <x:c r="AA478" s="165" t="str">
        <x:f>IF(AND(AA$5&gt;=$C478,AA$5&lt;=$D478,$A478&lt;&gt;""),"●","")</x:f>
      </x:c>
      <x:c r="AB478" s="165" t="str">
        <x:f>IF(AND(AB$5&gt;=$C478,AB$5&lt;=$D478,$A478&lt;&gt;""),"●","")</x:f>
      </x:c>
      <x:c r="AC478" s="165" t="str">
        <x:f>IF(AND(AC$5&gt;=$C478,AC$5&lt;=$D478,$A478&lt;&gt;""),"●","")</x:f>
      </x:c>
      <x:c r="AD478" s="165" t="str">
        <x:f>IF(AND(AD$5&gt;=$C478,AD$5&lt;=$D478,$A478&lt;&gt;""),"●","")</x:f>
      </x:c>
      <x:c r="AE478" s="165" t="str">
        <x:f>IF(AND(AE$5&gt;=$C478,AE$5&lt;=$D478,$A478&lt;&gt;""),"●","")</x:f>
      </x:c>
      <x:c r="AF478" s="165" t="str">
        <x:f>IF(AND(AF$5&gt;=$C478,AF$5&lt;=$D478,$A478&lt;&gt;""),"●","")</x:f>
      </x:c>
      <x:c r="AG478" s="165" t="str">
        <x:f>IF(AND(AG$5&gt;=$C478,AG$5&lt;=$D478,$A478&lt;&gt;""),"●","")</x:f>
      </x:c>
      <x:c r="AH478" s="165" t="str">
        <x:f>IF(AND(AH$5&gt;=$C478,AH$5&lt;=$D478,$A478&lt;&gt;""),"●","")</x:f>
      </x:c>
      <x:c r="AI478" s="165" t="str">
        <x:f>IF(AND(AI$5&gt;=$C478,AI$5&lt;=$D478,$A478&lt;&gt;""),"●","")</x:f>
      </x:c>
      <x:c r="AJ478" s="165" t="str">
        <x:f>IF(AND(AJ$5&gt;=$C478,AJ$5&lt;=$D478,$A478&lt;&gt;""),"●","")</x:f>
      </x:c>
      <x:c r="AK478" s="165" t="str">
        <x:f>IF(AND(AK$5&gt;=$C478,AK$5&lt;=$D478,$A478&lt;&gt;""),"●","")</x:f>
      </x:c>
      <x:c r="AL478" s="165" t="str">
        <x:f>IF(AND(AL$5&gt;=$C478,AL$5&lt;=$D478,$A478&lt;&gt;""),"●","")</x:f>
      </x:c>
      <x:c r="AM478" s="165" t="str">
        <x:f>IF(AND(AM$5&gt;=$C478,AM$5&lt;=$D478,$A478&lt;&gt;""),"●","")</x:f>
      </x:c>
      <x:c r="AN478" s="165" t="str">
        <x:f>IF(AND(AN$5&gt;=$C478,AN$5&lt;=$D478,$A478&lt;&gt;""),"●","")</x:f>
      </x:c>
      <x:c r="AO478" s="165" t="str">
        <x:f>IF(AND(AO$5&gt;=$C478,AO$5&lt;=$D478,$A478&lt;&gt;""),"●","")</x:f>
      </x:c>
      <x:c r="AP478" s="165" t="str">
        <x:f>IF(AND(AP$5&gt;=$C478,AP$5&lt;=$D478,$A478&lt;&gt;""),"●","")</x:f>
      </x:c>
      <x:c r="AQ478" s="165" t="str">
        <x:f>IF(AND(AQ$5&gt;=$C478,AQ$5&lt;=$D478,$A478&lt;&gt;""),"●","")</x:f>
      </x:c>
      <x:c r="AR478" s="165" t="str">
        <x:f>IF(AND(AR$5&gt;=$C478,AR$5&lt;=$D478,$A478&lt;&gt;""),"●","")</x:f>
      </x:c>
      <x:c r="AS478" s="165" t="str">
        <x:f>IF(AND(AS$5&gt;=$C478,AS$5&lt;=$D478,$A478&lt;&gt;""),"●","")</x:f>
      </x:c>
      <x:c r="AT478" s="165" t="str">
        <x:f>IF(AND(AT$5&gt;=$C478,AT$5&lt;=$D478,$A478&lt;&gt;""),"●","")</x:f>
      </x:c>
      <x:c r="AU478" s="165" t="str">
        <x:f>IF(AND(AU$5&gt;=$C478,AU$5&lt;=$D478,$A478&lt;&gt;""),"●","")</x:f>
      </x:c>
      <x:c r="AV478" s="165" t="str">
        <x:f>IF(AND(AV$5&gt;=$C478,AV$5&lt;=$D478,$A478&lt;&gt;""),"●","")</x:f>
      </x:c>
      <x:c r="AW478" s="165" t="str">
        <x:f>IF(AND(AW$5&gt;=$C478,AW$5&lt;=$D478,$A478&lt;&gt;""),"●","")</x:f>
      </x:c>
      <x:c r="AX478" s="165" t="str">
        <x:f>IF(AND(AX$5&gt;=$C478,AX$5&lt;=$D478,$A478&lt;&gt;""),"●","")</x:f>
      </x:c>
      <x:c r="AY478" s="165" t="str">
        <x:f>IF(AND(AY$5&gt;=$C478,AY$5&lt;=$D478,$A478&lt;&gt;""),"●","")</x:f>
      </x:c>
      <x:c r="AZ478" s="165" t="str">
        <x:f>IF(AND(AZ$5&gt;=$C478,AZ$5&lt;=$D478,$A478&lt;&gt;""),"●","")</x:f>
      </x:c>
      <x:c r="BA478" s="165" t="str">
        <x:f>IF(AND(BA$5&gt;=$C478,BA$5&lt;=$D478,$A478&lt;&gt;""),"●","")</x:f>
      </x:c>
      <x:c r="BB478" s="165" t="str">
        <x:f>IF(AND(BB$5&gt;=$C478,BB$5&lt;=$D478,$A478&lt;&gt;""),"●","")</x:f>
      </x:c>
      <x:c r="BC478" s="165" t="str">
        <x:f>IF(AND(BC$5&gt;=$C478,BC$5&lt;=$D478,$A478&lt;&gt;""),"●","")</x:f>
      </x:c>
      <x:c r="BD478" s="165" t="str">
        <x:f>IF(AND(BD$5&gt;=$C478,BD$5&lt;=$D478,$A478&lt;&gt;""),"●","")</x:f>
      </x:c>
      <x:c r="BE478" s="165" t="str">
        <x:f>IF(AND(BE$5&gt;=$C478,BE$5&lt;=$D478,$A478&lt;&gt;""),"●","")</x:f>
      </x:c>
      <x:c r="BF478" s="165" t="str">
        <x:f>IF(AND(BF$5&gt;=$C478,BF$5&lt;=$D478,$A478&lt;&gt;""),"●","")</x:f>
      </x:c>
      <x:c r="BG478" s="165" t="str">
        <x:f>IF(AND(BG$5&gt;=$C478,BG$5&lt;=$D478,$A478&lt;&gt;""),"●","")</x:f>
      </x:c>
      <x:c r="BH478" s="165" t="str">
        <x:f>IF(AND(BH$5&gt;=$C478,BH$5&lt;=$D478,$A478&lt;&gt;""),"●","")</x:f>
      </x:c>
      <x:c r="BI478" s="165" t="str">
        <x:f>IF(AND(BI$5&gt;=$C478,BI$5&lt;=$D478,$A478&lt;&gt;""),"●","")</x:f>
      </x:c>
      <x:c r="BJ478" s="165" t="str">
        <x:f>IF(AND(BJ$5&gt;=$C478,BJ$5&lt;=$D478,$A478&lt;&gt;""),"●","")</x:f>
      </x:c>
      <x:c r="BK478" s="165" t="str">
        <x:f>IF(AND(BK$5&gt;=$C478,BK$5&lt;=$D478,$A478&lt;&gt;""),"●","")</x:f>
      </x:c>
      <x:c r="BL478" s="165" t="str">
        <x:f>IF(AND(BL$5&gt;=$C478,BL$5&lt;=$D478,$A478&lt;&gt;""),"●","")</x:f>
      </x:c>
      <x:c r="BM478" s="165" t="str">
        <x:f>IF(AND(BM$5&gt;=$C478,BM$5&lt;=$D478,$A478&lt;&gt;""),"●","")</x:f>
      </x:c>
      <x:c r="BN478" s="165" t="str">
        <x:f>IF(AND(BN$5&gt;=$C478,BN$5&lt;=$D478,$A478&lt;&gt;""),"●","")</x:f>
      </x:c>
      <x:c r="BO478" s="165" t="str">
        <x:f>IF(AND(BO$5&gt;=$C478,BO$5&lt;=$D478,$A478&lt;&gt;""),"●","")</x:f>
      </x:c>
      <x:c r="BP478" s="165" t="str">
        <x:f>IF(AND(BP$5&gt;=$C478,BP$5&lt;=$D478,$A478&lt;&gt;""),"●","")</x:f>
      </x:c>
      <x:c r="BQ478" s="165" t="str">
        <x:f>IF(AND(BQ$5&gt;=$C478,BQ$5&lt;=$D478,$A478&lt;&gt;""),"●","")</x:f>
      </x:c>
      <x:c r="BR478" s="165" t="str">
        <x:f>IF(AND(BR$5&gt;=$C478,BR$5&lt;=$D478,$A478&lt;&gt;""),"●","")</x:f>
      </x:c>
      <x:c r="BS478" s="165" t="str">
        <x:f>IF(AND(BS$5&gt;=$C478,BS$5&lt;=$D478,$A478&lt;&gt;""),"●","")</x:f>
      </x:c>
      <x:c r="BT478" s="165" t="str">
        <x:f>IF(AND(BT$5&gt;=$C478,BT$5&lt;=$D478,$A478&lt;&gt;""),"●","")</x:f>
      </x:c>
      <x:c r="BU478" s="165" t="str">
        <x:f>IF(AND(BU$5&gt;=$C478,BU$5&lt;=$D478,$A478&lt;&gt;""),"●","")</x:f>
      </x:c>
      <x:c r="BV478" s="165" t="str">
        <x:f>IF(AND(BV$5&gt;=$C478,BV$5&lt;=$D478,$A478&lt;&gt;""),"●","")</x:f>
      </x:c>
      <x:c r="BW478" s="165" t="str">
        <x:f>IF(AND(BW$5&gt;=$C478,BW$5&lt;=$D478,$A478&lt;&gt;""),"●","")</x:f>
      </x:c>
    </x:row>
    <x:row r="479">
      <x:c r="A479" s="159" t="str">
        <x:f>IF('รายการสัญญา'!A479="","",'รายการสัญญา'!A479)</x:f>
      </x:c>
      <x:c r="B479" s="159" t="str">
        <x:f>IF('รายการสัญญา'!A479="","",'รายการสัญญา'!C479)</x:f>
      </x:c>
      <x:c r="C479" s="162" t="str">
        <x:f>IF('รายการสัญญา'!A479="","",'รายการสัญญา'!E479)</x:f>
      </x:c>
      <x:c r="D479" s="162" t="str">
        <x:f>IF('รายการสัญญา'!A479="","",'รายการสัญญา'!G479)</x:f>
      </x:c>
      <x:c r="E479" s="159" t="str">
        <x:f>IF('รายการสัญญา'!A479="","",'รายการสัญญา'!K479)</x:f>
      </x:c>
      <x:c r="F479" s="165" t="str">
        <x:f>IF(AND(F$5&gt;=$C479,F$5&lt;=$D479,$A479&lt;&gt;""),"●","")</x:f>
      </x:c>
      <x:c r="G479" s="165" t="str">
        <x:f>IF(AND(G$5&gt;=$C479,G$5&lt;=$D479,$A479&lt;&gt;""),"●","")</x:f>
      </x:c>
      <x:c r="H479" s="165" t="str">
        <x:f>IF(AND(H$5&gt;=$C479,H$5&lt;=$D479,$A479&lt;&gt;""),"●","")</x:f>
      </x:c>
      <x:c r="I479" s="165" t="str">
        <x:f>IF(AND(I$5&gt;=$C479,I$5&lt;=$D479,$A479&lt;&gt;""),"●","")</x:f>
      </x:c>
      <x:c r="J479" s="165" t="str">
        <x:f>IF(AND(J$5&gt;=$C479,J$5&lt;=$D479,$A479&lt;&gt;""),"●","")</x:f>
      </x:c>
      <x:c r="K479" s="165" t="str">
        <x:f>IF(AND(K$5&gt;=$C479,K$5&lt;=$D479,$A479&lt;&gt;""),"●","")</x:f>
      </x:c>
      <x:c r="L479" s="165" t="str">
        <x:f>IF(AND(L$5&gt;=$C479,L$5&lt;=$D479,$A479&lt;&gt;""),"●","")</x:f>
      </x:c>
      <x:c r="M479" s="165" t="str">
        <x:f>IF(AND(M$5&gt;=$C479,M$5&lt;=$D479,$A479&lt;&gt;""),"●","")</x:f>
      </x:c>
      <x:c r="N479" s="165" t="str">
        <x:f>IF(AND(N$5&gt;=$C479,N$5&lt;=$D479,$A479&lt;&gt;""),"●","")</x:f>
      </x:c>
      <x:c r="O479" s="165" t="str">
        <x:f>IF(AND(O$5&gt;=$C479,O$5&lt;=$D479,$A479&lt;&gt;""),"●","")</x:f>
      </x:c>
      <x:c r="P479" s="165" t="str">
        <x:f>IF(AND(P$5&gt;=$C479,P$5&lt;=$D479,$A479&lt;&gt;""),"●","")</x:f>
      </x:c>
      <x:c r="Q479" s="165" t="str">
        <x:f>IF(AND(Q$5&gt;=$C479,Q$5&lt;=$D479,$A479&lt;&gt;""),"●","")</x:f>
      </x:c>
      <x:c r="R479" s="165" t="str">
        <x:f>IF(AND(R$5&gt;=$C479,R$5&lt;=$D479,$A479&lt;&gt;""),"●","")</x:f>
      </x:c>
      <x:c r="S479" s="165" t="str">
        <x:f>IF(AND(S$5&gt;=$C479,S$5&lt;=$D479,$A479&lt;&gt;""),"●","")</x:f>
      </x:c>
      <x:c r="T479" s="165" t="str">
        <x:f>IF(AND(T$5&gt;=$C479,T$5&lt;=$D479,$A479&lt;&gt;""),"●","")</x:f>
      </x:c>
      <x:c r="U479" s="165" t="str">
        <x:f>IF(AND(U$5&gt;=$C479,U$5&lt;=$D479,$A479&lt;&gt;""),"●","")</x:f>
      </x:c>
      <x:c r="V479" s="165" t="str">
        <x:f>IF(AND(V$5&gt;=$C479,V$5&lt;=$D479,$A479&lt;&gt;""),"●","")</x:f>
      </x:c>
      <x:c r="W479" s="165" t="str">
        <x:f>IF(AND(W$5&gt;=$C479,W$5&lt;=$D479,$A479&lt;&gt;""),"●","")</x:f>
      </x:c>
      <x:c r="X479" s="165" t="str">
        <x:f>IF(AND(X$5&gt;=$C479,X$5&lt;=$D479,$A479&lt;&gt;""),"●","")</x:f>
      </x:c>
      <x:c r="Y479" s="165" t="str">
        <x:f>IF(AND(Y$5&gt;=$C479,Y$5&lt;=$D479,$A479&lt;&gt;""),"●","")</x:f>
      </x:c>
      <x:c r="Z479" s="165" t="str">
        <x:f>IF(AND(Z$5&gt;=$C479,Z$5&lt;=$D479,$A479&lt;&gt;""),"●","")</x:f>
      </x:c>
      <x:c r="AA479" s="165" t="str">
        <x:f>IF(AND(AA$5&gt;=$C479,AA$5&lt;=$D479,$A479&lt;&gt;""),"●","")</x:f>
      </x:c>
      <x:c r="AB479" s="165" t="str">
        <x:f>IF(AND(AB$5&gt;=$C479,AB$5&lt;=$D479,$A479&lt;&gt;""),"●","")</x:f>
      </x:c>
      <x:c r="AC479" s="165" t="str">
        <x:f>IF(AND(AC$5&gt;=$C479,AC$5&lt;=$D479,$A479&lt;&gt;""),"●","")</x:f>
      </x:c>
      <x:c r="AD479" s="165" t="str">
        <x:f>IF(AND(AD$5&gt;=$C479,AD$5&lt;=$D479,$A479&lt;&gt;""),"●","")</x:f>
      </x:c>
      <x:c r="AE479" s="165" t="str">
        <x:f>IF(AND(AE$5&gt;=$C479,AE$5&lt;=$D479,$A479&lt;&gt;""),"●","")</x:f>
      </x:c>
      <x:c r="AF479" s="165" t="str">
        <x:f>IF(AND(AF$5&gt;=$C479,AF$5&lt;=$D479,$A479&lt;&gt;""),"●","")</x:f>
      </x:c>
      <x:c r="AG479" s="165" t="str">
        <x:f>IF(AND(AG$5&gt;=$C479,AG$5&lt;=$D479,$A479&lt;&gt;""),"●","")</x:f>
      </x:c>
      <x:c r="AH479" s="165" t="str">
        <x:f>IF(AND(AH$5&gt;=$C479,AH$5&lt;=$D479,$A479&lt;&gt;""),"●","")</x:f>
      </x:c>
      <x:c r="AI479" s="165" t="str">
        <x:f>IF(AND(AI$5&gt;=$C479,AI$5&lt;=$D479,$A479&lt;&gt;""),"●","")</x:f>
      </x:c>
      <x:c r="AJ479" s="165" t="str">
        <x:f>IF(AND(AJ$5&gt;=$C479,AJ$5&lt;=$D479,$A479&lt;&gt;""),"●","")</x:f>
      </x:c>
      <x:c r="AK479" s="165" t="str">
        <x:f>IF(AND(AK$5&gt;=$C479,AK$5&lt;=$D479,$A479&lt;&gt;""),"●","")</x:f>
      </x:c>
      <x:c r="AL479" s="165" t="str">
        <x:f>IF(AND(AL$5&gt;=$C479,AL$5&lt;=$D479,$A479&lt;&gt;""),"●","")</x:f>
      </x:c>
      <x:c r="AM479" s="165" t="str">
        <x:f>IF(AND(AM$5&gt;=$C479,AM$5&lt;=$D479,$A479&lt;&gt;""),"●","")</x:f>
      </x:c>
      <x:c r="AN479" s="165" t="str">
        <x:f>IF(AND(AN$5&gt;=$C479,AN$5&lt;=$D479,$A479&lt;&gt;""),"●","")</x:f>
      </x:c>
      <x:c r="AO479" s="165" t="str">
        <x:f>IF(AND(AO$5&gt;=$C479,AO$5&lt;=$D479,$A479&lt;&gt;""),"●","")</x:f>
      </x:c>
      <x:c r="AP479" s="165" t="str">
        <x:f>IF(AND(AP$5&gt;=$C479,AP$5&lt;=$D479,$A479&lt;&gt;""),"●","")</x:f>
      </x:c>
      <x:c r="AQ479" s="165" t="str">
        <x:f>IF(AND(AQ$5&gt;=$C479,AQ$5&lt;=$D479,$A479&lt;&gt;""),"●","")</x:f>
      </x:c>
      <x:c r="AR479" s="165" t="str">
        <x:f>IF(AND(AR$5&gt;=$C479,AR$5&lt;=$D479,$A479&lt;&gt;""),"●","")</x:f>
      </x:c>
      <x:c r="AS479" s="165" t="str">
        <x:f>IF(AND(AS$5&gt;=$C479,AS$5&lt;=$D479,$A479&lt;&gt;""),"●","")</x:f>
      </x:c>
      <x:c r="AT479" s="165" t="str">
        <x:f>IF(AND(AT$5&gt;=$C479,AT$5&lt;=$D479,$A479&lt;&gt;""),"●","")</x:f>
      </x:c>
      <x:c r="AU479" s="165" t="str">
        <x:f>IF(AND(AU$5&gt;=$C479,AU$5&lt;=$D479,$A479&lt;&gt;""),"●","")</x:f>
      </x:c>
      <x:c r="AV479" s="165" t="str">
        <x:f>IF(AND(AV$5&gt;=$C479,AV$5&lt;=$D479,$A479&lt;&gt;""),"●","")</x:f>
      </x:c>
      <x:c r="AW479" s="165" t="str">
        <x:f>IF(AND(AW$5&gt;=$C479,AW$5&lt;=$D479,$A479&lt;&gt;""),"●","")</x:f>
      </x:c>
      <x:c r="AX479" s="165" t="str">
        <x:f>IF(AND(AX$5&gt;=$C479,AX$5&lt;=$D479,$A479&lt;&gt;""),"●","")</x:f>
      </x:c>
      <x:c r="AY479" s="165" t="str">
        <x:f>IF(AND(AY$5&gt;=$C479,AY$5&lt;=$D479,$A479&lt;&gt;""),"●","")</x:f>
      </x:c>
      <x:c r="AZ479" s="165" t="str">
        <x:f>IF(AND(AZ$5&gt;=$C479,AZ$5&lt;=$D479,$A479&lt;&gt;""),"●","")</x:f>
      </x:c>
      <x:c r="BA479" s="165" t="str">
        <x:f>IF(AND(BA$5&gt;=$C479,BA$5&lt;=$D479,$A479&lt;&gt;""),"●","")</x:f>
      </x:c>
      <x:c r="BB479" s="165" t="str">
        <x:f>IF(AND(BB$5&gt;=$C479,BB$5&lt;=$D479,$A479&lt;&gt;""),"●","")</x:f>
      </x:c>
      <x:c r="BC479" s="165" t="str">
        <x:f>IF(AND(BC$5&gt;=$C479,BC$5&lt;=$D479,$A479&lt;&gt;""),"●","")</x:f>
      </x:c>
      <x:c r="BD479" s="165" t="str">
        <x:f>IF(AND(BD$5&gt;=$C479,BD$5&lt;=$D479,$A479&lt;&gt;""),"●","")</x:f>
      </x:c>
      <x:c r="BE479" s="165" t="str">
        <x:f>IF(AND(BE$5&gt;=$C479,BE$5&lt;=$D479,$A479&lt;&gt;""),"●","")</x:f>
      </x:c>
      <x:c r="BF479" s="165" t="str">
        <x:f>IF(AND(BF$5&gt;=$C479,BF$5&lt;=$D479,$A479&lt;&gt;""),"●","")</x:f>
      </x:c>
      <x:c r="BG479" s="165" t="str">
        <x:f>IF(AND(BG$5&gt;=$C479,BG$5&lt;=$D479,$A479&lt;&gt;""),"●","")</x:f>
      </x:c>
      <x:c r="BH479" s="165" t="str">
        <x:f>IF(AND(BH$5&gt;=$C479,BH$5&lt;=$D479,$A479&lt;&gt;""),"●","")</x:f>
      </x:c>
      <x:c r="BI479" s="165" t="str">
        <x:f>IF(AND(BI$5&gt;=$C479,BI$5&lt;=$D479,$A479&lt;&gt;""),"●","")</x:f>
      </x:c>
      <x:c r="BJ479" s="165" t="str">
        <x:f>IF(AND(BJ$5&gt;=$C479,BJ$5&lt;=$D479,$A479&lt;&gt;""),"●","")</x:f>
      </x:c>
      <x:c r="BK479" s="165" t="str">
        <x:f>IF(AND(BK$5&gt;=$C479,BK$5&lt;=$D479,$A479&lt;&gt;""),"●","")</x:f>
      </x:c>
      <x:c r="BL479" s="165" t="str">
        <x:f>IF(AND(BL$5&gt;=$C479,BL$5&lt;=$D479,$A479&lt;&gt;""),"●","")</x:f>
      </x:c>
      <x:c r="BM479" s="165" t="str">
        <x:f>IF(AND(BM$5&gt;=$C479,BM$5&lt;=$D479,$A479&lt;&gt;""),"●","")</x:f>
      </x:c>
      <x:c r="BN479" s="165" t="str">
        <x:f>IF(AND(BN$5&gt;=$C479,BN$5&lt;=$D479,$A479&lt;&gt;""),"●","")</x:f>
      </x:c>
      <x:c r="BO479" s="165" t="str">
        <x:f>IF(AND(BO$5&gt;=$C479,BO$5&lt;=$D479,$A479&lt;&gt;""),"●","")</x:f>
      </x:c>
      <x:c r="BP479" s="165" t="str">
        <x:f>IF(AND(BP$5&gt;=$C479,BP$5&lt;=$D479,$A479&lt;&gt;""),"●","")</x:f>
      </x:c>
      <x:c r="BQ479" s="165" t="str">
        <x:f>IF(AND(BQ$5&gt;=$C479,BQ$5&lt;=$D479,$A479&lt;&gt;""),"●","")</x:f>
      </x:c>
      <x:c r="BR479" s="165" t="str">
        <x:f>IF(AND(BR$5&gt;=$C479,BR$5&lt;=$D479,$A479&lt;&gt;""),"●","")</x:f>
      </x:c>
      <x:c r="BS479" s="165" t="str">
        <x:f>IF(AND(BS$5&gt;=$C479,BS$5&lt;=$D479,$A479&lt;&gt;""),"●","")</x:f>
      </x:c>
      <x:c r="BT479" s="165" t="str">
        <x:f>IF(AND(BT$5&gt;=$C479,BT$5&lt;=$D479,$A479&lt;&gt;""),"●","")</x:f>
      </x:c>
      <x:c r="BU479" s="165" t="str">
        <x:f>IF(AND(BU$5&gt;=$C479,BU$5&lt;=$D479,$A479&lt;&gt;""),"●","")</x:f>
      </x:c>
      <x:c r="BV479" s="165" t="str">
        <x:f>IF(AND(BV$5&gt;=$C479,BV$5&lt;=$D479,$A479&lt;&gt;""),"●","")</x:f>
      </x:c>
      <x:c r="BW479" s="165" t="str">
        <x:f>IF(AND(BW$5&gt;=$C479,BW$5&lt;=$D479,$A479&lt;&gt;""),"●","")</x:f>
      </x:c>
    </x:row>
    <x:row r="480">
      <x:c r="A480" s="159" t="str">
        <x:f>IF('รายการสัญญา'!A480="","",'รายการสัญญา'!A480)</x:f>
      </x:c>
      <x:c r="B480" s="159" t="str">
        <x:f>IF('รายการสัญญา'!A480="","",'รายการสัญญา'!C480)</x:f>
      </x:c>
      <x:c r="C480" s="162" t="str">
        <x:f>IF('รายการสัญญา'!A480="","",'รายการสัญญา'!E480)</x:f>
      </x:c>
      <x:c r="D480" s="162" t="str">
        <x:f>IF('รายการสัญญา'!A480="","",'รายการสัญญา'!G480)</x:f>
      </x:c>
      <x:c r="E480" s="159" t="str">
        <x:f>IF('รายการสัญญา'!A480="","",'รายการสัญญา'!K480)</x:f>
      </x:c>
      <x:c r="F480" s="165" t="str">
        <x:f>IF(AND(F$5&gt;=$C480,F$5&lt;=$D480,$A480&lt;&gt;""),"●","")</x:f>
      </x:c>
      <x:c r="G480" s="165" t="str">
        <x:f>IF(AND(G$5&gt;=$C480,G$5&lt;=$D480,$A480&lt;&gt;""),"●","")</x:f>
      </x:c>
      <x:c r="H480" s="165" t="str">
        <x:f>IF(AND(H$5&gt;=$C480,H$5&lt;=$D480,$A480&lt;&gt;""),"●","")</x:f>
      </x:c>
      <x:c r="I480" s="165" t="str">
        <x:f>IF(AND(I$5&gt;=$C480,I$5&lt;=$D480,$A480&lt;&gt;""),"●","")</x:f>
      </x:c>
      <x:c r="J480" s="165" t="str">
        <x:f>IF(AND(J$5&gt;=$C480,J$5&lt;=$D480,$A480&lt;&gt;""),"●","")</x:f>
      </x:c>
      <x:c r="K480" s="165" t="str">
        <x:f>IF(AND(K$5&gt;=$C480,K$5&lt;=$D480,$A480&lt;&gt;""),"●","")</x:f>
      </x:c>
      <x:c r="L480" s="165" t="str">
        <x:f>IF(AND(L$5&gt;=$C480,L$5&lt;=$D480,$A480&lt;&gt;""),"●","")</x:f>
      </x:c>
      <x:c r="M480" s="165" t="str">
        <x:f>IF(AND(M$5&gt;=$C480,M$5&lt;=$D480,$A480&lt;&gt;""),"●","")</x:f>
      </x:c>
      <x:c r="N480" s="165" t="str">
        <x:f>IF(AND(N$5&gt;=$C480,N$5&lt;=$D480,$A480&lt;&gt;""),"●","")</x:f>
      </x:c>
      <x:c r="O480" s="165" t="str">
        <x:f>IF(AND(O$5&gt;=$C480,O$5&lt;=$D480,$A480&lt;&gt;""),"●","")</x:f>
      </x:c>
      <x:c r="P480" s="165" t="str">
        <x:f>IF(AND(P$5&gt;=$C480,P$5&lt;=$D480,$A480&lt;&gt;""),"●","")</x:f>
      </x:c>
      <x:c r="Q480" s="165" t="str">
        <x:f>IF(AND(Q$5&gt;=$C480,Q$5&lt;=$D480,$A480&lt;&gt;""),"●","")</x:f>
      </x:c>
      <x:c r="R480" s="165" t="str">
        <x:f>IF(AND(R$5&gt;=$C480,R$5&lt;=$D480,$A480&lt;&gt;""),"●","")</x:f>
      </x:c>
      <x:c r="S480" s="165" t="str">
        <x:f>IF(AND(S$5&gt;=$C480,S$5&lt;=$D480,$A480&lt;&gt;""),"●","")</x:f>
      </x:c>
      <x:c r="T480" s="165" t="str">
        <x:f>IF(AND(T$5&gt;=$C480,T$5&lt;=$D480,$A480&lt;&gt;""),"●","")</x:f>
      </x:c>
      <x:c r="U480" s="165" t="str">
        <x:f>IF(AND(U$5&gt;=$C480,U$5&lt;=$D480,$A480&lt;&gt;""),"●","")</x:f>
      </x:c>
      <x:c r="V480" s="165" t="str">
        <x:f>IF(AND(V$5&gt;=$C480,V$5&lt;=$D480,$A480&lt;&gt;""),"●","")</x:f>
      </x:c>
      <x:c r="W480" s="165" t="str">
        <x:f>IF(AND(W$5&gt;=$C480,W$5&lt;=$D480,$A480&lt;&gt;""),"●","")</x:f>
      </x:c>
      <x:c r="X480" s="165" t="str">
        <x:f>IF(AND(X$5&gt;=$C480,X$5&lt;=$D480,$A480&lt;&gt;""),"●","")</x:f>
      </x:c>
      <x:c r="Y480" s="165" t="str">
        <x:f>IF(AND(Y$5&gt;=$C480,Y$5&lt;=$D480,$A480&lt;&gt;""),"●","")</x:f>
      </x:c>
      <x:c r="Z480" s="165" t="str">
        <x:f>IF(AND(Z$5&gt;=$C480,Z$5&lt;=$D480,$A480&lt;&gt;""),"●","")</x:f>
      </x:c>
      <x:c r="AA480" s="165" t="str">
        <x:f>IF(AND(AA$5&gt;=$C480,AA$5&lt;=$D480,$A480&lt;&gt;""),"●","")</x:f>
      </x:c>
      <x:c r="AB480" s="165" t="str">
        <x:f>IF(AND(AB$5&gt;=$C480,AB$5&lt;=$D480,$A480&lt;&gt;""),"●","")</x:f>
      </x:c>
      <x:c r="AC480" s="165" t="str">
        <x:f>IF(AND(AC$5&gt;=$C480,AC$5&lt;=$D480,$A480&lt;&gt;""),"●","")</x:f>
      </x:c>
      <x:c r="AD480" s="165" t="str">
        <x:f>IF(AND(AD$5&gt;=$C480,AD$5&lt;=$D480,$A480&lt;&gt;""),"●","")</x:f>
      </x:c>
      <x:c r="AE480" s="165" t="str">
        <x:f>IF(AND(AE$5&gt;=$C480,AE$5&lt;=$D480,$A480&lt;&gt;""),"●","")</x:f>
      </x:c>
      <x:c r="AF480" s="165" t="str">
        <x:f>IF(AND(AF$5&gt;=$C480,AF$5&lt;=$D480,$A480&lt;&gt;""),"●","")</x:f>
      </x:c>
      <x:c r="AG480" s="165" t="str">
        <x:f>IF(AND(AG$5&gt;=$C480,AG$5&lt;=$D480,$A480&lt;&gt;""),"●","")</x:f>
      </x:c>
      <x:c r="AH480" s="165" t="str">
        <x:f>IF(AND(AH$5&gt;=$C480,AH$5&lt;=$D480,$A480&lt;&gt;""),"●","")</x:f>
      </x:c>
      <x:c r="AI480" s="165" t="str">
        <x:f>IF(AND(AI$5&gt;=$C480,AI$5&lt;=$D480,$A480&lt;&gt;""),"●","")</x:f>
      </x:c>
      <x:c r="AJ480" s="165" t="str">
        <x:f>IF(AND(AJ$5&gt;=$C480,AJ$5&lt;=$D480,$A480&lt;&gt;""),"●","")</x:f>
      </x:c>
      <x:c r="AK480" s="165" t="str">
        <x:f>IF(AND(AK$5&gt;=$C480,AK$5&lt;=$D480,$A480&lt;&gt;""),"●","")</x:f>
      </x:c>
      <x:c r="AL480" s="165" t="str">
        <x:f>IF(AND(AL$5&gt;=$C480,AL$5&lt;=$D480,$A480&lt;&gt;""),"●","")</x:f>
      </x:c>
      <x:c r="AM480" s="165" t="str">
        <x:f>IF(AND(AM$5&gt;=$C480,AM$5&lt;=$D480,$A480&lt;&gt;""),"●","")</x:f>
      </x:c>
      <x:c r="AN480" s="165" t="str">
        <x:f>IF(AND(AN$5&gt;=$C480,AN$5&lt;=$D480,$A480&lt;&gt;""),"●","")</x:f>
      </x:c>
      <x:c r="AO480" s="165" t="str">
        <x:f>IF(AND(AO$5&gt;=$C480,AO$5&lt;=$D480,$A480&lt;&gt;""),"●","")</x:f>
      </x:c>
      <x:c r="AP480" s="165" t="str">
        <x:f>IF(AND(AP$5&gt;=$C480,AP$5&lt;=$D480,$A480&lt;&gt;""),"●","")</x:f>
      </x:c>
      <x:c r="AQ480" s="165" t="str">
        <x:f>IF(AND(AQ$5&gt;=$C480,AQ$5&lt;=$D480,$A480&lt;&gt;""),"●","")</x:f>
      </x:c>
      <x:c r="AR480" s="165" t="str">
        <x:f>IF(AND(AR$5&gt;=$C480,AR$5&lt;=$D480,$A480&lt;&gt;""),"●","")</x:f>
      </x:c>
      <x:c r="AS480" s="165" t="str">
        <x:f>IF(AND(AS$5&gt;=$C480,AS$5&lt;=$D480,$A480&lt;&gt;""),"●","")</x:f>
      </x:c>
      <x:c r="AT480" s="165" t="str">
        <x:f>IF(AND(AT$5&gt;=$C480,AT$5&lt;=$D480,$A480&lt;&gt;""),"●","")</x:f>
      </x:c>
      <x:c r="AU480" s="165" t="str">
        <x:f>IF(AND(AU$5&gt;=$C480,AU$5&lt;=$D480,$A480&lt;&gt;""),"●","")</x:f>
      </x:c>
      <x:c r="AV480" s="165" t="str">
        <x:f>IF(AND(AV$5&gt;=$C480,AV$5&lt;=$D480,$A480&lt;&gt;""),"●","")</x:f>
      </x:c>
      <x:c r="AW480" s="165" t="str">
        <x:f>IF(AND(AW$5&gt;=$C480,AW$5&lt;=$D480,$A480&lt;&gt;""),"●","")</x:f>
      </x:c>
      <x:c r="AX480" s="165" t="str">
        <x:f>IF(AND(AX$5&gt;=$C480,AX$5&lt;=$D480,$A480&lt;&gt;""),"●","")</x:f>
      </x:c>
      <x:c r="AY480" s="165" t="str">
        <x:f>IF(AND(AY$5&gt;=$C480,AY$5&lt;=$D480,$A480&lt;&gt;""),"●","")</x:f>
      </x:c>
      <x:c r="AZ480" s="165" t="str">
        <x:f>IF(AND(AZ$5&gt;=$C480,AZ$5&lt;=$D480,$A480&lt;&gt;""),"●","")</x:f>
      </x:c>
      <x:c r="BA480" s="165" t="str">
        <x:f>IF(AND(BA$5&gt;=$C480,BA$5&lt;=$D480,$A480&lt;&gt;""),"●","")</x:f>
      </x:c>
      <x:c r="BB480" s="165" t="str">
        <x:f>IF(AND(BB$5&gt;=$C480,BB$5&lt;=$D480,$A480&lt;&gt;""),"●","")</x:f>
      </x:c>
      <x:c r="BC480" s="165" t="str">
        <x:f>IF(AND(BC$5&gt;=$C480,BC$5&lt;=$D480,$A480&lt;&gt;""),"●","")</x:f>
      </x:c>
      <x:c r="BD480" s="165" t="str">
        <x:f>IF(AND(BD$5&gt;=$C480,BD$5&lt;=$D480,$A480&lt;&gt;""),"●","")</x:f>
      </x:c>
      <x:c r="BE480" s="165" t="str">
        <x:f>IF(AND(BE$5&gt;=$C480,BE$5&lt;=$D480,$A480&lt;&gt;""),"●","")</x:f>
      </x:c>
      <x:c r="BF480" s="165" t="str">
        <x:f>IF(AND(BF$5&gt;=$C480,BF$5&lt;=$D480,$A480&lt;&gt;""),"●","")</x:f>
      </x:c>
      <x:c r="BG480" s="165" t="str">
        <x:f>IF(AND(BG$5&gt;=$C480,BG$5&lt;=$D480,$A480&lt;&gt;""),"●","")</x:f>
      </x:c>
      <x:c r="BH480" s="165" t="str">
        <x:f>IF(AND(BH$5&gt;=$C480,BH$5&lt;=$D480,$A480&lt;&gt;""),"●","")</x:f>
      </x:c>
      <x:c r="BI480" s="165" t="str">
        <x:f>IF(AND(BI$5&gt;=$C480,BI$5&lt;=$D480,$A480&lt;&gt;""),"●","")</x:f>
      </x:c>
      <x:c r="BJ480" s="165" t="str">
        <x:f>IF(AND(BJ$5&gt;=$C480,BJ$5&lt;=$D480,$A480&lt;&gt;""),"●","")</x:f>
      </x:c>
      <x:c r="BK480" s="165" t="str">
        <x:f>IF(AND(BK$5&gt;=$C480,BK$5&lt;=$D480,$A480&lt;&gt;""),"●","")</x:f>
      </x:c>
      <x:c r="BL480" s="165" t="str">
        <x:f>IF(AND(BL$5&gt;=$C480,BL$5&lt;=$D480,$A480&lt;&gt;""),"●","")</x:f>
      </x:c>
      <x:c r="BM480" s="165" t="str">
        <x:f>IF(AND(BM$5&gt;=$C480,BM$5&lt;=$D480,$A480&lt;&gt;""),"●","")</x:f>
      </x:c>
      <x:c r="BN480" s="165" t="str">
        <x:f>IF(AND(BN$5&gt;=$C480,BN$5&lt;=$D480,$A480&lt;&gt;""),"●","")</x:f>
      </x:c>
      <x:c r="BO480" s="165" t="str">
        <x:f>IF(AND(BO$5&gt;=$C480,BO$5&lt;=$D480,$A480&lt;&gt;""),"●","")</x:f>
      </x:c>
      <x:c r="BP480" s="165" t="str">
        <x:f>IF(AND(BP$5&gt;=$C480,BP$5&lt;=$D480,$A480&lt;&gt;""),"●","")</x:f>
      </x:c>
      <x:c r="BQ480" s="165" t="str">
        <x:f>IF(AND(BQ$5&gt;=$C480,BQ$5&lt;=$D480,$A480&lt;&gt;""),"●","")</x:f>
      </x:c>
      <x:c r="BR480" s="165" t="str">
        <x:f>IF(AND(BR$5&gt;=$C480,BR$5&lt;=$D480,$A480&lt;&gt;""),"●","")</x:f>
      </x:c>
      <x:c r="BS480" s="165" t="str">
        <x:f>IF(AND(BS$5&gt;=$C480,BS$5&lt;=$D480,$A480&lt;&gt;""),"●","")</x:f>
      </x:c>
      <x:c r="BT480" s="165" t="str">
        <x:f>IF(AND(BT$5&gt;=$C480,BT$5&lt;=$D480,$A480&lt;&gt;""),"●","")</x:f>
      </x:c>
      <x:c r="BU480" s="165" t="str">
        <x:f>IF(AND(BU$5&gt;=$C480,BU$5&lt;=$D480,$A480&lt;&gt;""),"●","")</x:f>
      </x:c>
      <x:c r="BV480" s="165" t="str">
        <x:f>IF(AND(BV$5&gt;=$C480,BV$5&lt;=$D480,$A480&lt;&gt;""),"●","")</x:f>
      </x:c>
      <x:c r="BW480" s="165" t="str">
        <x:f>IF(AND(BW$5&gt;=$C480,BW$5&lt;=$D480,$A480&lt;&gt;""),"●","")</x:f>
      </x:c>
    </x:row>
    <x:row r="481">
      <x:c r="A481" s="159" t="str">
        <x:f>IF('รายการสัญญา'!A481="","",'รายการสัญญา'!A481)</x:f>
      </x:c>
      <x:c r="B481" s="159" t="str">
        <x:f>IF('รายการสัญญา'!A481="","",'รายการสัญญา'!C481)</x:f>
      </x:c>
      <x:c r="C481" s="162" t="str">
        <x:f>IF('รายการสัญญา'!A481="","",'รายการสัญญา'!E481)</x:f>
      </x:c>
      <x:c r="D481" s="162" t="str">
        <x:f>IF('รายการสัญญา'!A481="","",'รายการสัญญา'!G481)</x:f>
      </x:c>
      <x:c r="E481" s="159" t="str">
        <x:f>IF('รายการสัญญา'!A481="","",'รายการสัญญา'!K481)</x:f>
      </x:c>
      <x:c r="F481" s="165" t="str">
        <x:f>IF(AND(F$5&gt;=$C481,F$5&lt;=$D481,$A481&lt;&gt;""),"●","")</x:f>
      </x:c>
      <x:c r="G481" s="165" t="str">
        <x:f>IF(AND(G$5&gt;=$C481,G$5&lt;=$D481,$A481&lt;&gt;""),"●","")</x:f>
      </x:c>
      <x:c r="H481" s="165" t="str">
        <x:f>IF(AND(H$5&gt;=$C481,H$5&lt;=$D481,$A481&lt;&gt;""),"●","")</x:f>
      </x:c>
      <x:c r="I481" s="165" t="str">
        <x:f>IF(AND(I$5&gt;=$C481,I$5&lt;=$D481,$A481&lt;&gt;""),"●","")</x:f>
      </x:c>
      <x:c r="J481" s="165" t="str">
        <x:f>IF(AND(J$5&gt;=$C481,J$5&lt;=$D481,$A481&lt;&gt;""),"●","")</x:f>
      </x:c>
      <x:c r="K481" s="165" t="str">
        <x:f>IF(AND(K$5&gt;=$C481,K$5&lt;=$D481,$A481&lt;&gt;""),"●","")</x:f>
      </x:c>
      <x:c r="L481" s="165" t="str">
        <x:f>IF(AND(L$5&gt;=$C481,L$5&lt;=$D481,$A481&lt;&gt;""),"●","")</x:f>
      </x:c>
      <x:c r="M481" s="165" t="str">
        <x:f>IF(AND(M$5&gt;=$C481,M$5&lt;=$D481,$A481&lt;&gt;""),"●","")</x:f>
      </x:c>
      <x:c r="N481" s="165" t="str">
        <x:f>IF(AND(N$5&gt;=$C481,N$5&lt;=$D481,$A481&lt;&gt;""),"●","")</x:f>
      </x:c>
      <x:c r="O481" s="165" t="str">
        <x:f>IF(AND(O$5&gt;=$C481,O$5&lt;=$D481,$A481&lt;&gt;""),"●","")</x:f>
      </x:c>
      <x:c r="P481" s="165" t="str">
        <x:f>IF(AND(P$5&gt;=$C481,P$5&lt;=$D481,$A481&lt;&gt;""),"●","")</x:f>
      </x:c>
      <x:c r="Q481" s="165" t="str">
        <x:f>IF(AND(Q$5&gt;=$C481,Q$5&lt;=$D481,$A481&lt;&gt;""),"●","")</x:f>
      </x:c>
      <x:c r="R481" s="165" t="str">
        <x:f>IF(AND(R$5&gt;=$C481,R$5&lt;=$D481,$A481&lt;&gt;""),"●","")</x:f>
      </x:c>
      <x:c r="S481" s="165" t="str">
        <x:f>IF(AND(S$5&gt;=$C481,S$5&lt;=$D481,$A481&lt;&gt;""),"●","")</x:f>
      </x:c>
      <x:c r="T481" s="165" t="str">
        <x:f>IF(AND(T$5&gt;=$C481,T$5&lt;=$D481,$A481&lt;&gt;""),"●","")</x:f>
      </x:c>
      <x:c r="U481" s="165" t="str">
        <x:f>IF(AND(U$5&gt;=$C481,U$5&lt;=$D481,$A481&lt;&gt;""),"●","")</x:f>
      </x:c>
      <x:c r="V481" s="165" t="str">
        <x:f>IF(AND(V$5&gt;=$C481,V$5&lt;=$D481,$A481&lt;&gt;""),"●","")</x:f>
      </x:c>
      <x:c r="W481" s="165" t="str">
        <x:f>IF(AND(W$5&gt;=$C481,W$5&lt;=$D481,$A481&lt;&gt;""),"●","")</x:f>
      </x:c>
      <x:c r="X481" s="165" t="str">
        <x:f>IF(AND(X$5&gt;=$C481,X$5&lt;=$D481,$A481&lt;&gt;""),"●","")</x:f>
      </x:c>
      <x:c r="Y481" s="165" t="str">
        <x:f>IF(AND(Y$5&gt;=$C481,Y$5&lt;=$D481,$A481&lt;&gt;""),"●","")</x:f>
      </x:c>
      <x:c r="Z481" s="165" t="str">
        <x:f>IF(AND(Z$5&gt;=$C481,Z$5&lt;=$D481,$A481&lt;&gt;""),"●","")</x:f>
      </x:c>
      <x:c r="AA481" s="165" t="str">
        <x:f>IF(AND(AA$5&gt;=$C481,AA$5&lt;=$D481,$A481&lt;&gt;""),"●","")</x:f>
      </x:c>
      <x:c r="AB481" s="165" t="str">
        <x:f>IF(AND(AB$5&gt;=$C481,AB$5&lt;=$D481,$A481&lt;&gt;""),"●","")</x:f>
      </x:c>
      <x:c r="AC481" s="165" t="str">
        <x:f>IF(AND(AC$5&gt;=$C481,AC$5&lt;=$D481,$A481&lt;&gt;""),"●","")</x:f>
      </x:c>
      <x:c r="AD481" s="165" t="str">
        <x:f>IF(AND(AD$5&gt;=$C481,AD$5&lt;=$D481,$A481&lt;&gt;""),"●","")</x:f>
      </x:c>
      <x:c r="AE481" s="165" t="str">
        <x:f>IF(AND(AE$5&gt;=$C481,AE$5&lt;=$D481,$A481&lt;&gt;""),"●","")</x:f>
      </x:c>
      <x:c r="AF481" s="165" t="str">
        <x:f>IF(AND(AF$5&gt;=$C481,AF$5&lt;=$D481,$A481&lt;&gt;""),"●","")</x:f>
      </x:c>
      <x:c r="AG481" s="165" t="str">
        <x:f>IF(AND(AG$5&gt;=$C481,AG$5&lt;=$D481,$A481&lt;&gt;""),"●","")</x:f>
      </x:c>
      <x:c r="AH481" s="165" t="str">
        <x:f>IF(AND(AH$5&gt;=$C481,AH$5&lt;=$D481,$A481&lt;&gt;""),"●","")</x:f>
      </x:c>
      <x:c r="AI481" s="165" t="str">
        <x:f>IF(AND(AI$5&gt;=$C481,AI$5&lt;=$D481,$A481&lt;&gt;""),"●","")</x:f>
      </x:c>
      <x:c r="AJ481" s="165" t="str">
        <x:f>IF(AND(AJ$5&gt;=$C481,AJ$5&lt;=$D481,$A481&lt;&gt;""),"●","")</x:f>
      </x:c>
      <x:c r="AK481" s="165" t="str">
        <x:f>IF(AND(AK$5&gt;=$C481,AK$5&lt;=$D481,$A481&lt;&gt;""),"●","")</x:f>
      </x:c>
      <x:c r="AL481" s="165" t="str">
        <x:f>IF(AND(AL$5&gt;=$C481,AL$5&lt;=$D481,$A481&lt;&gt;""),"●","")</x:f>
      </x:c>
      <x:c r="AM481" s="165" t="str">
        <x:f>IF(AND(AM$5&gt;=$C481,AM$5&lt;=$D481,$A481&lt;&gt;""),"●","")</x:f>
      </x:c>
      <x:c r="AN481" s="165" t="str">
        <x:f>IF(AND(AN$5&gt;=$C481,AN$5&lt;=$D481,$A481&lt;&gt;""),"●","")</x:f>
      </x:c>
      <x:c r="AO481" s="165" t="str">
        <x:f>IF(AND(AO$5&gt;=$C481,AO$5&lt;=$D481,$A481&lt;&gt;""),"●","")</x:f>
      </x:c>
      <x:c r="AP481" s="165" t="str">
        <x:f>IF(AND(AP$5&gt;=$C481,AP$5&lt;=$D481,$A481&lt;&gt;""),"●","")</x:f>
      </x:c>
      <x:c r="AQ481" s="165" t="str">
        <x:f>IF(AND(AQ$5&gt;=$C481,AQ$5&lt;=$D481,$A481&lt;&gt;""),"●","")</x:f>
      </x:c>
      <x:c r="AR481" s="165" t="str">
        <x:f>IF(AND(AR$5&gt;=$C481,AR$5&lt;=$D481,$A481&lt;&gt;""),"●","")</x:f>
      </x:c>
      <x:c r="AS481" s="165" t="str">
        <x:f>IF(AND(AS$5&gt;=$C481,AS$5&lt;=$D481,$A481&lt;&gt;""),"●","")</x:f>
      </x:c>
      <x:c r="AT481" s="165" t="str">
        <x:f>IF(AND(AT$5&gt;=$C481,AT$5&lt;=$D481,$A481&lt;&gt;""),"●","")</x:f>
      </x:c>
      <x:c r="AU481" s="165" t="str">
        <x:f>IF(AND(AU$5&gt;=$C481,AU$5&lt;=$D481,$A481&lt;&gt;""),"●","")</x:f>
      </x:c>
      <x:c r="AV481" s="165" t="str">
        <x:f>IF(AND(AV$5&gt;=$C481,AV$5&lt;=$D481,$A481&lt;&gt;""),"●","")</x:f>
      </x:c>
      <x:c r="AW481" s="165" t="str">
        <x:f>IF(AND(AW$5&gt;=$C481,AW$5&lt;=$D481,$A481&lt;&gt;""),"●","")</x:f>
      </x:c>
      <x:c r="AX481" s="165" t="str">
        <x:f>IF(AND(AX$5&gt;=$C481,AX$5&lt;=$D481,$A481&lt;&gt;""),"●","")</x:f>
      </x:c>
      <x:c r="AY481" s="165" t="str">
        <x:f>IF(AND(AY$5&gt;=$C481,AY$5&lt;=$D481,$A481&lt;&gt;""),"●","")</x:f>
      </x:c>
      <x:c r="AZ481" s="165" t="str">
        <x:f>IF(AND(AZ$5&gt;=$C481,AZ$5&lt;=$D481,$A481&lt;&gt;""),"●","")</x:f>
      </x:c>
      <x:c r="BA481" s="165" t="str">
        <x:f>IF(AND(BA$5&gt;=$C481,BA$5&lt;=$D481,$A481&lt;&gt;""),"●","")</x:f>
      </x:c>
      <x:c r="BB481" s="165" t="str">
        <x:f>IF(AND(BB$5&gt;=$C481,BB$5&lt;=$D481,$A481&lt;&gt;""),"●","")</x:f>
      </x:c>
      <x:c r="BC481" s="165" t="str">
        <x:f>IF(AND(BC$5&gt;=$C481,BC$5&lt;=$D481,$A481&lt;&gt;""),"●","")</x:f>
      </x:c>
      <x:c r="BD481" s="165" t="str">
        <x:f>IF(AND(BD$5&gt;=$C481,BD$5&lt;=$D481,$A481&lt;&gt;""),"●","")</x:f>
      </x:c>
      <x:c r="BE481" s="165" t="str">
        <x:f>IF(AND(BE$5&gt;=$C481,BE$5&lt;=$D481,$A481&lt;&gt;""),"●","")</x:f>
      </x:c>
      <x:c r="BF481" s="165" t="str">
        <x:f>IF(AND(BF$5&gt;=$C481,BF$5&lt;=$D481,$A481&lt;&gt;""),"●","")</x:f>
      </x:c>
      <x:c r="BG481" s="165" t="str">
        <x:f>IF(AND(BG$5&gt;=$C481,BG$5&lt;=$D481,$A481&lt;&gt;""),"●","")</x:f>
      </x:c>
      <x:c r="BH481" s="165" t="str">
        <x:f>IF(AND(BH$5&gt;=$C481,BH$5&lt;=$D481,$A481&lt;&gt;""),"●","")</x:f>
      </x:c>
      <x:c r="BI481" s="165" t="str">
        <x:f>IF(AND(BI$5&gt;=$C481,BI$5&lt;=$D481,$A481&lt;&gt;""),"●","")</x:f>
      </x:c>
      <x:c r="BJ481" s="165" t="str">
        <x:f>IF(AND(BJ$5&gt;=$C481,BJ$5&lt;=$D481,$A481&lt;&gt;""),"●","")</x:f>
      </x:c>
      <x:c r="BK481" s="165" t="str">
        <x:f>IF(AND(BK$5&gt;=$C481,BK$5&lt;=$D481,$A481&lt;&gt;""),"●","")</x:f>
      </x:c>
      <x:c r="BL481" s="165" t="str">
        <x:f>IF(AND(BL$5&gt;=$C481,BL$5&lt;=$D481,$A481&lt;&gt;""),"●","")</x:f>
      </x:c>
      <x:c r="BM481" s="165" t="str">
        <x:f>IF(AND(BM$5&gt;=$C481,BM$5&lt;=$D481,$A481&lt;&gt;""),"●","")</x:f>
      </x:c>
      <x:c r="BN481" s="165" t="str">
        <x:f>IF(AND(BN$5&gt;=$C481,BN$5&lt;=$D481,$A481&lt;&gt;""),"●","")</x:f>
      </x:c>
      <x:c r="BO481" s="165" t="str">
        <x:f>IF(AND(BO$5&gt;=$C481,BO$5&lt;=$D481,$A481&lt;&gt;""),"●","")</x:f>
      </x:c>
      <x:c r="BP481" s="165" t="str">
        <x:f>IF(AND(BP$5&gt;=$C481,BP$5&lt;=$D481,$A481&lt;&gt;""),"●","")</x:f>
      </x:c>
      <x:c r="BQ481" s="165" t="str">
        <x:f>IF(AND(BQ$5&gt;=$C481,BQ$5&lt;=$D481,$A481&lt;&gt;""),"●","")</x:f>
      </x:c>
      <x:c r="BR481" s="165" t="str">
        <x:f>IF(AND(BR$5&gt;=$C481,BR$5&lt;=$D481,$A481&lt;&gt;""),"●","")</x:f>
      </x:c>
      <x:c r="BS481" s="165" t="str">
        <x:f>IF(AND(BS$5&gt;=$C481,BS$5&lt;=$D481,$A481&lt;&gt;""),"●","")</x:f>
      </x:c>
      <x:c r="BT481" s="165" t="str">
        <x:f>IF(AND(BT$5&gt;=$C481,BT$5&lt;=$D481,$A481&lt;&gt;""),"●","")</x:f>
      </x:c>
      <x:c r="BU481" s="165" t="str">
        <x:f>IF(AND(BU$5&gt;=$C481,BU$5&lt;=$D481,$A481&lt;&gt;""),"●","")</x:f>
      </x:c>
      <x:c r="BV481" s="165" t="str">
        <x:f>IF(AND(BV$5&gt;=$C481,BV$5&lt;=$D481,$A481&lt;&gt;""),"●","")</x:f>
      </x:c>
      <x:c r="BW481" s="165" t="str">
        <x:f>IF(AND(BW$5&gt;=$C481,BW$5&lt;=$D481,$A481&lt;&gt;""),"●","")</x:f>
      </x:c>
    </x:row>
    <x:row r="482">
      <x:c r="A482" s="159" t="str">
        <x:f>IF('รายการสัญญา'!A482="","",'รายการสัญญา'!A482)</x:f>
      </x:c>
      <x:c r="B482" s="159" t="str">
        <x:f>IF('รายการสัญญา'!A482="","",'รายการสัญญา'!C482)</x:f>
      </x:c>
      <x:c r="C482" s="162" t="str">
        <x:f>IF('รายการสัญญา'!A482="","",'รายการสัญญา'!E482)</x:f>
      </x:c>
      <x:c r="D482" s="162" t="str">
        <x:f>IF('รายการสัญญา'!A482="","",'รายการสัญญา'!G482)</x:f>
      </x:c>
      <x:c r="E482" s="159" t="str">
        <x:f>IF('รายการสัญญา'!A482="","",'รายการสัญญา'!K482)</x:f>
      </x:c>
      <x:c r="F482" s="165" t="str">
        <x:f>IF(AND(F$5&gt;=$C482,F$5&lt;=$D482,$A482&lt;&gt;""),"●","")</x:f>
      </x:c>
      <x:c r="G482" s="165" t="str">
        <x:f>IF(AND(G$5&gt;=$C482,G$5&lt;=$D482,$A482&lt;&gt;""),"●","")</x:f>
      </x:c>
      <x:c r="H482" s="165" t="str">
        <x:f>IF(AND(H$5&gt;=$C482,H$5&lt;=$D482,$A482&lt;&gt;""),"●","")</x:f>
      </x:c>
      <x:c r="I482" s="165" t="str">
        <x:f>IF(AND(I$5&gt;=$C482,I$5&lt;=$D482,$A482&lt;&gt;""),"●","")</x:f>
      </x:c>
      <x:c r="J482" s="165" t="str">
        <x:f>IF(AND(J$5&gt;=$C482,J$5&lt;=$D482,$A482&lt;&gt;""),"●","")</x:f>
      </x:c>
      <x:c r="K482" s="165" t="str">
        <x:f>IF(AND(K$5&gt;=$C482,K$5&lt;=$D482,$A482&lt;&gt;""),"●","")</x:f>
      </x:c>
      <x:c r="L482" s="165" t="str">
        <x:f>IF(AND(L$5&gt;=$C482,L$5&lt;=$D482,$A482&lt;&gt;""),"●","")</x:f>
      </x:c>
      <x:c r="M482" s="165" t="str">
        <x:f>IF(AND(M$5&gt;=$C482,M$5&lt;=$D482,$A482&lt;&gt;""),"●","")</x:f>
      </x:c>
      <x:c r="N482" s="165" t="str">
        <x:f>IF(AND(N$5&gt;=$C482,N$5&lt;=$D482,$A482&lt;&gt;""),"●","")</x:f>
      </x:c>
      <x:c r="O482" s="165" t="str">
        <x:f>IF(AND(O$5&gt;=$C482,O$5&lt;=$D482,$A482&lt;&gt;""),"●","")</x:f>
      </x:c>
      <x:c r="P482" s="165" t="str">
        <x:f>IF(AND(P$5&gt;=$C482,P$5&lt;=$D482,$A482&lt;&gt;""),"●","")</x:f>
      </x:c>
      <x:c r="Q482" s="165" t="str">
        <x:f>IF(AND(Q$5&gt;=$C482,Q$5&lt;=$D482,$A482&lt;&gt;""),"●","")</x:f>
      </x:c>
      <x:c r="R482" s="165" t="str">
        <x:f>IF(AND(R$5&gt;=$C482,R$5&lt;=$D482,$A482&lt;&gt;""),"●","")</x:f>
      </x:c>
      <x:c r="S482" s="165" t="str">
        <x:f>IF(AND(S$5&gt;=$C482,S$5&lt;=$D482,$A482&lt;&gt;""),"●","")</x:f>
      </x:c>
      <x:c r="T482" s="165" t="str">
        <x:f>IF(AND(T$5&gt;=$C482,T$5&lt;=$D482,$A482&lt;&gt;""),"●","")</x:f>
      </x:c>
      <x:c r="U482" s="165" t="str">
        <x:f>IF(AND(U$5&gt;=$C482,U$5&lt;=$D482,$A482&lt;&gt;""),"●","")</x:f>
      </x:c>
      <x:c r="V482" s="165" t="str">
        <x:f>IF(AND(V$5&gt;=$C482,V$5&lt;=$D482,$A482&lt;&gt;""),"●","")</x:f>
      </x:c>
      <x:c r="W482" s="165" t="str">
        <x:f>IF(AND(W$5&gt;=$C482,W$5&lt;=$D482,$A482&lt;&gt;""),"●","")</x:f>
      </x:c>
      <x:c r="X482" s="165" t="str">
        <x:f>IF(AND(X$5&gt;=$C482,X$5&lt;=$D482,$A482&lt;&gt;""),"●","")</x:f>
      </x:c>
      <x:c r="Y482" s="165" t="str">
        <x:f>IF(AND(Y$5&gt;=$C482,Y$5&lt;=$D482,$A482&lt;&gt;""),"●","")</x:f>
      </x:c>
      <x:c r="Z482" s="165" t="str">
        <x:f>IF(AND(Z$5&gt;=$C482,Z$5&lt;=$D482,$A482&lt;&gt;""),"●","")</x:f>
      </x:c>
      <x:c r="AA482" s="165" t="str">
        <x:f>IF(AND(AA$5&gt;=$C482,AA$5&lt;=$D482,$A482&lt;&gt;""),"●","")</x:f>
      </x:c>
      <x:c r="AB482" s="165" t="str">
        <x:f>IF(AND(AB$5&gt;=$C482,AB$5&lt;=$D482,$A482&lt;&gt;""),"●","")</x:f>
      </x:c>
      <x:c r="AC482" s="165" t="str">
        <x:f>IF(AND(AC$5&gt;=$C482,AC$5&lt;=$D482,$A482&lt;&gt;""),"●","")</x:f>
      </x:c>
      <x:c r="AD482" s="165" t="str">
        <x:f>IF(AND(AD$5&gt;=$C482,AD$5&lt;=$D482,$A482&lt;&gt;""),"●","")</x:f>
      </x:c>
      <x:c r="AE482" s="165" t="str">
        <x:f>IF(AND(AE$5&gt;=$C482,AE$5&lt;=$D482,$A482&lt;&gt;""),"●","")</x:f>
      </x:c>
      <x:c r="AF482" s="165" t="str">
        <x:f>IF(AND(AF$5&gt;=$C482,AF$5&lt;=$D482,$A482&lt;&gt;""),"●","")</x:f>
      </x:c>
      <x:c r="AG482" s="165" t="str">
        <x:f>IF(AND(AG$5&gt;=$C482,AG$5&lt;=$D482,$A482&lt;&gt;""),"●","")</x:f>
      </x:c>
      <x:c r="AH482" s="165" t="str">
        <x:f>IF(AND(AH$5&gt;=$C482,AH$5&lt;=$D482,$A482&lt;&gt;""),"●","")</x:f>
      </x:c>
      <x:c r="AI482" s="165" t="str">
        <x:f>IF(AND(AI$5&gt;=$C482,AI$5&lt;=$D482,$A482&lt;&gt;""),"●","")</x:f>
      </x:c>
      <x:c r="AJ482" s="165" t="str">
        <x:f>IF(AND(AJ$5&gt;=$C482,AJ$5&lt;=$D482,$A482&lt;&gt;""),"●","")</x:f>
      </x:c>
      <x:c r="AK482" s="165" t="str">
        <x:f>IF(AND(AK$5&gt;=$C482,AK$5&lt;=$D482,$A482&lt;&gt;""),"●","")</x:f>
      </x:c>
      <x:c r="AL482" s="165" t="str">
        <x:f>IF(AND(AL$5&gt;=$C482,AL$5&lt;=$D482,$A482&lt;&gt;""),"●","")</x:f>
      </x:c>
      <x:c r="AM482" s="165" t="str">
        <x:f>IF(AND(AM$5&gt;=$C482,AM$5&lt;=$D482,$A482&lt;&gt;""),"●","")</x:f>
      </x:c>
      <x:c r="AN482" s="165" t="str">
        <x:f>IF(AND(AN$5&gt;=$C482,AN$5&lt;=$D482,$A482&lt;&gt;""),"●","")</x:f>
      </x:c>
      <x:c r="AO482" s="165" t="str">
        <x:f>IF(AND(AO$5&gt;=$C482,AO$5&lt;=$D482,$A482&lt;&gt;""),"●","")</x:f>
      </x:c>
      <x:c r="AP482" s="165" t="str">
        <x:f>IF(AND(AP$5&gt;=$C482,AP$5&lt;=$D482,$A482&lt;&gt;""),"●","")</x:f>
      </x:c>
      <x:c r="AQ482" s="165" t="str">
        <x:f>IF(AND(AQ$5&gt;=$C482,AQ$5&lt;=$D482,$A482&lt;&gt;""),"●","")</x:f>
      </x:c>
      <x:c r="AR482" s="165" t="str">
        <x:f>IF(AND(AR$5&gt;=$C482,AR$5&lt;=$D482,$A482&lt;&gt;""),"●","")</x:f>
      </x:c>
      <x:c r="AS482" s="165" t="str">
        <x:f>IF(AND(AS$5&gt;=$C482,AS$5&lt;=$D482,$A482&lt;&gt;""),"●","")</x:f>
      </x:c>
      <x:c r="AT482" s="165" t="str">
        <x:f>IF(AND(AT$5&gt;=$C482,AT$5&lt;=$D482,$A482&lt;&gt;""),"●","")</x:f>
      </x:c>
      <x:c r="AU482" s="165" t="str">
        <x:f>IF(AND(AU$5&gt;=$C482,AU$5&lt;=$D482,$A482&lt;&gt;""),"●","")</x:f>
      </x:c>
      <x:c r="AV482" s="165" t="str">
        <x:f>IF(AND(AV$5&gt;=$C482,AV$5&lt;=$D482,$A482&lt;&gt;""),"●","")</x:f>
      </x:c>
      <x:c r="AW482" s="165" t="str">
        <x:f>IF(AND(AW$5&gt;=$C482,AW$5&lt;=$D482,$A482&lt;&gt;""),"●","")</x:f>
      </x:c>
      <x:c r="AX482" s="165" t="str">
        <x:f>IF(AND(AX$5&gt;=$C482,AX$5&lt;=$D482,$A482&lt;&gt;""),"●","")</x:f>
      </x:c>
      <x:c r="AY482" s="165" t="str">
        <x:f>IF(AND(AY$5&gt;=$C482,AY$5&lt;=$D482,$A482&lt;&gt;""),"●","")</x:f>
      </x:c>
      <x:c r="AZ482" s="165" t="str">
        <x:f>IF(AND(AZ$5&gt;=$C482,AZ$5&lt;=$D482,$A482&lt;&gt;""),"●","")</x:f>
      </x:c>
      <x:c r="BA482" s="165" t="str">
        <x:f>IF(AND(BA$5&gt;=$C482,BA$5&lt;=$D482,$A482&lt;&gt;""),"●","")</x:f>
      </x:c>
      <x:c r="BB482" s="165" t="str">
        <x:f>IF(AND(BB$5&gt;=$C482,BB$5&lt;=$D482,$A482&lt;&gt;""),"●","")</x:f>
      </x:c>
      <x:c r="BC482" s="165" t="str">
        <x:f>IF(AND(BC$5&gt;=$C482,BC$5&lt;=$D482,$A482&lt;&gt;""),"●","")</x:f>
      </x:c>
      <x:c r="BD482" s="165" t="str">
        <x:f>IF(AND(BD$5&gt;=$C482,BD$5&lt;=$D482,$A482&lt;&gt;""),"●","")</x:f>
      </x:c>
      <x:c r="BE482" s="165" t="str">
        <x:f>IF(AND(BE$5&gt;=$C482,BE$5&lt;=$D482,$A482&lt;&gt;""),"●","")</x:f>
      </x:c>
      <x:c r="BF482" s="165" t="str">
        <x:f>IF(AND(BF$5&gt;=$C482,BF$5&lt;=$D482,$A482&lt;&gt;""),"●","")</x:f>
      </x:c>
      <x:c r="BG482" s="165" t="str">
        <x:f>IF(AND(BG$5&gt;=$C482,BG$5&lt;=$D482,$A482&lt;&gt;""),"●","")</x:f>
      </x:c>
      <x:c r="BH482" s="165" t="str">
        <x:f>IF(AND(BH$5&gt;=$C482,BH$5&lt;=$D482,$A482&lt;&gt;""),"●","")</x:f>
      </x:c>
      <x:c r="BI482" s="165" t="str">
        <x:f>IF(AND(BI$5&gt;=$C482,BI$5&lt;=$D482,$A482&lt;&gt;""),"●","")</x:f>
      </x:c>
      <x:c r="BJ482" s="165" t="str">
        <x:f>IF(AND(BJ$5&gt;=$C482,BJ$5&lt;=$D482,$A482&lt;&gt;""),"●","")</x:f>
      </x:c>
      <x:c r="BK482" s="165" t="str">
        <x:f>IF(AND(BK$5&gt;=$C482,BK$5&lt;=$D482,$A482&lt;&gt;""),"●","")</x:f>
      </x:c>
      <x:c r="BL482" s="165" t="str">
        <x:f>IF(AND(BL$5&gt;=$C482,BL$5&lt;=$D482,$A482&lt;&gt;""),"●","")</x:f>
      </x:c>
      <x:c r="BM482" s="165" t="str">
        <x:f>IF(AND(BM$5&gt;=$C482,BM$5&lt;=$D482,$A482&lt;&gt;""),"●","")</x:f>
      </x:c>
      <x:c r="BN482" s="165" t="str">
        <x:f>IF(AND(BN$5&gt;=$C482,BN$5&lt;=$D482,$A482&lt;&gt;""),"●","")</x:f>
      </x:c>
      <x:c r="BO482" s="165" t="str">
        <x:f>IF(AND(BO$5&gt;=$C482,BO$5&lt;=$D482,$A482&lt;&gt;""),"●","")</x:f>
      </x:c>
      <x:c r="BP482" s="165" t="str">
        <x:f>IF(AND(BP$5&gt;=$C482,BP$5&lt;=$D482,$A482&lt;&gt;""),"●","")</x:f>
      </x:c>
      <x:c r="BQ482" s="165" t="str">
        <x:f>IF(AND(BQ$5&gt;=$C482,BQ$5&lt;=$D482,$A482&lt;&gt;""),"●","")</x:f>
      </x:c>
      <x:c r="BR482" s="165" t="str">
        <x:f>IF(AND(BR$5&gt;=$C482,BR$5&lt;=$D482,$A482&lt;&gt;""),"●","")</x:f>
      </x:c>
      <x:c r="BS482" s="165" t="str">
        <x:f>IF(AND(BS$5&gt;=$C482,BS$5&lt;=$D482,$A482&lt;&gt;""),"●","")</x:f>
      </x:c>
      <x:c r="BT482" s="165" t="str">
        <x:f>IF(AND(BT$5&gt;=$C482,BT$5&lt;=$D482,$A482&lt;&gt;""),"●","")</x:f>
      </x:c>
      <x:c r="BU482" s="165" t="str">
        <x:f>IF(AND(BU$5&gt;=$C482,BU$5&lt;=$D482,$A482&lt;&gt;""),"●","")</x:f>
      </x:c>
      <x:c r="BV482" s="165" t="str">
        <x:f>IF(AND(BV$5&gt;=$C482,BV$5&lt;=$D482,$A482&lt;&gt;""),"●","")</x:f>
      </x:c>
      <x:c r="BW482" s="165" t="str">
        <x:f>IF(AND(BW$5&gt;=$C482,BW$5&lt;=$D482,$A482&lt;&gt;""),"●","")</x:f>
      </x:c>
    </x:row>
    <x:row r="483">
      <x:c r="A483" s="159" t="str">
        <x:f>IF('รายการสัญญา'!A483="","",'รายการสัญญา'!A483)</x:f>
      </x:c>
      <x:c r="B483" s="159" t="str">
        <x:f>IF('รายการสัญญา'!A483="","",'รายการสัญญา'!C483)</x:f>
      </x:c>
      <x:c r="C483" s="162" t="str">
        <x:f>IF('รายการสัญญา'!A483="","",'รายการสัญญา'!E483)</x:f>
      </x:c>
      <x:c r="D483" s="162" t="str">
        <x:f>IF('รายการสัญญา'!A483="","",'รายการสัญญา'!G483)</x:f>
      </x:c>
      <x:c r="E483" s="159" t="str">
        <x:f>IF('รายการสัญญา'!A483="","",'รายการสัญญา'!K483)</x:f>
      </x:c>
      <x:c r="F483" s="165" t="str">
        <x:f>IF(AND(F$5&gt;=$C483,F$5&lt;=$D483,$A483&lt;&gt;""),"●","")</x:f>
      </x:c>
      <x:c r="G483" s="165" t="str">
        <x:f>IF(AND(G$5&gt;=$C483,G$5&lt;=$D483,$A483&lt;&gt;""),"●","")</x:f>
      </x:c>
      <x:c r="H483" s="165" t="str">
        <x:f>IF(AND(H$5&gt;=$C483,H$5&lt;=$D483,$A483&lt;&gt;""),"●","")</x:f>
      </x:c>
      <x:c r="I483" s="165" t="str">
        <x:f>IF(AND(I$5&gt;=$C483,I$5&lt;=$D483,$A483&lt;&gt;""),"●","")</x:f>
      </x:c>
      <x:c r="J483" s="165" t="str">
        <x:f>IF(AND(J$5&gt;=$C483,J$5&lt;=$D483,$A483&lt;&gt;""),"●","")</x:f>
      </x:c>
      <x:c r="K483" s="165" t="str">
        <x:f>IF(AND(K$5&gt;=$C483,K$5&lt;=$D483,$A483&lt;&gt;""),"●","")</x:f>
      </x:c>
      <x:c r="L483" s="165" t="str">
        <x:f>IF(AND(L$5&gt;=$C483,L$5&lt;=$D483,$A483&lt;&gt;""),"●","")</x:f>
      </x:c>
      <x:c r="M483" s="165" t="str">
        <x:f>IF(AND(M$5&gt;=$C483,M$5&lt;=$D483,$A483&lt;&gt;""),"●","")</x:f>
      </x:c>
      <x:c r="N483" s="165" t="str">
        <x:f>IF(AND(N$5&gt;=$C483,N$5&lt;=$D483,$A483&lt;&gt;""),"●","")</x:f>
      </x:c>
      <x:c r="O483" s="165" t="str">
        <x:f>IF(AND(O$5&gt;=$C483,O$5&lt;=$D483,$A483&lt;&gt;""),"●","")</x:f>
      </x:c>
      <x:c r="P483" s="165" t="str">
        <x:f>IF(AND(P$5&gt;=$C483,P$5&lt;=$D483,$A483&lt;&gt;""),"●","")</x:f>
      </x:c>
      <x:c r="Q483" s="165" t="str">
        <x:f>IF(AND(Q$5&gt;=$C483,Q$5&lt;=$D483,$A483&lt;&gt;""),"●","")</x:f>
      </x:c>
      <x:c r="R483" s="165" t="str">
        <x:f>IF(AND(R$5&gt;=$C483,R$5&lt;=$D483,$A483&lt;&gt;""),"●","")</x:f>
      </x:c>
      <x:c r="S483" s="165" t="str">
        <x:f>IF(AND(S$5&gt;=$C483,S$5&lt;=$D483,$A483&lt;&gt;""),"●","")</x:f>
      </x:c>
      <x:c r="T483" s="165" t="str">
        <x:f>IF(AND(T$5&gt;=$C483,T$5&lt;=$D483,$A483&lt;&gt;""),"●","")</x:f>
      </x:c>
      <x:c r="U483" s="165" t="str">
        <x:f>IF(AND(U$5&gt;=$C483,U$5&lt;=$D483,$A483&lt;&gt;""),"●","")</x:f>
      </x:c>
      <x:c r="V483" s="165" t="str">
        <x:f>IF(AND(V$5&gt;=$C483,V$5&lt;=$D483,$A483&lt;&gt;""),"●","")</x:f>
      </x:c>
      <x:c r="W483" s="165" t="str">
        <x:f>IF(AND(W$5&gt;=$C483,W$5&lt;=$D483,$A483&lt;&gt;""),"●","")</x:f>
      </x:c>
      <x:c r="X483" s="165" t="str">
        <x:f>IF(AND(X$5&gt;=$C483,X$5&lt;=$D483,$A483&lt;&gt;""),"●","")</x:f>
      </x:c>
      <x:c r="Y483" s="165" t="str">
        <x:f>IF(AND(Y$5&gt;=$C483,Y$5&lt;=$D483,$A483&lt;&gt;""),"●","")</x:f>
      </x:c>
      <x:c r="Z483" s="165" t="str">
        <x:f>IF(AND(Z$5&gt;=$C483,Z$5&lt;=$D483,$A483&lt;&gt;""),"●","")</x:f>
      </x:c>
      <x:c r="AA483" s="165" t="str">
        <x:f>IF(AND(AA$5&gt;=$C483,AA$5&lt;=$D483,$A483&lt;&gt;""),"●","")</x:f>
      </x:c>
      <x:c r="AB483" s="165" t="str">
        <x:f>IF(AND(AB$5&gt;=$C483,AB$5&lt;=$D483,$A483&lt;&gt;""),"●","")</x:f>
      </x:c>
      <x:c r="AC483" s="165" t="str">
        <x:f>IF(AND(AC$5&gt;=$C483,AC$5&lt;=$D483,$A483&lt;&gt;""),"●","")</x:f>
      </x:c>
      <x:c r="AD483" s="165" t="str">
        <x:f>IF(AND(AD$5&gt;=$C483,AD$5&lt;=$D483,$A483&lt;&gt;""),"●","")</x:f>
      </x:c>
      <x:c r="AE483" s="165" t="str">
        <x:f>IF(AND(AE$5&gt;=$C483,AE$5&lt;=$D483,$A483&lt;&gt;""),"●","")</x:f>
      </x:c>
      <x:c r="AF483" s="165" t="str">
        <x:f>IF(AND(AF$5&gt;=$C483,AF$5&lt;=$D483,$A483&lt;&gt;""),"●","")</x:f>
      </x:c>
      <x:c r="AG483" s="165" t="str">
        <x:f>IF(AND(AG$5&gt;=$C483,AG$5&lt;=$D483,$A483&lt;&gt;""),"●","")</x:f>
      </x:c>
      <x:c r="AH483" s="165" t="str">
        <x:f>IF(AND(AH$5&gt;=$C483,AH$5&lt;=$D483,$A483&lt;&gt;""),"●","")</x:f>
      </x:c>
      <x:c r="AI483" s="165" t="str">
        <x:f>IF(AND(AI$5&gt;=$C483,AI$5&lt;=$D483,$A483&lt;&gt;""),"●","")</x:f>
      </x:c>
      <x:c r="AJ483" s="165" t="str">
        <x:f>IF(AND(AJ$5&gt;=$C483,AJ$5&lt;=$D483,$A483&lt;&gt;""),"●","")</x:f>
      </x:c>
      <x:c r="AK483" s="165" t="str">
        <x:f>IF(AND(AK$5&gt;=$C483,AK$5&lt;=$D483,$A483&lt;&gt;""),"●","")</x:f>
      </x:c>
      <x:c r="AL483" s="165" t="str">
        <x:f>IF(AND(AL$5&gt;=$C483,AL$5&lt;=$D483,$A483&lt;&gt;""),"●","")</x:f>
      </x:c>
      <x:c r="AM483" s="165" t="str">
        <x:f>IF(AND(AM$5&gt;=$C483,AM$5&lt;=$D483,$A483&lt;&gt;""),"●","")</x:f>
      </x:c>
      <x:c r="AN483" s="165" t="str">
        <x:f>IF(AND(AN$5&gt;=$C483,AN$5&lt;=$D483,$A483&lt;&gt;""),"●","")</x:f>
      </x:c>
      <x:c r="AO483" s="165" t="str">
        <x:f>IF(AND(AO$5&gt;=$C483,AO$5&lt;=$D483,$A483&lt;&gt;""),"●","")</x:f>
      </x:c>
      <x:c r="AP483" s="165" t="str">
        <x:f>IF(AND(AP$5&gt;=$C483,AP$5&lt;=$D483,$A483&lt;&gt;""),"●","")</x:f>
      </x:c>
      <x:c r="AQ483" s="165" t="str">
        <x:f>IF(AND(AQ$5&gt;=$C483,AQ$5&lt;=$D483,$A483&lt;&gt;""),"●","")</x:f>
      </x:c>
      <x:c r="AR483" s="165" t="str">
        <x:f>IF(AND(AR$5&gt;=$C483,AR$5&lt;=$D483,$A483&lt;&gt;""),"●","")</x:f>
      </x:c>
      <x:c r="AS483" s="165" t="str">
        <x:f>IF(AND(AS$5&gt;=$C483,AS$5&lt;=$D483,$A483&lt;&gt;""),"●","")</x:f>
      </x:c>
      <x:c r="AT483" s="165" t="str">
        <x:f>IF(AND(AT$5&gt;=$C483,AT$5&lt;=$D483,$A483&lt;&gt;""),"●","")</x:f>
      </x:c>
      <x:c r="AU483" s="165" t="str">
        <x:f>IF(AND(AU$5&gt;=$C483,AU$5&lt;=$D483,$A483&lt;&gt;""),"●","")</x:f>
      </x:c>
      <x:c r="AV483" s="165" t="str">
        <x:f>IF(AND(AV$5&gt;=$C483,AV$5&lt;=$D483,$A483&lt;&gt;""),"●","")</x:f>
      </x:c>
      <x:c r="AW483" s="165" t="str">
        <x:f>IF(AND(AW$5&gt;=$C483,AW$5&lt;=$D483,$A483&lt;&gt;""),"●","")</x:f>
      </x:c>
      <x:c r="AX483" s="165" t="str">
        <x:f>IF(AND(AX$5&gt;=$C483,AX$5&lt;=$D483,$A483&lt;&gt;""),"●","")</x:f>
      </x:c>
      <x:c r="AY483" s="165" t="str">
        <x:f>IF(AND(AY$5&gt;=$C483,AY$5&lt;=$D483,$A483&lt;&gt;""),"●","")</x:f>
      </x:c>
      <x:c r="AZ483" s="165" t="str">
        <x:f>IF(AND(AZ$5&gt;=$C483,AZ$5&lt;=$D483,$A483&lt;&gt;""),"●","")</x:f>
      </x:c>
      <x:c r="BA483" s="165" t="str">
        <x:f>IF(AND(BA$5&gt;=$C483,BA$5&lt;=$D483,$A483&lt;&gt;""),"●","")</x:f>
      </x:c>
      <x:c r="BB483" s="165" t="str">
        <x:f>IF(AND(BB$5&gt;=$C483,BB$5&lt;=$D483,$A483&lt;&gt;""),"●","")</x:f>
      </x:c>
      <x:c r="BC483" s="165" t="str">
        <x:f>IF(AND(BC$5&gt;=$C483,BC$5&lt;=$D483,$A483&lt;&gt;""),"●","")</x:f>
      </x:c>
      <x:c r="BD483" s="165" t="str">
        <x:f>IF(AND(BD$5&gt;=$C483,BD$5&lt;=$D483,$A483&lt;&gt;""),"●","")</x:f>
      </x:c>
      <x:c r="BE483" s="165" t="str">
        <x:f>IF(AND(BE$5&gt;=$C483,BE$5&lt;=$D483,$A483&lt;&gt;""),"●","")</x:f>
      </x:c>
      <x:c r="BF483" s="165" t="str">
        <x:f>IF(AND(BF$5&gt;=$C483,BF$5&lt;=$D483,$A483&lt;&gt;""),"●","")</x:f>
      </x:c>
      <x:c r="BG483" s="165" t="str">
        <x:f>IF(AND(BG$5&gt;=$C483,BG$5&lt;=$D483,$A483&lt;&gt;""),"●","")</x:f>
      </x:c>
      <x:c r="BH483" s="165" t="str">
        <x:f>IF(AND(BH$5&gt;=$C483,BH$5&lt;=$D483,$A483&lt;&gt;""),"●","")</x:f>
      </x:c>
      <x:c r="BI483" s="165" t="str">
        <x:f>IF(AND(BI$5&gt;=$C483,BI$5&lt;=$D483,$A483&lt;&gt;""),"●","")</x:f>
      </x:c>
      <x:c r="BJ483" s="165" t="str">
        <x:f>IF(AND(BJ$5&gt;=$C483,BJ$5&lt;=$D483,$A483&lt;&gt;""),"●","")</x:f>
      </x:c>
      <x:c r="BK483" s="165" t="str">
        <x:f>IF(AND(BK$5&gt;=$C483,BK$5&lt;=$D483,$A483&lt;&gt;""),"●","")</x:f>
      </x:c>
      <x:c r="BL483" s="165" t="str">
        <x:f>IF(AND(BL$5&gt;=$C483,BL$5&lt;=$D483,$A483&lt;&gt;""),"●","")</x:f>
      </x:c>
      <x:c r="BM483" s="165" t="str">
        <x:f>IF(AND(BM$5&gt;=$C483,BM$5&lt;=$D483,$A483&lt;&gt;""),"●","")</x:f>
      </x:c>
      <x:c r="BN483" s="165" t="str">
        <x:f>IF(AND(BN$5&gt;=$C483,BN$5&lt;=$D483,$A483&lt;&gt;""),"●","")</x:f>
      </x:c>
      <x:c r="BO483" s="165" t="str">
        <x:f>IF(AND(BO$5&gt;=$C483,BO$5&lt;=$D483,$A483&lt;&gt;""),"●","")</x:f>
      </x:c>
      <x:c r="BP483" s="165" t="str">
        <x:f>IF(AND(BP$5&gt;=$C483,BP$5&lt;=$D483,$A483&lt;&gt;""),"●","")</x:f>
      </x:c>
      <x:c r="BQ483" s="165" t="str">
        <x:f>IF(AND(BQ$5&gt;=$C483,BQ$5&lt;=$D483,$A483&lt;&gt;""),"●","")</x:f>
      </x:c>
      <x:c r="BR483" s="165" t="str">
        <x:f>IF(AND(BR$5&gt;=$C483,BR$5&lt;=$D483,$A483&lt;&gt;""),"●","")</x:f>
      </x:c>
      <x:c r="BS483" s="165" t="str">
        <x:f>IF(AND(BS$5&gt;=$C483,BS$5&lt;=$D483,$A483&lt;&gt;""),"●","")</x:f>
      </x:c>
      <x:c r="BT483" s="165" t="str">
        <x:f>IF(AND(BT$5&gt;=$C483,BT$5&lt;=$D483,$A483&lt;&gt;""),"●","")</x:f>
      </x:c>
      <x:c r="BU483" s="165" t="str">
        <x:f>IF(AND(BU$5&gt;=$C483,BU$5&lt;=$D483,$A483&lt;&gt;""),"●","")</x:f>
      </x:c>
      <x:c r="BV483" s="165" t="str">
        <x:f>IF(AND(BV$5&gt;=$C483,BV$5&lt;=$D483,$A483&lt;&gt;""),"●","")</x:f>
      </x:c>
      <x:c r="BW483" s="165" t="str">
        <x:f>IF(AND(BW$5&gt;=$C483,BW$5&lt;=$D483,$A483&lt;&gt;""),"●","")</x:f>
      </x:c>
    </x:row>
    <x:row r="484">
      <x:c r="A484" s="159" t="str">
        <x:f>IF('รายการสัญญา'!A484="","",'รายการสัญญา'!A484)</x:f>
      </x:c>
      <x:c r="B484" s="159" t="str">
        <x:f>IF('รายการสัญญา'!A484="","",'รายการสัญญา'!C484)</x:f>
      </x:c>
      <x:c r="C484" s="162" t="str">
        <x:f>IF('รายการสัญญา'!A484="","",'รายการสัญญา'!E484)</x:f>
      </x:c>
      <x:c r="D484" s="162" t="str">
        <x:f>IF('รายการสัญญา'!A484="","",'รายการสัญญา'!G484)</x:f>
      </x:c>
      <x:c r="E484" s="159" t="str">
        <x:f>IF('รายการสัญญา'!A484="","",'รายการสัญญา'!K484)</x:f>
      </x:c>
      <x:c r="F484" s="165" t="str">
        <x:f>IF(AND(F$5&gt;=$C484,F$5&lt;=$D484,$A484&lt;&gt;""),"●","")</x:f>
      </x:c>
      <x:c r="G484" s="165" t="str">
        <x:f>IF(AND(G$5&gt;=$C484,G$5&lt;=$D484,$A484&lt;&gt;""),"●","")</x:f>
      </x:c>
      <x:c r="H484" s="165" t="str">
        <x:f>IF(AND(H$5&gt;=$C484,H$5&lt;=$D484,$A484&lt;&gt;""),"●","")</x:f>
      </x:c>
      <x:c r="I484" s="165" t="str">
        <x:f>IF(AND(I$5&gt;=$C484,I$5&lt;=$D484,$A484&lt;&gt;""),"●","")</x:f>
      </x:c>
      <x:c r="J484" s="165" t="str">
        <x:f>IF(AND(J$5&gt;=$C484,J$5&lt;=$D484,$A484&lt;&gt;""),"●","")</x:f>
      </x:c>
      <x:c r="K484" s="165" t="str">
        <x:f>IF(AND(K$5&gt;=$C484,K$5&lt;=$D484,$A484&lt;&gt;""),"●","")</x:f>
      </x:c>
      <x:c r="L484" s="165" t="str">
        <x:f>IF(AND(L$5&gt;=$C484,L$5&lt;=$D484,$A484&lt;&gt;""),"●","")</x:f>
      </x:c>
      <x:c r="M484" s="165" t="str">
        <x:f>IF(AND(M$5&gt;=$C484,M$5&lt;=$D484,$A484&lt;&gt;""),"●","")</x:f>
      </x:c>
      <x:c r="N484" s="165" t="str">
        <x:f>IF(AND(N$5&gt;=$C484,N$5&lt;=$D484,$A484&lt;&gt;""),"●","")</x:f>
      </x:c>
      <x:c r="O484" s="165" t="str">
        <x:f>IF(AND(O$5&gt;=$C484,O$5&lt;=$D484,$A484&lt;&gt;""),"●","")</x:f>
      </x:c>
      <x:c r="P484" s="165" t="str">
        <x:f>IF(AND(P$5&gt;=$C484,P$5&lt;=$D484,$A484&lt;&gt;""),"●","")</x:f>
      </x:c>
      <x:c r="Q484" s="165" t="str">
        <x:f>IF(AND(Q$5&gt;=$C484,Q$5&lt;=$D484,$A484&lt;&gt;""),"●","")</x:f>
      </x:c>
      <x:c r="R484" s="165" t="str">
        <x:f>IF(AND(R$5&gt;=$C484,R$5&lt;=$D484,$A484&lt;&gt;""),"●","")</x:f>
      </x:c>
      <x:c r="S484" s="165" t="str">
        <x:f>IF(AND(S$5&gt;=$C484,S$5&lt;=$D484,$A484&lt;&gt;""),"●","")</x:f>
      </x:c>
      <x:c r="T484" s="165" t="str">
        <x:f>IF(AND(T$5&gt;=$C484,T$5&lt;=$D484,$A484&lt;&gt;""),"●","")</x:f>
      </x:c>
      <x:c r="U484" s="165" t="str">
        <x:f>IF(AND(U$5&gt;=$C484,U$5&lt;=$D484,$A484&lt;&gt;""),"●","")</x:f>
      </x:c>
      <x:c r="V484" s="165" t="str">
        <x:f>IF(AND(V$5&gt;=$C484,V$5&lt;=$D484,$A484&lt;&gt;""),"●","")</x:f>
      </x:c>
      <x:c r="W484" s="165" t="str">
        <x:f>IF(AND(W$5&gt;=$C484,W$5&lt;=$D484,$A484&lt;&gt;""),"●","")</x:f>
      </x:c>
      <x:c r="X484" s="165" t="str">
        <x:f>IF(AND(X$5&gt;=$C484,X$5&lt;=$D484,$A484&lt;&gt;""),"●","")</x:f>
      </x:c>
      <x:c r="Y484" s="165" t="str">
        <x:f>IF(AND(Y$5&gt;=$C484,Y$5&lt;=$D484,$A484&lt;&gt;""),"●","")</x:f>
      </x:c>
      <x:c r="Z484" s="165" t="str">
        <x:f>IF(AND(Z$5&gt;=$C484,Z$5&lt;=$D484,$A484&lt;&gt;""),"●","")</x:f>
      </x:c>
      <x:c r="AA484" s="165" t="str">
        <x:f>IF(AND(AA$5&gt;=$C484,AA$5&lt;=$D484,$A484&lt;&gt;""),"●","")</x:f>
      </x:c>
      <x:c r="AB484" s="165" t="str">
        <x:f>IF(AND(AB$5&gt;=$C484,AB$5&lt;=$D484,$A484&lt;&gt;""),"●","")</x:f>
      </x:c>
      <x:c r="AC484" s="165" t="str">
        <x:f>IF(AND(AC$5&gt;=$C484,AC$5&lt;=$D484,$A484&lt;&gt;""),"●","")</x:f>
      </x:c>
      <x:c r="AD484" s="165" t="str">
        <x:f>IF(AND(AD$5&gt;=$C484,AD$5&lt;=$D484,$A484&lt;&gt;""),"●","")</x:f>
      </x:c>
      <x:c r="AE484" s="165" t="str">
        <x:f>IF(AND(AE$5&gt;=$C484,AE$5&lt;=$D484,$A484&lt;&gt;""),"●","")</x:f>
      </x:c>
      <x:c r="AF484" s="165" t="str">
        <x:f>IF(AND(AF$5&gt;=$C484,AF$5&lt;=$D484,$A484&lt;&gt;""),"●","")</x:f>
      </x:c>
      <x:c r="AG484" s="165" t="str">
        <x:f>IF(AND(AG$5&gt;=$C484,AG$5&lt;=$D484,$A484&lt;&gt;""),"●","")</x:f>
      </x:c>
      <x:c r="AH484" s="165" t="str">
        <x:f>IF(AND(AH$5&gt;=$C484,AH$5&lt;=$D484,$A484&lt;&gt;""),"●","")</x:f>
      </x:c>
      <x:c r="AI484" s="165" t="str">
        <x:f>IF(AND(AI$5&gt;=$C484,AI$5&lt;=$D484,$A484&lt;&gt;""),"●","")</x:f>
      </x:c>
      <x:c r="AJ484" s="165" t="str">
        <x:f>IF(AND(AJ$5&gt;=$C484,AJ$5&lt;=$D484,$A484&lt;&gt;""),"●","")</x:f>
      </x:c>
      <x:c r="AK484" s="165" t="str">
        <x:f>IF(AND(AK$5&gt;=$C484,AK$5&lt;=$D484,$A484&lt;&gt;""),"●","")</x:f>
      </x:c>
      <x:c r="AL484" s="165" t="str">
        <x:f>IF(AND(AL$5&gt;=$C484,AL$5&lt;=$D484,$A484&lt;&gt;""),"●","")</x:f>
      </x:c>
      <x:c r="AM484" s="165" t="str">
        <x:f>IF(AND(AM$5&gt;=$C484,AM$5&lt;=$D484,$A484&lt;&gt;""),"●","")</x:f>
      </x:c>
      <x:c r="AN484" s="165" t="str">
        <x:f>IF(AND(AN$5&gt;=$C484,AN$5&lt;=$D484,$A484&lt;&gt;""),"●","")</x:f>
      </x:c>
      <x:c r="AO484" s="165" t="str">
        <x:f>IF(AND(AO$5&gt;=$C484,AO$5&lt;=$D484,$A484&lt;&gt;""),"●","")</x:f>
      </x:c>
      <x:c r="AP484" s="165" t="str">
        <x:f>IF(AND(AP$5&gt;=$C484,AP$5&lt;=$D484,$A484&lt;&gt;""),"●","")</x:f>
      </x:c>
      <x:c r="AQ484" s="165" t="str">
        <x:f>IF(AND(AQ$5&gt;=$C484,AQ$5&lt;=$D484,$A484&lt;&gt;""),"●","")</x:f>
      </x:c>
      <x:c r="AR484" s="165" t="str">
        <x:f>IF(AND(AR$5&gt;=$C484,AR$5&lt;=$D484,$A484&lt;&gt;""),"●","")</x:f>
      </x:c>
      <x:c r="AS484" s="165" t="str">
        <x:f>IF(AND(AS$5&gt;=$C484,AS$5&lt;=$D484,$A484&lt;&gt;""),"●","")</x:f>
      </x:c>
      <x:c r="AT484" s="165" t="str">
        <x:f>IF(AND(AT$5&gt;=$C484,AT$5&lt;=$D484,$A484&lt;&gt;""),"●","")</x:f>
      </x:c>
      <x:c r="AU484" s="165" t="str">
        <x:f>IF(AND(AU$5&gt;=$C484,AU$5&lt;=$D484,$A484&lt;&gt;""),"●","")</x:f>
      </x:c>
      <x:c r="AV484" s="165" t="str">
        <x:f>IF(AND(AV$5&gt;=$C484,AV$5&lt;=$D484,$A484&lt;&gt;""),"●","")</x:f>
      </x:c>
      <x:c r="AW484" s="165" t="str">
        <x:f>IF(AND(AW$5&gt;=$C484,AW$5&lt;=$D484,$A484&lt;&gt;""),"●","")</x:f>
      </x:c>
      <x:c r="AX484" s="165" t="str">
        <x:f>IF(AND(AX$5&gt;=$C484,AX$5&lt;=$D484,$A484&lt;&gt;""),"●","")</x:f>
      </x:c>
      <x:c r="AY484" s="165" t="str">
        <x:f>IF(AND(AY$5&gt;=$C484,AY$5&lt;=$D484,$A484&lt;&gt;""),"●","")</x:f>
      </x:c>
      <x:c r="AZ484" s="165" t="str">
        <x:f>IF(AND(AZ$5&gt;=$C484,AZ$5&lt;=$D484,$A484&lt;&gt;""),"●","")</x:f>
      </x:c>
      <x:c r="BA484" s="165" t="str">
        <x:f>IF(AND(BA$5&gt;=$C484,BA$5&lt;=$D484,$A484&lt;&gt;""),"●","")</x:f>
      </x:c>
      <x:c r="BB484" s="165" t="str">
        <x:f>IF(AND(BB$5&gt;=$C484,BB$5&lt;=$D484,$A484&lt;&gt;""),"●","")</x:f>
      </x:c>
      <x:c r="BC484" s="165" t="str">
        <x:f>IF(AND(BC$5&gt;=$C484,BC$5&lt;=$D484,$A484&lt;&gt;""),"●","")</x:f>
      </x:c>
      <x:c r="BD484" s="165" t="str">
        <x:f>IF(AND(BD$5&gt;=$C484,BD$5&lt;=$D484,$A484&lt;&gt;""),"●","")</x:f>
      </x:c>
      <x:c r="BE484" s="165" t="str">
        <x:f>IF(AND(BE$5&gt;=$C484,BE$5&lt;=$D484,$A484&lt;&gt;""),"●","")</x:f>
      </x:c>
      <x:c r="BF484" s="165" t="str">
        <x:f>IF(AND(BF$5&gt;=$C484,BF$5&lt;=$D484,$A484&lt;&gt;""),"●","")</x:f>
      </x:c>
      <x:c r="BG484" s="165" t="str">
        <x:f>IF(AND(BG$5&gt;=$C484,BG$5&lt;=$D484,$A484&lt;&gt;""),"●","")</x:f>
      </x:c>
      <x:c r="BH484" s="165" t="str">
        <x:f>IF(AND(BH$5&gt;=$C484,BH$5&lt;=$D484,$A484&lt;&gt;""),"●","")</x:f>
      </x:c>
      <x:c r="BI484" s="165" t="str">
        <x:f>IF(AND(BI$5&gt;=$C484,BI$5&lt;=$D484,$A484&lt;&gt;""),"●","")</x:f>
      </x:c>
      <x:c r="BJ484" s="165" t="str">
        <x:f>IF(AND(BJ$5&gt;=$C484,BJ$5&lt;=$D484,$A484&lt;&gt;""),"●","")</x:f>
      </x:c>
      <x:c r="BK484" s="165" t="str">
        <x:f>IF(AND(BK$5&gt;=$C484,BK$5&lt;=$D484,$A484&lt;&gt;""),"●","")</x:f>
      </x:c>
      <x:c r="BL484" s="165" t="str">
        <x:f>IF(AND(BL$5&gt;=$C484,BL$5&lt;=$D484,$A484&lt;&gt;""),"●","")</x:f>
      </x:c>
      <x:c r="BM484" s="165" t="str">
        <x:f>IF(AND(BM$5&gt;=$C484,BM$5&lt;=$D484,$A484&lt;&gt;""),"●","")</x:f>
      </x:c>
      <x:c r="BN484" s="165" t="str">
        <x:f>IF(AND(BN$5&gt;=$C484,BN$5&lt;=$D484,$A484&lt;&gt;""),"●","")</x:f>
      </x:c>
      <x:c r="BO484" s="165" t="str">
        <x:f>IF(AND(BO$5&gt;=$C484,BO$5&lt;=$D484,$A484&lt;&gt;""),"●","")</x:f>
      </x:c>
      <x:c r="BP484" s="165" t="str">
        <x:f>IF(AND(BP$5&gt;=$C484,BP$5&lt;=$D484,$A484&lt;&gt;""),"●","")</x:f>
      </x:c>
      <x:c r="BQ484" s="165" t="str">
        <x:f>IF(AND(BQ$5&gt;=$C484,BQ$5&lt;=$D484,$A484&lt;&gt;""),"●","")</x:f>
      </x:c>
      <x:c r="BR484" s="165" t="str">
        <x:f>IF(AND(BR$5&gt;=$C484,BR$5&lt;=$D484,$A484&lt;&gt;""),"●","")</x:f>
      </x:c>
      <x:c r="BS484" s="165" t="str">
        <x:f>IF(AND(BS$5&gt;=$C484,BS$5&lt;=$D484,$A484&lt;&gt;""),"●","")</x:f>
      </x:c>
      <x:c r="BT484" s="165" t="str">
        <x:f>IF(AND(BT$5&gt;=$C484,BT$5&lt;=$D484,$A484&lt;&gt;""),"●","")</x:f>
      </x:c>
      <x:c r="BU484" s="165" t="str">
        <x:f>IF(AND(BU$5&gt;=$C484,BU$5&lt;=$D484,$A484&lt;&gt;""),"●","")</x:f>
      </x:c>
      <x:c r="BV484" s="165" t="str">
        <x:f>IF(AND(BV$5&gt;=$C484,BV$5&lt;=$D484,$A484&lt;&gt;""),"●","")</x:f>
      </x:c>
      <x:c r="BW484" s="165" t="str">
        <x:f>IF(AND(BW$5&gt;=$C484,BW$5&lt;=$D484,$A484&lt;&gt;""),"●","")</x:f>
      </x:c>
    </x:row>
    <x:row r="485">
      <x:c r="A485" s="159" t="str">
        <x:f>IF('รายการสัญญา'!A485="","",'รายการสัญญา'!A485)</x:f>
      </x:c>
      <x:c r="B485" s="159" t="str">
        <x:f>IF('รายการสัญญา'!A485="","",'รายการสัญญา'!C485)</x:f>
      </x:c>
      <x:c r="C485" s="162" t="str">
        <x:f>IF('รายการสัญญา'!A485="","",'รายการสัญญา'!E485)</x:f>
      </x:c>
      <x:c r="D485" s="162" t="str">
        <x:f>IF('รายการสัญญา'!A485="","",'รายการสัญญา'!G485)</x:f>
      </x:c>
      <x:c r="E485" s="159" t="str">
        <x:f>IF('รายการสัญญา'!A485="","",'รายการสัญญา'!K485)</x:f>
      </x:c>
      <x:c r="F485" s="165" t="str">
        <x:f>IF(AND(F$5&gt;=$C485,F$5&lt;=$D485,$A485&lt;&gt;""),"●","")</x:f>
      </x:c>
      <x:c r="G485" s="165" t="str">
        <x:f>IF(AND(G$5&gt;=$C485,G$5&lt;=$D485,$A485&lt;&gt;""),"●","")</x:f>
      </x:c>
      <x:c r="H485" s="165" t="str">
        <x:f>IF(AND(H$5&gt;=$C485,H$5&lt;=$D485,$A485&lt;&gt;""),"●","")</x:f>
      </x:c>
      <x:c r="I485" s="165" t="str">
        <x:f>IF(AND(I$5&gt;=$C485,I$5&lt;=$D485,$A485&lt;&gt;""),"●","")</x:f>
      </x:c>
      <x:c r="J485" s="165" t="str">
        <x:f>IF(AND(J$5&gt;=$C485,J$5&lt;=$D485,$A485&lt;&gt;""),"●","")</x:f>
      </x:c>
      <x:c r="K485" s="165" t="str">
        <x:f>IF(AND(K$5&gt;=$C485,K$5&lt;=$D485,$A485&lt;&gt;""),"●","")</x:f>
      </x:c>
      <x:c r="L485" s="165" t="str">
        <x:f>IF(AND(L$5&gt;=$C485,L$5&lt;=$D485,$A485&lt;&gt;""),"●","")</x:f>
      </x:c>
      <x:c r="M485" s="165" t="str">
        <x:f>IF(AND(M$5&gt;=$C485,M$5&lt;=$D485,$A485&lt;&gt;""),"●","")</x:f>
      </x:c>
      <x:c r="N485" s="165" t="str">
        <x:f>IF(AND(N$5&gt;=$C485,N$5&lt;=$D485,$A485&lt;&gt;""),"●","")</x:f>
      </x:c>
      <x:c r="O485" s="165" t="str">
        <x:f>IF(AND(O$5&gt;=$C485,O$5&lt;=$D485,$A485&lt;&gt;""),"●","")</x:f>
      </x:c>
      <x:c r="P485" s="165" t="str">
        <x:f>IF(AND(P$5&gt;=$C485,P$5&lt;=$D485,$A485&lt;&gt;""),"●","")</x:f>
      </x:c>
      <x:c r="Q485" s="165" t="str">
        <x:f>IF(AND(Q$5&gt;=$C485,Q$5&lt;=$D485,$A485&lt;&gt;""),"●","")</x:f>
      </x:c>
      <x:c r="R485" s="165" t="str">
        <x:f>IF(AND(R$5&gt;=$C485,R$5&lt;=$D485,$A485&lt;&gt;""),"●","")</x:f>
      </x:c>
      <x:c r="S485" s="165" t="str">
        <x:f>IF(AND(S$5&gt;=$C485,S$5&lt;=$D485,$A485&lt;&gt;""),"●","")</x:f>
      </x:c>
      <x:c r="T485" s="165" t="str">
        <x:f>IF(AND(T$5&gt;=$C485,T$5&lt;=$D485,$A485&lt;&gt;""),"●","")</x:f>
      </x:c>
      <x:c r="U485" s="165" t="str">
        <x:f>IF(AND(U$5&gt;=$C485,U$5&lt;=$D485,$A485&lt;&gt;""),"●","")</x:f>
      </x:c>
      <x:c r="V485" s="165" t="str">
        <x:f>IF(AND(V$5&gt;=$C485,V$5&lt;=$D485,$A485&lt;&gt;""),"●","")</x:f>
      </x:c>
      <x:c r="W485" s="165" t="str">
        <x:f>IF(AND(W$5&gt;=$C485,W$5&lt;=$D485,$A485&lt;&gt;""),"●","")</x:f>
      </x:c>
      <x:c r="X485" s="165" t="str">
        <x:f>IF(AND(X$5&gt;=$C485,X$5&lt;=$D485,$A485&lt;&gt;""),"●","")</x:f>
      </x:c>
      <x:c r="Y485" s="165" t="str">
        <x:f>IF(AND(Y$5&gt;=$C485,Y$5&lt;=$D485,$A485&lt;&gt;""),"●","")</x:f>
      </x:c>
      <x:c r="Z485" s="165" t="str">
        <x:f>IF(AND(Z$5&gt;=$C485,Z$5&lt;=$D485,$A485&lt;&gt;""),"●","")</x:f>
      </x:c>
      <x:c r="AA485" s="165" t="str">
        <x:f>IF(AND(AA$5&gt;=$C485,AA$5&lt;=$D485,$A485&lt;&gt;""),"●","")</x:f>
      </x:c>
      <x:c r="AB485" s="165" t="str">
        <x:f>IF(AND(AB$5&gt;=$C485,AB$5&lt;=$D485,$A485&lt;&gt;""),"●","")</x:f>
      </x:c>
      <x:c r="AC485" s="165" t="str">
        <x:f>IF(AND(AC$5&gt;=$C485,AC$5&lt;=$D485,$A485&lt;&gt;""),"●","")</x:f>
      </x:c>
      <x:c r="AD485" s="165" t="str">
        <x:f>IF(AND(AD$5&gt;=$C485,AD$5&lt;=$D485,$A485&lt;&gt;""),"●","")</x:f>
      </x:c>
      <x:c r="AE485" s="165" t="str">
        <x:f>IF(AND(AE$5&gt;=$C485,AE$5&lt;=$D485,$A485&lt;&gt;""),"●","")</x:f>
      </x:c>
      <x:c r="AF485" s="165" t="str">
        <x:f>IF(AND(AF$5&gt;=$C485,AF$5&lt;=$D485,$A485&lt;&gt;""),"●","")</x:f>
      </x:c>
      <x:c r="AG485" s="165" t="str">
        <x:f>IF(AND(AG$5&gt;=$C485,AG$5&lt;=$D485,$A485&lt;&gt;""),"●","")</x:f>
      </x:c>
      <x:c r="AH485" s="165" t="str">
        <x:f>IF(AND(AH$5&gt;=$C485,AH$5&lt;=$D485,$A485&lt;&gt;""),"●","")</x:f>
      </x:c>
      <x:c r="AI485" s="165" t="str">
        <x:f>IF(AND(AI$5&gt;=$C485,AI$5&lt;=$D485,$A485&lt;&gt;""),"●","")</x:f>
      </x:c>
      <x:c r="AJ485" s="165" t="str">
        <x:f>IF(AND(AJ$5&gt;=$C485,AJ$5&lt;=$D485,$A485&lt;&gt;""),"●","")</x:f>
      </x:c>
      <x:c r="AK485" s="165" t="str">
        <x:f>IF(AND(AK$5&gt;=$C485,AK$5&lt;=$D485,$A485&lt;&gt;""),"●","")</x:f>
      </x:c>
      <x:c r="AL485" s="165" t="str">
        <x:f>IF(AND(AL$5&gt;=$C485,AL$5&lt;=$D485,$A485&lt;&gt;""),"●","")</x:f>
      </x:c>
      <x:c r="AM485" s="165" t="str">
        <x:f>IF(AND(AM$5&gt;=$C485,AM$5&lt;=$D485,$A485&lt;&gt;""),"●","")</x:f>
      </x:c>
      <x:c r="AN485" s="165" t="str">
        <x:f>IF(AND(AN$5&gt;=$C485,AN$5&lt;=$D485,$A485&lt;&gt;""),"●","")</x:f>
      </x:c>
      <x:c r="AO485" s="165" t="str">
        <x:f>IF(AND(AO$5&gt;=$C485,AO$5&lt;=$D485,$A485&lt;&gt;""),"●","")</x:f>
      </x:c>
      <x:c r="AP485" s="165" t="str">
        <x:f>IF(AND(AP$5&gt;=$C485,AP$5&lt;=$D485,$A485&lt;&gt;""),"●","")</x:f>
      </x:c>
      <x:c r="AQ485" s="165" t="str">
        <x:f>IF(AND(AQ$5&gt;=$C485,AQ$5&lt;=$D485,$A485&lt;&gt;""),"●","")</x:f>
      </x:c>
      <x:c r="AR485" s="165" t="str">
        <x:f>IF(AND(AR$5&gt;=$C485,AR$5&lt;=$D485,$A485&lt;&gt;""),"●","")</x:f>
      </x:c>
      <x:c r="AS485" s="165" t="str">
        <x:f>IF(AND(AS$5&gt;=$C485,AS$5&lt;=$D485,$A485&lt;&gt;""),"●","")</x:f>
      </x:c>
      <x:c r="AT485" s="165" t="str">
        <x:f>IF(AND(AT$5&gt;=$C485,AT$5&lt;=$D485,$A485&lt;&gt;""),"●","")</x:f>
      </x:c>
      <x:c r="AU485" s="165" t="str">
        <x:f>IF(AND(AU$5&gt;=$C485,AU$5&lt;=$D485,$A485&lt;&gt;""),"●","")</x:f>
      </x:c>
      <x:c r="AV485" s="165" t="str">
        <x:f>IF(AND(AV$5&gt;=$C485,AV$5&lt;=$D485,$A485&lt;&gt;""),"●","")</x:f>
      </x:c>
      <x:c r="AW485" s="165" t="str">
        <x:f>IF(AND(AW$5&gt;=$C485,AW$5&lt;=$D485,$A485&lt;&gt;""),"●","")</x:f>
      </x:c>
      <x:c r="AX485" s="165" t="str">
        <x:f>IF(AND(AX$5&gt;=$C485,AX$5&lt;=$D485,$A485&lt;&gt;""),"●","")</x:f>
      </x:c>
      <x:c r="AY485" s="165" t="str">
        <x:f>IF(AND(AY$5&gt;=$C485,AY$5&lt;=$D485,$A485&lt;&gt;""),"●","")</x:f>
      </x:c>
      <x:c r="AZ485" s="165" t="str">
        <x:f>IF(AND(AZ$5&gt;=$C485,AZ$5&lt;=$D485,$A485&lt;&gt;""),"●","")</x:f>
      </x:c>
      <x:c r="BA485" s="165" t="str">
        <x:f>IF(AND(BA$5&gt;=$C485,BA$5&lt;=$D485,$A485&lt;&gt;""),"●","")</x:f>
      </x:c>
      <x:c r="BB485" s="165" t="str">
        <x:f>IF(AND(BB$5&gt;=$C485,BB$5&lt;=$D485,$A485&lt;&gt;""),"●","")</x:f>
      </x:c>
      <x:c r="BC485" s="165" t="str">
        <x:f>IF(AND(BC$5&gt;=$C485,BC$5&lt;=$D485,$A485&lt;&gt;""),"●","")</x:f>
      </x:c>
      <x:c r="BD485" s="165" t="str">
        <x:f>IF(AND(BD$5&gt;=$C485,BD$5&lt;=$D485,$A485&lt;&gt;""),"●","")</x:f>
      </x:c>
      <x:c r="BE485" s="165" t="str">
        <x:f>IF(AND(BE$5&gt;=$C485,BE$5&lt;=$D485,$A485&lt;&gt;""),"●","")</x:f>
      </x:c>
      <x:c r="BF485" s="165" t="str">
        <x:f>IF(AND(BF$5&gt;=$C485,BF$5&lt;=$D485,$A485&lt;&gt;""),"●","")</x:f>
      </x:c>
      <x:c r="BG485" s="165" t="str">
        <x:f>IF(AND(BG$5&gt;=$C485,BG$5&lt;=$D485,$A485&lt;&gt;""),"●","")</x:f>
      </x:c>
      <x:c r="BH485" s="165" t="str">
        <x:f>IF(AND(BH$5&gt;=$C485,BH$5&lt;=$D485,$A485&lt;&gt;""),"●","")</x:f>
      </x:c>
      <x:c r="BI485" s="165" t="str">
        <x:f>IF(AND(BI$5&gt;=$C485,BI$5&lt;=$D485,$A485&lt;&gt;""),"●","")</x:f>
      </x:c>
      <x:c r="BJ485" s="165" t="str">
        <x:f>IF(AND(BJ$5&gt;=$C485,BJ$5&lt;=$D485,$A485&lt;&gt;""),"●","")</x:f>
      </x:c>
      <x:c r="BK485" s="165" t="str">
        <x:f>IF(AND(BK$5&gt;=$C485,BK$5&lt;=$D485,$A485&lt;&gt;""),"●","")</x:f>
      </x:c>
      <x:c r="BL485" s="165" t="str">
        <x:f>IF(AND(BL$5&gt;=$C485,BL$5&lt;=$D485,$A485&lt;&gt;""),"●","")</x:f>
      </x:c>
      <x:c r="BM485" s="165" t="str">
        <x:f>IF(AND(BM$5&gt;=$C485,BM$5&lt;=$D485,$A485&lt;&gt;""),"●","")</x:f>
      </x:c>
      <x:c r="BN485" s="165" t="str">
        <x:f>IF(AND(BN$5&gt;=$C485,BN$5&lt;=$D485,$A485&lt;&gt;""),"●","")</x:f>
      </x:c>
      <x:c r="BO485" s="165" t="str">
        <x:f>IF(AND(BO$5&gt;=$C485,BO$5&lt;=$D485,$A485&lt;&gt;""),"●","")</x:f>
      </x:c>
      <x:c r="BP485" s="165" t="str">
        <x:f>IF(AND(BP$5&gt;=$C485,BP$5&lt;=$D485,$A485&lt;&gt;""),"●","")</x:f>
      </x:c>
      <x:c r="BQ485" s="165" t="str">
        <x:f>IF(AND(BQ$5&gt;=$C485,BQ$5&lt;=$D485,$A485&lt;&gt;""),"●","")</x:f>
      </x:c>
      <x:c r="BR485" s="165" t="str">
        <x:f>IF(AND(BR$5&gt;=$C485,BR$5&lt;=$D485,$A485&lt;&gt;""),"●","")</x:f>
      </x:c>
      <x:c r="BS485" s="165" t="str">
        <x:f>IF(AND(BS$5&gt;=$C485,BS$5&lt;=$D485,$A485&lt;&gt;""),"●","")</x:f>
      </x:c>
      <x:c r="BT485" s="165" t="str">
        <x:f>IF(AND(BT$5&gt;=$C485,BT$5&lt;=$D485,$A485&lt;&gt;""),"●","")</x:f>
      </x:c>
      <x:c r="BU485" s="165" t="str">
        <x:f>IF(AND(BU$5&gt;=$C485,BU$5&lt;=$D485,$A485&lt;&gt;""),"●","")</x:f>
      </x:c>
      <x:c r="BV485" s="165" t="str">
        <x:f>IF(AND(BV$5&gt;=$C485,BV$5&lt;=$D485,$A485&lt;&gt;""),"●","")</x:f>
      </x:c>
      <x:c r="BW485" s="165" t="str">
        <x:f>IF(AND(BW$5&gt;=$C485,BW$5&lt;=$D485,$A485&lt;&gt;""),"●","")</x:f>
      </x:c>
    </x:row>
    <x:row r="486">
      <x:c r="A486" s="159" t="str">
        <x:f>IF('รายการสัญญา'!A486="","",'รายการสัญญา'!A486)</x:f>
      </x:c>
      <x:c r="B486" s="159" t="str">
        <x:f>IF('รายการสัญญา'!A486="","",'รายการสัญญา'!C486)</x:f>
      </x:c>
      <x:c r="C486" s="162" t="str">
        <x:f>IF('รายการสัญญา'!A486="","",'รายการสัญญา'!E486)</x:f>
      </x:c>
      <x:c r="D486" s="162" t="str">
        <x:f>IF('รายการสัญญา'!A486="","",'รายการสัญญา'!G486)</x:f>
      </x:c>
      <x:c r="E486" s="159" t="str">
        <x:f>IF('รายการสัญญา'!A486="","",'รายการสัญญา'!K486)</x:f>
      </x:c>
      <x:c r="F486" s="165" t="str">
        <x:f>IF(AND(F$5&gt;=$C486,F$5&lt;=$D486,$A486&lt;&gt;""),"●","")</x:f>
      </x:c>
      <x:c r="G486" s="165" t="str">
        <x:f>IF(AND(G$5&gt;=$C486,G$5&lt;=$D486,$A486&lt;&gt;""),"●","")</x:f>
      </x:c>
      <x:c r="H486" s="165" t="str">
        <x:f>IF(AND(H$5&gt;=$C486,H$5&lt;=$D486,$A486&lt;&gt;""),"●","")</x:f>
      </x:c>
      <x:c r="I486" s="165" t="str">
        <x:f>IF(AND(I$5&gt;=$C486,I$5&lt;=$D486,$A486&lt;&gt;""),"●","")</x:f>
      </x:c>
      <x:c r="J486" s="165" t="str">
        <x:f>IF(AND(J$5&gt;=$C486,J$5&lt;=$D486,$A486&lt;&gt;""),"●","")</x:f>
      </x:c>
      <x:c r="K486" s="165" t="str">
        <x:f>IF(AND(K$5&gt;=$C486,K$5&lt;=$D486,$A486&lt;&gt;""),"●","")</x:f>
      </x:c>
      <x:c r="L486" s="165" t="str">
        <x:f>IF(AND(L$5&gt;=$C486,L$5&lt;=$D486,$A486&lt;&gt;""),"●","")</x:f>
      </x:c>
      <x:c r="M486" s="165" t="str">
        <x:f>IF(AND(M$5&gt;=$C486,M$5&lt;=$D486,$A486&lt;&gt;""),"●","")</x:f>
      </x:c>
      <x:c r="N486" s="165" t="str">
        <x:f>IF(AND(N$5&gt;=$C486,N$5&lt;=$D486,$A486&lt;&gt;""),"●","")</x:f>
      </x:c>
      <x:c r="O486" s="165" t="str">
        <x:f>IF(AND(O$5&gt;=$C486,O$5&lt;=$D486,$A486&lt;&gt;""),"●","")</x:f>
      </x:c>
      <x:c r="P486" s="165" t="str">
        <x:f>IF(AND(P$5&gt;=$C486,P$5&lt;=$D486,$A486&lt;&gt;""),"●","")</x:f>
      </x:c>
      <x:c r="Q486" s="165" t="str">
        <x:f>IF(AND(Q$5&gt;=$C486,Q$5&lt;=$D486,$A486&lt;&gt;""),"●","")</x:f>
      </x:c>
      <x:c r="R486" s="165" t="str">
        <x:f>IF(AND(R$5&gt;=$C486,R$5&lt;=$D486,$A486&lt;&gt;""),"●","")</x:f>
      </x:c>
      <x:c r="S486" s="165" t="str">
        <x:f>IF(AND(S$5&gt;=$C486,S$5&lt;=$D486,$A486&lt;&gt;""),"●","")</x:f>
      </x:c>
      <x:c r="T486" s="165" t="str">
        <x:f>IF(AND(T$5&gt;=$C486,T$5&lt;=$D486,$A486&lt;&gt;""),"●","")</x:f>
      </x:c>
      <x:c r="U486" s="165" t="str">
        <x:f>IF(AND(U$5&gt;=$C486,U$5&lt;=$D486,$A486&lt;&gt;""),"●","")</x:f>
      </x:c>
      <x:c r="V486" s="165" t="str">
        <x:f>IF(AND(V$5&gt;=$C486,V$5&lt;=$D486,$A486&lt;&gt;""),"●","")</x:f>
      </x:c>
      <x:c r="W486" s="165" t="str">
        <x:f>IF(AND(W$5&gt;=$C486,W$5&lt;=$D486,$A486&lt;&gt;""),"●","")</x:f>
      </x:c>
      <x:c r="X486" s="165" t="str">
        <x:f>IF(AND(X$5&gt;=$C486,X$5&lt;=$D486,$A486&lt;&gt;""),"●","")</x:f>
      </x:c>
      <x:c r="Y486" s="165" t="str">
        <x:f>IF(AND(Y$5&gt;=$C486,Y$5&lt;=$D486,$A486&lt;&gt;""),"●","")</x:f>
      </x:c>
      <x:c r="Z486" s="165" t="str">
        <x:f>IF(AND(Z$5&gt;=$C486,Z$5&lt;=$D486,$A486&lt;&gt;""),"●","")</x:f>
      </x:c>
      <x:c r="AA486" s="165" t="str">
        <x:f>IF(AND(AA$5&gt;=$C486,AA$5&lt;=$D486,$A486&lt;&gt;""),"●","")</x:f>
      </x:c>
      <x:c r="AB486" s="165" t="str">
        <x:f>IF(AND(AB$5&gt;=$C486,AB$5&lt;=$D486,$A486&lt;&gt;""),"●","")</x:f>
      </x:c>
      <x:c r="AC486" s="165" t="str">
        <x:f>IF(AND(AC$5&gt;=$C486,AC$5&lt;=$D486,$A486&lt;&gt;""),"●","")</x:f>
      </x:c>
      <x:c r="AD486" s="165" t="str">
        <x:f>IF(AND(AD$5&gt;=$C486,AD$5&lt;=$D486,$A486&lt;&gt;""),"●","")</x:f>
      </x:c>
      <x:c r="AE486" s="165" t="str">
        <x:f>IF(AND(AE$5&gt;=$C486,AE$5&lt;=$D486,$A486&lt;&gt;""),"●","")</x:f>
      </x:c>
      <x:c r="AF486" s="165" t="str">
        <x:f>IF(AND(AF$5&gt;=$C486,AF$5&lt;=$D486,$A486&lt;&gt;""),"●","")</x:f>
      </x:c>
      <x:c r="AG486" s="165" t="str">
        <x:f>IF(AND(AG$5&gt;=$C486,AG$5&lt;=$D486,$A486&lt;&gt;""),"●","")</x:f>
      </x:c>
      <x:c r="AH486" s="165" t="str">
        <x:f>IF(AND(AH$5&gt;=$C486,AH$5&lt;=$D486,$A486&lt;&gt;""),"●","")</x:f>
      </x:c>
      <x:c r="AI486" s="165" t="str">
        <x:f>IF(AND(AI$5&gt;=$C486,AI$5&lt;=$D486,$A486&lt;&gt;""),"●","")</x:f>
      </x:c>
      <x:c r="AJ486" s="165" t="str">
        <x:f>IF(AND(AJ$5&gt;=$C486,AJ$5&lt;=$D486,$A486&lt;&gt;""),"●","")</x:f>
      </x:c>
      <x:c r="AK486" s="165" t="str">
        <x:f>IF(AND(AK$5&gt;=$C486,AK$5&lt;=$D486,$A486&lt;&gt;""),"●","")</x:f>
      </x:c>
      <x:c r="AL486" s="165" t="str">
        <x:f>IF(AND(AL$5&gt;=$C486,AL$5&lt;=$D486,$A486&lt;&gt;""),"●","")</x:f>
      </x:c>
      <x:c r="AM486" s="165" t="str">
        <x:f>IF(AND(AM$5&gt;=$C486,AM$5&lt;=$D486,$A486&lt;&gt;""),"●","")</x:f>
      </x:c>
      <x:c r="AN486" s="165" t="str">
        <x:f>IF(AND(AN$5&gt;=$C486,AN$5&lt;=$D486,$A486&lt;&gt;""),"●","")</x:f>
      </x:c>
      <x:c r="AO486" s="165" t="str">
        <x:f>IF(AND(AO$5&gt;=$C486,AO$5&lt;=$D486,$A486&lt;&gt;""),"●","")</x:f>
      </x:c>
      <x:c r="AP486" s="165" t="str">
        <x:f>IF(AND(AP$5&gt;=$C486,AP$5&lt;=$D486,$A486&lt;&gt;""),"●","")</x:f>
      </x:c>
      <x:c r="AQ486" s="165" t="str">
        <x:f>IF(AND(AQ$5&gt;=$C486,AQ$5&lt;=$D486,$A486&lt;&gt;""),"●","")</x:f>
      </x:c>
      <x:c r="AR486" s="165" t="str">
        <x:f>IF(AND(AR$5&gt;=$C486,AR$5&lt;=$D486,$A486&lt;&gt;""),"●","")</x:f>
      </x:c>
      <x:c r="AS486" s="165" t="str">
        <x:f>IF(AND(AS$5&gt;=$C486,AS$5&lt;=$D486,$A486&lt;&gt;""),"●","")</x:f>
      </x:c>
      <x:c r="AT486" s="165" t="str">
        <x:f>IF(AND(AT$5&gt;=$C486,AT$5&lt;=$D486,$A486&lt;&gt;""),"●","")</x:f>
      </x:c>
      <x:c r="AU486" s="165" t="str">
        <x:f>IF(AND(AU$5&gt;=$C486,AU$5&lt;=$D486,$A486&lt;&gt;""),"●","")</x:f>
      </x:c>
      <x:c r="AV486" s="165" t="str">
        <x:f>IF(AND(AV$5&gt;=$C486,AV$5&lt;=$D486,$A486&lt;&gt;""),"●","")</x:f>
      </x:c>
      <x:c r="AW486" s="165" t="str">
        <x:f>IF(AND(AW$5&gt;=$C486,AW$5&lt;=$D486,$A486&lt;&gt;""),"●","")</x:f>
      </x:c>
      <x:c r="AX486" s="165" t="str">
        <x:f>IF(AND(AX$5&gt;=$C486,AX$5&lt;=$D486,$A486&lt;&gt;""),"●","")</x:f>
      </x:c>
      <x:c r="AY486" s="165" t="str">
        <x:f>IF(AND(AY$5&gt;=$C486,AY$5&lt;=$D486,$A486&lt;&gt;""),"●","")</x:f>
      </x:c>
      <x:c r="AZ486" s="165" t="str">
        <x:f>IF(AND(AZ$5&gt;=$C486,AZ$5&lt;=$D486,$A486&lt;&gt;""),"●","")</x:f>
      </x:c>
      <x:c r="BA486" s="165" t="str">
        <x:f>IF(AND(BA$5&gt;=$C486,BA$5&lt;=$D486,$A486&lt;&gt;""),"●","")</x:f>
      </x:c>
      <x:c r="BB486" s="165" t="str">
        <x:f>IF(AND(BB$5&gt;=$C486,BB$5&lt;=$D486,$A486&lt;&gt;""),"●","")</x:f>
      </x:c>
      <x:c r="BC486" s="165" t="str">
        <x:f>IF(AND(BC$5&gt;=$C486,BC$5&lt;=$D486,$A486&lt;&gt;""),"●","")</x:f>
      </x:c>
      <x:c r="BD486" s="165" t="str">
        <x:f>IF(AND(BD$5&gt;=$C486,BD$5&lt;=$D486,$A486&lt;&gt;""),"●","")</x:f>
      </x:c>
      <x:c r="BE486" s="165" t="str">
        <x:f>IF(AND(BE$5&gt;=$C486,BE$5&lt;=$D486,$A486&lt;&gt;""),"●","")</x:f>
      </x:c>
      <x:c r="BF486" s="165" t="str">
        <x:f>IF(AND(BF$5&gt;=$C486,BF$5&lt;=$D486,$A486&lt;&gt;""),"●","")</x:f>
      </x:c>
      <x:c r="BG486" s="165" t="str">
        <x:f>IF(AND(BG$5&gt;=$C486,BG$5&lt;=$D486,$A486&lt;&gt;""),"●","")</x:f>
      </x:c>
      <x:c r="BH486" s="165" t="str">
        <x:f>IF(AND(BH$5&gt;=$C486,BH$5&lt;=$D486,$A486&lt;&gt;""),"●","")</x:f>
      </x:c>
      <x:c r="BI486" s="165" t="str">
        <x:f>IF(AND(BI$5&gt;=$C486,BI$5&lt;=$D486,$A486&lt;&gt;""),"●","")</x:f>
      </x:c>
      <x:c r="BJ486" s="165" t="str">
        <x:f>IF(AND(BJ$5&gt;=$C486,BJ$5&lt;=$D486,$A486&lt;&gt;""),"●","")</x:f>
      </x:c>
      <x:c r="BK486" s="165" t="str">
        <x:f>IF(AND(BK$5&gt;=$C486,BK$5&lt;=$D486,$A486&lt;&gt;""),"●","")</x:f>
      </x:c>
      <x:c r="BL486" s="165" t="str">
        <x:f>IF(AND(BL$5&gt;=$C486,BL$5&lt;=$D486,$A486&lt;&gt;""),"●","")</x:f>
      </x:c>
      <x:c r="BM486" s="165" t="str">
        <x:f>IF(AND(BM$5&gt;=$C486,BM$5&lt;=$D486,$A486&lt;&gt;""),"●","")</x:f>
      </x:c>
      <x:c r="BN486" s="165" t="str">
        <x:f>IF(AND(BN$5&gt;=$C486,BN$5&lt;=$D486,$A486&lt;&gt;""),"●","")</x:f>
      </x:c>
      <x:c r="BO486" s="165" t="str">
        <x:f>IF(AND(BO$5&gt;=$C486,BO$5&lt;=$D486,$A486&lt;&gt;""),"●","")</x:f>
      </x:c>
      <x:c r="BP486" s="165" t="str">
        <x:f>IF(AND(BP$5&gt;=$C486,BP$5&lt;=$D486,$A486&lt;&gt;""),"●","")</x:f>
      </x:c>
      <x:c r="BQ486" s="165" t="str">
        <x:f>IF(AND(BQ$5&gt;=$C486,BQ$5&lt;=$D486,$A486&lt;&gt;""),"●","")</x:f>
      </x:c>
      <x:c r="BR486" s="165" t="str">
        <x:f>IF(AND(BR$5&gt;=$C486,BR$5&lt;=$D486,$A486&lt;&gt;""),"●","")</x:f>
      </x:c>
      <x:c r="BS486" s="165" t="str">
        <x:f>IF(AND(BS$5&gt;=$C486,BS$5&lt;=$D486,$A486&lt;&gt;""),"●","")</x:f>
      </x:c>
      <x:c r="BT486" s="165" t="str">
        <x:f>IF(AND(BT$5&gt;=$C486,BT$5&lt;=$D486,$A486&lt;&gt;""),"●","")</x:f>
      </x:c>
      <x:c r="BU486" s="165" t="str">
        <x:f>IF(AND(BU$5&gt;=$C486,BU$5&lt;=$D486,$A486&lt;&gt;""),"●","")</x:f>
      </x:c>
      <x:c r="BV486" s="165" t="str">
        <x:f>IF(AND(BV$5&gt;=$C486,BV$5&lt;=$D486,$A486&lt;&gt;""),"●","")</x:f>
      </x:c>
      <x:c r="BW486" s="165" t="str">
        <x:f>IF(AND(BW$5&gt;=$C486,BW$5&lt;=$D486,$A486&lt;&gt;""),"●","")</x:f>
      </x:c>
    </x:row>
    <x:row r="487">
      <x:c r="A487" s="159" t="str">
        <x:f>IF('รายการสัญญา'!A487="","",'รายการสัญญา'!A487)</x:f>
      </x:c>
      <x:c r="B487" s="159" t="str">
        <x:f>IF('รายการสัญญา'!A487="","",'รายการสัญญา'!C487)</x:f>
      </x:c>
      <x:c r="C487" s="162" t="str">
        <x:f>IF('รายการสัญญา'!A487="","",'รายการสัญญา'!E487)</x:f>
      </x:c>
      <x:c r="D487" s="162" t="str">
        <x:f>IF('รายการสัญญา'!A487="","",'รายการสัญญา'!G487)</x:f>
      </x:c>
      <x:c r="E487" s="159" t="str">
        <x:f>IF('รายการสัญญา'!A487="","",'รายการสัญญา'!K487)</x:f>
      </x:c>
      <x:c r="F487" s="165" t="str">
        <x:f>IF(AND(F$5&gt;=$C487,F$5&lt;=$D487,$A487&lt;&gt;""),"●","")</x:f>
      </x:c>
      <x:c r="G487" s="165" t="str">
        <x:f>IF(AND(G$5&gt;=$C487,G$5&lt;=$D487,$A487&lt;&gt;""),"●","")</x:f>
      </x:c>
      <x:c r="H487" s="165" t="str">
        <x:f>IF(AND(H$5&gt;=$C487,H$5&lt;=$D487,$A487&lt;&gt;""),"●","")</x:f>
      </x:c>
      <x:c r="I487" s="165" t="str">
        <x:f>IF(AND(I$5&gt;=$C487,I$5&lt;=$D487,$A487&lt;&gt;""),"●","")</x:f>
      </x:c>
      <x:c r="J487" s="165" t="str">
        <x:f>IF(AND(J$5&gt;=$C487,J$5&lt;=$D487,$A487&lt;&gt;""),"●","")</x:f>
      </x:c>
      <x:c r="K487" s="165" t="str">
        <x:f>IF(AND(K$5&gt;=$C487,K$5&lt;=$D487,$A487&lt;&gt;""),"●","")</x:f>
      </x:c>
      <x:c r="L487" s="165" t="str">
        <x:f>IF(AND(L$5&gt;=$C487,L$5&lt;=$D487,$A487&lt;&gt;""),"●","")</x:f>
      </x:c>
      <x:c r="M487" s="165" t="str">
        <x:f>IF(AND(M$5&gt;=$C487,M$5&lt;=$D487,$A487&lt;&gt;""),"●","")</x:f>
      </x:c>
      <x:c r="N487" s="165" t="str">
        <x:f>IF(AND(N$5&gt;=$C487,N$5&lt;=$D487,$A487&lt;&gt;""),"●","")</x:f>
      </x:c>
      <x:c r="O487" s="165" t="str">
        <x:f>IF(AND(O$5&gt;=$C487,O$5&lt;=$D487,$A487&lt;&gt;""),"●","")</x:f>
      </x:c>
      <x:c r="P487" s="165" t="str">
        <x:f>IF(AND(P$5&gt;=$C487,P$5&lt;=$D487,$A487&lt;&gt;""),"●","")</x:f>
      </x:c>
      <x:c r="Q487" s="165" t="str">
        <x:f>IF(AND(Q$5&gt;=$C487,Q$5&lt;=$D487,$A487&lt;&gt;""),"●","")</x:f>
      </x:c>
      <x:c r="R487" s="165" t="str">
        <x:f>IF(AND(R$5&gt;=$C487,R$5&lt;=$D487,$A487&lt;&gt;""),"●","")</x:f>
      </x:c>
      <x:c r="S487" s="165" t="str">
        <x:f>IF(AND(S$5&gt;=$C487,S$5&lt;=$D487,$A487&lt;&gt;""),"●","")</x:f>
      </x:c>
      <x:c r="T487" s="165" t="str">
        <x:f>IF(AND(T$5&gt;=$C487,T$5&lt;=$D487,$A487&lt;&gt;""),"●","")</x:f>
      </x:c>
      <x:c r="U487" s="165" t="str">
        <x:f>IF(AND(U$5&gt;=$C487,U$5&lt;=$D487,$A487&lt;&gt;""),"●","")</x:f>
      </x:c>
      <x:c r="V487" s="165" t="str">
        <x:f>IF(AND(V$5&gt;=$C487,V$5&lt;=$D487,$A487&lt;&gt;""),"●","")</x:f>
      </x:c>
      <x:c r="W487" s="165" t="str">
        <x:f>IF(AND(W$5&gt;=$C487,W$5&lt;=$D487,$A487&lt;&gt;""),"●","")</x:f>
      </x:c>
      <x:c r="X487" s="165" t="str">
        <x:f>IF(AND(X$5&gt;=$C487,X$5&lt;=$D487,$A487&lt;&gt;""),"●","")</x:f>
      </x:c>
      <x:c r="Y487" s="165" t="str">
        <x:f>IF(AND(Y$5&gt;=$C487,Y$5&lt;=$D487,$A487&lt;&gt;""),"●","")</x:f>
      </x:c>
      <x:c r="Z487" s="165" t="str">
        <x:f>IF(AND(Z$5&gt;=$C487,Z$5&lt;=$D487,$A487&lt;&gt;""),"●","")</x:f>
      </x:c>
      <x:c r="AA487" s="165" t="str">
        <x:f>IF(AND(AA$5&gt;=$C487,AA$5&lt;=$D487,$A487&lt;&gt;""),"●","")</x:f>
      </x:c>
      <x:c r="AB487" s="165" t="str">
        <x:f>IF(AND(AB$5&gt;=$C487,AB$5&lt;=$D487,$A487&lt;&gt;""),"●","")</x:f>
      </x:c>
      <x:c r="AC487" s="165" t="str">
        <x:f>IF(AND(AC$5&gt;=$C487,AC$5&lt;=$D487,$A487&lt;&gt;""),"●","")</x:f>
      </x:c>
      <x:c r="AD487" s="165" t="str">
        <x:f>IF(AND(AD$5&gt;=$C487,AD$5&lt;=$D487,$A487&lt;&gt;""),"●","")</x:f>
      </x:c>
      <x:c r="AE487" s="165" t="str">
        <x:f>IF(AND(AE$5&gt;=$C487,AE$5&lt;=$D487,$A487&lt;&gt;""),"●","")</x:f>
      </x:c>
      <x:c r="AF487" s="165" t="str">
        <x:f>IF(AND(AF$5&gt;=$C487,AF$5&lt;=$D487,$A487&lt;&gt;""),"●","")</x:f>
      </x:c>
      <x:c r="AG487" s="165" t="str">
        <x:f>IF(AND(AG$5&gt;=$C487,AG$5&lt;=$D487,$A487&lt;&gt;""),"●","")</x:f>
      </x:c>
      <x:c r="AH487" s="165" t="str">
        <x:f>IF(AND(AH$5&gt;=$C487,AH$5&lt;=$D487,$A487&lt;&gt;""),"●","")</x:f>
      </x:c>
      <x:c r="AI487" s="165" t="str">
        <x:f>IF(AND(AI$5&gt;=$C487,AI$5&lt;=$D487,$A487&lt;&gt;""),"●","")</x:f>
      </x:c>
      <x:c r="AJ487" s="165" t="str">
        <x:f>IF(AND(AJ$5&gt;=$C487,AJ$5&lt;=$D487,$A487&lt;&gt;""),"●","")</x:f>
      </x:c>
      <x:c r="AK487" s="165" t="str">
        <x:f>IF(AND(AK$5&gt;=$C487,AK$5&lt;=$D487,$A487&lt;&gt;""),"●","")</x:f>
      </x:c>
      <x:c r="AL487" s="165" t="str">
        <x:f>IF(AND(AL$5&gt;=$C487,AL$5&lt;=$D487,$A487&lt;&gt;""),"●","")</x:f>
      </x:c>
      <x:c r="AM487" s="165" t="str">
        <x:f>IF(AND(AM$5&gt;=$C487,AM$5&lt;=$D487,$A487&lt;&gt;""),"●","")</x:f>
      </x:c>
      <x:c r="AN487" s="165" t="str">
        <x:f>IF(AND(AN$5&gt;=$C487,AN$5&lt;=$D487,$A487&lt;&gt;""),"●","")</x:f>
      </x:c>
      <x:c r="AO487" s="165" t="str">
        <x:f>IF(AND(AO$5&gt;=$C487,AO$5&lt;=$D487,$A487&lt;&gt;""),"●","")</x:f>
      </x:c>
      <x:c r="AP487" s="165" t="str">
        <x:f>IF(AND(AP$5&gt;=$C487,AP$5&lt;=$D487,$A487&lt;&gt;""),"●","")</x:f>
      </x:c>
      <x:c r="AQ487" s="165" t="str">
        <x:f>IF(AND(AQ$5&gt;=$C487,AQ$5&lt;=$D487,$A487&lt;&gt;""),"●","")</x:f>
      </x:c>
      <x:c r="AR487" s="165" t="str">
        <x:f>IF(AND(AR$5&gt;=$C487,AR$5&lt;=$D487,$A487&lt;&gt;""),"●","")</x:f>
      </x:c>
      <x:c r="AS487" s="165" t="str">
        <x:f>IF(AND(AS$5&gt;=$C487,AS$5&lt;=$D487,$A487&lt;&gt;""),"●","")</x:f>
      </x:c>
      <x:c r="AT487" s="165" t="str">
        <x:f>IF(AND(AT$5&gt;=$C487,AT$5&lt;=$D487,$A487&lt;&gt;""),"●","")</x:f>
      </x:c>
      <x:c r="AU487" s="165" t="str">
        <x:f>IF(AND(AU$5&gt;=$C487,AU$5&lt;=$D487,$A487&lt;&gt;""),"●","")</x:f>
      </x:c>
      <x:c r="AV487" s="165" t="str">
        <x:f>IF(AND(AV$5&gt;=$C487,AV$5&lt;=$D487,$A487&lt;&gt;""),"●","")</x:f>
      </x:c>
      <x:c r="AW487" s="165" t="str">
        <x:f>IF(AND(AW$5&gt;=$C487,AW$5&lt;=$D487,$A487&lt;&gt;""),"●","")</x:f>
      </x:c>
      <x:c r="AX487" s="165" t="str">
        <x:f>IF(AND(AX$5&gt;=$C487,AX$5&lt;=$D487,$A487&lt;&gt;""),"●","")</x:f>
      </x:c>
      <x:c r="AY487" s="165" t="str">
        <x:f>IF(AND(AY$5&gt;=$C487,AY$5&lt;=$D487,$A487&lt;&gt;""),"●","")</x:f>
      </x:c>
      <x:c r="AZ487" s="165" t="str">
        <x:f>IF(AND(AZ$5&gt;=$C487,AZ$5&lt;=$D487,$A487&lt;&gt;""),"●","")</x:f>
      </x:c>
      <x:c r="BA487" s="165" t="str">
        <x:f>IF(AND(BA$5&gt;=$C487,BA$5&lt;=$D487,$A487&lt;&gt;""),"●","")</x:f>
      </x:c>
      <x:c r="BB487" s="165" t="str">
        <x:f>IF(AND(BB$5&gt;=$C487,BB$5&lt;=$D487,$A487&lt;&gt;""),"●","")</x:f>
      </x:c>
      <x:c r="BC487" s="165" t="str">
        <x:f>IF(AND(BC$5&gt;=$C487,BC$5&lt;=$D487,$A487&lt;&gt;""),"●","")</x:f>
      </x:c>
      <x:c r="BD487" s="165" t="str">
        <x:f>IF(AND(BD$5&gt;=$C487,BD$5&lt;=$D487,$A487&lt;&gt;""),"●","")</x:f>
      </x:c>
      <x:c r="BE487" s="165" t="str">
        <x:f>IF(AND(BE$5&gt;=$C487,BE$5&lt;=$D487,$A487&lt;&gt;""),"●","")</x:f>
      </x:c>
      <x:c r="BF487" s="165" t="str">
        <x:f>IF(AND(BF$5&gt;=$C487,BF$5&lt;=$D487,$A487&lt;&gt;""),"●","")</x:f>
      </x:c>
      <x:c r="BG487" s="165" t="str">
        <x:f>IF(AND(BG$5&gt;=$C487,BG$5&lt;=$D487,$A487&lt;&gt;""),"●","")</x:f>
      </x:c>
      <x:c r="BH487" s="165" t="str">
        <x:f>IF(AND(BH$5&gt;=$C487,BH$5&lt;=$D487,$A487&lt;&gt;""),"●","")</x:f>
      </x:c>
      <x:c r="BI487" s="165" t="str">
        <x:f>IF(AND(BI$5&gt;=$C487,BI$5&lt;=$D487,$A487&lt;&gt;""),"●","")</x:f>
      </x:c>
      <x:c r="BJ487" s="165" t="str">
        <x:f>IF(AND(BJ$5&gt;=$C487,BJ$5&lt;=$D487,$A487&lt;&gt;""),"●","")</x:f>
      </x:c>
      <x:c r="BK487" s="165" t="str">
        <x:f>IF(AND(BK$5&gt;=$C487,BK$5&lt;=$D487,$A487&lt;&gt;""),"●","")</x:f>
      </x:c>
      <x:c r="BL487" s="165" t="str">
        <x:f>IF(AND(BL$5&gt;=$C487,BL$5&lt;=$D487,$A487&lt;&gt;""),"●","")</x:f>
      </x:c>
      <x:c r="BM487" s="165" t="str">
        <x:f>IF(AND(BM$5&gt;=$C487,BM$5&lt;=$D487,$A487&lt;&gt;""),"●","")</x:f>
      </x:c>
      <x:c r="BN487" s="165" t="str">
        <x:f>IF(AND(BN$5&gt;=$C487,BN$5&lt;=$D487,$A487&lt;&gt;""),"●","")</x:f>
      </x:c>
      <x:c r="BO487" s="165" t="str">
        <x:f>IF(AND(BO$5&gt;=$C487,BO$5&lt;=$D487,$A487&lt;&gt;""),"●","")</x:f>
      </x:c>
      <x:c r="BP487" s="165" t="str">
        <x:f>IF(AND(BP$5&gt;=$C487,BP$5&lt;=$D487,$A487&lt;&gt;""),"●","")</x:f>
      </x:c>
      <x:c r="BQ487" s="165" t="str">
        <x:f>IF(AND(BQ$5&gt;=$C487,BQ$5&lt;=$D487,$A487&lt;&gt;""),"●","")</x:f>
      </x:c>
      <x:c r="BR487" s="165" t="str">
        <x:f>IF(AND(BR$5&gt;=$C487,BR$5&lt;=$D487,$A487&lt;&gt;""),"●","")</x:f>
      </x:c>
      <x:c r="BS487" s="165" t="str">
        <x:f>IF(AND(BS$5&gt;=$C487,BS$5&lt;=$D487,$A487&lt;&gt;""),"●","")</x:f>
      </x:c>
      <x:c r="BT487" s="165" t="str">
        <x:f>IF(AND(BT$5&gt;=$C487,BT$5&lt;=$D487,$A487&lt;&gt;""),"●","")</x:f>
      </x:c>
      <x:c r="BU487" s="165" t="str">
        <x:f>IF(AND(BU$5&gt;=$C487,BU$5&lt;=$D487,$A487&lt;&gt;""),"●","")</x:f>
      </x:c>
      <x:c r="BV487" s="165" t="str">
        <x:f>IF(AND(BV$5&gt;=$C487,BV$5&lt;=$D487,$A487&lt;&gt;""),"●","")</x:f>
      </x:c>
      <x:c r="BW487" s="165" t="str">
        <x:f>IF(AND(BW$5&gt;=$C487,BW$5&lt;=$D487,$A487&lt;&gt;""),"●","")</x:f>
      </x:c>
    </x:row>
    <x:row r="488">
      <x:c r="A488" s="159" t="str">
        <x:f>IF('รายการสัญญา'!A488="","",'รายการสัญญา'!A488)</x:f>
      </x:c>
      <x:c r="B488" s="159" t="str">
        <x:f>IF('รายการสัญญา'!A488="","",'รายการสัญญา'!C488)</x:f>
      </x:c>
      <x:c r="C488" s="162" t="str">
        <x:f>IF('รายการสัญญา'!A488="","",'รายการสัญญา'!E488)</x:f>
      </x:c>
      <x:c r="D488" s="162" t="str">
        <x:f>IF('รายการสัญญา'!A488="","",'รายการสัญญา'!G488)</x:f>
      </x:c>
      <x:c r="E488" s="159" t="str">
        <x:f>IF('รายการสัญญา'!A488="","",'รายการสัญญา'!K488)</x:f>
      </x:c>
      <x:c r="F488" s="165" t="str">
        <x:f>IF(AND(F$5&gt;=$C488,F$5&lt;=$D488,$A488&lt;&gt;""),"●","")</x:f>
      </x:c>
      <x:c r="G488" s="165" t="str">
        <x:f>IF(AND(G$5&gt;=$C488,G$5&lt;=$D488,$A488&lt;&gt;""),"●","")</x:f>
      </x:c>
      <x:c r="H488" s="165" t="str">
        <x:f>IF(AND(H$5&gt;=$C488,H$5&lt;=$D488,$A488&lt;&gt;""),"●","")</x:f>
      </x:c>
      <x:c r="I488" s="165" t="str">
        <x:f>IF(AND(I$5&gt;=$C488,I$5&lt;=$D488,$A488&lt;&gt;""),"●","")</x:f>
      </x:c>
      <x:c r="J488" s="165" t="str">
        <x:f>IF(AND(J$5&gt;=$C488,J$5&lt;=$D488,$A488&lt;&gt;""),"●","")</x:f>
      </x:c>
      <x:c r="K488" s="165" t="str">
        <x:f>IF(AND(K$5&gt;=$C488,K$5&lt;=$D488,$A488&lt;&gt;""),"●","")</x:f>
      </x:c>
      <x:c r="L488" s="165" t="str">
        <x:f>IF(AND(L$5&gt;=$C488,L$5&lt;=$D488,$A488&lt;&gt;""),"●","")</x:f>
      </x:c>
      <x:c r="M488" s="165" t="str">
        <x:f>IF(AND(M$5&gt;=$C488,M$5&lt;=$D488,$A488&lt;&gt;""),"●","")</x:f>
      </x:c>
      <x:c r="N488" s="165" t="str">
        <x:f>IF(AND(N$5&gt;=$C488,N$5&lt;=$D488,$A488&lt;&gt;""),"●","")</x:f>
      </x:c>
      <x:c r="O488" s="165" t="str">
        <x:f>IF(AND(O$5&gt;=$C488,O$5&lt;=$D488,$A488&lt;&gt;""),"●","")</x:f>
      </x:c>
      <x:c r="P488" s="165" t="str">
        <x:f>IF(AND(P$5&gt;=$C488,P$5&lt;=$D488,$A488&lt;&gt;""),"●","")</x:f>
      </x:c>
      <x:c r="Q488" s="165" t="str">
        <x:f>IF(AND(Q$5&gt;=$C488,Q$5&lt;=$D488,$A488&lt;&gt;""),"●","")</x:f>
      </x:c>
      <x:c r="R488" s="165" t="str">
        <x:f>IF(AND(R$5&gt;=$C488,R$5&lt;=$D488,$A488&lt;&gt;""),"●","")</x:f>
      </x:c>
      <x:c r="S488" s="165" t="str">
        <x:f>IF(AND(S$5&gt;=$C488,S$5&lt;=$D488,$A488&lt;&gt;""),"●","")</x:f>
      </x:c>
      <x:c r="T488" s="165" t="str">
        <x:f>IF(AND(T$5&gt;=$C488,T$5&lt;=$D488,$A488&lt;&gt;""),"●","")</x:f>
      </x:c>
      <x:c r="U488" s="165" t="str">
        <x:f>IF(AND(U$5&gt;=$C488,U$5&lt;=$D488,$A488&lt;&gt;""),"●","")</x:f>
      </x:c>
      <x:c r="V488" s="165" t="str">
        <x:f>IF(AND(V$5&gt;=$C488,V$5&lt;=$D488,$A488&lt;&gt;""),"●","")</x:f>
      </x:c>
      <x:c r="W488" s="165" t="str">
        <x:f>IF(AND(W$5&gt;=$C488,W$5&lt;=$D488,$A488&lt;&gt;""),"●","")</x:f>
      </x:c>
      <x:c r="X488" s="165" t="str">
        <x:f>IF(AND(X$5&gt;=$C488,X$5&lt;=$D488,$A488&lt;&gt;""),"●","")</x:f>
      </x:c>
      <x:c r="Y488" s="165" t="str">
        <x:f>IF(AND(Y$5&gt;=$C488,Y$5&lt;=$D488,$A488&lt;&gt;""),"●","")</x:f>
      </x:c>
      <x:c r="Z488" s="165" t="str">
        <x:f>IF(AND(Z$5&gt;=$C488,Z$5&lt;=$D488,$A488&lt;&gt;""),"●","")</x:f>
      </x:c>
      <x:c r="AA488" s="165" t="str">
        <x:f>IF(AND(AA$5&gt;=$C488,AA$5&lt;=$D488,$A488&lt;&gt;""),"●","")</x:f>
      </x:c>
      <x:c r="AB488" s="165" t="str">
        <x:f>IF(AND(AB$5&gt;=$C488,AB$5&lt;=$D488,$A488&lt;&gt;""),"●","")</x:f>
      </x:c>
      <x:c r="AC488" s="165" t="str">
        <x:f>IF(AND(AC$5&gt;=$C488,AC$5&lt;=$D488,$A488&lt;&gt;""),"●","")</x:f>
      </x:c>
      <x:c r="AD488" s="165" t="str">
        <x:f>IF(AND(AD$5&gt;=$C488,AD$5&lt;=$D488,$A488&lt;&gt;""),"●","")</x:f>
      </x:c>
      <x:c r="AE488" s="165" t="str">
        <x:f>IF(AND(AE$5&gt;=$C488,AE$5&lt;=$D488,$A488&lt;&gt;""),"●","")</x:f>
      </x:c>
      <x:c r="AF488" s="165" t="str">
        <x:f>IF(AND(AF$5&gt;=$C488,AF$5&lt;=$D488,$A488&lt;&gt;""),"●","")</x:f>
      </x:c>
      <x:c r="AG488" s="165" t="str">
        <x:f>IF(AND(AG$5&gt;=$C488,AG$5&lt;=$D488,$A488&lt;&gt;""),"●","")</x:f>
      </x:c>
      <x:c r="AH488" s="165" t="str">
        <x:f>IF(AND(AH$5&gt;=$C488,AH$5&lt;=$D488,$A488&lt;&gt;""),"●","")</x:f>
      </x:c>
      <x:c r="AI488" s="165" t="str">
        <x:f>IF(AND(AI$5&gt;=$C488,AI$5&lt;=$D488,$A488&lt;&gt;""),"●","")</x:f>
      </x:c>
      <x:c r="AJ488" s="165" t="str">
        <x:f>IF(AND(AJ$5&gt;=$C488,AJ$5&lt;=$D488,$A488&lt;&gt;""),"●","")</x:f>
      </x:c>
      <x:c r="AK488" s="165" t="str">
        <x:f>IF(AND(AK$5&gt;=$C488,AK$5&lt;=$D488,$A488&lt;&gt;""),"●","")</x:f>
      </x:c>
      <x:c r="AL488" s="165" t="str">
        <x:f>IF(AND(AL$5&gt;=$C488,AL$5&lt;=$D488,$A488&lt;&gt;""),"●","")</x:f>
      </x:c>
      <x:c r="AM488" s="165" t="str">
        <x:f>IF(AND(AM$5&gt;=$C488,AM$5&lt;=$D488,$A488&lt;&gt;""),"●","")</x:f>
      </x:c>
      <x:c r="AN488" s="165" t="str">
        <x:f>IF(AND(AN$5&gt;=$C488,AN$5&lt;=$D488,$A488&lt;&gt;""),"●","")</x:f>
      </x:c>
      <x:c r="AO488" s="165" t="str">
        <x:f>IF(AND(AO$5&gt;=$C488,AO$5&lt;=$D488,$A488&lt;&gt;""),"●","")</x:f>
      </x:c>
      <x:c r="AP488" s="165" t="str">
        <x:f>IF(AND(AP$5&gt;=$C488,AP$5&lt;=$D488,$A488&lt;&gt;""),"●","")</x:f>
      </x:c>
      <x:c r="AQ488" s="165" t="str">
        <x:f>IF(AND(AQ$5&gt;=$C488,AQ$5&lt;=$D488,$A488&lt;&gt;""),"●","")</x:f>
      </x:c>
      <x:c r="AR488" s="165" t="str">
        <x:f>IF(AND(AR$5&gt;=$C488,AR$5&lt;=$D488,$A488&lt;&gt;""),"●","")</x:f>
      </x:c>
      <x:c r="AS488" s="165" t="str">
        <x:f>IF(AND(AS$5&gt;=$C488,AS$5&lt;=$D488,$A488&lt;&gt;""),"●","")</x:f>
      </x:c>
      <x:c r="AT488" s="165" t="str">
        <x:f>IF(AND(AT$5&gt;=$C488,AT$5&lt;=$D488,$A488&lt;&gt;""),"●","")</x:f>
      </x:c>
      <x:c r="AU488" s="165" t="str">
        <x:f>IF(AND(AU$5&gt;=$C488,AU$5&lt;=$D488,$A488&lt;&gt;""),"●","")</x:f>
      </x:c>
      <x:c r="AV488" s="165" t="str">
        <x:f>IF(AND(AV$5&gt;=$C488,AV$5&lt;=$D488,$A488&lt;&gt;""),"●","")</x:f>
      </x:c>
      <x:c r="AW488" s="165" t="str">
        <x:f>IF(AND(AW$5&gt;=$C488,AW$5&lt;=$D488,$A488&lt;&gt;""),"●","")</x:f>
      </x:c>
      <x:c r="AX488" s="165" t="str">
        <x:f>IF(AND(AX$5&gt;=$C488,AX$5&lt;=$D488,$A488&lt;&gt;""),"●","")</x:f>
      </x:c>
      <x:c r="AY488" s="165" t="str">
        <x:f>IF(AND(AY$5&gt;=$C488,AY$5&lt;=$D488,$A488&lt;&gt;""),"●","")</x:f>
      </x:c>
      <x:c r="AZ488" s="165" t="str">
        <x:f>IF(AND(AZ$5&gt;=$C488,AZ$5&lt;=$D488,$A488&lt;&gt;""),"●","")</x:f>
      </x:c>
      <x:c r="BA488" s="165" t="str">
        <x:f>IF(AND(BA$5&gt;=$C488,BA$5&lt;=$D488,$A488&lt;&gt;""),"●","")</x:f>
      </x:c>
      <x:c r="BB488" s="165" t="str">
        <x:f>IF(AND(BB$5&gt;=$C488,BB$5&lt;=$D488,$A488&lt;&gt;""),"●","")</x:f>
      </x:c>
      <x:c r="BC488" s="165" t="str">
        <x:f>IF(AND(BC$5&gt;=$C488,BC$5&lt;=$D488,$A488&lt;&gt;""),"●","")</x:f>
      </x:c>
      <x:c r="BD488" s="165" t="str">
        <x:f>IF(AND(BD$5&gt;=$C488,BD$5&lt;=$D488,$A488&lt;&gt;""),"●","")</x:f>
      </x:c>
      <x:c r="BE488" s="165" t="str">
        <x:f>IF(AND(BE$5&gt;=$C488,BE$5&lt;=$D488,$A488&lt;&gt;""),"●","")</x:f>
      </x:c>
      <x:c r="BF488" s="165" t="str">
        <x:f>IF(AND(BF$5&gt;=$C488,BF$5&lt;=$D488,$A488&lt;&gt;""),"●","")</x:f>
      </x:c>
      <x:c r="BG488" s="165" t="str">
        <x:f>IF(AND(BG$5&gt;=$C488,BG$5&lt;=$D488,$A488&lt;&gt;""),"●","")</x:f>
      </x:c>
      <x:c r="BH488" s="165" t="str">
        <x:f>IF(AND(BH$5&gt;=$C488,BH$5&lt;=$D488,$A488&lt;&gt;""),"●","")</x:f>
      </x:c>
      <x:c r="BI488" s="165" t="str">
        <x:f>IF(AND(BI$5&gt;=$C488,BI$5&lt;=$D488,$A488&lt;&gt;""),"●","")</x:f>
      </x:c>
      <x:c r="BJ488" s="165" t="str">
        <x:f>IF(AND(BJ$5&gt;=$C488,BJ$5&lt;=$D488,$A488&lt;&gt;""),"●","")</x:f>
      </x:c>
      <x:c r="BK488" s="165" t="str">
        <x:f>IF(AND(BK$5&gt;=$C488,BK$5&lt;=$D488,$A488&lt;&gt;""),"●","")</x:f>
      </x:c>
      <x:c r="BL488" s="165" t="str">
        <x:f>IF(AND(BL$5&gt;=$C488,BL$5&lt;=$D488,$A488&lt;&gt;""),"●","")</x:f>
      </x:c>
      <x:c r="BM488" s="165" t="str">
        <x:f>IF(AND(BM$5&gt;=$C488,BM$5&lt;=$D488,$A488&lt;&gt;""),"●","")</x:f>
      </x:c>
      <x:c r="BN488" s="165" t="str">
        <x:f>IF(AND(BN$5&gt;=$C488,BN$5&lt;=$D488,$A488&lt;&gt;""),"●","")</x:f>
      </x:c>
      <x:c r="BO488" s="165" t="str">
        <x:f>IF(AND(BO$5&gt;=$C488,BO$5&lt;=$D488,$A488&lt;&gt;""),"●","")</x:f>
      </x:c>
      <x:c r="BP488" s="165" t="str">
        <x:f>IF(AND(BP$5&gt;=$C488,BP$5&lt;=$D488,$A488&lt;&gt;""),"●","")</x:f>
      </x:c>
      <x:c r="BQ488" s="165" t="str">
        <x:f>IF(AND(BQ$5&gt;=$C488,BQ$5&lt;=$D488,$A488&lt;&gt;""),"●","")</x:f>
      </x:c>
      <x:c r="BR488" s="165" t="str">
        <x:f>IF(AND(BR$5&gt;=$C488,BR$5&lt;=$D488,$A488&lt;&gt;""),"●","")</x:f>
      </x:c>
      <x:c r="BS488" s="165" t="str">
        <x:f>IF(AND(BS$5&gt;=$C488,BS$5&lt;=$D488,$A488&lt;&gt;""),"●","")</x:f>
      </x:c>
      <x:c r="BT488" s="165" t="str">
        <x:f>IF(AND(BT$5&gt;=$C488,BT$5&lt;=$D488,$A488&lt;&gt;""),"●","")</x:f>
      </x:c>
      <x:c r="BU488" s="165" t="str">
        <x:f>IF(AND(BU$5&gt;=$C488,BU$5&lt;=$D488,$A488&lt;&gt;""),"●","")</x:f>
      </x:c>
      <x:c r="BV488" s="165" t="str">
        <x:f>IF(AND(BV$5&gt;=$C488,BV$5&lt;=$D488,$A488&lt;&gt;""),"●","")</x:f>
      </x:c>
      <x:c r="BW488" s="165" t="str">
        <x:f>IF(AND(BW$5&gt;=$C488,BW$5&lt;=$D488,$A488&lt;&gt;""),"●","")</x:f>
      </x:c>
    </x:row>
    <x:row r="489">
      <x:c r="A489" s="159" t="str">
        <x:f>IF('รายการสัญญา'!A489="","",'รายการสัญญา'!A489)</x:f>
      </x:c>
      <x:c r="B489" s="159" t="str">
        <x:f>IF('รายการสัญญา'!A489="","",'รายการสัญญา'!C489)</x:f>
      </x:c>
      <x:c r="C489" s="162" t="str">
        <x:f>IF('รายการสัญญา'!A489="","",'รายการสัญญา'!E489)</x:f>
      </x:c>
      <x:c r="D489" s="162" t="str">
        <x:f>IF('รายการสัญญา'!A489="","",'รายการสัญญา'!G489)</x:f>
      </x:c>
      <x:c r="E489" s="159" t="str">
        <x:f>IF('รายการสัญญา'!A489="","",'รายการสัญญา'!K489)</x:f>
      </x:c>
      <x:c r="F489" s="165" t="str">
        <x:f>IF(AND(F$5&gt;=$C489,F$5&lt;=$D489,$A489&lt;&gt;""),"●","")</x:f>
      </x:c>
      <x:c r="G489" s="165" t="str">
        <x:f>IF(AND(G$5&gt;=$C489,G$5&lt;=$D489,$A489&lt;&gt;""),"●","")</x:f>
      </x:c>
      <x:c r="H489" s="165" t="str">
        <x:f>IF(AND(H$5&gt;=$C489,H$5&lt;=$D489,$A489&lt;&gt;""),"●","")</x:f>
      </x:c>
      <x:c r="I489" s="165" t="str">
        <x:f>IF(AND(I$5&gt;=$C489,I$5&lt;=$D489,$A489&lt;&gt;""),"●","")</x:f>
      </x:c>
      <x:c r="J489" s="165" t="str">
        <x:f>IF(AND(J$5&gt;=$C489,J$5&lt;=$D489,$A489&lt;&gt;""),"●","")</x:f>
      </x:c>
      <x:c r="K489" s="165" t="str">
        <x:f>IF(AND(K$5&gt;=$C489,K$5&lt;=$D489,$A489&lt;&gt;""),"●","")</x:f>
      </x:c>
      <x:c r="L489" s="165" t="str">
        <x:f>IF(AND(L$5&gt;=$C489,L$5&lt;=$D489,$A489&lt;&gt;""),"●","")</x:f>
      </x:c>
      <x:c r="M489" s="165" t="str">
        <x:f>IF(AND(M$5&gt;=$C489,M$5&lt;=$D489,$A489&lt;&gt;""),"●","")</x:f>
      </x:c>
      <x:c r="N489" s="165" t="str">
        <x:f>IF(AND(N$5&gt;=$C489,N$5&lt;=$D489,$A489&lt;&gt;""),"●","")</x:f>
      </x:c>
      <x:c r="O489" s="165" t="str">
        <x:f>IF(AND(O$5&gt;=$C489,O$5&lt;=$D489,$A489&lt;&gt;""),"●","")</x:f>
      </x:c>
      <x:c r="P489" s="165" t="str">
        <x:f>IF(AND(P$5&gt;=$C489,P$5&lt;=$D489,$A489&lt;&gt;""),"●","")</x:f>
      </x:c>
      <x:c r="Q489" s="165" t="str">
        <x:f>IF(AND(Q$5&gt;=$C489,Q$5&lt;=$D489,$A489&lt;&gt;""),"●","")</x:f>
      </x:c>
      <x:c r="R489" s="165" t="str">
        <x:f>IF(AND(R$5&gt;=$C489,R$5&lt;=$D489,$A489&lt;&gt;""),"●","")</x:f>
      </x:c>
      <x:c r="S489" s="165" t="str">
        <x:f>IF(AND(S$5&gt;=$C489,S$5&lt;=$D489,$A489&lt;&gt;""),"●","")</x:f>
      </x:c>
      <x:c r="T489" s="165" t="str">
        <x:f>IF(AND(T$5&gt;=$C489,T$5&lt;=$D489,$A489&lt;&gt;""),"●","")</x:f>
      </x:c>
      <x:c r="U489" s="165" t="str">
        <x:f>IF(AND(U$5&gt;=$C489,U$5&lt;=$D489,$A489&lt;&gt;""),"●","")</x:f>
      </x:c>
      <x:c r="V489" s="165" t="str">
        <x:f>IF(AND(V$5&gt;=$C489,V$5&lt;=$D489,$A489&lt;&gt;""),"●","")</x:f>
      </x:c>
      <x:c r="W489" s="165" t="str">
        <x:f>IF(AND(W$5&gt;=$C489,W$5&lt;=$D489,$A489&lt;&gt;""),"●","")</x:f>
      </x:c>
      <x:c r="X489" s="165" t="str">
        <x:f>IF(AND(X$5&gt;=$C489,X$5&lt;=$D489,$A489&lt;&gt;""),"●","")</x:f>
      </x:c>
      <x:c r="Y489" s="165" t="str">
        <x:f>IF(AND(Y$5&gt;=$C489,Y$5&lt;=$D489,$A489&lt;&gt;""),"●","")</x:f>
      </x:c>
      <x:c r="Z489" s="165" t="str">
        <x:f>IF(AND(Z$5&gt;=$C489,Z$5&lt;=$D489,$A489&lt;&gt;""),"●","")</x:f>
      </x:c>
      <x:c r="AA489" s="165" t="str">
        <x:f>IF(AND(AA$5&gt;=$C489,AA$5&lt;=$D489,$A489&lt;&gt;""),"●","")</x:f>
      </x:c>
      <x:c r="AB489" s="165" t="str">
        <x:f>IF(AND(AB$5&gt;=$C489,AB$5&lt;=$D489,$A489&lt;&gt;""),"●","")</x:f>
      </x:c>
      <x:c r="AC489" s="165" t="str">
        <x:f>IF(AND(AC$5&gt;=$C489,AC$5&lt;=$D489,$A489&lt;&gt;""),"●","")</x:f>
      </x:c>
      <x:c r="AD489" s="165" t="str">
        <x:f>IF(AND(AD$5&gt;=$C489,AD$5&lt;=$D489,$A489&lt;&gt;""),"●","")</x:f>
      </x:c>
      <x:c r="AE489" s="165" t="str">
        <x:f>IF(AND(AE$5&gt;=$C489,AE$5&lt;=$D489,$A489&lt;&gt;""),"●","")</x:f>
      </x:c>
      <x:c r="AF489" s="165" t="str">
        <x:f>IF(AND(AF$5&gt;=$C489,AF$5&lt;=$D489,$A489&lt;&gt;""),"●","")</x:f>
      </x:c>
      <x:c r="AG489" s="165" t="str">
        <x:f>IF(AND(AG$5&gt;=$C489,AG$5&lt;=$D489,$A489&lt;&gt;""),"●","")</x:f>
      </x:c>
      <x:c r="AH489" s="165" t="str">
        <x:f>IF(AND(AH$5&gt;=$C489,AH$5&lt;=$D489,$A489&lt;&gt;""),"●","")</x:f>
      </x:c>
      <x:c r="AI489" s="165" t="str">
        <x:f>IF(AND(AI$5&gt;=$C489,AI$5&lt;=$D489,$A489&lt;&gt;""),"●","")</x:f>
      </x:c>
      <x:c r="AJ489" s="165" t="str">
        <x:f>IF(AND(AJ$5&gt;=$C489,AJ$5&lt;=$D489,$A489&lt;&gt;""),"●","")</x:f>
      </x:c>
      <x:c r="AK489" s="165" t="str">
        <x:f>IF(AND(AK$5&gt;=$C489,AK$5&lt;=$D489,$A489&lt;&gt;""),"●","")</x:f>
      </x:c>
      <x:c r="AL489" s="165" t="str">
        <x:f>IF(AND(AL$5&gt;=$C489,AL$5&lt;=$D489,$A489&lt;&gt;""),"●","")</x:f>
      </x:c>
      <x:c r="AM489" s="165" t="str">
        <x:f>IF(AND(AM$5&gt;=$C489,AM$5&lt;=$D489,$A489&lt;&gt;""),"●","")</x:f>
      </x:c>
      <x:c r="AN489" s="165" t="str">
        <x:f>IF(AND(AN$5&gt;=$C489,AN$5&lt;=$D489,$A489&lt;&gt;""),"●","")</x:f>
      </x:c>
      <x:c r="AO489" s="165" t="str">
        <x:f>IF(AND(AO$5&gt;=$C489,AO$5&lt;=$D489,$A489&lt;&gt;""),"●","")</x:f>
      </x:c>
      <x:c r="AP489" s="165" t="str">
        <x:f>IF(AND(AP$5&gt;=$C489,AP$5&lt;=$D489,$A489&lt;&gt;""),"●","")</x:f>
      </x:c>
      <x:c r="AQ489" s="165" t="str">
        <x:f>IF(AND(AQ$5&gt;=$C489,AQ$5&lt;=$D489,$A489&lt;&gt;""),"●","")</x:f>
      </x:c>
      <x:c r="AR489" s="165" t="str">
        <x:f>IF(AND(AR$5&gt;=$C489,AR$5&lt;=$D489,$A489&lt;&gt;""),"●","")</x:f>
      </x:c>
      <x:c r="AS489" s="165" t="str">
        <x:f>IF(AND(AS$5&gt;=$C489,AS$5&lt;=$D489,$A489&lt;&gt;""),"●","")</x:f>
      </x:c>
      <x:c r="AT489" s="165" t="str">
        <x:f>IF(AND(AT$5&gt;=$C489,AT$5&lt;=$D489,$A489&lt;&gt;""),"●","")</x:f>
      </x:c>
      <x:c r="AU489" s="165" t="str">
        <x:f>IF(AND(AU$5&gt;=$C489,AU$5&lt;=$D489,$A489&lt;&gt;""),"●","")</x:f>
      </x:c>
      <x:c r="AV489" s="165" t="str">
        <x:f>IF(AND(AV$5&gt;=$C489,AV$5&lt;=$D489,$A489&lt;&gt;""),"●","")</x:f>
      </x:c>
      <x:c r="AW489" s="165" t="str">
        <x:f>IF(AND(AW$5&gt;=$C489,AW$5&lt;=$D489,$A489&lt;&gt;""),"●","")</x:f>
      </x:c>
      <x:c r="AX489" s="165" t="str">
        <x:f>IF(AND(AX$5&gt;=$C489,AX$5&lt;=$D489,$A489&lt;&gt;""),"●","")</x:f>
      </x:c>
      <x:c r="AY489" s="165" t="str">
        <x:f>IF(AND(AY$5&gt;=$C489,AY$5&lt;=$D489,$A489&lt;&gt;""),"●","")</x:f>
      </x:c>
      <x:c r="AZ489" s="165" t="str">
        <x:f>IF(AND(AZ$5&gt;=$C489,AZ$5&lt;=$D489,$A489&lt;&gt;""),"●","")</x:f>
      </x:c>
      <x:c r="BA489" s="165" t="str">
        <x:f>IF(AND(BA$5&gt;=$C489,BA$5&lt;=$D489,$A489&lt;&gt;""),"●","")</x:f>
      </x:c>
      <x:c r="BB489" s="165" t="str">
        <x:f>IF(AND(BB$5&gt;=$C489,BB$5&lt;=$D489,$A489&lt;&gt;""),"●","")</x:f>
      </x:c>
      <x:c r="BC489" s="165" t="str">
        <x:f>IF(AND(BC$5&gt;=$C489,BC$5&lt;=$D489,$A489&lt;&gt;""),"●","")</x:f>
      </x:c>
      <x:c r="BD489" s="165" t="str">
        <x:f>IF(AND(BD$5&gt;=$C489,BD$5&lt;=$D489,$A489&lt;&gt;""),"●","")</x:f>
      </x:c>
      <x:c r="BE489" s="165" t="str">
        <x:f>IF(AND(BE$5&gt;=$C489,BE$5&lt;=$D489,$A489&lt;&gt;""),"●","")</x:f>
      </x:c>
      <x:c r="BF489" s="165" t="str">
        <x:f>IF(AND(BF$5&gt;=$C489,BF$5&lt;=$D489,$A489&lt;&gt;""),"●","")</x:f>
      </x:c>
      <x:c r="BG489" s="165" t="str">
        <x:f>IF(AND(BG$5&gt;=$C489,BG$5&lt;=$D489,$A489&lt;&gt;""),"●","")</x:f>
      </x:c>
      <x:c r="BH489" s="165" t="str">
        <x:f>IF(AND(BH$5&gt;=$C489,BH$5&lt;=$D489,$A489&lt;&gt;""),"●","")</x:f>
      </x:c>
      <x:c r="BI489" s="165" t="str">
        <x:f>IF(AND(BI$5&gt;=$C489,BI$5&lt;=$D489,$A489&lt;&gt;""),"●","")</x:f>
      </x:c>
      <x:c r="BJ489" s="165" t="str">
        <x:f>IF(AND(BJ$5&gt;=$C489,BJ$5&lt;=$D489,$A489&lt;&gt;""),"●","")</x:f>
      </x:c>
      <x:c r="BK489" s="165" t="str">
        <x:f>IF(AND(BK$5&gt;=$C489,BK$5&lt;=$D489,$A489&lt;&gt;""),"●","")</x:f>
      </x:c>
      <x:c r="BL489" s="165" t="str">
        <x:f>IF(AND(BL$5&gt;=$C489,BL$5&lt;=$D489,$A489&lt;&gt;""),"●","")</x:f>
      </x:c>
      <x:c r="BM489" s="165" t="str">
        <x:f>IF(AND(BM$5&gt;=$C489,BM$5&lt;=$D489,$A489&lt;&gt;""),"●","")</x:f>
      </x:c>
      <x:c r="BN489" s="165" t="str">
        <x:f>IF(AND(BN$5&gt;=$C489,BN$5&lt;=$D489,$A489&lt;&gt;""),"●","")</x:f>
      </x:c>
      <x:c r="BO489" s="165" t="str">
        <x:f>IF(AND(BO$5&gt;=$C489,BO$5&lt;=$D489,$A489&lt;&gt;""),"●","")</x:f>
      </x:c>
      <x:c r="BP489" s="165" t="str">
        <x:f>IF(AND(BP$5&gt;=$C489,BP$5&lt;=$D489,$A489&lt;&gt;""),"●","")</x:f>
      </x:c>
      <x:c r="BQ489" s="165" t="str">
        <x:f>IF(AND(BQ$5&gt;=$C489,BQ$5&lt;=$D489,$A489&lt;&gt;""),"●","")</x:f>
      </x:c>
      <x:c r="BR489" s="165" t="str">
        <x:f>IF(AND(BR$5&gt;=$C489,BR$5&lt;=$D489,$A489&lt;&gt;""),"●","")</x:f>
      </x:c>
      <x:c r="BS489" s="165" t="str">
        <x:f>IF(AND(BS$5&gt;=$C489,BS$5&lt;=$D489,$A489&lt;&gt;""),"●","")</x:f>
      </x:c>
      <x:c r="BT489" s="165" t="str">
        <x:f>IF(AND(BT$5&gt;=$C489,BT$5&lt;=$D489,$A489&lt;&gt;""),"●","")</x:f>
      </x:c>
      <x:c r="BU489" s="165" t="str">
        <x:f>IF(AND(BU$5&gt;=$C489,BU$5&lt;=$D489,$A489&lt;&gt;""),"●","")</x:f>
      </x:c>
      <x:c r="BV489" s="165" t="str">
        <x:f>IF(AND(BV$5&gt;=$C489,BV$5&lt;=$D489,$A489&lt;&gt;""),"●","")</x:f>
      </x:c>
      <x:c r="BW489" s="165" t="str">
        <x:f>IF(AND(BW$5&gt;=$C489,BW$5&lt;=$D489,$A489&lt;&gt;""),"●","")</x:f>
      </x:c>
    </x:row>
    <x:row r="490">
      <x:c r="A490" s="159" t="str">
        <x:f>IF('รายการสัญญา'!A490="","",'รายการสัญญา'!A490)</x:f>
      </x:c>
      <x:c r="B490" s="159" t="str">
        <x:f>IF('รายการสัญญา'!A490="","",'รายการสัญญา'!C490)</x:f>
      </x:c>
      <x:c r="C490" s="162" t="str">
        <x:f>IF('รายการสัญญา'!A490="","",'รายการสัญญา'!E490)</x:f>
      </x:c>
      <x:c r="D490" s="162" t="str">
        <x:f>IF('รายการสัญญา'!A490="","",'รายการสัญญา'!G490)</x:f>
      </x:c>
      <x:c r="E490" s="159" t="str">
        <x:f>IF('รายการสัญญา'!A490="","",'รายการสัญญา'!K490)</x:f>
      </x:c>
      <x:c r="F490" s="165" t="str">
        <x:f>IF(AND(F$5&gt;=$C490,F$5&lt;=$D490,$A490&lt;&gt;""),"●","")</x:f>
      </x:c>
      <x:c r="G490" s="165" t="str">
        <x:f>IF(AND(G$5&gt;=$C490,G$5&lt;=$D490,$A490&lt;&gt;""),"●","")</x:f>
      </x:c>
      <x:c r="H490" s="165" t="str">
        <x:f>IF(AND(H$5&gt;=$C490,H$5&lt;=$D490,$A490&lt;&gt;""),"●","")</x:f>
      </x:c>
      <x:c r="I490" s="165" t="str">
        <x:f>IF(AND(I$5&gt;=$C490,I$5&lt;=$D490,$A490&lt;&gt;""),"●","")</x:f>
      </x:c>
      <x:c r="J490" s="165" t="str">
        <x:f>IF(AND(J$5&gt;=$C490,J$5&lt;=$D490,$A490&lt;&gt;""),"●","")</x:f>
      </x:c>
      <x:c r="K490" s="165" t="str">
        <x:f>IF(AND(K$5&gt;=$C490,K$5&lt;=$D490,$A490&lt;&gt;""),"●","")</x:f>
      </x:c>
      <x:c r="L490" s="165" t="str">
        <x:f>IF(AND(L$5&gt;=$C490,L$5&lt;=$D490,$A490&lt;&gt;""),"●","")</x:f>
      </x:c>
      <x:c r="M490" s="165" t="str">
        <x:f>IF(AND(M$5&gt;=$C490,M$5&lt;=$D490,$A490&lt;&gt;""),"●","")</x:f>
      </x:c>
      <x:c r="N490" s="165" t="str">
        <x:f>IF(AND(N$5&gt;=$C490,N$5&lt;=$D490,$A490&lt;&gt;""),"●","")</x:f>
      </x:c>
      <x:c r="O490" s="165" t="str">
        <x:f>IF(AND(O$5&gt;=$C490,O$5&lt;=$D490,$A490&lt;&gt;""),"●","")</x:f>
      </x:c>
      <x:c r="P490" s="165" t="str">
        <x:f>IF(AND(P$5&gt;=$C490,P$5&lt;=$D490,$A490&lt;&gt;""),"●","")</x:f>
      </x:c>
      <x:c r="Q490" s="165" t="str">
        <x:f>IF(AND(Q$5&gt;=$C490,Q$5&lt;=$D490,$A490&lt;&gt;""),"●","")</x:f>
      </x:c>
      <x:c r="R490" s="165" t="str">
        <x:f>IF(AND(R$5&gt;=$C490,R$5&lt;=$D490,$A490&lt;&gt;""),"●","")</x:f>
      </x:c>
      <x:c r="S490" s="165" t="str">
        <x:f>IF(AND(S$5&gt;=$C490,S$5&lt;=$D490,$A490&lt;&gt;""),"●","")</x:f>
      </x:c>
      <x:c r="T490" s="165" t="str">
        <x:f>IF(AND(T$5&gt;=$C490,T$5&lt;=$D490,$A490&lt;&gt;""),"●","")</x:f>
      </x:c>
      <x:c r="U490" s="165" t="str">
        <x:f>IF(AND(U$5&gt;=$C490,U$5&lt;=$D490,$A490&lt;&gt;""),"●","")</x:f>
      </x:c>
      <x:c r="V490" s="165" t="str">
        <x:f>IF(AND(V$5&gt;=$C490,V$5&lt;=$D490,$A490&lt;&gt;""),"●","")</x:f>
      </x:c>
      <x:c r="W490" s="165" t="str">
        <x:f>IF(AND(W$5&gt;=$C490,W$5&lt;=$D490,$A490&lt;&gt;""),"●","")</x:f>
      </x:c>
      <x:c r="X490" s="165" t="str">
        <x:f>IF(AND(X$5&gt;=$C490,X$5&lt;=$D490,$A490&lt;&gt;""),"●","")</x:f>
      </x:c>
      <x:c r="Y490" s="165" t="str">
        <x:f>IF(AND(Y$5&gt;=$C490,Y$5&lt;=$D490,$A490&lt;&gt;""),"●","")</x:f>
      </x:c>
      <x:c r="Z490" s="165" t="str">
        <x:f>IF(AND(Z$5&gt;=$C490,Z$5&lt;=$D490,$A490&lt;&gt;""),"●","")</x:f>
      </x:c>
      <x:c r="AA490" s="165" t="str">
        <x:f>IF(AND(AA$5&gt;=$C490,AA$5&lt;=$D490,$A490&lt;&gt;""),"●","")</x:f>
      </x:c>
      <x:c r="AB490" s="165" t="str">
        <x:f>IF(AND(AB$5&gt;=$C490,AB$5&lt;=$D490,$A490&lt;&gt;""),"●","")</x:f>
      </x:c>
      <x:c r="AC490" s="165" t="str">
        <x:f>IF(AND(AC$5&gt;=$C490,AC$5&lt;=$D490,$A490&lt;&gt;""),"●","")</x:f>
      </x:c>
      <x:c r="AD490" s="165" t="str">
        <x:f>IF(AND(AD$5&gt;=$C490,AD$5&lt;=$D490,$A490&lt;&gt;""),"●","")</x:f>
      </x:c>
      <x:c r="AE490" s="165" t="str">
        <x:f>IF(AND(AE$5&gt;=$C490,AE$5&lt;=$D490,$A490&lt;&gt;""),"●","")</x:f>
      </x:c>
      <x:c r="AF490" s="165" t="str">
        <x:f>IF(AND(AF$5&gt;=$C490,AF$5&lt;=$D490,$A490&lt;&gt;""),"●","")</x:f>
      </x:c>
      <x:c r="AG490" s="165" t="str">
        <x:f>IF(AND(AG$5&gt;=$C490,AG$5&lt;=$D490,$A490&lt;&gt;""),"●","")</x:f>
      </x:c>
      <x:c r="AH490" s="165" t="str">
        <x:f>IF(AND(AH$5&gt;=$C490,AH$5&lt;=$D490,$A490&lt;&gt;""),"●","")</x:f>
      </x:c>
      <x:c r="AI490" s="165" t="str">
        <x:f>IF(AND(AI$5&gt;=$C490,AI$5&lt;=$D490,$A490&lt;&gt;""),"●","")</x:f>
      </x:c>
      <x:c r="AJ490" s="165" t="str">
        <x:f>IF(AND(AJ$5&gt;=$C490,AJ$5&lt;=$D490,$A490&lt;&gt;""),"●","")</x:f>
      </x:c>
      <x:c r="AK490" s="165" t="str">
        <x:f>IF(AND(AK$5&gt;=$C490,AK$5&lt;=$D490,$A490&lt;&gt;""),"●","")</x:f>
      </x:c>
      <x:c r="AL490" s="165" t="str">
        <x:f>IF(AND(AL$5&gt;=$C490,AL$5&lt;=$D490,$A490&lt;&gt;""),"●","")</x:f>
      </x:c>
      <x:c r="AM490" s="165" t="str">
        <x:f>IF(AND(AM$5&gt;=$C490,AM$5&lt;=$D490,$A490&lt;&gt;""),"●","")</x:f>
      </x:c>
      <x:c r="AN490" s="165" t="str">
        <x:f>IF(AND(AN$5&gt;=$C490,AN$5&lt;=$D490,$A490&lt;&gt;""),"●","")</x:f>
      </x:c>
      <x:c r="AO490" s="165" t="str">
        <x:f>IF(AND(AO$5&gt;=$C490,AO$5&lt;=$D490,$A490&lt;&gt;""),"●","")</x:f>
      </x:c>
      <x:c r="AP490" s="165" t="str">
        <x:f>IF(AND(AP$5&gt;=$C490,AP$5&lt;=$D490,$A490&lt;&gt;""),"●","")</x:f>
      </x:c>
      <x:c r="AQ490" s="165" t="str">
        <x:f>IF(AND(AQ$5&gt;=$C490,AQ$5&lt;=$D490,$A490&lt;&gt;""),"●","")</x:f>
      </x:c>
      <x:c r="AR490" s="165" t="str">
        <x:f>IF(AND(AR$5&gt;=$C490,AR$5&lt;=$D490,$A490&lt;&gt;""),"●","")</x:f>
      </x:c>
      <x:c r="AS490" s="165" t="str">
        <x:f>IF(AND(AS$5&gt;=$C490,AS$5&lt;=$D490,$A490&lt;&gt;""),"●","")</x:f>
      </x:c>
      <x:c r="AT490" s="165" t="str">
        <x:f>IF(AND(AT$5&gt;=$C490,AT$5&lt;=$D490,$A490&lt;&gt;""),"●","")</x:f>
      </x:c>
      <x:c r="AU490" s="165" t="str">
        <x:f>IF(AND(AU$5&gt;=$C490,AU$5&lt;=$D490,$A490&lt;&gt;""),"●","")</x:f>
      </x:c>
      <x:c r="AV490" s="165" t="str">
        <x:f>IF(AND(AV$5&gt;=$C490,AV$5&lt;=$D490,$A490&lt;&gt;""),"●","")</x:f>
      </x:c>
      <x:c r="AW490" s="165" t="str">
        <x:f>IF(AND(AW$5&gt;=$C490,AW$5&lt;=$D490,$A490&lt;&gt;""),"●","")</x:f>
      </x:c>
      <x:c r="AX490" s="165" t="str">
        <x:f>IF(AND(AX$5&gt;=$C490,AX$5&lt;=$D490,$A490&lt;&gt;""),"●","")</x:f>
      </x:c>
      <x:c r="AY490" s="165" t="str">
        <x:f>IF(AND(AY$5&gt;=$C490,AY$5&lt;=$D490,$A490&lt;&gt;""),"●","")</x:f>
      </x:c>
      <x:c r="AZ490" s="165" t="str">
        <x:f>IF(AND(AZ$5&gt;=$C490,AZ$5&lt;=$D490,$A490&lt;&gt;""),"●","")</x:f>
      </x:c>
      <x:c r="BA490" s="165" t="str">
        <x:f>IF(AND(BA$5&gt;=$C490,BA$5&lt;=$D490,$A490&lt;&gt;""),"●","")</x:f>
      </x:c>
      <x:c r="BB490" s="165" t="str">
        <x:f>IF(AND(BB$5&gt;=$C490,BB$5&lt;=$D490,$A490&lt;&gt;""),"●","")</x:f>
      </x:c>
      <x:c r="BC490" s="165" t="str">
        <x:f>IF(AND(BC$5&gt;=$C490,BC$5&lt;=$D490,$A490&lt;&gt;""),"●","")</x:f>
      </x:c>
      <x:c r="BD490" s="165" t="str">
        <x:f>IF(AND(BD$5&gt;=$C490,BD$5&lt;=$D490,$A490&lt;&gt;""),"●","")</x:f>
      </x:c>
      <x:c r="BE490" s="165" t="str">
        <x:f>IF(AND(BE$5&gt;=$C490,BE$5&lt;=$D490,$A490&lt;&gt;""),"●","")</x:f>
      </x:c>
      <x:c r="BF490" s="165" t="str">
        <x:f>IF(AND(BF$5&gt;=$C490,BF$5&lt;=$D490,$A490&lt;&gt;""),"●","")</x:f>
      </x:c>
      <x:c r="BG490" s="165" t="str">
        <x:f>IF(AND(BG$5&gt;=$C490,BG$5&lt;=$D490,$A490&lt;&gt;""),"●","")</x:f>
      </x:c>
      <x:c r="BH490" s="165" t="str">
        <x:f>IF(AND(BH$5&gt;=$C490,BH$5&lt;=$D490,$A490&lt;&gt;""),"●","")</x:f>
      </x:c>
      <x:c r="BI490" s="165" t="str">
        <x:f>IF(AND(BI$5&gt;=$C490,BI$5&lt;=$D490,$A490&lt;&gt;""),"●","")</x:f>
      </x:c>
      <x:c r="BJ490" s="165" t="str">
        <x:f>IF(AND(BJ$5&gt;=$C490,BJ$5&lt;=$D490,$A490&lt;&gt;""),"●","")</x:f>
      </x:c>
      <x:c r="BK490" s="165" t="str">
        <x:f>IF(AND(BK$5&gt;=$C490,BK$5&lt;=$D490,$A490&lt;&gt;""),"●","")</x:f>
      </x:c>
      <x:c r="BL490" s="165" t="str">
        <x:f>IF(AND(BL$5&gt;=$C490,BL$5&lt;=$D490,$A490&lt;&gt;""),"●","")</x:f>
      </x:c>
      <x:c r="BM490" s="165" t="str">
        <x:f>IF(AND(BM$5&gt;=$C490,BM$5&lt;=$D490,$A490&lt;&gt;""),"●","")</x:f>
      </x:c>
      <x:c r="BN490" s="165" t="str">
        <x:f>IF(AND(BN$5&gt;=$C490,BN$5&lt;=$D490,$A490&lt;&gt;""),"●","")</x:f>
      </x:c>
      <x:c r="BO490" s="165" t="str">
        <x:f>IF(AND(BO$5&gt;=$C490,BO$5&lt;=$D490,$A490&lt;&gt;""),"●","")</x:f>
      </x:c>
      <x:c r="BP490" s="165" t="str">
        <x:f>IF(AND(BP$5&gt;=$C490,BP$5&lt;=$D490,$A490&lt;&gt;""),"●","")</x:f>
      </x:c>
      <x:c r="BQ490" s="165" t="str">
        <x:f>IF(AND(BQ$5&gt;=$C490,BQ$5&lt;=$D490,$A490&lt;&gt;""),"●","")</x:f>
      </x:c>
      <x:c r="BR490" s="165" t="str">
        <x:f>IF(AND(BR$5&gt;=$C490,BR$5&lt;=$D490,$A490&lt;&gt;""),"●","")</x:f>
      </x:c>
      <x:c r="BS490" s="165" t="str">
        <x:f>IF(AND(BS$5&gt;=$C490,BS$5&lt;=$D490,$A490&lt;&gt;""),"●","")</x:f>
      </x:c>
      <x:c r="BT490" s="165" t="str">
        <x:f>IF(AND(BT$5&gt;=$C490,BT$5&lt;=$D490,$A490&lt;&gt;""),"●","")</x:f>
      </x:c>
      <x:c r="BU490" s="165" t="str">
        <x:f>IF(AND(BU$5&gt;=$C490,BU$5&lt;=$D490,$A490&lt;&gt;""),"●","")</x:f>
      </x:c>
      <x:c r="BV490" s="165" t="str">
        <x:f>IF(AND(BV$5&gt;=$C490,BV$5&lt;=$D490,$A490&lt;&gt;""),"●","")</x:f>
      </x:c>
      <x:c r="BW490" s="165" t="str">
        <x:f>IF(AND(BW$5&gt;=$C490,BW$5&lt;=$D490,$A490&lt;&gt;""),"●","")</x:f>
      </x:c>
    </x:row>
    <x:row r="491">
      <x:c r="A491" s="159" t="str">
        <x:f>IF('รายการสัญญา'!A491="","",'รายการสัญญา'!A491)</x:f>
      </x:c>
      <x:c r="B491" s="159" t="str">
        <x:f>IF('รายการสัญญา'!A491="","",'รายการสัญญา'!C491)</x:f>
      </x:c>
      <x:c r="C491" s="162" t="str">
        <x:f>IF('รายการสัญญา'!A491="","",'รายการสัญญา'!E491)</x:f>
      </x:c>
      <x:c r="D491" s="162" t="str">
        <x:f>IF('รายการสัญญา'!A491="","",'รายการสัญญา'!G491)</x:f>
      </x:c>
      <x:c r="E491" s="159" t="str">
        <x:f>IF('รายการสัญญา'!A491="","",'รายการสัญญา'!K491)</x:f>
      </x:c>
      <x:c r="F491" s="165" t="str">
        <x:f>IF(AND(F$5&gt;=$C491,F$5&lt;=$D491,$A491&lt;&gt;""),"●","")</x:f>
      </x:c>
      <x:c r="G491" s="165" t="str">
        <x:f>IF(AND(G$5&gt;=$C491,G$5&lt;=$D491,$A491&lt;&gt;""),"●","")</x:f>
      </x:c>
      <x:c r="H491" s="165" t="str">
        <x:f>IF(AND(H$5&gt;=$C491,H$5&lt;=$D491,$A491&lt;&gt;""),"●","")</x:f>
      </x:c>
      <x:c r="I491" s="165" t="str">
        <x:f>IF(AND(I$5&gt;=$C491,I$5&lt;=$D491,$A491&lt;&gt;""),"●","")</x:f>
      </x:c>
      <x:c r="J491" s="165" t="str">
        <x:f>IF(AND(J$5&gt;=$C491,J$5&lt;=$D491,$A491&lt;&gt;""),"●","")</x:f>
      </x:c>
      <x:c r="K491" s="165" t="str">
        <x:f>IF(AND(K$5&gt;=$C491,K$5&lt;=$D491,$A491&lt;&gt;""),"●","")</x:f>
      </x:c>
      <x:c r="L491" s="165" t="str">
        <x:f>IF(AND(L$5&gt;=$C491,L$5&lt;=$D491,$A491&lt;&gt;""),"●","")</x:f>
      </x:c>
      <x:c r="M491" s="165" t="str">
        <x:f>IF(AND(M$5&gt;=$C491,M$5&lt;=$D491,$A491&lt;&gt;""),"●","")</x:f>
      </x:c>
      <x:c r="N491" s="165" t="str">
        <x:f>IF(AND(N$5&gt;=$C491,N$5&lt;=$D491,$A491&lt;&gt;""),"●","")</x:f>
      </x:c>
      <x:c r="O491" s="165" t="str">
        <x:f>IF(AND(O$5&gt;=$C491,O$5&lt;=$D491,$A491&lt;&gt;""),"●","")</x:f>
      </x:c>
      <x:c r="P491" s="165" t="str">
        <x:f>IF(AND(P$5&gt;=$C491,P$5&lt;=$D491,$A491&lt;&gt;""),"●","")</x:f>
      </x:c>
      <x:c r="Q491" s="165" t="str">
        <x:f>IF(AND(Q$5&gt;=$C491,Q$5&lt;=$D491,$A491&lt;&gt;""),"●","")</x:f>
      </x:c>
      <x:c r="R491" s="165" t="str">
        <x:f>IF(AND(R$5&gt;=$C491,R$5&lt;=$D491,$A491&lt;&gt;""),"●","")</x:f>
      </x:c>
      <x:c r="S491" s="165" t="str">
        <x:f>IF(AND(S$5&gt;=$C491,S$5&lt;=$D491,$A491&lt;&gt;""),"●","")</x:f>
      </x:c>
      <x:c r="T491" s="165" t="str">
        <x:f>IF(AND(T$5&gt;=$C491,T$5&lt;=$D491,$A491&lt;&gt;""),"●","")</x:f>
      </x:c>
      <x:c r="U491" s="165" t="str">
        <x:f>IF(AND(U$5&gt;=$C491,U$5&lt;=$D491,$A491&lt;&gt;""),"●","")</x:f>
      </x:c>
      <x:c r="V491" s="165" t="str">
        <x:f>IF(AND(V$5&gt;=$C491,V$5&lt;=$D491,$A491&lt;&gt;""),"●","")</x:f>
      </x:c>
      <x:c r="W491" s="165" t="str">
        <x:f>IF(AND(W$5&gt;=$C491,W$5&lt;=$D491,$A491&lt;&gt;""),"●","")</x:f>
      </x:c>
      <x:c r="X491" s="165" t="str">
        <x:f>IF(AND(X$5&gt;=$C491,X$5&lt;=$D491,$A491&lt;&gt;""),"●","")</x:f>
      </x:c>
      <x:c r="Y491" s="165" t="str">
        <x:f>IF(AND(Y$5&gt;=$C491,Y$5&lt;=$D491,$A491&lt;&gt;""),"●","")</x:f>
      </x:c>
      <x:c r="Z491" s="165" t="str">
        <x:f>IF(AND(Z$5&gt;=$C491,Z$5&lt;=$D491,$A491&lt;&gt;""),"●","")</x:f>
      </x:c>
      <x:c r="AA491" s="165" t="str">
        <x:f>IF(AND(AA$5&gt;=$C491,AA$5&lt;=$D491,$A491&lt;&gt;""),"●","")</x:f>
      </x:c>
      <x:c r="AB491" s="165" t="str">
        <x:f>IF(AND(AB$5&gt;=$C491,AB$5&lt;=$D491,$A491&lt;&gt;""),"●","")</x:f>
      </x:c>
      <x:c r="AC491" s="165" t="str">
        <x:f>IF(AND(AC$5&gt;=$C491,AC$5&lt;=$D491,$A491&lt;&gt;""),"●","")</x:f>
      </x:c>
      <x:c r="AD491" s="165" t="str">
        <x:f>IF(AND(AD$5&gt;=$C491,AD$5&lt;=$D491,$A491&lt;&gt;""),"●","")</x:f>
      </x:c>
      <x:c r="AE491" s="165" t="str">
        <x:f>IF(AND(AE$5&gt;=$C491,AE$5&lt;=$D491,$A491&lt;&gt;""),"●","")</x:f>
      </x:c>
      <x:c r="AF491" s="165" t="str">
        <x:f>IF(AND(AF$5&gt;=$C491,AF$5&lt;=$D491,$A491&lt;&gt;""),"●","")</x:f>
      </x:c>
      <x:c r="AG491" s="165" t="str">
        <x:f>IF(AND(AG$5&gt;=$C491,AG$5&lt;=$D491,$A491&lt;&gt;""),"●","")</x:f>
      </x:c>
      <x:c r="AH491" s="165" t="str">
        <x:f>IF(AND(AH$5&gt;=$C491,AH$5&lt;=$D491,$A491&lt;&gt;""),"●","")</x:f>
      </x:c>
      <x:c r="AI491" s="165" t="str">
        <x:f>IF(AND(AI$5&gt;=$C491,AI$5&lt;=$D491,$A491&lt;&gt;""),"●","")</x:f>
      </x:c>
      <x:c r="AJ491" s="165" t="str">
        <x:f>IF(AND(AJ$5&gt;=$C491,AJ$5&lt;=$D491,$A491&lt;&gt;""),"●","")</x:f>
      </x:c>
      <x:c r="AK491" s="165" t="str">
        <x:f>IF(AND(AK$5&gt;=$C491,AK$5&lt;=$D491,$A491&lt;&gt;""),"●","")</x:f>
      </x:c>
      <x:c r="AL491" s="165" t="str">
        <x:f>IF(AND(AL$5&gt;=$C491,AL$5&lt;=$D491,$A491&lt;&gt;""),"●","")</x:f>
      </x:c>
      <x:c r="AM491" s="165" t="str">
        <x:f>IF(AND(AM$5&gt;=$C491,AM$5&lt;=$D491,$A491&lt;&gt;""),"●","")</x:f>
      </x:c>
      <x:c r="AN491" s="165" t="str">
        <x:f>IF(AND(AN$5&gt;=$C491,AN$5&lt;=$D491,$A491&lt;&gt;""),"●","")</x:f>
      </x:c>
      <x:c r="AO491" s="165" t="str">
        <x:f>IF(AND(AO$5&gt;=$C491,AO$5&lt;=$D491,$A491&lt;&gt;""),"●","")</x:f>
      </x:c>
      <x:c r="AP491" s="165" t="str">
        <x:f>IF(AND(AP$5&gt;=$C491,AP$5&lt;=$D491,$A491&lt;&gt;""),"●","")</x:f>
      </x:c>
      <x:c r="AQ491" s="165" t="str">
        <x:f>IF(AND(AQ$5&gt;=$C491,AQ$5&lt;=$D491,$A491&lt;&gt;""),"●","")</x:f>
      </x:c>
      <x:c r="AR491" s="165" t="str">
        <x:f>IF(AND(AR$5&gt;=$C491,AR$5&lt;=$D491,$A491&lt;&gt;""),"●","")</x:f>
      </x:c>
      <x:c r="AS491" s="165" t="str">
        <x:f>IF(AND(AS$5&gt;=$C491,AS$5&lt;=$D491,$A491&lt;&gt;""),"●","")</x:f>
      </x:c>
      <x:c r="AT491" s="165" t="str">
        <x:f>IF(AND(AT$5&gt;=$C491,AT$5&lt;=$D491,$A491&lt;&gt;""),"●","")</x:f>
      </x:c>
      <x:c r="AU491" s="165" t="str">
        <x:f>IF(AND(AU$5&gt;=$C491,AU$5&lt;=$D491,$A491&lt;&gt;""),"●","")</x:f>
      </x:c>
      <x:c r="AV491" s="165" t="str">
        <x:f>IF(AND(AV$5&gt;=$C491,AV$5&lt;=$D491,$A491&lt;&gt;""),"●","")</x:f>
      </x:c>
      <x:c r="AW491" s="165" t="str">
        <x:f>IF(AND(AW$5&gt;=$C491,AW$5&lt;=$D491,$A491&lt;&gt;""),"●","")</x:f>
      </x:c>
      <x:c r="AX491" s="165" t="str">
        <x:f>IF(AND(AX$5&gt;=$C491,AX$5&lt;=$D491,$A491&lt;&gt;""),"●","")</x:f>
      </x:c>
      <x:c r="AY491" s="165" t="str">
        <x:f>IF(AND(AY$5&gt;=$C491,AY$5&lt;=$D491,$A491&lt;&gt;""),"●","")</x:f>
      </x:c>
      <x:c r="AZ491" s="165" t="str">
        <x:f>IF(AND(AZ$5&gt;=$C491,AZ$5&lt;=$D491,$A491&lt;&gt;""),"●","")</x:f>
      </x:c>
      <x:c r="BA491" s="165" t="str">
        <x:f>IF(AND(BA$5&gt;=$C491,BA$5&lt;=$D491,$A491&lt;&gt;""),"●","")</x:f>
      </x:c>
      <x:c r="BB491" s="165" t="str">
        <x:f>IF(AND(BB$5&gt;=$C491,BB$5&lt;=$D491,$A491&lt;&gt;""),"●","")</x:f>
      </x:c>
      <x:c r="BC491" s="165" t="str">
        <x:f>IF(AND(BC$5&gt;=$C491,BC$5&lt;=$D491,$A491&lt;&gt;""),"●","")</x:f>
      </x:c>
      <x:c r="BD491" s="165" t="str">
        <x:f>IF(AND(BD$5&gt;=$C491,BD$5&lt;=$D491,$A491&lt;&gt;""),"●","")</x:f>
      </x:c>
      <x:c r="BE491" s="165" t="str">
        <x:f>IF(AND(BE$5&gt;=$C491,BE$5&lt;=$D491,$A491&lt;&gt;""),"●","")</x:f>
      </x:c>
      <x:c r="BF491" s="165" t="str">
        <x:f>IF(AND(BF$5&gt;=$C491,BF$5&lt;=$D491,$A491&lt;&gt;""),"●","")</x:f>
      </x:c>
      <x:c r="BG491" s="165" t="str">
        <x:f>IF(AND(BG$5&gt;=$C491,BG$5&lt;=$D491,$A491&lt;&gt;""),"●","")</x:f>
      </x:c>
      <x:c r="BH491" s="165" t="str">
        <x:f>IF(AND(BH$5&gt;=$C491,BH$5&lt;=$D491,$A491&lt;&gt;""),"●","")</x:f>
      </x:c>
      <x:c r="BI491" s="165" t="str">
        <x:f>IF(AND(BI$5&gt;=$C491,BI$5&lt;=$D491,$A491&lt;&gt;""),"●","")</x:f>
      </x:c>
      <x:c r="BJ491" s="165" t="str">
        <x:f>IF(AND(BJ$5&gt;=$C491,BJ$5&lt;=$D491,$A491&lt;&gt;""),"●","")</x:f>
      </x:c>
      <x:c r="BK491" s="165" t="str">
        <x:f>IF(AND(BK$5&gt;=$C491,BK$5&lt;=$D491,$A491&lt;&gt;""),"●","")</x:f>
      </x:c>
      <x:c r="BL491" s="165" t="str">
        <x:f>IF(AND(BL$5&gt;=$C491,BL$5&lt;=$D491,$A491&lt;&gt;""),"●","")</x:f>
      </x:c>
      <x:c r="BM491" s="165" t="str">
        <x:f>IF(AND(BM$5&gt;=$C491,BM$5&lt;=$D491,$A491&lt;&gt;""),"●","")</x:f>
      </x:c>
      <x:c r="BN491" s="165" t="str">
        <x:f>IF(AND(BN$5&gt;=$C491,BN$5&lt;=$D491,$A491&lt;&gt;""),"●","")</x:f>
      </x:c>
      <x:c r="BO491" s="165" t="str">
        <x:f>IF(AND(BO$5&gt;=$C491,BO$5&lt;=$D491,$A491&lt;&gt;""),"●","")</x:f>
      </x:c>
      <x:c r="BP491" s="165" t="str">
        <x:f>IF(AND(BP$5&gt;=$C491,BP$5&lt;=$D491,$A491&lt;&gt;""),"●","")</x:f>
      </x:c>
      <x:c r="BQ491" s="165" t="str">
        <x:f>IF(AND(BQ$5&gt;=$C491,BQ$5&lt;=$D491,$A491&lt;&gt;""),"●","")</x:f>
      </x:c>
      <x:c r="BR491" s="165" t="str">
        <x:f>IF(AND(BR$5&gt;=$C491,BR$5&lt;=$D491,$A491&lt;&gt;""),"●","")</x:f>
      </x:c>
      <x:c r="BS491" s="165" t="str">
        <x:f>IF(AND(BS$5&gt;=$C491,BS$5&lt;=$D491,$A491&lt;&gt;""),"●","")</x:f>
      </x:c>
      <x:c r="BT491" s="165" t="str">
        <x:f>IF(AND(BT$5&gt;=$C491,BT$5&lt;=$D491,$A491&lt;&gt;""),"●","")</x:f>
      </x:c>
      <x:c r="BU491" s="165" t="str">
        <x:f>IF(AND(BU$5&gt;=$C491,BU$5&lt;=$D491,$A491&lt;&gt;""),"●","")</x:f>
      </x:c>
      <x:c r="BV491" s="165" t="str">
        <x:f>IF(AND(BV$5&gt;=$C491,BV$5&lt;=$D491,$A491&lt;&gt;""),"●","")</x:f>
      </x:c>
      <x:c r="BW491" s="165" t="str">
        <x:f>IF(AND(BW$5&gt;=$C491,BW$5&lt;=$D491,$A491&lt;&gt;""),"●","")</x:f>
      </x:c>
    </x:row>
    <x:row r="492">
      <x:c r="A492" s="159" t="str">
        <x:f>IF('รายการสัญญา'!A492="","",'รายการสัญญา'!A492)</x:f>
      </x:c>
      <x:c r="B492" s="159" t="str">
        <x:f>IF('รายการสัญญา'!A492="","",'รายการสัญญา'!C492)</x:f>
      </x:c>
      <x:c r="C492" s="162" t="str">
        <x:f>IF('รายการสัญญา'!A492="","",'รายการสัญญา'!E492)</x:f>
      </x:c>
      <x:c r="D492" s="162" t="str">
        <x:f>IF('รายการสัญญา'!A492="","",'รายการสัญญา'!G492)</x:f>
      </x:c>
      <x:c r="E492" s="159" t="str">
        <x:f>IF('รายการสัญญา'!A492="","",'รายการสัญญา'!K492)</x:f>
      </x:c>
      <x:c r="F492" s="165" t="str">
        <x:f>IF(AND(F$5&gt;=$C492,F$5&lt;=$D492,$A492&lt;&gt;""),"●","")</x:f>
      </x:c>
      <x:c r="G492" s="165" t="str">
        <x:f>IF(AND(G$5&gt;=$C492,G$5&lt;=$D492,$A492&lt;&gt;""),"●","")</x:f>
      </x:c>
      <x:c r="H492" s="165" t="str">
        <x:f>IF(AND(H$5&gt;=$C492,H$5&lt;=$D492,$A492&lt;&gt;""),"●","")</x:f>
      </x:c>
      <x:c r="I492" s="165" t="str">
        <x:f>IF(AND(I$5&gt;=$C492,I$5&lt;=$D492,$A492&lt;&gt;""),"●","")</x:f>
      </x:c>
      <x:c r="J492" s="165" t="str">
        <x:f>IF(AND(J$5&gt;=$C492,J$5&lt;=$D492,$A492&lt;&gt;""),"●","")</x:f>
      </x:c>
      <x:c r="K492" s="165" t="str">
        <x:f>IF(AND(K$5&gt;=$C492,K$5&lt;=$D492,$A492&lt;&gt;""),"●","")</x:f>
      </x:c>
      <x:c r="L492" s="165" t="str">
        <x:f>IF(AND(L$5&gt;=$C492,L$5&lt;=$D492,$A492&lt;&gt;""),"●","")</x:f>
      </x:c>
      <x:c r="M492" s="165" t="str">
        <x:f>IF(AND(M$5&gt;=$C492,M$5&lt;=$D492,$A492&lt;&gt;""),"●","")</x:f>
      </x:c>
      <x:c r="N492" s="165" t="str">
        <x:f>IF(AND(N$5&gt;=$C492,N$5&lt;=$D492,$A492&lt;&gt;""),"●","")</x:f>
      </x:c>
      <x:c r="O492" s="165" t="str">
        <x:f>IF(AND(O$5&gt;=$C492,O$5&lt;=$D492,$A492&lt;&gt;""),"●","")</x:f>
      </x:c>
      <x:c r="P492" s="165" t="str">
        <x:f>IF(AND(P$5&gt;=$C492,P$5&lt;=$D492,$A492&lt;&gt;""),"●","")</x:f>
      </x:c>
      <x:c r="Q492" s="165" t="str">
        <x:f>IF(AND(Q$5&gt;=$C492,Q$5&lt;=$D492,$A492&lt;&gt;""),"●","")</x:f>
      </x:c>
      <x:c r="R492" s="165" t="str">
        <x:f>IF(AND(R$5&gt;=$C492,R$5&lt;=$D492,$A492&lt;&gt;""),"●","")</x:f>
      </x:c>
      <x:c r="S492" s="165" t="str">
        <x:f>IF(AND(S$5&gt;=$C492,S$5&lt;=$D492,$A492&lt;&gt;""),"●","")</x:f>
      </x:c>
      <x:c r="T492" s="165" t="str">
        <x:f>IF(AND(T$5&gt;=$C492,T$5&lt;=$D492,$A492&lt;&gt;""),"●","")</x:f>
      </x:c>
      <x:c r="U492" s="165" t="str">
        <x:f>IF(AND(U$5&gt;=$C492,U$5&lt;=$D492,$A492&lt;&gt;""),"●","")</x:f>
      </x:c>
      <x:c r="V492" s="165" t="str">
        <x:f>IF(AND(V$5&gt;=$C492,V$5&lt;=$D492,$A492&lt;&gt;""),"●","")</x:f>
      </x:c>
      <x:c r="W492" s="165" t="str">
        <x:f>IF(AND(W$5&gt;=$C492,W$5&lt;=$D492,$A492&lt;&gt;""),"●","")</x:f>
      </x:c>
      <x:c r="X492" s="165" t="str">
        <x:f>IF(AND(X$5&gt;=$C492,X$5&lt;=$D492,$A492&lt;&gt;""),"●","")</x:f>
      </x:c>
      <x:c r="Y492" s="165" t="str">
        <x:f>IF(AND(Y$5&gt;=$C492,Y$5&lt;=$D492,$A492&lt;&gt;""),"●","")</x:f>
      </x:c>
      <x:c r="Z492" s="165" t="str">
        <x:f>IF(AND(Z$5&gt;=$C492,Z$5&lt;=$D492,$A492&lt;&gt;""),"●","")</x:f>
      </x:c>
      <x:c r="AA492" s="165" t="str">
        <x:f>IF(AND(AA$5&gt;=$C492,AA$5&lt;=$D492,$A492&lt;&gt;""),"●","")</x:f>
      </x:c>
      <x:c r="AB492" s="165" t="str">
        <x:f>IF(AND(AB$5&gt;=$C492,AB$5&lt;=$D492,$A492&lt;&gt;""),"●","")</x:f>
      </x:c>
      <x:c r="AC492" s="165" t="str">
        <x:f>IF(AND(AC$5&gt;=$C492,AC$5&lt;=$D492,$A492&lt;&gt;""),"●","")</x:f>
      </x:c>
      <x:c r="AD492" s="165" t="str">
        <x:f>IF(AND(AD$5&gt;=$C492,AD$5&lt;=$D492,$A492&lt;&gt;""),"●","")</x:f>
      </x:c>
      <x:c r="AE492" s="165" t="str">
        <x:f>IF(AND(AE$5&gt;=$C492,AE$5&lt;=$D492,$A492&lt;&gt;""),"●","")</x:f>
      </x:c>
      <x:c r="AF492" s="165" t="str">
        <x:f>IF(AND(AF$5&gt;=$C492,AF$5&lt;=$D492,$A492&lt;&gt;""),"●","")</x:f>
      </x:c>
      <x:c r="AG492" s="165" t="str">
        <x:f>IF(AND(AG$5&gt;=$C492,AG$5&lt;=$D492,$A492&lt;&gt;""),"●","")</x:f>
      </x:c>
      <x:c r="AH492" s="165" t="str">
        <x:f>IF(AND(AH$5&gt;=$C492,AH$5&lt;=$D492,$A492&lt;&gt;""),"●","")</x:f>
      </x:c>
      <x:c r="AI492" s="165" t="str">
        <x:f>IF(AND(AI$5&gt;=$C492,AI$5&lt;=$D492,$A492&lt;&gt;""),"●","")</x:f>
      </x:c>
      <x:c r="AJ492" s="165" t="str">
        <x:f>IF(AND(AJ$5&gt;=$C492,AJ$5&lt;=$D492,$A492&lt;&gt;""),"●","")</x:f>
      </x:c>
      <x:c r="AK492" s="165" t="str">
        <x:f>IF(AND(AK$5&gt;=$C492,AK$5&lt;=$D492,$A492&lt;&gt;""),"●","")</x:f>
      </x:c>
      <x:c r="AL492" s="165" t="str">
        <x:f>IF(AND(AL$5&gt;=$C492,AL$5&lt;=$D492,$A492&lt;&gt;""),"●","")</x:f>
      </x:c>
      <x:c r="AM492" s="165" t="str">
        <x:f>IF(AND(AM$5&gt;=$C492,AM$5&lt;=$D492,$A492&lt;&gt;""),"●","")</x:f>
      </x:c>
      <x:c r="AN492" s="165" t="str">
        <x:f>IF(AND(AN$5&gt;=$C492,AN$5&lt;=$D492,$A492&lt;&gt;""),"●","")</x:f>
      </x:c>
      <x:c r="AO492" s="165" t="str">
        <x:f>IF(AND(AO$5&gt;=$C492,AO$5&lt;=$D492,$A492&lt;&gt;""),"●","")</x:f>
      </x:c>
      <x:c r="AP492" s="165" t="str">
        <x:f>IF(AND(AP$5&gt;=$C492,AP$5&lt;=$D492,$A492&lt;&gt;""),"●","")</x:f>
      </x:c>
      <x:c r="AQ492" s="165" t="str">
        <x:f>IF(AND(AQ$5&gt;=$C492,AQ$5&lt;=$D492,$A492&lt;&gt;""),"●","")</x:f>
      </x:c>
      <x:c r="AR492" s="165" t="str">
        <x:f>IF(AND(AR$5&gt;=$C492,AR$5&lt;=$D492,$A492&lt;&gt;""),"●","")</x:f>
      </x:c>
      <x:c r="AS492" s="165" t="str">
        <x:f>IF(AND(AS$5&gt;=$C492,AS$5&lt;=$D492,$A492&lt;&gt;""),"●","")</x:f>
      </x:c>
      <x:c r="AT492" s="165" t="str">
        <x:f>IF(AND(AT$5&gt;=$C492,AT$5&lt;=$D492,$A492&lt;&gt;""),"●","")</x:f>
      </x:c>
      <x:c r="AU492" s="165" t="str">
        <x:f>IF(AND(AU$5&gt;=$C492,AU$5&lt;=$D492,$A492&lt;&gt;""),"●","")</x:f>
      </x:c>
      <x:c r="AV492" s="165" t="str">
        <x:f>IF(AND(AV$5&gt;=$C492,AV$5&lt;=$D492,$A492&lt;&gt;""),"●","")</x:f>
      </x:c>
      <x:c r="AW492" s="165" t="str">
        <x:f>IF(AND(AW$5&gt;=$C492,AW$5&lt;=$D492,$A492&lt;&gt;""),"●","")</x:f>
      </x:c>
      <x:c r="AX492" s="165" t="str">
        <x:f>IF(AND(AX$5&gt;=$C492,AX$5&lt;=$D492,$A492&lt;&gt;""),"●","")</x:f>
      </x:c>
      <x:c r="AY492" s="165" t="str">
        <x:f>IF(AND(AY$5&gt;=$C492,AY$5&lt;=$D492,$A492&lt;&gt;""),"●","")</x:f>
      </x:c>
      <x:c r="AZ492" s="165" t="str">
        <x:f>IF(AND(AZ$5&gt;=$C492,AZ$5&lt;=$D492,$A492&lt;&gt;""),"●","")</x:f>
      </x:c>
      <x:c r="BA492" s="165" t="str">
        <x:f>IF(AND(BA$5&gt;=$C492,BA$5&lt;=$D492,$A492&lt;&gt;""),"●","")</x:f>
      </x:c>
      <x:c r="BB492" s="165" t="str">
        <x:f>IF(AND(BB$5&gt;=$C492,BB$5&lt;=$D492,$A492&lt;&gt;""),"●","")</x:f>
      </x:c>
      <x:c r="BC492" s="165" t="str">
        <x:f>IF(AND(BC$5&gt;=$C492,BC$5&lt;=$D492,$A492&lt;&gt;""),"●","")</x:f>
      </x:c>
      <x:c r="BD492" s="165" t="str">
        <x:f>IF(AND(BD$5&gt;=$C492,BD$5&lt;=$D492,$A492&lt;&gt;""),"●","")</x:f>
      </x:c>
      <x:c r="BE492" s="165" t="str">
        <x:f>IF(AND(BE$5&gt;=$C492,BE$5&lt;=$D492,$A492&lt;&gt;""),"●","")</x:f>
      </x:c>
      <x:c r="BF492" s="165" t="str">
        <x:f>IF(AND(BF$5&gt;=$C492,BF$5&lt;=$D492,$A492&lt;&gt;""),"●","")</x:f>
      </x:c>
      <x:c r="BG492" s="165" t="str">
        <x:f>IF(AND(BG$5&gt;=$C492,BG$5&lt;=$D492,$A492&lt;&gt;""),"●","")</x:f>
      </x:c>
      <x:c r="BH492" s="165" t="str">
        <x:f>IF(AND(BH$5&gt;=$C492,BH$5&lt;=$D492,$A492&lt;&gt;""),"●","")</x:f>
      </x:c>
      <x:c r="BI492" s="165" t="str">
        <x:f>IF(AND(BI$5&gt;=$C492,BI$5&lt;=$D492,$A492&lt;&gt;""),"●","")</x:f>
      </x:c>
      <x:c r="BJ492" s="165" t="str">
        <x:f>IF(AND(BJ$5&gt;=$C492,BJ$5&lt;=$D492,$A492&lt;&gt;""),"●","")</x:f>
      </x:c>
      <x:c r="BK492" s="165" t="str">
        <x:f>IF(AND(BK$5&gt;=$C492,BK$5&lt;=$D492,$A492&lt;&gt;""),"●","")</x:f>
      </x:c>
      <x:c r="BL492" s="165" t="str">
        <x:f>IF(AND(BL$5&gt;=$C492,BL$5&lt;=$D492,$A492&lt;&gt;""),"●","")</x:f>
      </x:c>
      <x:c r="BM492" s="165" t="str">
        <x:f>IF(AND(BM$5&gt;=$C492,BM$5&lt;=$D492,$A492&lt;&gt;""),"●","")</x:f>
      </x:c>
      <x:c r="BN492" s="165" t="str">
        <x:f>IF(AND(BN$5&gt;=$C492,BN$5&lt;=$D492,$A492&lt;&gt;""),"●","")</x:f>
      </x:c>
      <x:c r="BO492" s="165" t="str">
        <x:f>IF(AND(BO$5&gt;=$C492,BO$5&lt;=$D492,$A492&lt;&gt;""),"●","")</x:f>
      </x:c>
      <x:c r="BP492" s="165" t="str">
        <x:f>IF(AND(BP$5&gt;=$C492,BP$5&lt;=$D492,$A492&lt;&gt;""),"●","")</x:f>
      </x:c>
      <x:c r="BQ492" s="165" t="str">
        <x:f>IF(AND(BQ$5&gt;=$C492,BQ$5&lt;=$D492,$A492&lt;&gt;""),"●","")</x:f>
      </x:c>
      <x:c r="BR492" s="165" t="str">
        <x:f>IF(AND(BR$5&gt;=$C492,BR$5&lt;=$D492,$A492&lt;&gt;""),"●","")</x:f>
      </x:c>
      <x:c r="BS492" s="165" t="str">
        <x:f>IF(AND(BS$5&gt;=$C492,BS$5&lt;=$D492,$A492&lt;&gt;""),"●","")</x:f>
      </x:c>
      <x:c r="BT492" s="165" t="str">
        <x:f>IF(AND(BT$5&gt;=$C492,BT$5&lt;=$D492,$A492&lt;&gt;""),"●","")</x:f>
      </x:c>
      <x:c r="BU492" s="165" t="str">
        <x:f>IF(AND(BU$5&gt;=$C492,BU$5&lt;=$D492,$A492&lt;&gt;""),"●","")</x:f>
      </x:c>
      <x:c r="BV492" s="165" t="str">
        <x:f>IF(AND(BV$5&gt;=$C492,BV$5&lt;=$D492,$A492&lt;&gt;""),"●","")</x:f>
      </x:c>
      <x:c r="BW492" s="165" t="str">
        <x:f>IF(AND(BW$5&gt;=$C492,BW$5&lt;=$D492,$A492&lt;&gt;""),"●","")</x:f>
      </x:c>
    </x:row>
    <x:row r="493">
      <x:c r="A493" s="159" t="str">
        <x:f>IF('รายการสัญญา'!A493="","",'รายการสัญญา'!A493)</x:f>
      </x:c>
      <x:c r="B493" s="159" t="str">
        <x:f>IF('รายการสัญญา'!A493="","",'รายการสัญญา'!C493)</x:f>
      </x:c>
      <x:c r="C493" s="162" t="str">
        <x:f>IF('รายการสัญญา'!A493="","",'รายการสัญญา'!E493)</x:f>
      </x:c>
      <x:c r="D493" s="162" t="str">
        <x:f>IF('รายการสัญญา'!A493="","",'รายการสัญญา'!G493)</x:f>
      </x:c>
      <x:c r="E493" s="159" t="str">
        <x:f>IF('รายการสัญญา'!A493="","",'รายการสัญญา'!K493)</x:f>
      </x:c>
      <x:c r="F493" s="165" t="str">
        <x:f>IF(AND(F$5&gt;=$C493,F$5&lt;=$D493,$A493&lt;&gt;""),"●","")</x:f>
      </x:c>
      <x:c r="G493" s="165" t="str">
        <x:f>IF(AND(G$5&gt;=$C493,G$5&lt;=$D493,$A493&lt;&gt;""),"●","")</x:f>
      </x:c>
      <x:c r="H493" s="165" t="str">
        <x:f>IF(AND(H$5&gt;=$C493,H$5&lt;=$D493,$A493&lt;&gt;""),"●","")</x:f>
      </x:c>
      <x:c r="I493" s="165" t="str">
        <x:f>IF(AND(I$5&gt;=$C493,I$5&lt;=$D493,$A493&lt;&gt;""),"●","")</x:f>
      </x:c>
      <x:c r="J493" s="165" t="str">
        <x:f>IF(AND(J$5&gt;=$C493,J$5&lt;=$D493,$A493&lt;&gt;""),"●","")</x:f>
      </x:c>
      <x:c r="K493" s="165" t="str">
        <x:f>IF(AND(K$5&gt;=$C493,K$5&lt;=$D493,$A493&lt;&gt;""),"●","")</x:f>
      </x:c>
      <x:c r="L493" s="165" t="str">
        <x:f>IF(AND(L$5&gt;=$C493,L$5&lt;=$D493,$A493&lt;&gt;""),"●","")</x:f>
      </x:c>
      <x:c r="M493" s="165" t="str">
        <x:f>IF(AND(M$5&gt;=$C493,M$5&lt;=$D493,$A493&lt;&gt;""),"●","")</x:f>
      </x:c>
      <x:c r="N493" s="165" t="str">
        <x:f>IF(AND(N$5&gt;=$C493,N$5&lt;=$D493,$A493&lt;&gt;""),"●","")</x:f>
      </x:c>
      <x:c r="O493" s="165" t="str">
        <x:f>IF(AND(O$5&gt;=$C493,O$5&lt;=$D493,$A493&lt;&gt;""),"●","")</x:f>
      </x:c>
      <x:c r="P493" s="165" t="str">
        <x:f>IF(AND(P$5&gt;=$C493,P$5&lt;=$D493,$A493&lt;&gt;""),"●","")</x:f>
      </x:c>
      <x:c r="Q493" s="165" t="str">
        <x:f>IF(AND(Q$5&gt;=$C493,Q$5&lt;=$D493,$A493&lt;&gt;""),"●","")</x:f>
      </x:c>
      <x:c r="R493" s="165" t="str">
        <x:f>IF(AND(R$5&gt;=$C493,R$5&lt;=$D493,$A493&lt;&gt;""),"●","")</x:f>
      </x:c>
      <x:c r="S493" s="165" t="str">
        <x:f>IF(AND(S$5&gt;=$C493,S$5&lt;=$D493,$A493&lt;&gt;""),"●","")</x:f>
      </x:c>
      <x:c r="T493" s="165" t="str">
        <x:f>IF(AND(T$5&gt;=$C493,T$5&lt;=$D493,$A493&lt;&gt;""),"●","")</x:f>
      </x:c>
      <x:c r="U493" s="165" t="str">
        <x:f>IF(AND(U$5&gt;=$C493,U$5&lt;=$D493,$A493&lt;&gt;""),"●","")</x:f>
      </x:c>
      <x:c r="V493" s="165" t="str">
        <x:f>IF(AND(V$5&gt;=$C493,V$5&lt;=$D493,$A493&lt;&gt;""),"●","")</x:f>
      </x:c>
      <x:c r="W493" s="165" t="str">
        <x:f>IF(AND(W$5&gt;=$C493,W$5&lt;=$D493,$A493&lt;&gt;""),"●","")</x:f>
      </x:c>
      <x:c r="X493" s="165" t="str">
        <x:f>IF(AND(X$5&gt;=$C493,X$5&lt;=$D493,$A493&lt;&gt;""),"●","")</x:f>
      </x:c>
      <x:c r="Y493" s="165" t="str">
        <x:f>IF(AND(Y$5&gt;=$C493,Y$5&lt;=$D493,$A493&lt;&gt;""),"●","")</x:f>
      </x:c>
      <x:c r="Z493" s="165" t="str">
        <x:f>IF(AND(Z$5&gt;=$C493,Z$5&lt;=$D493,$A493&lt;&gt;""),"●","")</x:f>
      </x:c>
      <x:c r="AA493" s="165" t="str">
        <x:f>IF(AND(AA$5&gt;=$C493,AA$5&lt;=$D493,$A493&lt;&gt;""),"●","")</x:f>
      </x:c>
      <x:c r="AB493" s="165" t="str">
        <x:f>IF(AND(AB$5&gt;=$C493,AB$5&lt;=$D493,$A493&lt;&gt;""),"●","")</x:f>
      </x:c>
      <x:c r="AC493" s="165" t="str">
        <x:f>IF(AND(AC$5&gt;=$C493,AC$5&lt;=$D493,$A493&lt;&gt;""),"●","")</x:f>
      </x:c>
      <x:c r="AD493" s="165" t="str">
        <x:f>IF(AND(AD$5&gt;=$C493,AD$5&lt;=$D493,$A493&lt;&gt;""),"●","")</x:f>
      </x:c>
      <x:c r="AE493" s="165" t="str">
        <x:f>IF(AND(AE$5&gt;=$C493,AE$5&lt;=$D493,$A493&lt;&gt;""),"●","")</x:f>
      </x:c>
      <x:c r="AF493" s="165" t="str">
        <x:f>IF(AND(AF$5&gt;=$C493,AF$5&lt;=$D493,$A493&lt;&gt;""),"●","")</x:f>
      </x:c>
      <x:c r="AG493" s="165" t="str">
        <x:f>IF(AND(AG$5&gt;=$C493,AG$5&lt;=$D493,$A493&lt;&gt;""),"●","")</x:f>
      </x:c>
      <x:c r="AH493" s="165" t="str">
        <x:f>IF(AND(AH$5&gt;=$C493,AH$5&lt;=$D493,$A493&lt;&gt;""),"●","")</x:f>
      </x:c>
      <x:c r="AI493" s="165" t="str">
        <x:f>IF(AND(AI$5&gt;=$C493,AI$5&lt;=$D493,$A493&lt;&gt;""),"●","")</x:f>
      </x:c>
      <x:c r="AJ493" s="165" t="str">
        <x:f>IF(AND(AJ$5&gt;=$C493,AJ$5&lt;=$D493,$A493&lt;&gt;""),"●","")</x:f>
      </x:c>
      <x:c r="AK493" s="165" t="str">
        <x:f>IF(AND(AK$5&gt;=$C493,AK$5&lt;=$D493,$A493&lt;&gt;""),"●","")</x:f>
      </x:c>
      <x:c r="AL493" s="165" t="str">
        <x:f>IF(AND(AL$5&gt;=$C493,AL$5&lt;=$D493,$A493&lt;&gt;""),"●","")</x:f>
      </x:c>
      <x:c r="AM493" s="165" t="str">
        <x:f>IF(AND(AM$5&gt;=$C493,AM$5&lt;=$D493,$A493&lt;&gt;""),"●","")</x:f>
      </x:c>
      <x:c r="AN493" s="165" t="str">
        <x:f>IF(AND(AN$5&gt;=$C493,AN$5&lt;=$D493,$A493&lt;&gt;""),"●","")</x:f>
      </x:c>
      <x:c r="AO493" s="165" t="str">
        <x:f>IF(AND(AO$5&gt;=$C493,AO$5&lt;=$D493,$A493&lt;&gt;""),"●","")</x:f>
      </x:c>
      <x:c r="AP493" s="165" t="str">
        <x:f>IF(AND(AP$5&gt;=$C493,AP$5&lt;=$D493,$A493&lt;&gt;""),"●","")</x:f>
      </x:c>
      <x:c r="AQ493" s="165" t="str">
        <x:f>IF(AND(AQ$5&gt;=$C493,AQ$5&lt;=$D493,$A493&lt;&gt;""),"●","")</x:f>
      </x:c>
      <x:c r="AR493" s="165" t="str">
        <x:f>IF(AND(AR$5&gt;=$C493,AR$5&lt;=$D493,$A493&lt;&gt;""),"●","")</x:f>
      </x:c>
      <x:c r="AS493" s="165" t="str">
        <x:f>IF(AND(AS$5&gt;=$C493,AS$5&lt;=$D493,$A493&lt;&gt;""),"●","")</x:f>
      </x:c>
      <x:c r="AT493" s="165" t="str">
        <x:f>IF(AND(AT$5&gt;=$C493,AT$5&lt;=$D493,$A493&lt;&gt;""),"●","")</x:f>
      </x:c>
      <x:c r="AU493" s="165" t="str">
        <x:f>IF(AND(AU$5&gt;=$C493,AU$5&lt;=$D493,$A493&lt;&gt;""),"●","")</x:f>
      </x:c>
      <x:c r="AV493" s="165" t="str">
        <x:f>IF(AND(AV$5&gt;=$C493,AV$5&lt;=$D493,$A493&lt;&gt;""),"●","")</x:f>
      </x:c>
      <x:c r="AW493" s="165" t="str">
        <x:f>IF(AND(AW$5&gt;=$C493,AW$5&lt;=$D493,$A493&lt;&gt;""),"●","")</x:f>
      </x:c>
      <x:c r="AX493" s="165" t="str">
        <x:f>IF(AND(AX$5&gt;=$C493,AX$5&lt;=$D493,$A493&lt;&gt;""),"●","")</x:f>
      </x:c>
      <x:c r="AY493" s="165" t="str">
        <x:f>IF(AND(AY$5&gt;=$C493,AY$5&lt;=$D493,$A493&lt;&gt;""),"●","")</x:f>
      </x:c>
      <x:c r="AZ493" s="165" t="str">
        <x:f>IF(AND(AZ$5&gt;=$C493,AZ$5&lt;=$D493,$A493&lt;&gt;""),"●","")</x:f>
      </x:c>
      <x:c r="BA493" s="165" t="str">
        <x:f>IF(AND(BA$5&gt;=$C493,BA$5&lt;=$D493,$A493&lt;&gt;""),"●","")</x:f>
      </x:c>
      <x:c r="BB493" s="165" t="str">
        <x:f>IF(AND(BB$5&gt;=$C493,BB$5&lt;=$D493,$A493&lt;&gt;""),"●","")</x:f>
      </x:c>
      <x:c r="BC493" s="165" t="str">
        <x:f>IF(AND(BC$5&gt;=$C493,BC$5&lt;=$D493,$A493&lt;&gt;""),"●","")</x:f>
      </x:c>
      <x:c r="BD493" s="165" t="str">
        <x:f>IF(AND(BD$5&gt;=$C493,BD$5&lt;=$D493,$A493&lt;&gt;""),"●","")</x:f>
      </x:c>
      <x:c r="BE493" s="165" t="str">
        <x:f>IF(AND(BE$5&gt;=$C493,BE$5&lt;=$D493,$A493&lt;&gt;""),"●","")</x:f>
      </x:c>
      <x:c r="BF493" s="165" t="str">
        <x:f>IF(AND(BF$5&gt;=$C493,BF$5&lt;=$D493,$A493&lt;&gt;""),"●","")</x:f>
      </x:c>
      <x:c r="BG493" s="165" t="str">
        <x:f>IF(AND(BG$5&gt;=$C493,BG$5&lt;=$D493,$A493&lt;&gt;""),"●","")</x:f>
      </x:c>
      <x:c r="BH493" s="165" t="str">
        <x:f>IF(AND(BH$5&gt;=$C493,BH$5&lt;=$D493,$A493&lt;&gt;""),"●","")</x:f>
      </x:c>
      <x:c r="BI493" s="165" t="str">
        <x:f>IF(AND(BI$5&gt;=$C493,BI$5&lt;=$D493,$A493&lt;&gt;""),"●","")</x:f>
      </x:c>
      <x:c r="BJ493" s="165" t="str">
        <x:f>IF(AND(BJ$5&gt;=$C493,BJ$5&lt;=$D493,$A493&lt;&gt;""),"●","")</x:f>
      </x:c>
      <x:c r="BK493" s="165" t="str">
        <x:f>IF(AND(BK$5&gt;=$C493,BK$5&lt;=$D493,$A493&lt;&gt;""),"●","")</x:f>
      </x:c>
      <x:c r="BL493" s="165" t="str">
        <x:f>IF(AND(BL$5&gt;=$C493,BL$5&lt;=$D493,$A493&lt;&gt;""),"●","")</x:f>
      </x:c>
      <x:c r="BM493" s="165" t="str">
        <x:f>IF(AND(BM$5&gt;=$C493,BM$5&lt;=$D493,$A493&lt;&gt;""),"●","")</x:f>
      </x:c>
      <x:c r="BN493" s="165" t="str">
        <x:f>IF(AND(BN$5&gt;=$C493,BN$5&lt;=$D493,$A493&lt;&gt;""),"●","")</x:f>
      </x:c>
      <x:c r="BO493" s="165" t="str">
        <x:f>IF(AND(BO$5&gt;=$C493,BO$5&lt;=$D493,$A493&lt;&gt;""),"●","")</x:f>
      </x:c>
      <x:c r="BP493" s="165" t="str">
        <x:f>IF(AND(BP$5&gt;=$C493,BP$5&lt;=$D493,$A493&lt;&gt;""),"●","")</x:f>
      </x:c>
      <x:c r="BQ493" s="165" t="str">
        <x:f>IF(AND(BQ$5&gt;=$C493,BQ$5&lt;=$D493,$A493&lt;&gt;""),"●","")</x:f>
      </x:c>
      <x:c r="BR493" s="165" t="str">
        <x:f>IF(AND(BR$5&gt;=$C493,BR$5&lt;=$D493,$A493&lt;&gt;""),"●","")</x:f>
      </x:c>
      <x:c r="BS493" s="165" t="str">
        <x:f>IF(AND(BS$5&gt;=$C493,BS$5&lt;=$D493,$A493&lt;&gt;""),"●","")</x:f>
      </x:c>
      <x:c r="BT493" s="165" t="str">
        <x:f>IF(AND(BT$5&gt;=$C493,BT$5&lt;=$D493,$A493&lt;&gt;""),"●","")</x:f>
      </x:c>
      <x:c r="BU493" s="165" t="str">
        <x:f>IF(AND(BU$5&gt;=$C493,BU$5&lt;=$D493,$A493&lt;&gt;""),"●","")</x:f>
      </x:c>
      <x:c r="BV493" s="165" t="str">
        <x:f>IF(AND(BV$5&gt;=$C493,BV$5&lt;=$D493,$A493&lt;&gt;""),"●","")</x:f>
      </x:c>
      <x:c r="BW493" s="165" t="str">
        <x:f>IF(AND(BW$5&gt;=$C493,BW$5&lt;=$D493,$A493&lt;&gt;""),"●","")</x:f>
      </x:c>
    </x:row>
    <x:row r="494">
      <x:c r="A494" s="159" t="str">
        <x:f>IF('รายการสัญญา'!A494="","",'รายการสัญญา'!A494)</x:f>
      </x:c>
      <x:c r="B494" s="159" t="str">
        <x:f>IF('รายการสัญญา'!A494="","",'รายการสัญญา'!C494)</x:f>
      </x:c>
      <x:c r="C494" s="162" t="str">
        <x:f>IF('รายการสัญญา'!A494="","",'รายการสัญญา'!E494)</x:f>
      </x:c>
      <x:c r="D494" s="162" t="str">
        <x:f>IF('รายการสัญญา'!A494="","",'รายการสัญญา'!G494)</x:f>
      </x:c>
      <x:c r="E494" s="159" t="str">
        <x:f>IF('รายการสัญญา'!A494="","",'รายการสัญญา'!K494)</x:f>
      </x:c>
      <x:c r="F494" s="165" t="str">
        <x:f>IF(AND(F$5&gt;=$C494,F$5&lt;=$D494,$A494&lt;&gt;""),"●","")</x:f>
      </x:c>
      <x:c r="G494" s="165" t="str">
        <x:f>IF(AND(G$5&gt;=$C494,G$5&lt;=$D494,$A494&lt;&gt;""),"●","")</x:f>
      </x:c>
      <x:c r="H494" s="165" t="str">
        <x:f>IF(AND(H$5&gt;=$C494,H$5&lt;=$D494,$A494&lt;&gt;""),"●","")</x:f>
      </x:c>
      <x:c r="I494" s="165" t="str">
        <x:f>IF(AND(I$5&gt;=$C494,I$5&lt;=$D494,$A494&lt;&gt;""),"●","")</x:f>
      </x:c>
      <x:c r="J494" s="165" t="str">
        <x:f>IF(AND(J$5&gt;=$C494,J$5&lt;=$D494,$A494&lt;&gt;""),"●","")</x:f>
      </x:c>
      <x:c r="K494" s="165" t="str">
        <x:f>IF(AND(K$5&gt;=$C494,K$5&lt;=$D494,$A494&lt;&gt;""),"●","")</x:f>
      </x:c>
      <x:c r="L494" s="165" t="str">
        <x:f>IF(AND(L$5&gt;=$C494,L$5&lt;=$D494,$A494&lt;&gt;""),"●","")</x:f>
      </x:c>
      <x:c r="M494" s="165" t="str">
        <x:f>IF(AND(M$5&gt;=$C494,M$5&lt;=$D494,$A494&lt;&gt;""),"●","")</x:f>
      </x:c>
      <x:c r="N494" s="165" t="str">
        <x:f>IF(AND(N$5&gt;=$C494,N$5&lt;=$D494,$A494&lt;&gt;""),"●","")</x:f>
      </x:c>
      <x:c r="O494" s="165" t="str">
        <x:f>IF(AND(O$5&gt;=$C494,O$5&lt;=$D494,$A494&lt;&gt;""),"●","")</x:f>
      </x:c>
      <x:c r="P494" s="165" t="str">
        <x:f>IF(AND(P$5&gt;=$C494,P$5&lt;=$D494,$A494&lt;&gt;""),"●","")</x:f>
      </x:c>
      <x:c r="Q494" s="165" t="str">
        <x:f>IF(AND(Q$5&gt;=$C494,Q$5&lt;=$D494,$A494&lt;&gt;""),"●","")</x:f>
      </x:c>
      <x:c r="R494" s="165" t="str">
        <x:f>IF(AND(R$5&gt;=$C494,R$5&lt;=$D494,$A494&lt;&gt;""),"●","")</x:f>
      </x:c>
      <x:c r="S494" s="165" t="str">
        <x:f>IF(AND(S$5&gt;=$C494,S$5&lt;=$D494,$A494&lt;&gt;""),"●","")</x:f>
      </x:c>
      <x:c r="T494" s="165" t="str">
        <x:f>IF(AND(T$5&gt;=$C494,T$5&lt;=$D494,$A494&lt;&gt;""),"●","")</x:f>
      </x:c>
      <x:c r="U494" s="165" t="str">
        <x:f>IF(AND(U$5&gt;=$C494,U$5&lt;=$D494,$A494&lt;&gt;""),"●","")</x:f>
      </x:c>
      <x:c r="V494" s="165" t="str">
        <x:f>IF(AND(V$5&gt;=$C494,V$5&lt;=$D494,$A494&lt;&gt;""),"●","")</x:f>
      </x:c>
      <x:c r="W494" s="165" t="str">
        <x:f>IF(AND(W$5&gt;=$C494,W$5&lt;=$D494,$A494&lt;&gt;""),"●","")</x:f>
      </x:c>
      <x:c r="X494" s="165" t="str">
        <x:f>IF(AND(X$5&gt;=$C494,X$5&lt;=$D494,$A494&lt;&gt;""),"●","")</x:f>
      </x:c>
      <x:c r="Y494" s="165" t="str">
        <x:f>IF(AND(Y$5&gt;=$C494,Y$5&lt;=$D494,$A494&lt;&gt;""),"●","")</x:f>
      </x:c>
      <x:c r="Z494" s="165" t="str">
        <x:f>IF(AND(Z$5&gt;=$C494,Z$5&lt;=$D494,$A494&lt;&gt;""),"●","")</x:f>
      </x:c>
      <x:c r="AA494" s="165" t="str">
        <x:f>IF(AND(AA$5&gt;=$C494,AA$5&lt;=$D494,$A494&lt;&gt;""),"●","")</x:f>
      </x:c>
      <x:c r="AB494" s="165" t="str">
        <x:f>IF(AND(AB$5&gt;=$C494,AB$5&lt;=$D494,$A494&lt;&gt;""),"●","")</x:f>
      </x:c>
      <x:c r="AC494" s="165" t="str">
        <x:f>IF(AND(AC$5&gt;=$C494,AC$5&lt;=$D494,$A494&lt;&gt;""),"●","")</x:f>
      </x:c>
      <x:c r="AD494" s="165" t="str">
        <x:f>IF(AND(AD$5&gt;=$C494,AD$5&lt;=$D494,$A494&lt;&gt;""),"●","")</x:f>
      </x:c>
      <x:c r="AE494" s="165" t="str">
        <x:f>IF(AND(AE$5&gt;=$C494,AE$5&lt;=$D494,$A494&lt;&gt;""),"●","")</x:f>
      </x:c>
      <x:c r="AF494" s="165" t="str">
        <x:f>IF(AND(AF$5&gt;=$C494,AF$5&lt;=$D494,$A494&lt;&gt;""),"●","")</x:f>
      </x:c>
      <x:c r="AG494" s="165" t="str">
        <x:f>IF(AND(AG$5&gt;=$C494,AG$5&lt;=$D494,$A494&lt;&gt;""),"●","")</x:f>
      </x:c>
      <x:c r="AH494" s="165" t="str">
        <x:f>IF(AND(AH$5&gt;=$C494,AH$5&lt;=$D494,$A494&lt;&gt;""),"●","")</x:f>
      </x:c>
      <x:c r="AI494" s="165" t="str">
        <x:f>IF(AND(AI$5&gt;=$C494,AI$5&lt;=$D494,$A494&lt;&gt;""),"●","")</x:f>
      </x:c>
      <x:c r="AJ494" s="165" t="str">
        <x:f>IF(AND(AJ$5&gt;=$C494,AJ$5&lt;=$D494,$A494&lt;&gt;""),"●","")</x:f>
      </x:c>
      <x:c r="AK494" s="165" t="str">
        <x:f>IF(AND(AK$5&gt;=$C494,AK$5&lt;=$D494,$A494&lt;&gt;""),"●","")</x:f>
      </x:c>
      <x:c r="AL494" s="165" t="str">
        <x:f>IF(AND(AL$5&gt;=$C494,AL$5&lt;=$D494,$A494&lt;&gt;""),"●","")</x:f>
      </x:c>
      <x:c r="AM494" s="165" t="str">
        <x:f>IF(AND(AM$5&gt;=$C494,AM$5&lt;=$D494,$A494&lt;&gt;""),"●","")</x:f>
      </x:c>
      <x:c r="AN494" s="165" t="str">
        <x:f>IF(AND(AN$5&gt;=$C494,AN$5&lt;=$D494,$A494&lt;&gt;""),"●","")</x:f>
      </x:c>
      <x:c r="AO494" s="165" t="str">
        <x:f>IF(AND(AO$5&gt;=$C494,AO$5&lt;=$D494,$A494&lt;&gt;""),"●","")</x:f>
      </x:c>
      <x:c r="AP494" s="165" t="str">
        <x:f>IF(AND(AP$5&gt;=$C494,AP$5&lt;=$D494,$A494&lt;&gt;""),"●","")</x:f>
      </x:c>
      <x:c r="AQ494" s="165" t="str">
        <x:f>IF(AND(AQ$5&gt;=$C494,AQ$5&lt;=$D494,$A494&lt;&gt;""),"●","")</x:f>
      </x:c>
      <x:c r="AR494" s="165" t="str">
        <x:f>IF(AND(AR$5&gt;=$C494,AR$5&lt;=$D494,$A494&lt;&gt;""),"●","")</x:f>
      </x:c>
      <x:c r="AS494" s="165" t="str">
        <x:f>IF(AND(AS$5&gt;=$C494,AS$5&lt;=$D494,$A494&lt;&gt;""),"●","")</x:f>
      </x:c>
      <x:c r="AT494" s="165" t="str">
        <x:f>IF(AND(AT$5&gt;=$C494,AT$5&lt;=$D494,$A494&lt;&gt;""),"●","")</x:f>
      </x:c>
      <x:c r="AU494" s="165" t="str">
        <x:f>IF(AND(AU$5&gt;=$C494,AU$5&lt;=$D494,$A494&lt;&gt;""),"●","")</x:f>
      </x:c>
      <x:c r="AV494" s="165" t="str">
        <x:f>IF(AND(AV$5&gt;=$C494,AV$5&lt;=$D494,$A494&lt;&gt;""),"●","")</x:f>
      </x:c>
      <x:c r="AW494" s="165" t="str">
        <x:f>IF(AND(AW$5&gt;=$C494,AW$5&lt;=$D494,$A494&lt;&gt;""),"●","")</x:f>
      </x:c>
      <x:c r="AX494" s="165" t="str">
        <x:f>IF(AND(AX$5&gt;=$C494,AX$5&lt;=$D494,$A494&lt;&gt;""),"●","")</x:f>
      </x:c>
      <x:c r="AY494" s="165" t="str">
        <x:f>IF(AND(AY$5&gt;=$C494,AY$5&lt;=$D494,$A494&lt;&gt;""),"●","")</x:f>
      </x:c>
      <x:c r="AZ494" s="165" t="str">
        <x:f>IF(AND(AZ$5&gt;=$C494,AZ$5&lt;=$D494,$A494&lt;&gt;""),"●","")</x:f>
      </x:c>
      <x:c r="BA494" s="165" t="str">
        <x:f>IF(AND(BA$5&gt;=$C494,BA$5&lt;=$D494,$A494&lt;&gt;""),"●","")</x:f>
      </x:c>
      <x:c r="BB494" s="165" t="str">
        <x:f>IF(AND(BB$5&gt;=$C494,BB$5&lt;=$D494,$A494&lt;&gt;""),"●","")</x:f>
      </x:c>
      <x:c r="BC494" s="165" t="str">
        <x:f>IF(AND(BC$5&gt;=$C494,BC$5&lt;=$D494,$A494&lt;&gt;""),"●","")</x:f>
      </x:c>
      <x:c r="BD494" s="165" t="str">
        <x:f>IF(AND(BD$5&gt;=$C494,BD$5&lt;=$D494,$A494&lt;&gt;""),"●","")</x:f>
      </x:c>
      <x:c r="BE494" s="165" t="str">
        <x:f>IF(AND(BE$5&gt;=$C494,BE$5&lt;=$D494,$A494&lt;&gt;""),"●","")</x:f>
      </x:c>
      <x:c r="BF494" s="165" t="str">
        <x:f>IF(AND(BF$5&gt;=$C494,BF$5&lt;=$D494,$A494&lt;&gt;""),"●","")</x:f>
      </x:c>
      <x:c r="BG494" s="165" t="str">
        <x:f>IF(AND(BG$5&gt;=$C494,BG$5&lt;=$D494,$A494&lt;&gt;""),"●","")</x:f>
      </x:c>
      <x:c r="BH494" s="165" t="str">
        <x:f>IF(AND(BH$5&gt;=$C494,BH$5&lt;=$D494,$A494&lt;&gt;""),"●","")</x:f>
      </x:c>
      <x:c r="BI494" s="165" t="str">
        <x:f>IF(AND(BI$5&gt;=$C494,BI$5&lt;=$D494,$A494&lt;&gt;""),"●","")</x:f>
      </x:c>
      <x:c r="BJ494" s="165" t="str">
        <x:f>IF(AND(BJ$5&gt;=$C494,BJ$5&lt;=$D494,$A494&lt;&gt;""),"●","")</x:f>
      </x:c>
      <x:c r="BK494" s="165" t="str">
        <x:f>IF(AND(BK$5&gt;=$C494,BK$5&lt;=$D494,$A494&lt;&gt;""),"●","")</x:f>
      </x:c>
      <x:c r="BL494" s="165" t="str">
        <x:f>IF(AND(BL$5&gt;=$C494,BL$5&lt;=$D494,$A494&lt;&gt;""),"●","")</x:f>
      </x:c>
      <x:c r="BM494" s="165" t="str">
        <x:f>IF(AND(BM$5&gt;=$C494,BM$5&lt;=$D494,$A494&lt;&gt;""),"●","")</x:f>
      </x:c>
      <x:c r="BN494" s="165" t="str">
        <x:f>IF(AND(BN$5&gt;=$C494,BN$5&lt;=$D494,$A494&lt;&gt;""),"●","")</x:f>
      </x:c>
      <x:c r="BO494" s="165" t="str">
        <x:f>IF(AND(BO$5&gt;=$C494,BO$5&lt;=$D494,$A494&lt;&gt;""),"●","")</x:f>
      </x:c>
      <x:c r="BP494" s="165" t="str">
        <x:f>IF(AND(BP$5&gt;=$C494,BP$5&lt;=$D494,$A494&lt;&gt;""),"●","")</x:f>
      </x:c>
      <x:c r="BQ494" s="165" t="str">
        <x:f>IF(AND(BQ$5&gt;=$C494,BQ$5&lt;=$D494,$A494&lt;&gt;""),"●","")</x:f>
      </x:c>
      <x:c r="BR494" s="165" t="str">
        <x:f>IF(AND(BR$5&gt;=$C494,BR$5&lt;=$D494,$A494&lt;&gt;""),"●","")</x:f>
      </x:c>
      <x:c r="BS494" s="165" t="str">
        <x:f>IF(AND(BS$5&gt;=$C494,BS$5&lt;=$D494,$A494&lt;&gt;""),"●","")</x:f>
      </x:c>
      <x:c r="BT494" s="165" t="str">
        <x:f>IF(AND(BT$5&gt;=$C494,BT$5&lt;=$D494,$A494&lt;&gt;""),"●","")</x:f>
      </x:c>
      <x:c r="BU494" s="165" t="str">
        <x:f>IF(AND(BU$5&gt;=$C494,BU$5&lt;=$D494,$A494&lt;&gt;""),"●","")</x:f>
      </x:c>
      <x:c r="BV494" s="165" t="str">
        <x:f>IF(AND(BV$5&gt;=$C494,BV$5&lt;=$D494,$A494&lt;&gt;""),"●","")</x:f>
      </x:c>
      <x:c r="BW494" s="165" t="str">
        <x:f>IF(AND(BW$5&gt;=$C494,BW$5&lt;=$D494,$A494&lt;&gt;""),"●","")</x:f>
      </x:c>
    </x:row>
    <x:row r="495">
      <x:c r="A495" s="159" t="str">
        <x:f>IF('รายการสัญญา'!A495="","",'รายการสัญญา'!A495)</x:f>
      </x:c>
      <x:c r="B495" s="159" t="str">
        <x:f>IF('รายการสัญญา'!A495="","",'รายการสัญญา'!C495)</x:f>
      </x:c>
      <x:c r="C495" s="162" t="str">
        <x:f>IF('รายการสัญญา'!A495="","",'รายการสัญญา'!E495)</x:f>
      </x:c>
      <x:c r="D495" s="162" t="str">
        <x:f>IF('รายการสัญญา'!A495="","",'รายการสัญญา'!G495)</x:f>
      </x:c>
      <x:c r="E495" s="159" t="str">
        <x:f>IF('รายการสัญญา'!A495="","",'รายการสัญญา'!K495)</x:f>
      </x:c>
      <x:c r="F495" s="165" t="str">
        <x:f>IF(AND(F$5&gt;=$C495,F$5&lt;=$D495,$A495&lt;&gt;""),"●","")</x:f>
      </x:c>
      <x:c r="G495" s="165" t="str">
        <x:f>IF(AND(G$5&gt;=$C495,G$5&lt;=$D495,$A495&lt;&gt;""),"●","")</x:f>
      </x:c>
      <x:c r="H495" s="165" t="str">
        <x:f>IF(AND(H$5&gt;=$C495,H$5&lt;=$D495,$A495&lt;&gt;""),"●","")</x:f>
      </x:c>
      <x:c r="I495" s="165" t="str">
        <x:f>IF(AND(I$5&gt;=$C495,I$5&lt;=$D495,$A495&lt;&gt;""),"●","")</x:f>
      </x:c>
      <x:c r="J495" s="165" t="str">
        <x:f>IF(AND(J$5&gt;=$C495,J$5&lt;=$D495,$A495&lt;&gt;""),"●","")</x:f>
      </x:c>
      <x:c r="K495" s="165" t="str">
        <x:f>IF(AND(K$5&gt;=$C495,K$5&lt;=$D495,$A495&lt;&gt;""),"●","")</x:f>
      </x:c>
      <x:c r="L495" s="165" t="str">
        <x:f>IF(AND(L$5&gt;=$C495,L$5&lt;=$D495,$A495&lt;&gt;""),"●","")</x:f>
      </x:c>
      <x:c r="M495" s="165" t="str">
        <x:f>IF(AND(M$5&gt;=$C495,M$5&lt;=$D495,$A495&lt;&gt;""),"●","")</x:f>
      </x:c>
      <x:c r="N495" s="165" t="str">
        <x:f>IF(AND(N$5&gt;=$C495,N$5&lt;=$D495,$A495&lt;&gt;""),"●","")</x:f>
      </x:c>
      <x:c r="O495" s="165" t="str">
        <x:f>IF(AND(O$5&gt;=$C495,O$5&lt;=$D495,$A495&lt;&gt;""),"●","")</x:f>
      </x:c>
      <x:c r="P495" s="165" t="str">
        <x:f>IF(AND(P$5&gt;=$C495,P$5&lt;=$D495,$A495&lt;&gt;""),"●","")</x:f>
      </x:c>
      <x:c r="Q495" s="165" t="str">
        <x:f>IF(AND(Q$5&gt;=$C495,Q$5&lt;=$D495,$A495&lt;&gt;""),"●","")</x:f>
      </x:c>
      <x:c r="R495" s="165" t="str">
        <x:f>IF(AND(R$5&gt;=$C495,R$5&lt;=$D495,$A495&lt;&gt;""),"●","")</x:f>
      </x:c>
      <x:c r="S495" s="165" t="str">
        <x:f>IF(AND(S$5&gt;=$C495,S$5&lt;=$D495,$A495&lt;&gt;""),"●","")</x:f>
      </x:c>
      <x:c r="T495" s="165" t="str">
        <x:f>IF(AND(T$5&gt;=$C495,T$5&lt;=$D495,$A495&lt;&gt;""),"●","")</x:f>
      </x:c>
      <x:c r="U495" s="165" t="str">
        <x:f>IF(AND(U$5&gt;=$C495,U$5&lt;=$D495,$A495&lt;&gt;""),"●","")</x:f>
      </x:c>
      <x:c r="V495" s="165" t="str">
        <x:f>IF(AND(V$5&gt;=$C495,V$5&lt;=$D495,$A495&lt;&gt;""),"●","")</x:f>
      </x:c>
      <x:c r="W495" s="165" t="str">
        <x:f>IF(AND(W$5&gt;=$C495,W$5&lt;=$D495,$A495&lt;&gt;""),"●","")</x:f>
      </x:c>
      <x:c r="X495" s="165" t="str">
        <x:f>IF(AND(X$5&gt;=$C495,X$5&lt;=$D495,$A495&lt;&gt;""),"●","")</x:f>
      </x:c>
      <x:c r="Y495" s="165" t="str">
        <x:f>IF(AND(Y$5&gt;=$C495,Y$5&lt;=$D495,$A495&lt;&gt;""),"●","")</x:f>
      </x:c>
      <x:c r="Z495" s="165" t="str">
        <x:f>IF(AND(Z$5&gt;=$C495,Z$5&lt;=$D495,$A495&lt;&gt;""),"●","")</x:f>
      </x:c>
      <x:c r="AA495" s="165" t="str">
        <x:f>IF(AND(AA$5&gt;=$C495,AA$5&lt;=$D495,$A495&lt;&gt;""),"●","")</x:f>
      </x:c>
      <x:c r="AB495" s="165" t="str">
        <x:f>IF(AND(AB$5&gt;=$C495,AB$5&lt;=$D495,$A495&lt;&gt;""),"●","")</x:f>
      </x:c>
      <x:c r="AC495" s="165" t="str">
        <x:f>IF(AND(AC$5&gt;=$C495,AC$5&lt;=$D495,$A495&lt;&gt;""),"●","")</x:f>
      </x:c>
      <x:c r="AD495" s="165" t="str">
        <x:f>IF(AND(AD$5&gt;=$C495,AD$5&lt;=$D495,$A495&lt;&gt;""),"●","")</x:f>
      </x:c>
      <x:c r="AE495" s="165" t="str">
        <x:f>IF(AND(AE$5&gt;=$C495,AE$5&lt;=$D495,$A495&lt;&gt;""),"●","")</x:f>
      </x:c>
      <x:c r="AF495" s="165" t="str">
        <x:f>IF(AND(AF$5&gt;=$C495,AF$5&lt;=$D495,$A495&lt;&gt;""),"●","")</x:f>
      </x:c>
      <x:c r="AG495" s="165" t="str">
        <x:f>IF(AND(AG$5&gt;=$C495,AG$5&lt;=$D495,$A495&lt;&gt;""),"●","")</x:f>
      </x:c>
      <x:c r="AH495" s="165" t="str">
        <x:f>IF(AND(AH$5&gt;=$C495,AH$5&lt;=$D495,$A495&lt;&gt;""),"●","")</x:f>
      </x:c>
      <x:c r="AI495" s="165" t="str">
        <x:f>IF(AND(AI$5&gt;=$C495,AI$5&lt;=$D495,$A495&lt;&gt;""),"●","")</x:f>
      </x:c>
      <x:c r="AJ495" s="165" t="str">
        <x:f>IF(AND(AJ$5&gt;=$C495,AJ$5&lt;=$D495,$A495&lt;&gt;""),"●","")</x:f>
      </x:c>
      <x:c r="AK495" s="165" t="str">
        <x:f>IF(AND(AK$5&gt;=$C495,AK$5&lt;=$D495,$A495&lt;&gt;""),"●","")</x:f>
      </x:c>
      <x:c r="AL495" s="165" t="str">
        <x:f>IF(AND(AL$5&gt;=$C495,AL$5&lt;=$D495,$A495&lt;&gt;""),"●","")</x:f>
      </x:c>
      <x:c r="AM495" s="165" t="str">
        <x:f>IF(AND(AM$5&gt;=$C495,AM$5&lt;=$D495,$A495&lt;&gt;""),"●","")</x:f>
      </x:c>
      <x:c r="AN495" s="165" t="str">
        <x:f>IF(AND(AN$5&gt;=$C495,AN$5&lt;=$D495,$A495&lt;&gt;""),"●","")</x:f>
      </x:c>
      <x:c r="AO495" s="165" t="str">
        <x:f>IF(AND(AO$5&gt;=$C495,AO$5&lt;=$D495,$A495&lt;&gt;""),"●","")</x:f>
      </x:c>
      <x:c r="AP495" s="165" t="str">
        <x:f>IF(AND(AP$5&gt;=$C495,AP$5&lt;=$D495,$A495&lt;&gt;""),"●","")</x:f>
      </x:c>
      <x:c r="AQ495" s="165" t="str">
        <x:f>IF(AND(AQ$5&gt;=$C495,AQ$5&lt;=$D495,$A495&lt;&gt;""),"●","")</x:f>
      </x:c>
      <x:c r="AR495" s="165" t="str">
        <x:f>IF(AND(AR$5&gt;=$C495,AR$5&lt;=$D495,$A495&lt;&gt;""),"●","")</x:f>
      </x:c>
      <x:c r="AS495" s="165" t="str">
        <x:f>IF(AND(AS$5&gt;=$C495,AS$5&lt;=$D495,$A495&lt;&gt;""),"●","")</x:f>
      </x:c>
      <x:c r="AT495" s="165" t="str">
        <x:f>IF(AND(AT$5&gt;=$C495,AT$5&lt;=$D495,$A495&lt;&gt;""),"●","")</x:f>
      </x:c>
      <x:c r="AU495" s="165" t="str">
        <x:f>IF(AND(AU$5&gt;=$C495,AU$5&lt;=$D495,$A495&lt;&gt;""),"●","")</x:f>
      </x:c>
      <x:c r="AV495" s="165" t="str">
        <x:f>IF(AND(AV$5&gt;=$C495,AV$5&lt;=$D495,$A495&lt;&gt;""),"●","")</x:f>
      </x:c>
      <x:c r="AW495" s="165" t="str">
        <x:f>IF(AND(AW$5&gt;=$C495,AW$5&lt;=$D495,$A495&lt;&gt;""),"●","")</x:f>
      </x:c>
      <x:c r="AX495" s="165" t="str">
        <x:f>IF(AND(AX$5&gt;=$C495,AX$5&lt;=$D495,$A495&lt;&gt;""),"●","")</x:f>
      </x:c>
      <x:c r="AY495" s="165" t="str">
        <x:f>IF(AND(AY$5&gt;=$C495,AY$5&lt;=$D495,$A495&lt;&gt;""),"●","")</x:f>
      </x:c>
      <x:c r="AZ495" s="165" t="str">
        <x:f>IF(AND(AZ$5&gt;=$C495,AZ$5&lt;=$D495,$A495&lt;&gt;""),"●","")</x:f>
      </x:c>
      <x:c r="BA495" s="165" t="str">
        <x:f>IF(AND(BA$5&gt;=$C495,BA$5&lt;=$D495,$A495&lt;&gt;""),"●","")</x:f>
      </x:c>
      <x:c r="BB495" s="165" t="str">
        <x:f>IF(AND(BB$5&gt;=$C495,BB$5&lt;=$D495,$A495&lt;&gt;""),"●","")</x:f>
      </x:c>
      <x:c r="BC495" s="165" t="str">
        <x:f>IF(AND(BC$5&gt;=$C495,BC$5&lt;=$D495,$A495&lt;&gt;""),"●","")</x:f>
      </x:c>
      <x:c r="BD495" s="165" t="str">
        <x:f>IF(AND(BD$5&gt;=$C495,BD$5&lt;=$D495,$A495&lt;&gt;""),"●","")</x:f>
      </x:c>
      <x:c r="BE495" s="165" t="str">
        <x:f>IF(AND(BE$5&gt;=$C495,BE$5&lt;=$D495,$A495&lt;&gt;""),"●","")</x:f>
      </x:c>
      <x:c r="BF495" s="165" t="str">
        <x:f>IF(AND(BF$5&gt;=$C495,BF$5&lt;=$D495,$A495&lt;&gt;""),"●","")</x:f>
      </x:c>
      <x:c r="BG495" s="165" t="str">
        <x:f>IF(AND(BG$5&gt;=$C495,BG$5&lt;=$D495,$A495&lt;&gt;""),"●","")</x:f>
      </x:c>
      <x:c r="BH495" s="165" t="str">
        <x:f>IF(AND(BH$5&gt;=$C495,BH$5&lt;=$D495,$A495&lt;&gt;""),"●","")</x:f>
      </x:c>
      <x:c r="BI495" s="165" t="str">
        <x:f>IF(AND(BI$5&gt;=$C495,BI$5&lt;=$D495,$A495&lt;&gt;""),"●","")</x:f>
      </x:c>
      <x:c r="BJ495" s="165" t="str">
        <x:f>IF(AND(BJ$5&gt;=$C495,BJ$5&lt;=$D495,$A495&lt;&gt;""),"●","")</x:f>
      </x:c>
      <x:c r="BK495" s="165" t="str">
        <x:f>IF(AND(BK$5&gt;=$C495,BK$5&lt;=$D495,$A495&lt;&gt;""),"●","")</x:f>
      </x:c>
      <x:c r="BL495" s="165" t="str">
        <x:f>IF(AND(BL$5&gt;=$C495,BL$5&lt;=$D495,$A495&lt;&gt;""),"●","")</x:f>
      </x:c>
      <x:c r="BM495" s="165" t="str">
        <x:f>IF(AND(BM$5&gt;=$C495,BM$5&lt;=$D495,$A495&lt;&gt;""),"●","")</x:f>
      </x:c>
      <x:c r="BN495" s="165" t="str">
        <x:f>IF(AND(BN$5&gt;=$C495,BN$5&lt;=$D495,$A495&lt;&gt;""),"●","")</x:f>
      </x:c>
      <x:c r="BO495" s="165" t="str">
        <x:f>IF(AND(BO$5&gt;=$C495,BO$5&lt;=$D495,$A495&lt;&gt;""),"●","")</x:f>
      </x:c>
      <x:c r="BP495" s="165" t="str">
        <x:f>IF(AND(BP$5&gt;=$C495,BP$5&lt;=$D495,$A495&lt;&gt;""),"●","")</x:f>
      </x:c>
      <x:c r="BQ495" s="165" t="str">
        <x:f>IF(AND(BQ$5&gt;=$C495,BQ$5&lt;=$D495,$A495&lt;&gt;""),"●","")</x:f>
      </x:c>
      <x:c r="BR495" s="165" t="str">
        <x:f>IF(AND(BR$5&gt;=$C495,BR$5&lt;=$D495,$A495&lt;&gt;""),"●","")</x:f>
      </x:c>
      <x:c r="BS495" s="165" t="str">
        <x:f>IF(AND(BS$5&gt;=$C495,BS$5&lt;=$D495,$A495&lt;&gt;""),"●","")</x:f>
      </x:c>
      <x:c r="BT495" s="165" t="str">
        <x:f>IF(AND(BT$5&gt;=$C495,BT$5&lt;=$D495,$A495&lt;&gt;""),"●","")</x:f>
      </x:c>
      <x:c r="BU495" s="165" t="str">
        <x:f>IF(AND(BU$5&gt;=$C495,BU$5&lt;=$D495,$A495&lt;&gt;""),"●","")</x:f>
      </x:c>
      <x:c r="BV495" s="165" t="str">
        <x:f>IF(AND(BV$5&gt;=$C495,BV$5&lt;=$D495,$A495&lt;&gt;""),"●","")</x:f>
      </x:c>
      <x:c r="BW495" s="165" t="str">
        <x:f>IF(AND(BW$5&gt;=$C495,BW$5&lt;=$D495,$A495&lt;&gt;""),"●","")</x:f>
      </x:c>
    </x:row>
    <x:row r="496">
      <x:c r="A496" s="159" t="str">
        <x:f>IF('รายการสัญญา'!A496="","",'รายการสัญญา'!A496)</x:f>
      </x:c>
      <x:c r="B496" s="159" t="str">
        <x:f>IF('รายการสัญญา'!A496="","",'รายการสัญญา'!C496)</x:f>
      </x:c>
      <x:c r="C496" s="162" t="str">
        <x:f>IF('รายการสัญญา'!A496="","",'รายการสัญญา'!E496)</x:f>
      </x:c>
      <x:c r="D496" s="162" t="str">
        <x:f>IF('รายการสัญญา'!A496="","",'รายการสัญญา'!G496)</x:f>
      </x:c>
      <x:c r="E496" s="159" t="str">
        <x:f>IF('รายการสัญญา'!A496="","",'รายการสัญญา'!K496)</x:f>
      </x:c>
      <x:c r="F496" s="165" t="str">
        <x:f>IF(AND(F$5&gt;=$C496,F$5&lt;=$D496,$A496&lt;&gt;""),"●","")</x:f>
      </x:c>
      <x:c r="G496" s="165" t="str">
        <x:f>IF(AND(G$5&gt;=$C496,G$5&lt;=$D496,$A496&lt;&gt;""),"●","")</x:f>
      </x:c>
      <x:c r="H496" s="165" t="str">
        <x:f>IF(AND(H$5&gt;=$C496,H$5&lt;=$D496,$A496&lt;&gt;""),"●","")</x:f>
      </x:c>
      <x:c r="I496" s="165" t="str">
        <x:f>IF(AND(I$5&gt;=$C496,I$5&lt;=$D496,$A496&lt;&gt;""),"●","")</x:f>
      </x:c>
      <x:c r="J496" s="165" t="str">
        <x:f>IF(AND(J$5&gt;=$C496,J$5&lt;=$D496,$A496&lt;&gt;""),"●","")</x:f>
      </x:c>
      <x:c r="K496" s="165" t="str">
        <x:f>IF(AND(K$5&gt;=$C496,K$5&lt;=$D496,$A496&lt;&gt;""),"●","")</x:f>
      </x:c>
      <x:c r="L496" s="165" t="str">
        <x:f>IF(AND(L$5&gt;=$C496,L$5&lt;=$D496,$A496&lt;&gt;""),"●","")</x:f>
      </x:c>
      <x:c r="M496" s="165" t="str">
        <x:f>IF(AND(M$5&gt;=$C496,M$5&lt;=$D496,$A496&lt;&gt;""),"●","")</x:f>
      </x:c>
      <x:c r="N496" s="165" t="str">
        <x:f>IF(AND(N$5&gt;=$C496,N$5&lt;=$D496,$A496&lt;&gt;""),"●","")</x:f>
      </x:c>
      <x:c r="O496" s="165" t="str">
        <x:f>IF(AND(O$5&gt;=$C496,O$5&lt;=$D496,$A496&lt;&gt;""),"●","")</x:f>
      </x:c>
      <x:c r="P496" s="165" t="str">
        <x:f>IF(AND(P$5&gt;=$C496,P$5&lt;=$D496,$A496&lt;&gt;""),"●","")</x:f>
      </x:c>
      <x:c r="Q496" s="165" t="str">
        <x:f>IF(AND(Q$5&gt;=$C496,Q$5&lt;=$D496,$A496&lt;&gt;""),"●","")</x:f>
      </x:c>
      <x:c r="R496" s="165" t="str">
        <x:f>IF(AND(R$5&gt;=$C496,R$5&lt;=$D496,$A496&lt;&gt;""),"●","")</x:f>
      </x:c>
      <x:c r="S496" s="165" t="str">
        <x:f>IF(AND(S$5&gt;=$C496,S$5&lt;=$D496,$A496&lt;&gt;""),"●","")</x:f>
      </x:c>
      <x:c r="T496" s="165" t="str">
        <x:f>IF(AND(T$5&gt;=$C496,T$5&lt;=$D496,$A496&lt;&gt;""),"●","")</x:f>
      </x:c>
      <x:c r="U496" s="165" t="str">
        <x:f>IF(AND(U$5&gt;=$C496,U$5&lt;=$D496,$A496&lt;&gt;""),"●","")</x:f>
      </x:c>
      <x:c r="V496" s="165" t="str">
        <x:f>IF(AND(V$5&gt;=$C496,V$5&lt;=$D496,$A496&lt;&gt;""),"●","")</x:f>
      </x:c>
      <x:c r="W496" s="165" t="str">
        <x:f>IF(AND(W$5&gt;=$C496,W$5&lt;=$D496,$A496&lt;&gt;""),"●","")</x:f>
      </x:c>
      <x:c r="X496" s="165" t="str">
        <x:f>IF(AND(X$5&gt;=$C496,X$5&lt;=$D496,$A496&lt;&gt;""),"●","")</x:f>
      </x:c>
      <x:c r="Y496" s="165" t="str">
        <x:f>IF(AND(Y$5&gt;=$C496,Y$5&lt;=$D496,$A496&lt;&gt;""),"●","")</x:f>
      </x:c>
      <x:c r="Z496" s="165" t="str">
        <x:f>IF(AND(Z$5&gt;=$C496,Z$5&lt;=$D496,$A496&lt;&gt;""),"●","")</x:f>
      </x:c>
      <x:c r="AA496" s="165" t="str">
        <x:f>IF(AND(AA$5&gt;=$C496,AA$5&lt;=$D496,$A496&lt;&gt;""),"●","")</x:f>
      </x:c>
      <x:c r="AB496" s="165" t="str">
        <x:f>IF(AND(AB$5&gt;=$C496,AB$5&lt;=$D496,$A496&lt;&gt;""),"●","")</x:f>
      </x:c>
      <x:c r="AC496" s="165" t="str">
        <x:f>IF(AND(AC$5&gt;=$C496,AC$5&lt;=$D496,$A496&lt;&gt;""),"●","")</x:f>
      </x:c>
      <x:c r="AD496" s="165" t="str">
        <x:f>IF(AND(AD$5&gt;=$C496,AD$5&lt;=$D496,$A496&lt;&gt;""),"●","")</x:f>
      </x:c>
      <x:c r="AE496" s="165" t="str">
        <x:f>IF(AND(AE$5&gt;=$C496,AE$5&lt;=$D496,$A496&lt;&gt;""),"●","")</x:f>
      </x:c>
      <x:c r="AF496" s="165" t="str">
        <x:f>IF(AND(AF$5&gt;=$C496,AF$5&lt;=$D496,$A496&lt;&gt;""),"●","")</x:f>
      </x:c>
      <x:c r="AG496" s="165" t="str">
        <x:f>IF(AND(AG$5&gt;=$C496,AG$5&lt;=$D496,$A496&lt;&gt;""),"●","")</x:f>
      </x:c>
      <x:c r="AH496" s="165" t="str">
        <x:f>IF(AND(AH$5&gt;=$C496,AH$5&lt;=$D496,$A496&lt;&gt;""),"●","")</x:f>
      </x:c>
      <x:c r="AI496" s="165" t="str">
        <x:f>IF(AND(AI$5&gt;=$C496,AI$5&lt;=$D496,$A496&lt;&gt;""),"●","")</x:f>
      </x:c>
      <x:c r="AJ496" s="165" t="str">
        <x:f>IF(AND(AJ$5&gt;=$C496,AJ$5&lt;=$D496,$A496&lt;&gt;""),"●","")</x:f>
      </x:c>
      <x:c r="AK496" s="165" t="str">
        <x:f>IF(AND(AK$5&gt;=$C496,AK$5&lt;=$D496,$A496&lt;&gt;""),"●","")</x:f>
      </x:c>
      <x:c r="AL496" s="165" t="str">
        <x:f>IF(AND(AL$5&gt;=$C496,AL$5&lt;=$D496,$A496&lt;&gt;""),"●","")</x:f>
      </x:c>
      <x:c r="AM496" s="165" t="str">
        <x:f>IF(AND(AM$5&gt;=$C496,AM$5&lt;=$D496,$A496&lt;&gt;""),"●","")</x:f>
      </x:c>
      <x:c r="AN496" s="165" t="str">
        <x:f>IF(AND(AN$5&gt;=$C496,AN$5&lt;=$D496,$A496&lt;&gt;""),"●","")</x:f>
      </x:c>
      <x:c r="AO496" s="165" t="str">
        <x:f>IF(AND(AO$5&gt;=$C496,AO$5&lt;=$D496,$A496&lt;&gt;""),"●","")</x:f>
      </x:c>
      <x:c r="AP496" s="165" t="str">
        <x:f>IF(AND(AP$5&gt;=$C496,AP$5&lt;=$D496,$A496&lt;&gt;""),"●","")</x:f>
      </x:c>
      <x:c r="AQ496" s="165" t="str">
        <x:f>IF(AND(AQ$5&gt;=$C496,AQ$5&lt;=$D496,$A496&lt;&gt;""),"●","")</x:f>
      </x:c>
      <x:c r="AR496" s="165" t="str">
        <x:f>IF(AND(AR$5&gt;=$C496,AR$5&lt;=$D496,$A496&lt;&gt;""),"●","")</x:f>
      </x:c>
      <x:c r="AS496" s="165" t="str">
        <x:f>IF(AND(AS$5&gt;=$C496,AS$5&lt;=$D496,$A496&lt;&gt;""),"●","")</x:f>
      </x:c>
      <x:c r="AT496" s="165" t="str">
        <x:f>IF(AND(AT$5&gt;=$C496,AT$5&lt;=$D496,$A496&lt;&gt;""),"●","")</x:f>
      </x:c>
      <x:c r="AU496" s="165" t="str">
        <x:f>IF(AND(AU$5&gt;=$C496,AU$5&lt;=$D496,$A496&lt;&gt;""),"●","")</x:f>
      </x:c>
      <x:c r="AV496" s="165" t="str">
        <x:f>IF(AND(AV$5&gt;=$C496,AV$5&lt;=$D496,$A496&lt;&gt;""),"●","")</x:f>
      </x:c>
      <x:c r="AW496" s="165" t="str">
        <x:f>IF(AND(AW$5&gt;=$C496,AW$5&lt;=$D496,$A496&lt;&gt;""),"●","")</x:f>
      </x:c>
      <x:c r="AX496" s="165" t="str">
        <x:f>IF(AND(AX$5&gt;=$C496,AX$5&lt;=$D496,$A496&lt;&gt;""),"●","")</x:f>
      </x:c>
      <x:c r="AY496" s="165" t="str">
        <x:f>IF(AND(AY$5&gt;=$C496,AY$5&lt;=$D496,$A496&lt;&gt;""),"●","")</x:f>
      </x:c>
      <x:c r="AZ496" s="165" t="str">
        <x:f>IF(AND(AZ$5&gt;=$C496,AZ$5&lt;=$D496,$A496&lt;&gt;""),"●","")</x:f>
      </x:c>
      <x:c r="BA496" s="165" t="str">
        <x:f>IF(AND(BA$5&gt;=$C496,BA$5&lt;=$D496,$A496&lt;&gt;""),"●","")</x:f>
      </x:c>
      <x:c r="BB496" s="165" t="str">
        <x:f>IF(AND(BB$5&gt;=$C496,BB$5&lt;=$D496,$A496&lt;&gt;""),"●","")</x:f>
      </x:c>
      <x:c r="BC496" s="165" t="str">
        <x:f>IF(AND(BC$5&gt;=$C496,BC$5&lt;=$D496,$A496&lt;&gt;""),"●","")</x:f>
      </x:c>
      <x:c r="BD496" s="165" t="str">
        <x:f>IF(AND(BD$5&gt;=$C496,BD$5&lt;=$D496,$A496&lt;&gt;""),"●","")</x:f>
      </x:c>
      <x:c r="BE496" s="165" t="str">
        <x:f>IF(AND(BE$5&gt;=$C496,BE$5&lt;=$D496,$A496&lt;&gt;""),"●","")</x:f>
      </x:c>
      <x:c r="BF496" s="165" t="str">
        <x:f>IF(AND(BF$5&gt;=$C496,BF$5&lt;=$D496,$A496&lt;&gt;""),"●","")</x:f>
      </x:c>
      <x:c r="BG496" s="165" t="str">
        <x:f>IF(AND(BG$5&gt;=$C496,BG$5&lt;=$D496,$A496&lt;&gt;""),"●","")</x:f>
      </x:c>
      <x:c r="BH496" s="165" t="str">
        <x:f>IF(AND(BH$5&gt;=$C496,BH$5&lt;=$D496,$A496&lt;&gt;""),"●","")</x:f>
      </x:c>
      <x:c r="BI496" s="165" t="str">
        <x:f>IF(AND(BI$5&gt;=$C496,BI$5&lt;=$D496,$A496&lt;&gt;""),"●","")</x:f>
      </x:c>
      <x:c r="BJ496" s="165" t="str">
        <x:f>IF(AND(BJ$5&gt;=$C496,BJ$5&lt;=$D496,$A496&lt;&gt;""),"●","")</x:f>
      </x:c>
      <x:c r="BK496" s="165" t="str">
        <x:f>IF(AND(BK$5&gt;=$C496,BK$5&lt;=$D496,$A496&lt;&gt;""),"●","")</x:f>
      </x:c>
      <x:c r="BL496" s="165" t="str">
        <x:f>IF(AND(BL$5&gt;=$C496,BL$5&lt;=$D496,$A496&lt;&gt;""),"●","")</x:f>
      </x:c>
      <x:c r="BM496" s="165" t="str">
        <x:f>IF(AND(BM$5&gt;=$C496,BM$5&lt;=$D496,$A496&lt;&gt;""),"●","")</x:f>
      </x:c>
      <x:c r="BN496" s="165" t="str">
        <x:f>IF(AND(BN$5&gt;=$C496,BN$5&lt;=$D496,$A496&lt;&gt;""),"●","")</x:f>
      </x:c>
      <x:c r="BO496" s="165" t="str">
        <x:f>IF(AND(BO$5&gt;=$C496,BO$5&lt;=$D496,$A496&lt;&gt;""),"●","")</x:f>
      </x:c>
      <x:c r="BP496" s="165" t="str">
        <x:f>IF(AND(BP$5&gt;=$C496,BP$5&lt;=$D496,$A496&lt;&gt;""),"●","")</x:f>
      </x:c>
      <x:c r="BQ496" s="165" t="str">
        <x:f>IF(AND(BQ$5&gt;=$C496,BQ$5&lt;=$D496,$A496&lt;&gt;""),"●","")</x:f>
      </x:c>
      <x:c r="BR496" s="165" t="str">
        <x:f>IF(AND(BR$5&gt;=$C496,BR$5&lt;=$D496,$A496&lt;&gt;""),"●","")</x:f>
      </x:c>
      <x:c r="BS496" s="165" t="str">
        <x:f>IF(AND(BS$5&gt;=$C496,BS$5&lt;=$D496,$A496&lt;&gt;""),"●","")</x:f>
      </x:c>
      <x:c r="BT496" s="165" t="str">
        <x:f>IF(AND(BT$5&gt;=$C496,BT$5&lt;=$D496,$A496&lt;&gt;""),"●","")</x:f>
      </x:c>
      <x:c r="BU496" s="165" t="str">
        <x:f>IF(AND(BU$5&gt;=$C496,BU$5&lt;=$D496,$A496&lt;&gt;""),"●","")</x:f>
      </x:c>
      <x:c r="BV496" s="165" t="str">
        <x:f>IF(AND(BV$5&gt;=$C496,BV$5&lt;=$D496,$A496&lt;&gt;""),"●","")</x:f>
      </x:c>
      <x:c r="BW496" s="165" t="str">
        <x:f>IF(AND(BW$5&gt;=$C496,BW$5&lt;=$D496,$A496&lt;&gt;""),"●","")</x:f>
      </x:c>
    </x:row>
    <x:row r="497">
      <x:c r="A497" s="159" t="str">
        <x:f>IF('รายการสัญญา'!A497="","",'รายการสัญญา'!A497)</x:f>
      </x:c>
      <x:c r="B497" s="159" t="str">
        <x:f>IF('รายการสัญญา'!A497="","",'รายการสัญญา'!C497)</x:f>
      </x:c>
      <x:c r="C497" s="162" t="str">
        <x:f>IF('รายการสัญญา'!A497="","",'รายการสัญญา'!E497)</x:f>
      </x:c>
      <x:c r="D497" s="162" t="str">
        <x:f>IF('รายการสัญญา'!A497="","",'รายการสัญญา'!G497)</x:f>
      </x:c>
      <x:c r="E497" s="159" t="str">
        <x:f>IF('รายการสัญญา'!A497="","",'รายการสัญญา'!K497)</x:f>
      </x:c>
      <x:c r="F497" s="165" t="str">
        <x:f>IF(AND(F$5&gt;=$C497,F$5&lt;=$D497,$A497&lt;&gt;""),"●","")</x:f>
      </x:c>
      <x:c r="G497" s="165" t="str">
        <x:f>IF(AND(G$5&gt;=$C497,G$5&lt;=$D497,$A497&lt;&gt;""),"●","")</x:f>
      </x:c>
      <x:c r="H497" s="165" t="str">
        <x:f>IF(AND(H$5&gt;=$C497,H$5&lt;=$D497,$A497&lt;&gt;""),"●","")</x:f>
      </x:c>
      <x:c r="I497" s="165" t="str">
        <x:f>IF(AND(I$5&gt;=$C497,I$5&lt;=$D497,$A497&lt;&gt;""),"●","")</x:f>
      </x:c>
      <x:c r="J497" s="165" t="str">
        <x:f>IF(AND(J$5&gt;=$C497,J$5&lt;=$D497,$A497&lt;&gt;""),"●","")</x:f>
      </x:c>
      <x:c r="K497" s="165" t="str">
        <x:f>IF(AND(K$5&gt;=$C497,K$5&lt;=$D497,$A497&lt;&gt;""),"●","")</x:f>
      </x:c>
      <x:c r="L497" s="165" t="str">
        <x:f>IF(AND(L$5&gt;=$C497,L$5&lt;=$D497,$A497&lt;&gt;""),"●","")</x:f>
      </x:c>
      <x:c r="M497" s="165" t="str">
        <x:f>IF(AND(M$5&gt;=$C497,M$5&lt;=$D497,$A497&lt;&gt;""),"●","")</x:f>
      </x:c>
      <x:c r="N497" s="165" t="str">
        <x:f>IF(AND(N$5&gt;=$C497,N$5&lt;=$D497,$A497&lt;&gt;""),"●","")</x:f>
      </x:c>
      <x:c r="O497" s="165" t="str">
        <x:f>IF(AND(O$5&gt;=$C497,O$5&lt;=$D497,$A497&lt;&gt;""),"●","")</x:f>
      </x:c>
      <x:c r="P497" s="165" t="str">
        <x:f>IF(AND(P$5&gt;=$C497,P$5&lt;=$D497,$A497&lt;&gt;""),"●","")</x:f>
      </x:c>
      <x:c r="Q497" s="165" t="str">
        <x:f>IF(AND(Q$5&gt;=$C497,Q$5&lt;=$D497,$A497&lt;&gt;""),"●","")</x:f>
      </x:c>
      <x:c r="R497" s="165" t="str">
        <x:f>IF(AND(R$5&gt;=$C497,R$5&lt;=$D497,$A497&lt;&gt;""),"●","")</x:f>
      </x:c>
      <x:c r="S497" s="165" t="str">
        <x:f>IF(AND(S$5&gt;=$C497,S$5&lt;=$D497,$A497&lt;&gt;""),"●","")</x:f>
      </x:c>
      <x:c r="T497" s="165" t="str">
        <x:f>IF(AND(T$5&gt;=$C497,T$5&lt;=$D497,$A497&lt;&gt;""),"●","")</x:f>
      </x:c>
      <x:c r="U497" s="165" t="str">
        <x:f>IF(AND(U$5&gt;=$C497,U$5&lt;=$D497,$A497&lt;&gt;""),"●","")</x:f>
      </x:c>
      <x:c r="V497" s="165" t="str">
        <x:f>IF(AND(V$5&gt;=$C497,V$5&lt;=$D497,$A497&lt;&gt;""),"●","")</x:f>
      </x:c>
      <x:c r="W497" s="165" t="str">
        <x:f>IF(AND(W$5&gt;=$C497,W$5&lt;=$D497,$A497&lt;&gt;""),"●","")</x:f>
      </x:c>
      <x:c r="X497" s="165" t="str">
        <x:f>IF(AND(X$5&gt;=$C497,X$5&lt;=$D497,$A497&lt;&gt;""),"●","")</x:f>
      </x:c>
      <x:c r="Y497" s="165" t="str">
        <x:f>IF(AND(Y$5&gt;=$C497,Y$5&lt;=$D497,$A497&lt;&gt;""),"●","")</x:f>
      </x:c>
      <x:c r="Z497" s="165" t="str">
        <x:f>IF(AND(Z$5&gt;=$C497,Z$5&lt;=$D497,$A497&lt;&gt;""),"●","")</x:f>
      </x:c>
      <x:c r="AA497" s="165" t="str">
        <x:f>IF(AND(AA$5&gt;=$C497,AA$5&lt;=$D497,$A497&lt;&gt;""),"●","")</x:f>
      </x:c>
      <x:c r="AB497" s="165" t="str">
        <x:f>IF(AND(AB$5&gt;=$C497,AB$5&lt;=$D497,$A497&lt;&gt;""),"●","")</x:f>
      </x:c>
      <x:c r="AC497" s="165" t="str">
        <x:f>IF(AND(AC$5&gt;=$C497,AC$5&lt;=$D497,$A497&lt;&gt;""),"●","")</x:f>
      </x:c>
      <x:c r="AD497" s="165" t="str">
        <x:f>IF(AND(AD$5&gt;=$C497,AD$5&lt;=$D497,$A497&lt;&gt;""),"●","")</x:f>
      </x:c>
      <x:c r="AE497" s="165" t="str">
        <x:f>IF(AND(AE$5&gt;=$C497,AE$5&lt;=$D497,$A497&lt;&gt;""),"●","")</x:f>
      </x:c>
      <x:c r="AF497" s="165" t="str">
        <x:f>IF(AND(AF$5&gt;=$C497,AF$5&lt;=$D497,$A497&lt;&gt;""),"●","")</x:f>
      </x:c>
      <x:c r="AG497" s="165" t="str">
        <x:f>IF(AND(AG$5&gt;=$C497,AG$5&lt;=$D497,$A497&lt;&gt;""),"●","")</x:f>
      </x:c>
      <x:c r="AH497" s="165" t="str">
        <x:f>IF(AND(AH$5&gt;=$C497,AH$5&lt;=$D497,$A497&lt;&gt;""),"●","")</x:f>
      </x:c>
      <x:c r="AI497" s="165" t="str">
        <x:f>IF(AND(AI$5&gt;=$C497,AI$5&lt;=$D497,$A497&lt;&gt;""),"●","")</x:f>
      </x:c>
      <x:c r="AJ497" s="165" t="str">
        <x:f>IF(AND(AJ$5&gt;=$C497,AJ$5&lt;=$D497,$A497&lt;&gt;""),"●","")</x:f>
      </x:c>
      <x:c r="AK497" s="165" t="str">
        <x:f>IF(AND(AK$5&gt;=$C497,AK$5&lt;=$D497,$A497&lt;&gt;""),"●","")</x:f>
      </x:c>
      <x:c r="AL497" s="165" t="str">
        <x:f>IF(AND(AL$5&gt;=$C497,AL$5&lt;=$D497,$A497&lt;&gt;""),"●","")</x:f>
      </x:c>
      <x:c r="AM497" s="165" t="str">
        <x:f>IF(AND(AM$5&gt;=$C497,AM$5&lt;=$D497,$A497&lt;&gt;""),"●","")</x:f>
      </x:c>
      <x:c r="AN497" s="165" t="str">
        <x:f>IF(AND(AN$5&gt;=$C497,AN$5&lt;=$D497,$A497&lt;&gt;""),"●","")</x:f>
      </x:c>
      <x:c r="AO497" s="165" t="str">
        <x:f>IF(AND(AO$5&gt;=$C497,AO$5&lt;=$D497,$A497&lt;&gt;""),"●","")</x:f>
      </x:c>
      <x:c r="AP497" s="165" t="str">
        <x:f>IF(AND(AP$5&gt;=$C497,AP$5&lt;=$D497,$A497&lt;&gt;""),"●","")</x:f>
      </x:c>
      <x:c r="AQ497" s="165" t="str">
        <x:f>IF(AND(AQ$5&gt;=$C497,AQ$5&lt;=$D497,$A497&lt;&gt;""),"●","")</x:f>
      </x:c>
      <x:c r="AR497" s="165" t="str">
        <x:f>IF(AND(AR$5&gt;=$C497,AR$5&lt;=$D497,$A497&lt;&gt;""),"●","")</x:f>
      </x:c>
      <x:c r="AS497" s="165" t="str">
        <x:f>IF(AND(AS$5&gt;=$C497,AS$5&lt;=$D497,$A497&lt;&gt;""),"●","")</x:f>
      </x:c>
      <x:c r="AT497" s="165" t="str">
        <x:f>IF(AND(AT$5&gt;=$C497,AT$5&lt;=$D497,$A497&lt;&gt;""),"●","")</x:f>
      </x:c>
      <x:c r="AU497" s="165" t="str">
        <x:f>IF(AND(AU$5&gt;=$C497,AU$5&lt;=$D497,$A497&lt;&gt;""),"●","")</x:f>
      </x:c>
      <x:c r="AV497" s="165" t="str">
        <x:f>IF(AND(AV$5&gt;=$C497,AV$5&lt;=$D497,$A497&lt;&gt;""),"●","")</x:f>
      </x:c>
      <x:c r="AW497" s="165" t="str">
        <x:f>IF(AND(AW$5&gt;=$C497,AW$5&lt;=$D497,$A497&lt;&gt;""),"●","")</x:f>
      </x:c>
      <x:c r="AX497" s="165" t="str">
        <x:f>IF(AND(AX$5&gt;=$C497,AX$5&lt;=$D497,$A497&lt;&gt;""),"●","")</x:f>
      </x:c>
      <x:c r="AY497" s="165" t="str">
        <x:f>IF(AND(AY$5&gt;=$C497,AY$5&lt;=$D497,$A497&lt;&gt;""),"●","")</x:f>
      </x:c>
      <x:c r="AZ497" s="165" t="str">
        <x:f>IF(AND(AZ$5&gt;=$C497,AZ$5&lt;=$D497,$A497&lt;&gt;""),"●","")</x:f>
      </x:c>
      <x:c r="BA497" s="165" t="str">
        <x:f>IF(AND(BA$5&gt;=$C497,BA$5&lt;=$D497,$A497&lt;&gt;""),"●","")</x:f>
      </x:c>
      <x:c r="BB497" s="165" t="str">
        <x:f>IF(AND(BB$5&gt;=$C497,BB$5&lt;=$D497,$A497&lt;&gt;""),"●","")</x:f>
      </x:c>
      <x:c r="BC497" s="165" t="str">
        <x:f>IF(AND(BC$5&gt;=$C497,BC$5&lt;=$D497,$A497&lt;&gt;""),"●","")</x:f>
      </x:c>
      <x:c r="BD497" s="165" t="str">
        <x:f>IF(AND(BD$5&gt;=$C497,BD$5&lt;=$D497,$A497&lt;&gt;""),"●","")</x:f>
      </x:c>
      <x:c r="BE497" s="165" t="str">
        <x:f>IF(AND(BE$5&gt;=$C497,BE$5&lt;=$D497,$A497&lt;&gt;""),"●","")</x:f>
      </x:c>
      <x:c r="BF497" s="165" t="str">
        <x:f>IF(AND(BF$5&gt;=$C497,BF$5&lt;=$D497,$A497&lt;&gt;""),"●","")</x:f>
      </x:c>
      <x:c r="BG497" s="165" t="str">
        <x:f>IF(AND(BG$5&gt;=$C497,BG$5&lt;=$D497,$A497&lt;&gt;""),"●","")</x:f>
      </x:c>
      <x:c r="BH497" s="165" t="str">
        <x:f>IF(AND(BH$5&gt;=$C497,BH$5&lt;=$D497,$A497&lt;&gt;""),"●","")</x:f>
      </x:c>
      <x:c r="BI497" s="165" t="str">
        <x:f>IF(AND(BI$5&gt;=$C497,BI$5&lt;=$D497,$A497&lt;&gt;""),"●","")</x:f>
      </x:c>
      <x:c r="BJ497" s="165" t="str">
        <x:f>IF(AND(BJ$5&gt;=$C497,BJ$5&lt;=$D497,$A497&lt;&gt;""),"●","")</x:f>
      </x:c>
      <x:c r="BK497" s="165" t="str">
        <x:f>IF(AND(BK$5&gt;=$C497,BK$5&lt;=$D497,$A497&lt;&gt;""),"●","")</x:f>
      </x:c>
      <x:c r="BL497" s="165" t="str">
        <x:f>IF(AND(BL$5&gt;=$C497,BL$5&lt;=$D497,$A497&lt;&gt;""),"●","")</x:f>
      </x:c>
      <x:c r="BM497" s="165" t="str">
        <x:f>IF(AND(BM$5&gt;=$C497,BM$5&lt;=$D497,$A497&lt;&gt;""),"●","")</x:f>
      </x:c>
      <x:c r="BN497" s="165" t="str">
        <x:f>IF(AND(BN$5&gt;=$C497,BN$5&lt;=$D497,$A497&lt;&gt;""),"●","")</x:f>
      </x:c>
      <x:c r="BO497" s="165" t="str">
        <x:f>IF(AND(BO$5&gt;=$C497,BO$5&lt;=$D497,$A497&lt;&gt;""),"●","")</x:f>
      </x:c>
      <x:c r="BP497" s="165" t="str">
        <x:f>IF(AND(BP$5&gt;=$C497,BP$5&lt;=$D497,$A497&lt;&gt;""),"●","")</x:f>
      </x:c>
      <x:c r="BQ497" s="165" t="str">
        <x:f>IF(AND(BQ$5&gt;=$C497,BQ$5&lt;=$D497,$A497&lt;&gt;""),"●","")</x:f>
      </x:c>
      <x:c r="BR497" s="165" t="str">
        <x:f>IF(AND(BR$5&gt;=$C497,BR$5&lt;=$D497,$A497&lt;&gt;""),"●","")</x:f>
      </x:c>
      <x:c r="BS497" s="165" t="str">
        <x:f>IF(AND(BS$5&gt;=$C497,BS$5&lt;=$D497,$A497&lt;&gt;""),"●","")</x:f>
      </x:c>
      <x:c r="BT497" s="165" t="str">
        <x:f>IF(AND(BT$5&gt;=$C497,BT$5&lt;=$D497,$A497&lt;&gt;""),"●","")</x:f>
      </x:c>
      <x:c r="BU497" s="165" t="str">
        <x:f>IF(AND(BU$5&gt;=$C497,BU$5&lt;=$D497,$A497&lt;&gt;""),"●","")</x:f>
      </x:c>
      <x:c r="BV497" s="165" t="str">
        <x:f>IF(AND(BV$5&gt;=$C497,BV$5&lt;=$D497,$A497&lt;&gt;""),"●","")</x:f>
      </x:c>
      <x:c r="BW497" s="165" t="str">
        <x:f>IF(AND(BW$5&gt;=$C497,BW$5&lt;=$D497,$A497&lt;&gt;""),"●","")</x:f>
      </x:c>
    </x:row>
    <x:row r="498">
      <x:c r="A498" s="159" t="str">
        <x:f>IF('รายการสัญญา'!A498="","",'รายการสัญญา'!A498)</x:f>
      </x:c>
      <x:c r="B498" s="159" t="str">
        <x:f>IF('รายการสัญญา'!A498="","",'รายการสัญญา'!C498)</x:f>
      </x:c>
      <x:c r="C498" s="162" t="str">
        <x:f>IF('รายการสัญญา'!A498="","",'รายการสัญญา'!E498)</x:f>
      </x:c>
      <x:c r="D498" s="162" t="str">
        <x:f>IF('รายการสัญญา'!A498="","",'รายการสัญญา'!G498)</x:f>
      </x:c>
      <x:c r="E498" s="159" t="str">
        <x:f>IF('รายการสัญญา'!A498="","",'รายการสัญญา'!K498)</x:f>
      </x:c>
      <x:c r="F498" s="165" t="str">
        <x:f>IF(AND(F$5&gt;=$C498,F$5&lt;=$D498,$A498&lt;&gt;""),"●","")</x:f>
      </x:c>
      <x:c r="G498" s="165" t="str">
        <x:f>IF(AND(G$5&gt;=$C498,G$5&lt;=$D498,$A498&lt;&gt;""),"●","")</x:f>
      </x:c>
      <x:c r="H498" s="165" t="str">
        <x:f>IF(AND(H$5&gt;=$C498,H$5&lt;=$D498,$A498&lt;&gt;""),"●","")</x:f>
      </x:c>
      <x:c r="I498" s="165" t="str">
        <x:f>IF(AND(I$5&gt;=$C498,I$5&lt;=$D498,$A498&lt;&gt;""),"●","")</x:f>
      </x:c>
      <x:c r="J498" s="165" t="str">
        <x:f>IF(AND(J$5&gt;=$C498,J$5&lt;=$D498,$A498&lt;&gt;""),"●","")</x:f>
      </x:c>
      <x:c r="K498" s="165" t="str">
        <x:f>IF(AND(K$5&gt;=$C498,K$5&lt;=$D498,$A498&lt;&gt;""),"●","")</x:f>
      </x:c>
      <x:c r="L498" s="165" t="str">
        <x:f>IF(AND(L$5&gt;=$C498,L$5&lt;=$D498,$A498&lt;&gt;""),"●","")</x:f>
      </x:c>
      <x:c r="M498" s="165" t="str">
        <x:f>IF(AND(M$5&gt;=$C498,M$5&lt;=$D498,$A498&lt;&gt;""),"●","")</x:f>
      </x:c>
      <x:c r="N498" s="165" t="str">
        <x:f>IF(AND(N$5&gt;=$C498,N$5&lt;=$D498,$A498&lt;&gt;""),"●","")</x:f>
      </x:c>
      <x:c r="O498" s="165" t="str">
        <x:f>IF(AND(O$5&gt;=$C498,O$5&lt;=$D498,$A498&lt;&gt;""),"●","")</x:f>
      </x:c>
      <x:c r="P498" s="165" t="str">
        <x:f>IF(AND(P$5&gt;=$C498,P$5&lt;=$D498,$A498&lt;&gt;""),"●","")</x:f>
      </x:c>
      <x:c r="Q498" s="165" t="str">
        <x:f>IF(AND(Q$5&gt;=$C498,Q$5&lt;=$D498,$A498&lt;&gt;""),"●","")</x:f>
      </x:c>
      <x:c r="R498" s="165" t="str">
        <x:f>IF(AND(R$5&gt;=$C498,R$5&lt;=$D498,$A498&lt;&gt;""),"●","")</x:f>
      </x:c>
      <x:c r="S498" s="165" t="str">
        <x:f>IF(AND(S$5&gt;=$C498,S$5&lt;=$D498,$A498&lt;&gt;""),"●","")</x:f>
      </x:c>
      <x:c r="T498" s="165" t="str">
        <x:f>IF(AND(T$5&gt;=$C498,T$5&lt;=$D498,$A498&lt;&gt;""),"●","")</x:f>
      </x:c>
      <x:c r="U498" s="165" t="str">
        <x:f>IF(AND(U$5&gt;=$C498,U$5&lt;=$D498,$A498&lt;&gt;""),"●","")</x:f>
      </x:c>
      <x:c r="V498" s="165" t="str">
        <x:f>IF(AND(V$5&gt;=$C498,V$5&lt;=$D498,$A498&lt;&gt;""),"●","")</x:f>
      </x:c>
      <x:c r="W498" s="165" t="str">
        <x:f>IF(AND(W$5&gt;=$C498,W$5&lt;=$D498,$A498&lt;&gt;""),"●","")</x:f>
      </x:c>
      <x:c r="X498" s="165" t="str">
        <x:f>IF(AND(X$5&gt;=$C498,X$5&lt;=$D498,$A498&lt;&gt;""),"●","")</x:f>
      </x:c>
      <x:c r="Y498" s="165" t="str">
        <x:f>IF(AND(Y$5&gt;=$C498,Y$5&lt;=$D498,$A498&lt;&gt;""),"●","")</x:f>
      </x:c>
      <x:c r="Z498" s="165" t="str">
        <x:f>IF(AND(Z$5&gt;=$C498,Z$5&lt;=$D498,$A498&lt;&gt;""),"●","")</x:f>
      </x:c>
      <x:c r="AA498" s="165" t="str">
        <x:f>IF(AND(AA$5&gt;=$C498,AA$5&lt;=$D498,$A498&lt;&gt;""),"●","")</x:f>
      </x:c>
      <x:c r="AB498" s="165" t="str">
        <x:f>IF(AND(AB$5&gt;=$C498,AB$5&lt;=$D498,$A498&lt;&gt;""),"●","")</x:f>
      </x:c>
      <x:c r="AC498" s="165" t="str">
        <x:f>IF(AND(AC$5&gt;=$C498,AC$5&lt;=$D498,$A498&lt;&gt;""),"●","")</x:f>
      </x:c>
      <x:c r="AD498" s="165" t="str">
        <x:f>IF(AND(AD$5&gt;=$C498,AD$5&lt;=$D498,$A498&lt;&gt;""),"●","")</x:f>
      </x:c>
      <x:c r="AE498" s="165" t="str">
        <x:f>IF(AND(AE$5&gt;=$C498,AE$5&lt;=$D498,$A498&lt;&gt;""),"●","")</x:f>
      </x:c>
      <x:c r="AF498" s="165" t="str">
        <x:f>IF(AND(AF$5&gt;=$C498,AF$5&lt;=$D498,$A498&lt;&gt;""),"●","")</x:f>
      </x:c>
      <x:c r="AG498" s="165" t="str">
        <x:f>IF(AND(AG$5&gt;=$C498,AG$5&lt;=$D498,$A498&lt;&gt;""),"●","")</x:f>
      </x:c>
      <x:c r="AH498" s="165" t="str">
        <x:f>IF(AND(AH$5&gt;=$C498,AH$5&lt;=$D498,$A498&lt;&gt;""),"●","")</x:f>
      </x:c>
      <x:c r="AI498" s="165" t="str">
        <x:f>IF(AND(AI$5&gt;=$C498,AI$5&lt;=$D498,$A498&lt;&gt;""),"●","")</x:f>
      </x:c>
      <x:c r="AJ498" s="165" t="str">
        <x:f>IF(AND(AJ$5&gt;=$C498,AJ$5&lt;=$D498,$A498&lt;&gt;""),"●","")</x:f>
      </x:c>
      <x:c r="AK498" s="165" t="str">
        <x:f>IF(AND(AK$5&gt;=$C498,AK$5&lt;=$D498,$A498&lt;&gt;""),"●","")</x:f>
      </x:c>
      <x:c r="AL498" s="165" t="str">
        <x:f>IF(AND(AL$5&gt;=$C498,AL$5&lt;=$D498,$A498&lt;&gt;""),"●","")</x:f>
      </x:c>
      <x:c r="AM498" s="165" t="str">
        <x:f>IF(AND(AM$5&gt;=$C498,AM$5&lt;=$D498,$A498&lt;&gt;""),"●","")</x:f>
      </x:c>
      <x:c r="AN498" s="165" t="str">
        <x:f>IF(AND(AN$5&gt;=$C498,AN$5&lt;=$D498,$A498&lt;&gt;""),"●","")</x:f>
      </x:c>
      <x:c r="AO498" s="165" t="str">
        <x:f>IF(AND(AO$5&gt;=$C498,AO$5&lt;=$D498,$A498&lt;&gt;""),"●","")</x:f>
      </x:c>
      <x:c r="AP498" s="165" t="str">
        <x:f>IF(AND(AP$5&gt;=$C498,AP$5&lt;=$D498,$A498&lt;&gt;""),"●","")</x:f>
      </x:c>
      <x:c r="AQ498" s="165" t="str">
        <x:f>IF(AND(AQ$5&gt;=$C498,AQ$5&lt;=$D498,$A498&lt;&gt;""),"●","")</x:f>
      </x:c>
      <x:c r="AR498" s="165" t="str">
        <x:f>IF(AND(AR$5&gt;=$C498,AR$5&lt;=$D498,$A498&lt;&gt;""),"●","")</x:f>
      </x:c>
      <x:c r="AS498" s="165" t="str">
        <x:f>IF(AND(AS$5&gt;=$C498,AS$5&lt;=$D498,$A498&lt;&gt;""),"●","")</x:f>
      </x:c>
      <x:c r="AT498" s="165" t="str">
        <x:f>IF(AND(AT$5&gt;=$C498,AT$5&lt;=$D498,$A498&lt;&gt;""),"●","")</x:f>
      </x:c>
      <x:c r="AU498" s="165" t="str">
        <x:f>IF(AND(AU$5&gt;=$C498,AU$5&lt;=$D498,$A498&lt;&gt;""),"●","")</x:f>
      </x:c>
      <x:c r="AV498" s="165" t="str">
        <x:f>IF(AND(AV$5&gt;=$C498,AV$5&lt;=$D498,$A498&lt;&gt;""),"●","")</x:f>
      </x:c>
      <x:c r="AW498" s="165" t="str">
        <x:f>IF(AND(AW$5&gt;=$C498,AW$5&lt;=$D498,$A498&lt;&gt;""),"●","")</x:f>
      </x:c>
      <x:c r="AX498" s="165" t="str">
        <x:f>IF(AND(AX$5&gt;=$C498,AX$5&lt;=$D498,$A498&lt;&gt;""),"●","")</x:f>
      </x:c>
      <x:c r="AY498" s="165" t="str">
        <x:f>IF(AND(AY$5&gt;=$C498,AY$5&lt;=$D498,$A498&lt;&gt;""),"●","")</x:f>
      </x:c>
      <x:c r="AZ498" s="165" t="str">
        <x:f>IF(AND(AZ$5&gt;=$C498,AZ$5&lt;=$D498,$A498&lt;&gt;""),"●","")</x:f>
      </x:c>
      <x:c r="BA498" s="165" t="str">
        <x:f>IF(AND(BA$5&gt;=$C498,BA$5&lt;=$D498,$A498&lt;&gt;""),"●","")</x:f>
      </x:c>
      <x:c r="BB498" s="165" t="str">
        <x:f>IF(AND(BB$5&gt;=$C498,BB$5&lt;=$D498,$A498&lt;&gt;""),"●","")</x:f>
      </x:c>
      <x:c r="BC498" s="165" t="str">
        <x:f>IF(AND(BC$5&gt;=$C498,BC$5&lt;=$D498,$A498&lt;&gt;""),"●","")</x:f>
      </x:c>
      <x:c r="BD498" s="165" t="str">
        <x:f>IF(AND(BD$5&gt;=$C498,BD$5&lt;=$D498,$A498&lt;&gt;""),"●","")</x:f>
      </x:c>
      <x:c r="BE498" s="165" t="str">
        <x:f>IF(AND(BE$5&gt;=$C498,BE$5&lt;=$D498,$A498&lt;&gt;""),"●","")</x:f>
      </x:c>
      <x:c r="BF498" s="165" t="str">
        <x:f>IF(AND(BF$5&gt;=$C498,BF$5&lt;=$D498,$A498&lt;&gt;""),"●","")</x:f>
      </x:c>
      <x:c r="BG498" s="165" t="str">
        <x:f>IF(AND(BG$5&gt;=$C498,BG$5&lt;=$D498,$A498&lt;&gt;""),"●","")</x:f>
      </x:c>
      <x:c r="BH498" s="165" t="str">
        <x:f>IF(AND(BH$5&gt;=$C498,BH$5&lt;=$D498,$A498&lt;&gt;""),"●","")</x:f>
      </x:c>
      <x:c r="BI498" s="165" t="str">
        <x:f>IF(AND(BI$5&gt;=$C498,BI$5&lt;=$D498,$A498&lt;&gt;""),"●","")</x:f>
      </x:c>
      <x:c r="BJ498" s="165" t="str">
        <x:f>IF(AND(BJ$5&gt;=$C498,BJ$5&lt;=$D498,$A498&lt;&gt;""),"●","")</x:f>
      </x:c>
      <x:c r="BK498" s="165" t="str">
        <x:f>IF(AND(BK$5&gt;=$C498,BK$5&lt;=$D498,$A498&lt;&gt;""),"●","")</x:f>
      </x:c>
      <x:c r="BL498" s="165" t="str">
        <x:f>IF(AND(BL$5&gt;=$C498,BL$5&lt;=$D498,$A498&lt;&gt;""),"●","")</x:f>
      </x:c>
      <x:c r="BM498" s="165" t="str">
        <x:f>IF(AND(BM$5&gt;=$C498,BM$5&lt;=$D498,$A498&lt;&gt;""),"●","")</x:f>
      </x:c>
      <x:c r="BN498" s="165" t="str">
        <x:f>IF(AND(BN$5&gt;=$C498,BN$5&lt;=$D498,$A498&lt;&gt;""),"●","")</x:f>
      </x:c>
      <x:c r="BO498" s="165" t="str">
        <x:f>IF(AND(BO$5&gt;=$C498,BO$5&lt;=$D498,$A498&lt;&gt;""),"●","")</x:f>
      </x:c>
      <x:c r="BP498" s="165" t="str">
        <x:f>IF(AND(BP$5&gt;=$C498,BP$5&lt;=$D498,$A498&lt;&gt;""),"●","")</x:f>
      </x:c>
      <x:c r="BQ498" s="165" t="str">
        <x:f>IF(AND(BQ$5&gt;=$C498,BQ$5&lt;=$D498,$A498&lt;&gt;""),"●","")</x:f>
      </x:c>
      <x:c r="BR498" s="165" t="str">
        <x:f>IF(AND(BR$5&gt;=$C498,BR$5&lt;=$D498,$A498&lt;&gt;""),"●","")</x:f>
      </x:c>
      <x:c r="BS498" s="165" t="str">
        <x:f>IF(AND(BS$5&gt;=$C498,BS$5&lt;=$D498,$A498&lt;&gt;""),"●","")</x:f>
      </x:c>
      <x:c r="BT498" s="165" t="str">
        <x:f>IF(AND(BT$5&gt;=$C498,BT$5&lt;=$D498,$A498&lt;&gt;""),"●","")</x:f>
      </x:c>
      <x:c r="BU498" s="165" t="str">
        <x:f>IF(AND(BU$5&gt;=$C498,BU$5&lt;=$D498,$A498&lt;&gt;""),"●","")</x:f>
      </x:c>
      <x:c r="BV498" s="165" t="str">
        <x:f>IF(AND(BV$5&gt;=$C498,BV$5&lt;=$D498,$A498&lt;&gt;""),"●","")</x:f>
      </x:c>
      <x:c r="BW498" s="165" t="str">
        <x:f>IF(AND(BW$5&gt;=$C498,BW$5&lt;=$D498,$A498&lt;&gt;""),"●","")</x:f>
      </x:c>
    </x:row>
    <x:row r="499">
      <x:c r="A499" s="159" t="str">
        <x:f>IF('รายการสัญญา'!A499="","",'รายการสัญญา'!A499)</x:f>
      </x:c>
      <x:c r="B499" s="159" t="str">
        <x:f>IF('รายการสัญญา'!A499="","",'รายการสัญญา'!C499)</x:f>
      </x:c>
      <x:c r="C499" s="162" t="str">
        <x:f>IF('รายการสัญญา'!A499="","",'รายการสัญญา'!E499)</x:f>
      </x:c>
      <x:c r="D499" s="162" t="str">
        <x:f>IF('รายการสัญญา'!A499="","",'รายการสัญญา'!G499)</x:f>
      </x:c>
      <x:c r="E499" s="159" t="str">
        <x:f>IF('รายการสัญญา'!A499="","",'รายการสัญญา'!K499)</x:f>
      </x:c>
      <x:c r="F499" s="165" t="str">
        <x:f>IF(AND(F$5&gt;=$C499,F$5&lt;=$D499,$A499&lt;&gt;""),"●","")</x:f>
      </x:c>
      <x:c r="G499" s="165" t="str">
        <x:f>IF(AND(G$5&gt;=$C499,G$5&lt;=$D499,$A499&lt;&gt;""),"●","")</x:f>
      </x:c>
      <x:c r="H499" s="165" t="str">
        <x:f>IF(AND(H$5&gt;=$C499,H$5&lt;=$D499,$A499&lt;&gt;""),"●","")</x:f>
      </x:c>
      <x:c r="I499" s="165" t="str">
        <x:f>IF(AND(I$5&gt;=$C499,I$5&lt;=$D499,$A499&lt;&gt;""),"●","")</x:f>
      </x:c>
      <x:c r="J499" s="165" t="str">
        <x:f>IF(AND(J$5&gt;=$C499,J$5&lt;=$D499,$A499&lt;&gt;""),"●","")</x:f>
      </x:c>
      <x:c r="K499" s="165" t="str">
        <x:f>IF(AND(K$5&gt;=$C499,K$5&lt;=$D499,$A499&lt;&gt;""),"●","")</x:f>
      </x:c>
      <x:c r="L499" s="165" t="str">
        <x:f>IF(AND(L$5&gt;=$C499,L$5&lt;=$D499,$A499&lt;&gt;""),"●","")</x:f>
      </x:c>
      <x:c r="M499" s="165" t="str">
        <x:f>IF(AND(M$5&gt;=$C499,M$5&lt;=$D499,$A499&lt;&gt;""),"●","")</x:f>
      </x:c>
      <x:c r="N499" s="165" t="str">
        <x:f>IF(AND(N$5&gt;=$C499,N$5&lt;=$D499,$A499&lt;&gt;""),"●","")</x:f>
      </x:c>
      <x:c r="O499" s="165" t="str">
        <x:f>IF(AND(O$5&gt;=$C499,O$5&lt;=$D499,$A499&lt;&gt;""),"●","")</x:f>
      </x:c>
      <x:c r="P499" s="165" t="str">
        <x:f>IF(AND(P$5&gt;=$C499,P$5&lt;=$D499,$A499&lt;&gt;""),"●","")</x:f>
      </x:c>
      <x:c r="Q499" s="165" t="str">
        <x:f>IF(AND(Q$5&gt;=$C499,Q$5&lt;=$D499,$A499&lt;&gt;""),"●","")</x:f>
      </x:c>
      <x:c r="R499" s="165" t="str">
        <x:f>IF(AND(R$5&gt;=$C499,R$5&lt;=$D499,$A499&lt;&gt;""),"●","")</x:f>
      </x:c>
      <x:c r="S499" s="165" t="str">
        <x:f>IF(AND(S$5&gt;=$C499,S$5&lt;=$D499,$A499&lt;&gt;""),"●","")</x:f>
      </x:c>
      <x:c r="T499" s="165" t="str">
        <x:f>IF(AND(T$5&gt;=$C499,T$5&lt;=$D499,$A499&lt;&gt;""),"●","")</x:f>
      </x:c>
      <x:c r="U499" s="165" t="str">
        <x:f>IF(AND(U$5&gt;=$C499,U$5&lt;=$D499,$A499&lt;&gt;""),"●","")</x:f>
      </x:c>
      <x:c r="V499" s="165" t="str">
        <x:f>IF(AND(V$5&gt;=$C499,V$5&lt;=$D499,$A499&lt;&gt;""),"●","")</x:f>
      </x:c>
      <x:c r="W499" s="165" t="str">
        <x:f>IF(AND(W$5&gt;=$C499,W$5&lt;=$D499,$A499&lt;&gt;""),"●","")</x:f>
      </x:c>
      <x:c r="X499" s="165" t="str">
        <x:f>IF(AND(X$5&gt;=$C499,X$5&lt;=$D499,$A499&lt;&gt;""),"●","")</x:f>
      </x:c>
      <x:c r="Y499" s="165" t="str">
        <x:f>IF(AND(Y$5&gt;=$C499,Y$5&lt;=$D499,$A499&lt;&gt;""),"●","")</x:f>
      </x:c>
      <x:c r="Z499" s="165" t="str">
        <x:f>IF(AND(Z$5&gt;=$C499,Z$5&lt;=$D499,$A499&lt;&gt;""),"●","")</x:f>
      </x:c>
      <x:c r="AA499" s="165" t="str">
        <x:f>IF(AND(AA$5&gt;=$C499,AA$5&lt;=$D499,$A499&lt;&gt;""),"●","")</x:f>
      </x:c>
      <x:c r="AB499" s="165" t="str">
        <x:f>IF(AND(AB$5&gt;=$C499,AB$5&lt;=$D499,$A499&lt;&gt;""),"●","")</x:f>
      </x:c>
      <x:c r="AC499" s="165" t="str">
        <x:f>IF(AND(AC$5&gt;=$C499,AC$5&lt;=$D499,$A499&lt;&gt;""),"●","")</x:f>
      </x:c>
      <x:c r="AD499" s="165" t="str">
        <x:f>IF(AND(AD$5&gt;=$C499,AD$5&lt;=$D499,$A499&lt;&gt;""),"●","")</x:f>
      </x:c>
      <x:c r="AE499" s="165" t="str">
        <x:f>IF(AND(AE$5&gt;=$C499,AE$5&lt;=$D499,$A499&lt;&gt;""),"●","")</x:f>
      </x:c>
      <x:c r="AF499" s="165" t="str">
        <x:f>IF(AND(AF$5&gt;=$C499,AF$5&lt;=$D499,$A499&lt;&gt;""),"●","")</x:f>
      </x:c>
      <x:c r="AG499" s="165" t="str">
        <x:f>IF(AND(AG$5&gt;=$C499,AG$5&lt;=$D499,$A499&lt;&gt;""),"●","")</x:f>
      </x:c>
      <x:c r="AH499" s="165" t="str">
        <x:f>IF(AND(AH$5&gt;=$C499,AH$5&lt;=$D499,$A499&lt;&gt;""),"●","")</x:f>
      </x:c>
      <x:c r="AI499" s="165" t="str">
        <x:f>IF(AND(AI$5&gt;=$C499,AI$5&lt;=$D499,$A499&lt;&gt;""),"●","")</x:f>
      </x:c>
      <x:c r="AJ499" s="165" t="str">
        <x:f>IF(AND(AJ$5&gt;=$C499,AJ$5&lt;=$D499,$A499&lt;&gt;""),"●","")</x:f>
      </x:c>
      <x:c r="AK499" s="165" t="str">
        <x:f>IF(AND(AK$5&gt;=$C499,AK$5&lt;=$D499,$A499&lt;&gt;""),"●","")</x:f>
      </x:c>
      <x:c r="AL499" s="165" t="str">
        <x:f>IF(AND(AL$5&gt;=$C499,AL$5&lt;=$D499,$A499&lt;&gt;""),"●","")</x:f>
      </x:c>
      <x:c r="AM499" s="165" t="str">
        <x:f>IF(AND(AM$5&gt;=$C499,AM$5&lt;=$D499,$A499&lt;&gt;""),"●","")</x:f>
      </x:c>
      <x:c r="AN499" s="165" t="str">
        <x:f>IF(AND(AN$5&gt;=$C499,AN$5&lt;=$D499,$A499&lt;&gt;""),"●","")</x:f>
      </x:c>
      <x:c r="AO499" s="165" t="str">
        <x:f>IF(AND(AO$5&gt;=$C499,AO$5&lt;=$D499,$A499&lt;&gt;""),"●","")</x:f>
      </x:c>
      <x:c r="AP499" s="165" t="str">
        <x:f>IF(AND(AP$5&gt;=$C499,AP$5&lt;=$D499,$A499&lt;&gt;""),"●","")</x:f>
      </x:c>
      <x:c r="AQ499" s="165" t="str">
        <x:f>IF(AND(AQ$5&gt;=$C499,AQ$5&lt;=$D499,$A499&lt;&gt;""),"●","")</x:f>
      </x:c>
      <x:c r="AR499" s="165" t="str">
        <x:f>IF(AND(AR$5&gt;=$C499,AR$5&lt;=$D499,$A499&lt;&gt;""),"●","")</x:f>
      </x:c>
      <x:c r="AS499" s="165" t="str">
        <x:f>IF(AND(AS$5&gt;=$C499,AS$5&lt;=$D499,$A499&lt;&gt;""),"●","")</x:f>
      </x:c>
      <x:c r="AT499" s="165" t="str">
        <x:f>IF(AND(AT$5&gt;=$C499,AT$5&lt;=$D499,$A499&lt;&gt;""),"●","")</x:f>
      </x:c>
      <x:c r="AU499" s="165" t="str">
        <x:f>IF(AND(AU$5&gt;=$C499,AU$5&lt;=$D499,$A499&lt;&gt;""),"●","")</x:f>
      </x:c>
      <x:c r="AV499" s="165" t="str">
        <x:f>IF(AND(AV$5&gt;=$C499,AV$5&lt;=$D499,$A499&lt;&gt;""),"●","")</x:f>
      </x:c>
      <x:c r="AW499" s="165" t="str">
        <x:f>IF(AND(AW$5&gt;=$C499,AW$5&lt;=$D499,$A499&lt;&gt;""),"●","")</x:f>
      </x:c>
      <x:c r="AX499" s="165" t="str">
        <x:f>IF(AND(AX$5&gt;=$C499,AX$5&lt;=$D499,$A499&lt;&gt;""),"●","")</x:f>
      </x:c>
      <x:c r="AY499" s="165" t="str">
        <x:f>IF(AND(AY$5&gt;=$C499,AY$5&lt;=$D499,$A499&lt;&gt;""),"●","")</x:f>
      </x:c>
      <x:c r="AZ499" s="165" t="str">
        <x:f>IF(AND(AZ$5&gt;=$C499,AZ$5&lt;=$D499,$A499&lt;&gt;""),"●","")</x:f>
      </x:c>
      <x:c r="BA499" s="165" t="str">
        <x:f>IF(AND(BA$5&gt;=$C499,BA$5&lt;=$D499,$A499&lt;&gt;""),"●","")</x:f>
      </x:c>
      <x:c r="BB499" s="165" t="str">
        <x:f>IF(AND(BB$5&gt;=$C499,BB$5&lt;=$D499,$A499&lt;&gt;""),"●","")</x:f>
      </x:c>
      <x:c r="BC499" s="165" t="str">
        <x:f>IF(AND(BC$5&gt;=$C499,BC$5&lt;=$D499,$A499&lt;&gt;""),"●","")</x:f>
      </x:c>
      <x:c r="BD499" s="165" t="str">
        <x:f>IF(AND(BD$5&gt;=$C499,BD$5&lt;=$D499,$A499&lt;&gt;""),"●","")</x:f>
      </x:c>
      <x:c r="BE499" s="165" t="str">
        <x:f>IF(AND(BE$5&gt;=$C499,BE$5&lt;=$D499,$A499&lt;&gt;""),"●","")</x:f>
      </x:c>
      <x:c r="BF499" s="165" t="str">
        <x:f>IF(AND(BF$5&gt;=$C499,BF$5&lt;=$D499,$A499&lt;&gt;""),"●","")</x:f>
      </x:c>
      <x:c r="BG499" s="165" t="str">
        <x:f>IF(AND(BG$5&gt;=$C499,BG$5&lt;=$D499,$A499&lt;&gt;""),"●","")</x:f>
      </x:c>
      <x:c r="BH499" s="165" t="str">
        <x:f>IF(AND(BH$5&gt;=$C499,BH$5&lt;=$D499,$A499&lt;&gt;""),"●","")</x:f>
      </x:c>
      <x:c r="BI499" s="165" t="str">
        <x:f>IF(AND(BI$5&gt;=$C499,BI$5&lt;=$D499,$A499&lt;&gt;""),"●","")</x:f>
      </x:c>
      <x:c r="BJ499" s="165" t="str">
        <x:f>IF(AND(BJ$5&gt;=$C499,BJ$5&lt;=$D499,$A499&lt;&gt;""),"●","")</x:f>
      </x:c>
      <x:c r="BK499" s="165" t="str">
        <x:f>IF(AND(BK$5&gt;=$C499,BK$5&lt;=$D499,$A499&lt;&gt;""),"●","")</x:f>
      </x:c>
      <x:c r="BL499" s="165" t="str">
        <x:f>IF(AND(BL$5&gt;=$C499,BL$5&lt;=$D499,$A499&lt;&gt;""),"●","")</x:f>
      </x:c>
      <x:c r="BM499" s="165" t="str">
        <x:f>IF(AND(BM$5&gt;=$C499,BM$5&lt;=$D499,$A499&lt;&gt;""),"●","")</x:f>
      </x:c>
      <x:c r="BN499" s="165" t="str">
        <x:f>IF(AND(BN$5&gt;=$C499,BN$5&lt;=$D499,$A499&lt;&gt;""),"●","")</x:f>
      </x:c>
      <x:c r="BO499" s="165" t="str">
        <x:f>IF(AND(BO$5&gt;=$C499,BO$5&lt;=$D499,$A499&lt;&gt;""),"●","")</x:f>
      </x:c>
      <x:c r="BP499" s="165" t="str">
        <x:f>IF(AND(BP$5&gt;=$C499,BP$5&lt;=$D499,$A499&lt;&gt;""),"●","")</x:f>
      </x:c>
      <x:c r="BQ499" s="165" t="str">
        <x:f>IF(AND(BQ$5&gt;=$C499,BQ$5&lt;=$D499,$A499&lt;&gt;""),"●","")</x:f>
      </x:c>
      <x:c r="BR499" s="165" t="str">
        <x:f>IF(AND(BR$5&gt;=$C499,BR$5&lt;=$D499,$A499&lt;&gt;""),"●","")</x:f>
      </x:c>
      <x:c r="BS499" s="165" t="str">
        <x:f>IF(AND(BS$5&gt;=$C499,BS$5&lt;=$D499,$A499&lt;&gt;""),"●","")</x:f>
      </x:c>
      <x:c r="BT499" s="165" t="str">
        <x:f>IF(AND(BT$5&gt;=$C499,BT$5&lt;=$D499,$A499&lt;&gt;""),"●","")</x:f>
      </x:c>
      <x:c r="BU499" s="165" t="str">
        <x:f>IF(AND(BU$5&gt;=$C499,BU$5&lt;=$D499,$A499&lt;&gt;""),"●","")</x:f>
      </x:c>
      <x:c r="BV499" s="165" t="str">
        <x:f>IF(AND(BV$5&gt;=$C499,BV$5&lt;=$D499,$A499&lt;&gt;""),"●","")</x:f>
      </x:c>
      <x:c r="BW499" s="165" t="str">
        <x:f>IF(AND(BW$5&gt;=$C499,BW$5&lt;=$D499,$A499&lt;&gt;""),"●","")</x:f>
      </x:c>
    </x:row>
    <x:row r="500">
      <x:c r="A500" s="159" t="str">
        <x:f>IF('รายการสัญญา'!A500="","",'รายการสัญญา'!A500)</x:f>
      </x:c>
      <x:c r="B500" s="159" t="str">
        <x:f>IF('รายการสัญญา'!A500="","",'รายการสัญญา'!C500)</x:f>
      </x:c>
      <x:c r="C500" s="162" t="str">
        <x:f>IF('รายการสัญญา'!A500="","",'รายการสัญญา'!E500)</x:f>
      </x:c>
      <x:c r="D500" s="162" t="str">
        <x:f>IF('รายการสัญญา'!A500="","",'รายการสัญญา'!G500)</x:f>
      </x:c>
      <x:c r="E500" s="159" t="str">
        <x:f>IF('รายการสัญญา'!A500="","",'รายการสัญญา'!K500)</x:f>
      </x:c>
      <x:c r="F500" s="165" t="str">
        <x:f>IF(AND(F$5&gt;=$C500,F$5&lt;=$D500,$A500&lt;&gt;""),"●","")</x:f>
      </x:c>
      <x:c r="G500" s="165" t="str">
        <x:f>IF(AND(G$5&gt;=$C500,G$5&lt;=$D500,$A500&lt;&gt;""),"●","")</x:f>
      </x:c>
      <x:c r="H500" s="165" t="str">
        <x:f>IF(AND(H$5&gt;=$C500,H$5&lt;=$D500,$A500&lt;&gt;""),"●","")</x:f>
      </x:c>
      <x:c r="I500" s="165" t="str">
        <x:f>IF(AND(I$5&gt;=$C500,I$5&lt;=$D500,$A500&lt;&gt;""),"●","")</x:f>
      </x:c>
      <x:c r="J500" s="165" t="str">
        <x:f>IF(AND(J$5&gt;=$C500,J$5&lt;=$D500,$A500&lt;&gt;""),"●","")</x:f>
      </x:c>
      <x:c r="K500" s="165" t="str">
        <x:f>IF(AND(K$5&gt;=$C500,K$5&lt;=$D500,$A500&lt;&gt;""),"●","")</x:f>
      </x:c>
      <x:c r="L500" s="165" t="str">
        <x:f>IF(AND(L$5&gt;=$C500,L$5&lt;=$D500,$A500&lt;&gt;""),"●","")</x:f>
      </x:c>
      <x:c r="M500" s="165" t="str">
        <x:f>IF(AND(M$5&gt;=$C500,M$5&lt;=$D500,$A500&lt;&gt;""),"●","")</x:f>
      </x:c>
      <x:c r="N500" s="165" t="str">
        <x:f>IF(AND(N$5&gt;=$C500,N$5&lt;=$D500,$A500&lt;&gt;""),"●","")</x:f>
      </x:c>
      <x:c r="O500" s="165" t="str">
        <x:f>IF(AND(O$5&gt;=$C500,O$5&lt;=$D500,$A500&lt;&gt;""),"●","")</x:f>
      </x:c>
      <x:c r="P500" s="165" t="str">
        <x:f>IF(AND(P$5&gt;=$C500,P$5&lt;=$D500,$A500&lt;&gt;""),"●","")</x:f>
      </x:c>
      <x:c r="Q500" s="165" t="str">
        <x:f>IF(AND(Q$5&gt;=$C500,Q$5&lt;=$D500,$A500&lt;&gt;""),"●","")</x:f>
      </x:c>
      <x:c r="R500" s="165" t="str">
        <x:f>IF(AND(R$5&gt;=$C500,R$5&lt;=$D500,$A500&lt;&gt;""),"●","")</x:f>
      </x:c>
      <x:c r="S500" s="165" t="str">
        <x:f>IF(AND(S$5&gt;=$C500,S$5&lt;=$D500,$A500&lt;&gt;""),"●","")</x:f>
      </x:c>
      <x:c r="T500" s="165" t="str">
        <x:f>IF(AND(T$5&gt;=$C500,T$5&lt;=$D500,$A500&lt;&gt;""),"●","")</x:f>
      </x:c>
      <x:c r="U500" s="165" t="str">
        <x:f>IF(AND(U$5&gt;=$C500,U$5&lt;=$D500,$A500&lt;&gt;""),"●","")</x:f>
      </x:c>
      <x:c r="V500" s="165" t="str">
        <x:f>IF(AND(V$5&gt;=$C500,V$5&lt;=$D500,$A500&lt;&gt;""),"●","")</x:f>
      </x:c>
      <x:c r="W500" s="165" t="str">
        <x:f>IF(AND(W$5&gt;=$C500,W$5&lt;=$D500,$A500&lt;&gt;""),"●","")</x:f>
      </x:c>
      <x:c r="X500" s="165" t="str">
        <x:f>IF(AND(X$5&gt;=$C500,X$5&lt;=$D500,$A500&lt;&gt;""),"●","")</x:f>
      </x:c>
      <x:c r="Y500" s="165" t="str">
        <x:f>IF(AND(Y$5&gt;=$C500,Y$5&lt;=$D500,$A500&lt;&gt;""),"●","")</x:f>
      </x:c>
      <x:c r="Z500" s="165" t="str">
        <x:f>IF(AND(Z$5&gt;=$C500,Z$5&lt;=$D500,$A500&lt;&gt;""),"●","")</x:f>
      </x:c>
      <x:c r="AA500" s="165" t="str">
        <x:f>IF(AND(AA$5&gt;=$C500,AA$5&lt;=$D500,$A500&lt;&gt;""),"●","")</x:f>
      </x:c>
      <x:c r="AB500" s="165" t="str">
        <x:f>IF(AND(AB$5&gt;=$C500,AB$5&lt;=$D500,$A500&lt;&gt;""),"●","")</x:f>
      </x:c>
      <x:c r="AC500" s="165" t="str">
        <x:f>IF(AND(AC$5&gt;=$C500,AC$5&lt;=$D500,$A500&lt;&gt;""),"●","")</x:f>
      </x:c>
      <x:c r="AD500" s="165" t="str">
        <x:f>IF(AND(AD$5&gt;=$C500,AD$5&lt;=$D500,$A500&lt;&gt;""),"●","")</x:f>
      </x:c>
      <x:c r="AE500" s="165" t="str">
        <x:f>IF(AND(AE$5&gt;=$C500,AE$5&lt;=$D500,$A500&lt;&gt;""),"●","")</x:f>
      </x:c>
      <x:c r="AF500" s="165" t="str">
        <x:f>IF(AND(AF$5&gt;=$C500,AF$5&lt;=$D500,$A500&lt;&gt;""),"●","")</x:f>
      </x:c>
      <x:c r="AG500" s="165" t="str">
        <x:f>IF(AND(AG$5&gt;=$C500,AG$5&lt;=$D500,$A500&lt;&gt;""),"●","")</x:f>
      </x:c>
      <x:c r="AH500" s="165" t="str">
        <x:f>IF(AND(AH$5&gt;=$C500,AH$5&lt;=$D500,$A500&lt;&gt;""),"●","")</x:f>
      </x:c>
      <x:c r="AI500" s="165" t="str">
        <x:f>IF(AND(AI$5&gt;=$C500,AI$5&lt;=$D500,$A500&lt;&gt;""),"●","")</x:f>
      </x:c>
      <x:c r="AJ500" s="165" t="str">
        <x:f>IF(AND(AJ$5&gt;=$C500,AJ$5&lt;=$D500,$A500&lt;&gt;""),"●","")</x:f>
      </x:c>
      <x:c r="AK500" s="165" t="str">
        <x:f>IF(AND(AK$5&gt;=$C500,AK$5&lt;=$D500,$A500&lt;&gt;""),"●","")</x:f>
      </x:c>
      <x:c r="AL500" s="165" t="str">
        <x:f>IF(AND(AL$5&gt;=$C500,AL$5&lt;=$D500,$A500&lt;&gt;""),"●","")</x:f>
      </x:c>
      <x:c r="AM500" s="165" t="str">
        <x:f>IF(AND(AM$5&gt;=$C500,AM$5&lt;=$D500,$A500&lt;&gt;""),"●","")</x:f>
      </x:c>
      <x:c r="AN500" s="165" t="str">
        <x:f>IF(AND(AN$5&gt;=$C500,AN$5&lt;=$D500,$A500&lt;&gt;""),"●","")</x:f>
      </x:c>
      <x:c r="AO500" s="165" t="str">
        <x:f>IF(AND(AO$5&gt;=$C500,AO$5&lt;=$D500,$A500&lt;&gt;""),"●","")</x:f>
      </x:c>
      <x:c r="AP500" s="165" t="str">
        <x:f>IF(AND(AP$5&gt;=$C500,AP$5&lt;=$D500,$A500&lt;&gt;""),"●","")</x:f>
      </x:c>
      <x:c r="AQ500" s="165" t="str">
        <x:f>IF(AND(AQ$5&gt;=$C500,AQ$5&lt;=$D500,$A500&lt;&gt;""),"●","")</x:f>
      </x:c>
      <x:c r="AR500" s="165" t="str">
        <x:f>IF(AND(AR$5&gt;=$C500,AR$5&lt;=$D500,$A500&lt;&gt;""),"●","")</x:f>
      </x:c>
      <x:c r="AS500" s="165" t="str">
        <x:f>IF(AND(AS$5&gt;=$C500,AS$5&lt;=$D500,$A500&lt;&gt;""),"●","")</x:f>
      </x:c>
      <x:c r="AT500" s="165" t="str">
        <x:f>IF(AND(AT$5&gt;=$C500,AT$5&lt;=$D500,$A500&lt;&gt;""),"●","")</x:f>
      </x:c>
      <x:c r="AU500" s="165" t="str">
        <x:f>IF(AND(AU$5&gt;=$C500,AU$5&lt;=$D500,$A500&lt;&gt;""),"●","")</x:f>
      </x:c>
      <x:c r="AV500" s="165" t="str">
        <x:f>IF(AND(AV$5&gt;=$C500,AV$5&lt;=$D500,$A500&lt;&gt;""),"●","")</x:f>
      </x:c>
      <x:c r="AW500" s="165" t="str">
        <x:f>IF(AND(AW$5&gt;=$C500,AW$5&lt;=$D500,$A500&lt;&gt;""),"●","")</x:f>
      </x:c>
      <x:c r="AX500" s="165" t="str">
        <x:f>IF(AND(AX$5&gt;=$C500,AX$5&lt;=$D500,$A500&lt;&gt;""),"●","")</x:f>
      </x:c>
      <x:c r="AY500" s="165" t="str">
        <x:f>IF(AND(AY$5&gt;=$C500,AY$5&lt;=$D500,$A500&lt;&gt;""),"●","")</x:f>
      </x:c>
      <x:c r="AZ500" s="165" t="str">
        <x:f>IF(AND(AZ$5&gt;=$C500,AZ$5&lt;=$D500,$A500&lt;&gt;""),"●","")</x:f>
      </x:c>
      <x:c r="BA500" s="165" t="str">
        <x:f>IF(AND(BA$5&gt;=$C500,BA$5&lt;=$D500,$A500&lt;&gt;""),"●","")</x:f>
      </x:c>
      <x:c r="BB500" s="165" t="str">
        <x:f>IF(AND(BB$5&gt;=$C500,BB$5&lt;=$D500,$A500&lt;&gt;""),"●","")</x:f>
      </x:c>
      <x:c r="BC500" s="165" t="str">
        <x:f>IF(AND(BC$5&gt;=$C500,BC$5&lt;=$D500,$A500&lt;&gt;""),"●","")</x:f>
      </x:c>
      <x:c r="BD500" s="165" t="str">
        <x:f>IF(AND(BD$5&gt;=$C500,BD$5&lt;=$D500,$A500&lt;&gt;""),"●","")</x:f>
      </x:c>
      <x:c r="BE500" s="165" t="str">
        <x:f>IF(AND(BE$5&gt;=$C500,BE$5&lt;=$D500,$A500&lt;&gt;""),"●","")</x:f>
      </x:c>
      <x:c r="BF500" s="165" t="str">
        <x:f>IF(AND(BF$5&gt;=$C500,BF$5&lt;=$D500,$A500&lt;&gt;""),"●","")</x:f>
      </x:c>
      <x:c r="BG500" s="165" t="str">
        <x:f>IF(AND(BG$5&gt;=$C500,BG$5&lt;=$D500,$A500&lt;&gt;""),"●","")</x:f>
      </x:c>
      <x:c r="BH500" s="165" t="str">
        <x:f>IF(AND(BH$5&gt;=$C500,BH$5&lt;=$D500,$A500&lt;&gt;""),"●","")</x:f>
      </x:c>
      <x:c r="BI500" s="165" t="str">
        <x:f>IF(AND(BI$5&gt;=$C500,BI$5&lt;=$D500,$A500&lt;&gt;""),"●","")</x:f>
      </x:c>
      <x:c r="BJ500" s="165" t="str">
        <x:f>IF(AND(BJ$5&gt;=$C500,BJ$5&lt;=$D500,$A500&lt;&gt;""),"●","")</x:f>
      </x:c>
      <x:c r="BK500" s="165" t="str">
        <x:f>IF(AND(BK$5&gt;=$C500,BK$5&lt;=$D500,$A500&lt;&gt;""),"●","")</x:f>
      </x:c>
      <x:c r="BL500" s="165" t="str">
        <x:f>IF(AND(BL$5&gt;=$C500,BL$5&lt;=$D500,$A500&lt;&gt;""),"●","")</x:f>
      </x:c>
      <x:c r="BM500" s="165" t="str">
        <x:f>IF(AND(BM$5&gt;=$C500,BM$5&lt;=$D500,$A500&lt;&gt;""),"●","")</x:f>
      </x:c>
      <x:c r="BN500" s="165" t="str">
        <x:f>IF(AND(BN$5&gt;=$C500,BN$5&lt;=$D500,$A500&lt;&gt;""),"●","")</x:f>
      </x:c>
      <x:c r="BO500" s="165" t="str">
        <x:f>IF(AND(BO$5&gt;=$C500,BO$5&lt;=$D500,$A500&lt;&gt;""),"●","")</x:f>
      </x:c>
      <x:c r="BP500" s="165" t="str">
        <x:f>IF(AND(BP$5&gt;=$C500,BP$5&lt;=$D500,$A500&lt;&gt;""),"●","")</x:f>
      </x:c>
      <x:c r="BQ500" s="165" t="str">
        <x:f>IF(AND(BQ$5&gt;=$C500,BQ$5&lt;=$D500,$A500&lt;&gt;""),"●","")</x:f>
      </x:c>
      <x:c r="BR500" s="165" t="str">
        <x:f>IF(AND(BR$5&gt;=$C500,BR$5&lt;=$D500,$A500&lt;&gt;""),"●","")</x:f>
      </x:c>
      <x:c r="BS500" s="165" t="str">
        <x:f>IF(AND(BS$5&gt;=$C500,BS$5&lt;=$D500,$A500&lt;&gt;""),"●","")</x:f>
      </x:c>
      <x:c r="BT500" s="165" t="str">
        <x:f>IF(AND(BT$5&gt;=$C500,BT$5&lt;=$D500,$A500&lt;&gt;""),"●","")</x:f>
      </x:c>
      <x:c r="BU500" s="165" t="str">
        <x:f>IF(AND(BU$5&gt;=$C500,BU$5&lt;=$D500,$A500&lt;&gt;""),"●","")</x:f>
      </x:c>
      <x:c r="BV500" s="165" t="str">
        <x:f>IF(AND(BV$5&gt;=$C500,BV$5&lt;=$D500,$A500&lt;&gt;""),"●","")</x:f>
      </x:c>
      <x:c r="BW500" s="165" t="str">
        <x:f>IF(AND(BW$5&gt;=$C500,BW$5&lt;=$D500,$A500&lt;&gt;""),"●","")</x:f>
      </x:c>
    </x:row>
    <x:row r="501">
      <x:c r="A501" s="159" t="str">
        <x:f>IF('รายการสัญญา'!A501="","",'รายการสัญญา'!A501)</x:f>
      </x:c>
      <x:c r="B501" s="159" t="str">
        <x:f>IF('รายการสัญญา'!A501="","",'รายการสัญญา'!C501)</x:f>
      </x:c>
      <x:c r="C501" s="162" t="str">
        <x:f>IF('รายการสัญญา'!A501="","",'รายการสัญญา'!E501)</x:f>
      </x:c>
      <x:c r="D501" s="162" t="str">
        <x:f>IF('รายการสัญญา'!A501="","",'รายการสัญญา'!G501)</x:f>
      </x:c>
      <x:c r="E501" s="159" t="str">
        <x:f>IF('รายการสัญญา'!A501="","",'รายการสัญญา'!K501)</x:f>
      </x:c>
      <x:c r="F501" s="165" t="str">
        <x:f>IF(AND(F$5&gt;=$C501,F$5&lt;=$D501,$A501&lt;&gt;""),"●","")</x:f>
      </x:c>
      <x:c r="G501" s="165" t="str">
        <x:f>IF(AND(G$5&gt;=$C501,G$5&lt;=$D501,$A501&lt;&gt;""),"●","")</x:f>
      </x:c>
      <x:c r="H501" s="165" t="str">
        <x:f>IF(AND(H$5&gt;=$C501,H$5&lt;=$D501,$A501&lt;&gt;""),"●","")</x:f>
      </x:c>
      <x:c r="I501" s="165" t="str">
        <x:f>IF(AND(I$5&gt;=$C501,I$5&lt;=$D501,$A501&lt;&gt;""),"●","")</x:f>
      </x:c>
      <x:c r="J501" s="165" t="str">
        <x:f>IF(AND(J$5&gt;=$C501,J$5&lt;=$D501,$A501&lt;&gt;""),"●","")</x:f>
      </x:c>
      <x:c r="K501" s="165" t="str">
        <x:f>IF(AND(K$5&gt;=$C501,K$5&lt;=$D501,$A501&lt;&gt;""),"●","")</x:f>
      </x:c>
      <x:c r="L501" s="165" t="str">
        <x:f>IF(AND(L$5&gt;=$C501,L$5&lt;=$D501,$A501&lt;&gt;""),"●","")</x:f>
      </x:c>
      <x:c r="M501" s="165" t="str">
        <x:f>IF(AND(M$5&gt;=$C501,M$5&lt;=$D501,$A501&lt;&gt;""),"●","")</x:f>
      </x:c>
      <x:c r="N501" s="165" t="str">
        <x:f>IF(AND(N$5&gt;=$C501,N$5&lt;=$D501,$A501&lt;&gt;""),"●","")</x:f>
      </x:c>
      <x:c r="O501" s="165" t="str">
        <x:f>IF(AND(O$5&gt;=$C501,O$5&lt;=$D501,$A501&lt;&gt;""),"●","")</x:f>
      </x:c>
      <x:c r="P501" s="165" t="str">
        <x:f>IF(AND(P$5&gt;=$C501,P$5&lt;=$D501,$A501&lt;&gt;""),"●","")</x:f>
      </x:c>
      <x:c r="Q501" s="165" t="str">
        <x:f>IF(AND(Q$5&gt;=$C501,Q$5&lt;=$D501,$A501&lt;&gt;""),"●","")</x:f>
      </x:c>
      <x:c r="R501" s="165" t="str">
        <x:f>IF(AND(R$5&gt;=$C501,R$5&lt;=$D501,$A501&lt;&gt;""),"●","")</x:f>
      </x:c>
      <x:c r="S501" s="165" t="str">
        <x:f>IF(AND(S$5&gt;=$C501,S$5&lt;=$D501,$A501&lt;&gt;""),"●","")</x:f>
      </x:c>
      <x:c r="T501" s="165" t="str">
        <x:f>IF(AND(T$5&gt;=$C501,T$5&lt;=$D501,$A501&lt;&gt;""),"●","")</x:f>
      </x:c>
      <x:c r="U501" s="165" t="str">
        <x:f>IF(AND(U$5&gt;=$C501,U$5&lt;=$D501,$A501&lt;&gt;""),"●","")</x:f>
      </x:c>
      <x:c r="V501" s="165" t="str">
        <x:f>IF(AND(V$5&gt;=$C501,V$5&lt;=$D501,$A501&lt;&gt;""),"●","")</x:f>
      </x:c>
      <x:c r="W501" s="165" t="str">
        <x:f>IF(AND(W$5&gt;=$C501,W$5&lt;=$D501,$A501&lt;&gt;""),"●","")</x:f>
      </x:c>
      <x:c r="X501" s="165" t="str">
        <x:f>IF(AND(X$5&gt;=$C501,X$5&lt;=$D501,$A501&lt;&gt;""),"●","")</x:f>
      </x:c>
      <x:c r="Y501" s="165" t="str">
        <x:f>IF(AND(Y$5&gt;=$C501,Y$5&lt;=$D501,$A501&lt;&gt;""),"●","")</x:f>
      </x:c>
      <x:c r="Z501" s="165" t="str">
        <x:f>IF(AND(Z$5&gt;=$C501,Z$5&lt;=$D501,$A501&lt;&gt;""),"●","")</x:f>
      </x:c>
      <x:c r="AA501" s="165" t="str">
        <x:f>IF(AND(AA$5&gt;=$C501,AA$5&lt;=$D501,$A501&lt;&gt;""),"●","")</x:f>
      </x:c>
      <x:c r="AB501" s="165" t="str">
        <x:f>IF(AND(AB$5&gt;=$C501,AB$5&lt;=$D501,$A501&lt;&gt;""),"●","")</x:f>
      </x:c>
      <x:c r="AC501" s="165" t="str">
        <x:f>IF(AND(AC$5&gt;=$C501,AC$5&lt;=$D501,$A501&lt;&gt;""),"●","")</x:f>
      </x:c>
      <x:c r="AD501" s="165" t="str">
        <x:f>IF(AND(AD$5&gt;=$C501,AD$5&lt;=$D501,$A501&lt;&gt;""),"●","")</x:f>
      </x:c>
      <x:c r="AE501" s="165" t="str">
        <x:f>IF(AND(AE$5&gt;=$C501,AE$5&lt;=$D501,$A501&lt;&gt;""),"●","")</x:f>
      </x:c>
      <x:c r="AF501" s="165" t="str">
        <x:f>IF(AND(AF$5&gt;=$C501,AF$5&lt;=$D501,$A501&lt;&gt;""),"●","")</x:f>
      </x:c>
      <x:c r="AG501" s="165" t="str">
        <x:f>IF(AND(AG$5&gt;=$C501,AG$5&lt;=$D501,$A501&lt;&gt;""),"●","")</x:f>
      </x:c>
      <x:c r="AH501" s="165" t="str">
        <x:f>IF(AND(AH$5&gt;=$C501,AH$5&lt;=$D501,$A501&lt;&gt;""),"●","")</x:f>
      </x:c>
      <x:c r="AI501" s="165" t="str">
        <x:f>IF(AND(AI$5&gt;=$C501,AI$5&lt;=$D501,$A501&lt;&gt;""),"●","")</x:f>
      </x:c>
      <x:c r="AJ501" s="165" t="str">
        <x:f>IF(AND(AJ$5&gt;=$C501,AJ$5&lt;=$D501,$A501&lt;&gt;""),"●","")</x:f>
      </x:c>
      <x:c r="AK501" s="165" t="str">
        <x:f>IF(AND(AK$5&gt;=$C501,AK$5&lt;=$D501,$A501&lt;&gt;""),"●","")</x:f>
      </x:c>
      <x:c r="AL501" s="165" t="str">
        <x:f>IF(AND(AL$5&gt;=$C501,AL$5&lt;=$D501,$A501&lt;&gt;""),"●","")</x:f>
      </x:c>
      <x:c r="AM501" s="165" t="str">
        <x:f>IF(AND(AM$5&gt;=$C501,AM$5&lt;=$D501,$A501&lt;&gt;""),"●","")</x:f>
      </x:c>
      <x:c r="AN501" s="165" t="str">
        <x:f>IF(AND(AN$5&gt;=$C501,AN$5&lt;=$D501,$A501&lt;&gt;""),"●","")</x:f>
      </x:c>
      <x:c r="AO501" s="165" t="str">
        <x:f>IF(AND(AO$5&gt;=$C501,AO$5&lt;=$D501,$A501&lt;&gt;""),"●","")</x:f>
      </x:c>
      <x:c r="AP501" s="165" t="str">
        <x:f>IF(AND(AP$5&gt;=$C501,AP$5&lt;=$D501,$A501&lt;&gt;""),"●","")</x:f>
      </x:c>
      <x:c r="AQ501" s="165" t="str">
        <x:f>IF(AND(AQ$5&gt;=$C501,AQ$5&lt;=$D501,$A501&lt;&gt;""),"●","")</x:f>
      </x:c>
      <x:c r="AR501" s="165" t="str">
        <x:f>IF(AND(AR$5&gt;=$C501,AR$5&lt;=$D501,$A501&lt;&gt;""),"●","")</x:f>
      </x:c>
      <x:c r="AS501" s="165" t="str">
        <x:f>IF(AND(AS$5&gt;=$C501,AS$5&lt;=$D501,$A501&lt;&gt;""),"●","")</x:f>
      </x:c>
      <x:c r="AT501" s="165" t="str">
        <x:f>IF(AND(AT$5&gt;=$C501,AT$5&lt;=$D501,$A501&lt;&gt;""),"●","")</x:f>
      </x:c>
      <x:c r="AU501" s="165" t="str">
        <x:f>IF(AND(AU$5&gt;=$C501,AU$5&lt;=$D501,$A501&lt;&gt;""),"●","")</x:f>
      </x:c>
      <x:c r="AV501" s="165" t="str">
        <x:f>IF(AND(AV$5&gt;=$C501,AV$5&lt;=$D501,$A501&lt;&gt;""),"●","")</x:f>
      </x:c>
      <x:c r="AW501" s="165" t="str">
        <x:f>IF(AND(AW$5&gt;=$C501,AW$5&lt;=$D501,$A501&lt;&gt;""),"●","")</x:f>
      </x:c>
      <x:c r="AX501" s="165" t="str">
        <x:f>IF(AND(AX$5&gt;=$C501,AX$5&lt;=$D501,$A501&lt;&gt;""),"●","")</x:f>
      </x:c>
      <x:c r="AY501" s="165" t="str">
        <x:f>IF(AND(AY$5&gt;=$C501,AY$5&lt;=$D501,$A501&lt;&gt;""),"●","")</x:f>
      </x:c>
      <x:c r="AZ501" s="165" t="str">
        <x:f>IF(AND(AZ$5&gt;=$C501,AZ$5&lt;=$D501,$A501&lt;&gt;""),"●","")</x:f>
      </x:c>
      <x:c r="BA501" s="165" t="str">
        <x:f>IF(AND(BA$5&gt;=$C501,BA$5&lt;=$D501,$A501&lt;&gt;""),"●","")</x:f>
      </x:c>
      <x:c r="BB501" s="165" t="str">
        <x:f>IF(AND(BB$5&gt;=$C501,BB$5&lt;=$D501,$A501&lt;&gt;""),"●","")</x:f>
      </x:c>
      <x:c r="BC501" s="165" t="str">
        <x:f>IF(AND(BC$5&gt;=$C501,BC$5&lt;=$D501,$A501&lt;&gt;""),"●","")</x:f>
      </x:c>
      <x:c r="BD501" s="165" t="str">
        <x:f>IF(AND(BD$5&gt;=$C501,BD$5&lt;=$D501,$A501&lt;&gt;""),"●","")</x:f>
      </x:c>
      <x:c r="BE501" s="165" t="str">
        <x:f>IF(AND(BE$5&gt;=$C501,BE$5&lt;=$D501,$A501&lt;&gt;""),"●","")</x:f>
      </x:c>
      <x:c r="BF501" s="165" t="str">
        <x:f>IF(AND(BF$5&gt;=$C501,BF$5&lt;=$D501,$A501&lt;&gt;""),"●","")</x:f>
      </x:c>
      <x:c r="BG501" s="165" t="str">
        <x:f>IF(AND(BG$5&gt;=$C501,BG$5&lt;=$D501,$A501&lt;&gt;""),"●","")</x:f>
      </x:c>
      <x:c r="BH501" s="165" t="str">
        <x:f>IF(AND(BH$5&gt;=$C501,BH$5&lt;=$D501,$A501&lt;&gt;""),"●","")</x:f>
      </x:c>
      <x:c r="BI501" s="165" t="str">
        <x:f>IF(AND(BI$5&gt;=$C501,BI$5&lt;=$D501,$A501&lt;&gt;""),"●","")</x:f>
      </x:c>
      <x:c r="BJ501" s="165" t="str">
        <x:f>IF(AND(BJ$5&gt;=$C501,BJ$5&lt;=$D501,$A501&lt;&gt;""),"●","")</x:f>
      </x:c>
      <x:c r="BK501" s="165" t="str">
        <x:f>IF(AND(BK$5&gt;=$C501,BK$5&lt;=$D501,$A501&lt;&gt;""),"●","")</x:f>
      </x:c>
      <x:c r="BL501" s="165" t="str">
        <x:f>IF(AND(BL$5&gt;=$C501,BL$5&lt;=$D501,$A501&lt;&gt;""),"●","")</x:f>
      </x:c>
      <x:c r="BM501" s="165" t="str">
        <x:f>IF(AND(BM$5&gt;=$C501,BM$5&lt;=$D501,$A501&lt;&gt;""),"●","")</x:f>
      </x:c>
      <x:c r="BN501" s="165" t="str">
        <x:f>IF(AND(BN$5&gt;=$C501,BN$5&lt;=$D501,$A501&lt;&gt;""),"●","")</x:f>
      </x:c>
      <x:c r="BO501" s="165" t="str">
        <x:f>IF(AND(BO$5&gt;=$C501,BO$5&lt;=$D501,$A501&lt;&gt;""),"●","")</x:f>
      </x:c>
      <x:c r="BP501" s="165" t="str">
        <x:f>IF(AND(BP$5&gt;=$C501,BP$5&lt;=$D501,$A501&lt;&gt;""),"●","")</x:f>
      </x:c>
      <x:c r="BQ501" s="165" t="str">
        <x:f>IF(AND(BQ$5&gt;=$C501,BQ$5&lt;=$D501,$A501&lt;&gt;""),"●","")</x:f>
      </x:c>
      <x:c r="BR501" s="165" t="str">
        <x:f>IF(AND(BR$5&gt;=$C501,BR$5&lt;=$D501,$A501&lt;&gt;""),"●","")</x:f>
      </x:c>
      <x:c r="BS501" s="165" t="str">
        <x:f>IF(AND(BS$5&gt;=$C501,BS$5&lt;=$D501,$A501&lt;&gt;""),"●","")</x:f>
      </x:c>
      <x:c r="BT501" s="165" t="str">
        <x:f>IF(AND(BT$5&gt;=$C501,BT$5&lt;=$D501,$A501&lt;&gt;""),"●","")</x:f>
      </x:c>
      <x:c r="BU501" s="165" t="str">
        <x:f>IF(AND(BU$5&gt;=$C501,BU$5&lt;=$D501,$A501&lt;&gt;""),"●","")</x:f>
      </x:c>
      <x:c r="BV501" s="165" t="str">
        <x:f>IF(AND(BV$5&gt;=$C501,BV$5&lt;=$D501,$A501&lt;&gt;""),"●","")</x:f>
      </x:c>
      <x:c r="BW501" s="165" t="str">
        <x:f>IF(AND(BW$5&gt;=$C501,BW$5&lt;=$D501,$A501&lt;&gt;""),"●","")</x:f>
      </x:c>
    </x:row>
    <x:row r="502">
      <x:c r="A502" s="159" t="str">
        <x:f>IF('รายการสัญญา'!A502="","",'รายการสัญญา'!A502)</x:f>
      </x:c>
      <x:c r="B502" s="159" t="str">
        <x:f>IF('รายการสัญญา'!A502="","",'รายการสัญญา'!C502)</x:f>
      </x:c>
      <x:c r="C502" s="162" t="str">
        <x:f>IF('รายการสัญญา'!A502="","",'รายการสัญญา'!E502)</x:f>
      </x:c>
      <x:c r="D502" s="162" t="str">
        <x:f>IF('รายการสัญญา'!A502="","",'รายการสัญญา'!G502)</x:f>
      </x:c>
      <x:c r="E502" s="159" t="str">
        <x:f>IF('รายการสัญญา'!A502="","",'รายการสัญญา'!K502)</x:f>
      </x:c>
      <x:c r="F502" s="165" t="str">
        <x:f>IF(AND(F$5&gt;=$C502,F$5&lt;=$D502,$A502&lt;&gt;""),"●","")</x:f>
      </x:c>
      <x:c r="G502" s="165" t="str">
        <x:f>IF(AND(G$5&gt;=$C502,G$5&lt;=$D502,$A502&lt;&gt;""),"●","")</x:f>
      </x:c>
      <x:c r="H502" s="165" t="str">
        <x:f>IF(AND(H$5&gt;=$C502,H$5&lt;=$D502,$A502&lt;&gt;""),"●","")</x:f>
      </x:c>
      <x:c r="I502" s="165" t="str">
        <x:f>IF(AND(I$5&gt;=$C502,I$5&lt;=$D502,$A502&lt;&gt;""),"●","")</x:f>
      </x:c>
      <x:c r="J502" s="165" t="str">
        <x:f>IF(AND(J$5&gt;=$C502,J$5&lt;=$D502,$A502&lt;&gt;""),"●","")</x:f>
      </x:c>
      <x:c r="K502" s="165" t="str">
        <x:f>IF(AND(K$5&gt;=$C502,K$5&lt;=$D502,$A502&lt;&gt;""),"●","")</x:f>
      </x:c>
      <x:c r="L502" s="165" t="str">
        <x:f>IF(AND(L$5&gt;=$C502,L$5&lt;=$D502,$A502&lt;&gt;""),"●","")</x:f>
      </x:c>
      <x:c r="M502" s="165" t="str">
        <x:f>IF(AND(M$5&gt;=$C502,M$5&lt;=$D502,$A502&lt;&gt;""),"●","")</x:f>
      </x:c>
      <x:c r="N502" s="165" t="str">
        <x:f>IF(AND(N$5&gt;=$C502,N$5&lt;=$D502,$A502&lt;&gt;""),"●","")</x:f>
      </x:c>
      <x:c r="O502" s="165" t="str">
        <x:f>IF(AND(O$5&gt;=$C502,O$5&lt;=$D502,$A502&lt;&gt;""),"●","")</x:f>
      </x:c>
      <x:c r="P502" s="165" t="str">
        <x:f>IF(AND(P$5&gt;=$C502,P$5&lt;=$D502,$A502&lt;&gt;""),"●","")</x:f>
      </x:c>
      <x:c r="Q502" s="165" t="str">
        <x:f>IF(AND(Q$5&gt;=$C502,Q$5&lt;=$D502,$A502&lt;&gt;""),"●","")</x:f>
      </x:c>
      <x:c r="R502" s="165" t="str">
        <x:f>IF(AND(R$5&gt;=$C502,R$5&lt;=$D502,$A502&lt;&gt;""),"●","")</x:f>
      </x:c>
      <x:c r="S502" s="165" t="str">
        <x:f>IF(AND(S$5&gt;=$C502,S$5&lt;=$D502,$A502&lt;&gt;""),"●","")</x:f>
      </x:c>
      <x:c r="T502" s="165" t="str">
        <x:f>IF(AND(T$5&gt;=$C502,T$5&lt;=$D502,$A502&lt;&gt;""),"●","")</x:f>
      </x:c>
      <x:c r="U502" s="165" t="str">
        <x:f>IF(AND(U$5&gt;=$C502,U$5&lt;=$D502,$A502&lt;&gt;""),"●","")</x:f>
      </x:c>
      <x:c r="V502" s="165" t="str">
        <x:f>IF(AND(V$5&gt;=$C502,V$5&lt;=$D502,$A502&lt;&gt;""),"●","")</x:f>
      </x:c>
      <x:c r="W502" s="165" t="str">
        <x:f>IF(AND(W$5&gt;=$C502,W$5&lt;=$D502,$A502&lt;&gt;""),"●","")</x:f>
      </x:c>
      <x:c r="X502" s="165" t="str">
        <x:f>IF(AND(X$5&gt;=$C502,X$5&lt;=$D502,$A502&lt;&gt;""),"●","")</x:f>
      </x:c>
      <x:c r="Y502" s="165" t="str">
        <x:f>IF(AND(Y$5&gt;=$C502,Y$5&lt;=$D502,$A502&lt;&gt;""),"●","")</x:f>
      </x:c>
      <x:c r="Z502" s="165" t="str">
        <x:f>IF(AND(Z$5&gt;=$C502,Z$5&lt;=$D502,$A502&lt;&gt;""),"●","")</x:f>
      </x:c>
      <x:c r="AA502" s="165" t="str">
        <x:f>IF(AND(AA$5&gt;=$C502,AA$5&lt;=$D502,$A502&lt;&gt;""),"●","")</x:f>
      </x:c>
      <x:c r="AB502" s="165" t="str">
        <x:f>IF(AND(AB$5&gt;=$C502,AB$5&lt;=$D502,$A502&lt;&gt;""),"●","")</x:f>
      </x:c>
      <x:c r="AC502" s="165" t="str">
        <x:f>IF(AND(AC$5&gt;=$C502,AC$5&lt;=$D502,$A502&lt;&gt;""),"●","")</x:f>
      </x:c>
      <x:c r="AD502" s="165" t="str">
        <x:f>IF(AND(AD$5&gt;=$C502,AD$5&lt;=$D502,$A502&lt;&gt;""),"●","")</x:f>
      </x:c>
      <x:c r="AE502" s="165" t="str">
        <x:f>IF(AND(AE$5&gt;=$C502,AE$5&lt;=$D502,$A502&lt;&gt;""),"●","")</x:f>
      </x:c>
      <x:c r="AF502" s="165" t="str">
        <x:f>IF(AND(AF$5&gt;=$C502,AF$5&lt;=$D502,$A502&lt;&gt;""),"●","")</x:f>
      </x:c>
      <x:c r="AG502" s="165" t="str">
        <x:f>IF(AND(AG$5&gt;=$C502,AG$5&lt;=$D502,$A502&lt;&gt;""),"●","")</x:f>
      </x:c>
      <x:c r="AH502" s="165" t="str">
        <x:f>IF(AND(AH$5&gt;=$C502,AH$5&lt;=$D502,$A502&lt;&gt;""),"●","")</x:f>
      </x:c>
      <x:c r="AI502" s="165" t="str">
        <x:f>IF(AND(AI$5&gt;=$C502,AI$5&lt;=$D502,$A502&lt;&gt;""),"●","")</x:f>
      </x:c>
      <x:c r="AJ502" s="165" t="str">
        <x:f>IF(AND(AJ$5&gt;=$C502,AJ$5&lt;=$D502,$A502&lt;&gt;""),"●","")</x:f>
      </x:c>
      <x:c r="AK502" s="165" t="str">
        <x:f>IF(AND(AK$5&gt;=$C502,AK$5&lt;=$D502,$A502&lt;&gt;""),"●","")</x:f>
      </x:c>
      <x:c r="AL502" s="165" t="str">
        <x:f>IF(AND(AL$5&gt;=$C502,AL$5&lt;=$D502,$A502&lt;&gt;""),"●","")</x:f>
      </x:c>
      <x:c r="AM502" s="165" t="str">
        <x:f>IF(AND(AM$5&gt;=$C502,AM$5&lt;=$D502,$A502&lt;&gt;""),"●","")</x:f>
      </x:c>
      <x:c r="AN502" s="165" t="str">
        <x:f>IF(AND(AN$5&gt;=$C502,AN$5&lt;=$D502,$A502&lt;&gt;""),"●","")</x:f>
      </x:c>
      <x:c r="AO502" s="165" t="str">
        <x:f>IF(AND(AO$5&gt;=$C502,AO$5&lt;=$D502,$A502&lt;&gt;""),"●","")</x:f>
      </x:c>
      <x:c r="AP502" s="165" t="str">
        <x:f>IF(AND(AP$5&gt;=$C502,AP$5&lt;=$D502,$A502&lt;&gt;""),"●","")</x:f>
      </x:c>
      <x:c r="AQ502" s="165" t="str">
        <x:f>IF(AND(AQ$5&gt;=$C502,AQ$5&lt;=$D502,$A502&lt;&gt;""),"●","")</x:f>
      </x:c>
      <x:c r="AR502" s="165" t="str">
        <x:f>IF(AND(AR$5&gt;=$C502,AR$5&lt;=$D502,$A502&lt;&gt;""),"●","")</x:f>
      </x:c>
      <x:c r="AS502" s="165" t="str">
        <x:f>IF(AND(AS$5&gt;=$C502,AS$5&lt;=$D502,$A502&lt;&gt;""),"●","")</x:f>
      </x:c>
      <x:c r="AT502" s="165" t="str">
        <x:f>IF(AND(AT$5&gt;=$C502,AT$5&lt;=$D502,$A502&lt;&gt;""),"●","")</x:f>
      </x:c>
      <x:c r="AU502" s="165" t="str">
        <x:f>IF(AND(AU$5&gt;=$C502,AU$5&lt;=$D502,$A502&lt;&gt;""),"●","")</x:f>
      </x:c>
      <x:c r="AV502" s="165" t="str">
        <x:f>IF(AND(AV$5&gt;=$C502,AV$5&lt;=$D502,$A502&lt;&gt;""),"●","")</x:f>
      </x:c>
      <x:c r="AW502" s="165" t="str">
        <x:f>IF(AND(AW$5&gt;=$C502,AW$5&lt;=$D502,$A502&lt;&gt;""),"●","")</x:f>
      </x:c>
      <x:c r="AX502" s="165" t="str">
        <x:f>IF(AND(AX$5&gt;=$C502,AX$5&lt;=$D502,$A502&lt;&gt;""),"●","")</x:f>
      </x:c>
      <x:c r="AY502" s="165" t="str">
        <x:f>IF(AND(AY$5&gt;=$C502,AY$5&lt;=$D502,$A502&lt;&gt;""),"●","")</x:f>
      </x:c>
      <x:c r="AZ502" s="165" t="str">
        <x:f>IF(AND(AZ$5&gt;=$C502,AZ$5&lt;=$D502,$A502&lt;&gt;""),"●","")</x:f>
      </x:c>
      <x:c r="BA502" s="165" t="str">
        <x:f>IF(AND(BA$5&gt;=$C502,BA$5&lt;=$D502,$A502&lt;&gt;""),"●","")</x:f>
      </x:c>
      <x:c r="BB502" s="165" t="str">
        <x:f>IF(AND(BB$5&gt;=$C502,BB$5&lt;=$D502,$A502&lt;&gt;""),"●","")</x:f>
      </x:c>
      <x:c r="BC502" s="165" t="str">
        <x:f>IF(AND(BC$5&gt;=$C502,BC$5&lt;=$D502,$A502&lt;&gt;""),"●","")</x:f>
      </x:c>
      <x:c r="BD502" s="165" t="str">
        <x:f>IF(AND(BD$5&gt;=$C502,BD$5&lt;=$D502,$A502&lt;&gt;""),"●","")</x:f>
      </x:c>
      <x:c r="BE502" s="165" t="str">
        <x:f>IF(AND(BE$5&gt;=$C502,BE$5&lt;=$D502,$A502&lt;&gt;""),"●","")</x:f>
      </x:c>
      <x:c r="BF502" s="165" t="str">
        <x:f>IF(AND(BF$5&gt;=$C502,BF$5&lt;=$D502,$A502&lt;&gt;""),"●","")</x:f>
      </x:c>
      <x:c r="BG502" s="165" t="str">
        <x:f>IF(AND(BG$5&gt;=$C502,BG$5&lt;=$D502,$A502&lt;&gt;""),"●","")</x:f>
      </x:c>
      <x:c r="BH502" s="165" t="str">
        <x:f>IF(AND(BH$5&gt;=$C502,BH$5&lt;=$D502,$A502&lt;&gt;""),"●","")</x:f>
      </x:c>
      <x:c r="BI502" s="165" t="str">
        <x:f>IF(AND(BI$5&gt;=$C502,BI$5&lt;=$D502,$A502&lt;&gt;""),"●","")</x:f>
      </x:c>
      <x:c r="BJ502" s="165" t="str">
        <x:f>IF(AND(BJ$5&gt;=$C502,BJ$5&lt;=$D502,$A502&lt;&gt;""),"●","")</x:f>
      </x:c>
      <x:c r="BK502" s="165" t="str">
        <x:f>IF(AND(BK$5&gt;=$C502,BK$5&lt;=$D502,$A502&lt;&gt;""),"●","")</x:f>
      </x:c>
      <x:c r="BL502" s="165" t="str">
        <x:f>IF(AND(BL$5&gt;=$C502,BL$5&lt;=$D502,$A502&lt;&gt;""),"●","")</x:f>
      </x:c>
      <x:c r="BM502" s="165" t="str">
        <x:f>IF(AND(BM$5&gt;=$C502,BM$5&lt;=$D502,$A502&lt;&gt;""),"●","")</x:f>
      </x:c>
      <x:c r="BN502" s="165" t="str">
        <x:f>IF(AND(BN$5&gt;=$C502,BN$5&lt;=$D502,$A502&lt;&gt;""),"●","")</x:f>
      </x:c>
      <x:c r="BO502" s="165" t="str">
        <x:f>IF(AND(BO$5&gt;=$C502,BO$5&lt;=$D502,$A502&lt;&gt;""),"●","")</x:f>
      </x:c>
      <x:c r="BP502" s="165" t="str">
        <x:f>IF(AND(BP$5&gt;=$C502,BP$5&lt;=$D502,$A502&lt;&gt;""),"●","")</x:f>
      </x:c>
      <x:c r="BQ502" s="165" t="str">
        <x:f>IF(AND(BQ$5&gt;=$C502,BQ$5&lt;=$D502,$A502&lt;&gt;""),"●","")</x:f>
      </x:c>
      <x:c r="BR502" s="165" t="str">
        <x:f>IF(AND(BR$5&gt;=$C502,BR$5&lt;=$D502,$A502&lt;&gt;""),"●","")</x:f>
      </x:c>
      <x:c r="BS502" s="165" t="str">
        <x:f>IF(AND(BS$5&gt;=$C502,BS$5&lt;=$D502,$A502&lt;&gt;""),"●","")</x:f>
      </x:c>
      <x:c r="BT502" s="165" t="str">
        <x:f>IF(AND(BT$5&gt;=$C502,BT$5&lt;=$D502,$A502&lt;&gt;""),"●","")</x:f>
      </x:c>
      <x:c r="BU502" s="165" t="str">
        <x:f>IF(AND(BU$5&gt;=$C502,BU$5&lt;=$D502,$A502&lt;&gt;""),"●","")</x:f>
      </x:c>
      <x:c r="BV502" s="165" t="str">
        <x:f>IF(AND(BV$5&gt;=$C502,BV$5&lt;=$D502,$A502&lt;&gt;""),"●","")</x:f>
      </x:c>
      <x:c r="BW502" s="165" t="str">
        <x:f>IF(AND(BW$5&gt;=$C502,BW$5&lt;=$D502,$A502&lt;&gt;""),"●","")</x:f>
      </x:c>
    </x:row>
    <x:row r="503">
      <x:c r="A503" s="159" t="str">
        <x:f>IF('รายการสัญญา'!A503="","",'รายการสัญญา'!A503)</x:f>
      </x:c>
      <x:c r="B503" s="159" t="str">
        <x:f>IF('รายการสัญญา'!A503="","",'รายการสัญญา'!C503)</x:f>
      </x:c>
      <x:c r="C503" s="162" t="str">
        <x:f>IF('รายการสัญญา'!A503="","",'รายการสัญญา'!E503)</x:f>
      </x:c>
      <x:c r="D503" s="162" t="str">
        <x:f>IF('รายการสัญญา'!A503="","",'รายการสัญญา'!G503)</x:f>
      </x:c>
      <x:c r="E503" s="159" t="str">
        <x:f>IF('รายการสัญญา'!A503="","",'รายการสัญญา'!K503)</x:f>
      </x:c>
      <x:c r="F503" s="165" t="str">
        <x:f>IF(AND(F$5&gt;=$C503,F$5&lt;=$D503,$A503&lt;&gt;""),"●","")</x:f>
      </x:c>
      <x:c r="G503" s="165" t="str">
        <x:f>IF(AND(G$5&gt;=$C503,G$5&lt;=$D503,$A503&lt;&gt;""),"●","")</x:f>
      </x:c>
      <x:c r="H503" s="165" t="str">
        <x:f>IF(AND(H$5&gt;=$C503,H$5&lt;=$D503,$A503&lt;&gt;""),"●","")</x:f>
      </x:c>
      <x:c r="I503" s="165" t="str">
        <x:f>IF(AND(I$5&gt;=$C503,I$5&lt;=$D503,$A503&lt;&gt;""),"●","")</x:f>
      </x:c>
      <x:c r="J503" s="165" t="str">
        <x:f>IF(AND(J$5&gt;=$C503,J$5&lt;=$D503,$A503&lt;&gt;""),"●","")</x:f>
      </x:c>
      <x:c r="K503" s="165" t="str">
        <x:f>IF(AND(K$5&gt;=$C503,K$5&lt;=$D503,$A503&lt;&gt;""),"●","")</x:f>
      </x:c>
      <x:c r="L503" s="165" t="str">
        <x:f>IF(AND(L$5&gt;=$C503,L$5&lt;=$D503,$A503&lt;&gt;""),"●","")</x:f>
      </x:c>
      <x:c r="M503" s="165" t="str">
        <x:f>IF(AND(M$5&gt;=$C503,M$5&lt;=$D503,$A503&lt;&gt;""),"●","")</x:f>
      </x:c>
      <x:c r="N503" s="165" t="str">
        <x:f>IF(AND(N$5&gt;=$C503,N$5&lt;=$D503,$A503&lt;&gt;""),"●","")</x:f>
      </x:c>
      <x:c r="O503" s="165" t="str">
        <x:f>IF(AND(O$5&gt;=$C503,O$5&lt;=$D503,$A503&lt;&gt;""),"●","")</x:f>
      </x:c>
      <x:c r="P503" s="165" t="str">
        <x:f>IF(AND(P$5&gt;=$C503,P$5&lt;=$D503,$A503&lt;&gt;""),"●","")</x:f>
      </x:c>
      <x:c r="Q503" s="165" t="str">
        <x:f>IF(AND(Q$5&gt;=$C503,Q$5&lt;=$D503,$A503&lt;&gt;""),"●","")</x:f>
      </x:c>
      <x:c r="R503" s="165" t="str">
        <x:f>IF(AND(R$5&gt;=$C503,R$5&lt;=$D503,$A503&lt;&gt;""),"●","")</x:f>
      </x:c>
      <x:c r="S503" s="165" t="str">
        <x:f>IF(AND(S$5&gt;=$C503,S$5&lt;=$D503,$A503&lt;&gt;""),"●","")</x:f>
      </x:c>
      <x:c r="T503" s="165" t="str">
        <x:f>IF(AND(T$5&gt;=$C503,T$5&lt;=$D503,$A503&lt;&gt;""),"●","")</x:f>
      </x:c>
      <x:c r="U503" s="165" t="str">
        <x:f>IF(AND(U$5&gt;=$C503,U$5&lt;=$D503,$A503&lt;&gt;""),"●","")</x:f>
      </x:c>
      <x:c r="V503" s="165" t="str">
        <x:f>IF(AND(V$5&gt;=$C503,V$5&lt;=$D503,$A503&lt;&gt;""),"●","")</x:f>
      </x:c>
      <x:c r="W503" s="165" t="str">
        <x:f>IF(AND(W$5&gt;=$C503,W$5&lt;=$D503,$A503&lt;&gt;""),"●","")</x:f>
      </x:c>
      <x:c r="X503" s="165" t="str">
        <x:f>IF(AND(X$5&gt;=$C503,X$5&lt;=$D503,$A503&lt;&gt;""),"●","")</x:f>
      </x:c>
      <x:c r="Y503" s="165" t="str">
        <x:f>IF(AND(Y$5&gt;=$C503,Y$5&lt;=$D503,$A503&lt;&gt;""),"●","")</x:f>
      </x:c>
      <x:c r="Z503" s="165" t="str">
        <x:f>IF(AND(Z$5&gt;=$C503,Z$5&lt;=$D503,$A503&lt;&gt;""),"●","")</x:f>
      </x:c>
      <x:c r="AA503" s="165" t="str">
        <x:f>IF(AND(AA$5&gt;=$C503,AA$5&lt;=$D503,$A503&lt;&gt;""),"●","")</x:f>
      </x:c>
      <x:c r="AB503" s="165" t="str">
        <x:f>IF(AND(AB$5&gt;=$C503,AB$5&lt;=$D503,$A503&lt;&gt;""),"●","")</x:f>
      </x:c>
      <x:c r="AC503" s="165" t="str">
        <x:f>IF(AND(AC$5&gt;=$C503,AC$5&lt;=$D503,$A503&lt;&gt;""),"●","")</x:f>
      </x:c>
      <x:c r="AD503" s="165" t="str">
        <x:f>IF(AND(AD$5&gt;=$C503,AD$5&lt;=$D503,$A503&lt;&gt;""),"●","")</x:f>
      </x:c>
      <x:c r="AE503" s="165" t="str">
        <x:f>IF(AND(AE$5&gt;=$C503,AE$5&lt;=$D503,$A503&lt;&gt;""),"●","")</x:f>
      </x:c>
      <x:c r="AF503" s="165" t="str">
        <x:f>IF(AND(AF$5&gt;=$C503,AF$5&lt;=$D503,$A503&lt;&gt;""),"●","")</x:f>
      </x:c>
      <x:c r="AG503" s="165" t="str">
        <x:f>IF(AND(AG$5&gt;=$C503,AG$5&lt;=$D503,$A503&lt;&gt;""),"●","")</x:f>
      </x:c>
      <x:c r="AH503" s="165" t="str">
        <x:f>IF(AND(AH$5&gt;=$C503,AH$5&lt;=$D503,$A503&lt;&gt;""),"●","")</x:f>
      </x:c>
      <x:c r="AI503" s="165" t="str">
        <x:f>IF(AND(AI$5&gt;=$C503,AI$5&lt;=$D503,$A503&lt;&gt;""),"●","")</x:f>
      </x:c>
      <x:c r="AJ503" s="165" t="str">
        <x:f>IF(AND(AJ$5&gt;=$C503,AJ$5&lt;=$D503,$A503&lt;&gt;""),"●","")</x:f>
      </x:c>
      <x:c r="AK503" s="165" t="str">
        <x:f>IF(AND(AK$5&gt;=$C503,AK$5&lt;=$D503,$A503&lt;&gt;""),"●","")</x:f>
      </x:c>
      <x:c r="AL503" s="165" t="str">
        <x:f>IF(AND(AL$5&gt;=$C503,AL$5&lt;=$D503,$A503&lt;&gt;""),"●","")</x:f>
      </x:c>
      <x:c r="AM503" s="165" t="str">
        <x:f>IF(AND(AM$5&gt;=$C503,AM$5&lt;=$D503,$A503&lt;&gt;""),"●","")</x:f>
      </x:c>
      <x:c r="AN503" s="165" t="str">
        <x:f>IF(AND(AN$5&gt;=$C503,AN$5&lt;=$D503,$A503&lt;&gt;""),"●","")</x:f>
      </x:c>
      <x:c r="AO503" s="165" t="str">
        <x:f>IF(AND(AO$5&gt;=$C503,AO$5&lt;=$D503,$A503&lt;&gt;""),"●","")</x:f>
      </x:c>
      <x:c r="AP503" s="165" t="str">
        <x:f>IF(AND(AP$5&gt;=$C503,AP$5&lt;=$D503,$A503&lt;&gt;""),"●","")</x:f>
      </x:c>
      <x:c r="AQ503" s="165" t="str">
        <x:f>IF(AND(AQ$5&gt;=$C503,AQ$5&lt;=$D503,$A503&lt;&gt;""),"●","")</x:f>
      </x:c>
      <x:c r="AR503" s="165" t="str">
        <x:f>IF(AND(AR$5&gt;=$C503,AR$5&lt;=$D503,$A503&lt;&gt;""),"●","")</x:f>
      </x:c>
      <x:c r="AS503" s="165" t="str">
        <x:f>IF(AND(AS$5&gt;=$C503,AS$5&lt;=$D503,$A503&lt;&gt;""),"●","")</x:f>
      </x:c>
      <x:c r="AT503" s="165" t="str">
        <x:f>IF(AND(AT$5&gt;=$C503,AT$5&lt;=$D503,$A503&lt;&gt;""),"●","")</x:f>
      </x:c>
      <x:c r="AU503" s="165" t="str">
        <x:f>IF(AND(AU$5&gt;=$C503,AU$5&lt;=$D503,$A503&lt;&gt;""),"●","")</x:f>
      </x:c>
      <x:c r="AV503" s="165" t="str">
        <x:f>IF(AND(AV$5&gt;=$C503,AV$5&lt;=$D503,$A503&lt;&gt;""),"●","")</x:f>
      </x:c>
      <x:c r="AW503" s="165" t="str">
        <x:f>IF(AND(AW$5&gt;=$C503,AW$5&lt;=$D503,$A503&lt;&gt;""),"●","")</x:f>
      </x:c>
      <x:c r="AX503" s="165" t="str">
        <x:f>IF(AND(AX$5&gt;=$C503,AX$5&lt;=$D503,$A503&lt;&gt;""),"●","")</x:f>
      </x:c>
      <x:c r="AY503" s="165" t="str">
        <x:f>IF(AND(AY$5&gt;=$C503,AY$5&lt;=$D503,$A503&lt;&gt;""),"●","")</x:f>
      </x:c>
      <x:c r="AZ503" s="165" t="str">
        <x:f>IF(AND(AZ$5&gt;=$C503,AZ$5&lt;=$D503,$A503&lt;&gt;""),"●","")</x:f>
      </x:c>
      <x:c r="BA503" s="165" t="str">
        <x:f>IF(AND(BA$5&gt;=$C503,BA$5&lt;=$D503,$A503&lt;&gt;""),"●","")</x:f>
      </x:c>
      <x:c r="BB503" s="165" t="str">
        <x:f>IF(AND(BB$5&gt;=$C503,BB$5&lt;=$D503,$A503&lt;&gt;""),"●","")</x:f>
      </x:c>
      <x:c r="BC503" s="165" t="str">
        <x:f>IF(AND(BC$5&gt;=$C503,BC$5&lt;=$D503,$A503&lt;&gt;""),"●","")</x:f>
      </x:c>
      <x:c r="BD503" s="165" t="str">
        <x:f>IF(AND(BD$5&gt;=$C503,BD$5&lt;=$D503,$A503&lt;&gt;""),"●","")</x:f>
      </x:c>
      <x:c r="BE503" s="165" t="str">
        <x:f>IF(AND(BE$5&gt;=$C503,BE$5&lt;=$D503,$A503&lt;&gt;""),"●","")</x:f>
      </x:c>
      <x:c r="BF503" s="165" t="str">
        <x:f>IF(AND(BF$5&gt;=$C503,BF$5&lt;=$D503,$A503&lt;&gt;""),"●","")</x:f>
      </x:c>
      <x:c r="BG503" s="165" t="str">
        <x:f>IF(AND(BG$5&gt;=$C503,BG$5&lt;=$D503,$A503&lt;&gt;""),"●","")</x:f>
      </x:c>
      <x:c r="BH503" s="165" t="str">
        <x:f>IF(AND(BH$5&gt;=$C503,BH$5&lt;=$D503,$A503&lt;&gt;""),"●","")</x:f>
      </x:c>
      <x:c r="BI503" s="165" t="str">
        <x:f>IF(AND(BI$5&gt;=$C503,BI$5&lt;=$D503,$A503&lt;&gt;""),"●","")</x:f>
      </x:c>
      <x:c r="BJ503" s="165" t="str">
        <x:f>IF(AND(BJ$5&gt;=$C503,BJ$5&lt;=$D503,$A503&lt;&gt;""),"●","")</x:f>
      </x:c>
      <x:c r="BK503" s="165" t="str">
        <x:f>IF(AND(BK$5&gt;=$C503,BK$5&lt;=$D503,$A503&lt;&gt;""),"●","")</x:f>
      </x:c>
      <x:c r="BL503" s="165" t="str">
        <x:f>IF(AND(BL$5&gt;=$C503,BL$5&lt;=$D503,$A503&lt;&gt;""),"●","")</x:f>
      </x:c>
      <x:c r="BM503" s="165" t="str">
        <x:f>IF(AND(BM$5&gt;=$C503,BM$5&lt;=$D503,$A503&lt;&gt;""),"●","")</x:f>
      </x:c>
      <x:c r="BN503" s="165" t="str">
        <x:f>IF(AND(BN$5&gt;=$C503,BN$5&lt;=$D503,$A503&lt;&gt;""),"●","")</x:f>
      </x:c>
      <x:c r="BO503" s="165" t="str">
        <x:f>IF(AND(BO$5&gt;=$C503,BO$5&lt;=$D503,$A503&lt;&gt;""),"●","")</x:f>
      </x:c>
      <x:c r="BP503" s="165" t="str">
        <x:f>IF(AND(BP$5&gt;=$C503,BP$5&lt;=$D503,$A503&lt;&gt;""),"●","")</x:f>
      </x:c>
      <x:c r="BQ503" s="165" t="str">
        <x:f>IF(AND(BQ$5&gt;=$C503,BQ$5&lt;=$D503,$A503&lt;&gt;""),"●","")</x:f>
      </x:c>
      <x:c r="BR503" s="165" t="str">
        <x:f>IF(AND(BR$5&gt;=$C503,BR$5&lt;=$D503,$A503&lt;&gt;""),"●","")</x:f>
      </x:c>
      <x:c r="BS503" s="165" t="str">
        <x:f>IF(AND(BS$5&gt;=$C503,BS$5&lt;=$D503,$A503&lt;&gt;""),"●","")</x:f>
      </x:c>
      <x:c r="BT503" s="165" t="str">
        <x:f>IF(AND(BT$5&gt;=$C503,BT$5&lt;=$D503,$A503&lt;&gt;""),"●","")</x:f>
      </x:c>
      <x:c r="BU503" s="165" t="str">
        <x:f>IF(AND(BU$5&gt;=$C503,BU$5&lt;=$D503,$A503&lt;&gt;""),"●","")</x:f>
      </x:c>
      <x:c r="BV503" s="165" t="str">
        <x:f>IF(AND(BV$5&gt;=$C503,BV$5&lt;=$D503,$A503&lt;&gt;""),"●","")</x:f>
      </x:c>
      <x:c r="BW503" s="165" t="str">
        <x:f>IF(AND(BW$5&gt;=$C503,BW$5&lt;=$D503,$A503&lt;&gt;""),"●","")</x:f>
      </x:c>
    </x:row>
    <x:row r="504">
      <x:c r="A504" s="159" t="str">
        <x:f>IF('รายการสัญญา'!A504="","",'รายการสัญญา'!A504)</x:f>
      </x:c>
      <x:c r="B504" s="159" t="str">
        <x:f>IF('รายการสัญญา'!A504="","",'รายการสัญญา'!C504)</x:f>
      </x:c>
      <x:c r="C504" s="162" t="str">
        <x:f>IF('รายการสัญญา'!A504="","",'รายการสัญญา'!E504)</x:f>
      </x:c>
      <x:c r="D504" s="162" t="str">
        <x:f>IF('รายการสัญญา'!A504="","",'รายการสัญญา'!G504)</x:f>
      </x:c>
      <x:c r="E504" s="159" t="str">
        <x:f>IF('รายการสัญญา'!A504="","",'รายการสัญญา'!K504)</x:f>
      </x:c>
      <x:c r="F504" s="165" t="str">
        <x:f>IF(AND(F$5&gt;=$C504,F$5&lt;=$D504,$A504&lt;&gt;""),"●","")</x:f>
      </x:c>
      <x:c r="G504" s="165" t="str">
        <x:f>IF(AND(G$5&gt;=$C504,G$5&lt;=$D504,$A504&lt;&gt;""),"●","")</x:f>
      </x:c>
      <x:c r="H504" s="165" t="str">
        <x:f>IF(AND(H$5&gt;=$C504,H$5&lt;=$D504,$A504&lt;&gt;""),"●","")</x:f>
      </x:c>
      <x:c r="I504" s="165" t="str">
        <x:f>IF(AND(I$5&gt;=$C504,I$5&lt;=$D504,$A504&lt;&gt;""),"●","")</x:f>
      </x:c>
      <x:c r="J504" s="165" t="str">
        <x:f>IF(AND(J$5&gt;=$C504,J$5&lt;=$D504,$A504&lt;&gt;""),"●","")</x:f>
      </x:c>
      <x:c r="K504" s="165" t="str">
        <x:f>IF(AND(K$5&gt;=$C504,K$5&lt;=$D504,$A504&lt;&gt;""),"●","")</x:f>
      </x:c>
      <x:c r="L504" s="165" t="str">
        <x:f>IF(AND(L$5&gt;=$C504,L$5&lt;=$D504,$A504&lt;&gt;""),"●","")</x:f>
      </x:c>
      <x:c r="M504" s="165" t="str">
        <x:f>IF(AND(M$5&gt;=$C504,M$5&lt;=$D504,$A504&lt;&gt;""),"●","")</x:f>
      </x:c>
      <x:c r="N504" s="165" t="str">
        <x:f>IF(AND(N$5&gt;=$C504,N$5&lt;=$D504,$A504&lt;&gt;""),"●","")</x:f>
      </x:c>
      <x:c r="O504" s="165" t="str">
        <x:f>IF(AND(O$5&gt;=$C504,O$5&lt;=$D504,$A504&lt;&gt;""),"●","")</x:f>
      </x:c>
      <x:c r="P504" s="165" t="str">
        <x:f>IF(AND(P$5&gt;=$C504,P$5&lt;=$D504,$A504&lt;&gt;""),"●","")</x:f>
      </x:c>
      <x:c r="Q504" s="165" t="str">
        <x:f>IF(AND(Q$5&gt;=$C504,Q$5&lt;=$D504,$A504&lt;&gt;""),"●","")</x:f>
      </x:c>
      <x:c r="R504" s="165" t="str">
        <x:f>IF(AND(R$5&gt;=$C504,R$5&lt;=$D504,$A504&lt;&gt;""),"●","")</x:f>
      </x:c>
      <x:c r="S504" s="165" t="str">
        <x:f>IF(AND(S$5&gt;=$C504,S$5&lt;=$D504,$A504&lt;&gt;""),"●","")</x:f>
      </x:c>
      <x:c r="T504" s="165" t="str">
        <x:f>IF(AND(T$5&gt;=$C504,T$5&lt;=$D504,$A504&lt;&gt;""),"●","")</x:f>
      </x:c>
      <x:c r="U504" s="165" t="str">
        <x:f>IF(AND(U$5&gt;=$C504,U$5&lt;=$D504,$A504&lt;&gt;""),"●","")</x:f>
      </x:c>
      <x:c r="V504" s="165" t="str">
        <x:f>IF(AND(V$5&gt;=$C504,V$5&lt;=$D504,$A504&lt;&gt;""),"●","")</x:f>
      </x:c>
      <x:c r="W504" s="165" t="str">
        <x:f>IF(AND(W$5&gt;=$C504,W$5&lt;=$D504,$A504&lt;&gt;""),"●","")</x:f>
      </x:c>
      <x:c r="X504" s="165" t="str">
        <x:f>IF(AND(X$5&gt;=$C504,X$5&lt;=$D504,$A504&lt;&gt;""),"●","")</x:f>
      </x:c>
      <x:c r="Y504" s="165" t="str">
        <x:f>IF(AND(Y$5&gt;=$C504,Y$5&lt;=$D504,$A504&lt;&gt;""),"●","")</x:f>
      </x:c>
      <x:c r="Z504" s="165" t="str">
        <x:f>IF(AND(Z$5&gt;=$C504,Z$5&lt;=$D504,$A504&lt;&gt;""),"●","")</x:f>
      </x:c>
      <x:c r="AA504" s="165" t="str">
        <x:f>IF(AND(AA$5&gt;=$C504,AA$5&lt;=$D504,$A504&lt;&gt;""),"●","")</x:f>
      </x:c>
      <x:c r="AB504" s="165" t="str">
        <x:f>IF(AND(AB$5&gt;=$C504,AB$5&lt;=$D504,$A504&lt;&gt;""),"●","")</x:f>
      </x:c>
      <x:c r="AC504" s="165" t="str">
        <x:f>IF(AND(AC$5&gt;=$C504,AC$5&lt;=$D504,$A504&lt;&gt;""),"●","")</x:f>
      </x:c>
      <x:c r="AD504" s="165" t="str">
        <x:f>IF(AND(AD$5&gt;=$C504,AD$5&lt;=$D504,$A504&lt;&gt;""),"●","")</x:f>
      </x:c>
      <x:c r="AE504" s="165" t="str">
        <x:f>IF(AND(AE$5&gt;=$C504,AE$5&lt;=$D504,$A504&lt;&gt;""),"●","")</x:f>
      </x:c>
      <x:c r="AF504" s="165" t="str">
        <x:f>IF(AND(AF$5&gt;=$C504,AF$5&lt;=$D504,$A504&lt;&gt;""),"●","")</x:f>
      </x:c>
      <x:c r="AG504" s="165" t="str">
        <x:f>IF(AND(AG$5&gt;=$C504,AG$5&lt;=$D504,$A504&lt;&gt;""),"●","")</x:f>
      </x:c>
      <x:c r="AH504" s="165" t="str">
        <x:f>IF(AND(AH$5&gt;=$C504,AH$5&lt;=$D504,$A504&lt;&gt;""),"●","")</x:f>
      </x:c>
      <x:c r="AI504" s="165" t="str">
        <x:f>IF(AND(AI$5&gt;=$C504,AI$5&lt;=$D504,$A504&lt;&gt;""),"●","")</x:f>
      </x:c>
      <x:c r="AJ504" s="165" t="str">
        <x:f>IF(AND(AJ$5&gt;=$C504,AJ$5&lt;=$D504,$A504&lt;&gt;""),"●","")</x:f>
      </x:c>
      <x:c r="AK504" s="165" t="str">
        <x:f>IF(AND(AK$5&gt;=$C504,AK$5&lt;=$D504,$A504&lt;&gt;""),"●","")</x:f>
      </x:c>
      <x:c r="AL504" s="165" t="str">
        <x:f>IF(AND(AL$5&gt;=$C504,AL$5&lt;=$D504,$A504&lt;&gt;""),"●","")</x:f>
      </x:c>
      <x:c r="AM504" s="165" t="str">
        <x:f>IF(AND(AM$5&gt;=$C504,AM$5&lt;=$D504,$A504&lt;&gt;""),"●","")</x:f>
      </x:c>
      <x:c r="AN504" s="165" t="str">
        <x:f>IF(AND(AN$5&gt;=$C504,AN$5&lt;=$D504,$A504&lt;&gt;""),"●","")</x:f>
      </x:c>
      <x:c r="AO504" s="165" t="str">
        <x:f>IF(AND(AO$5&gt;=$C504,AO$5&lt;=$D504,$A504&lt;&gt;""),"●","")</x:f>
      </x:c>
      <x:c r="AP504" s="165" t="str">
        <x:f>IF(AND(AP$5&gt;=$C504,AP$5&lt;=$D504,$A504&lt;&gt;""),"●","")</x:f>
      </x:c>
      <x:c r="AQ504" s="165" t="str">
        <x:f>IF(AND(AQ$5&gt;=$C504,AQ$5&lt;=$D504,$A504&lt;&gt;""),"●","")</x:f>
      </x:c>
      <x:c r="AR504" s="165" t="str">
        <x:f>IF(AND(AR$5&gt;=$C504,AR$5&lt;=$D504,$A504&lt;&gt;""),"●","")</x:f>
      </x:c>
      <x:c r="AS504" s="165" t="str">
        <x:f>IF(AND(AS$5&gt;=$C504,AS$5&lt;=$D504,$A504&lt;&gt;""),"●","")</x:f>
      </x:c>
      <x:c r="AT504" s="165" t="str">
        <x:f>IF(AND(AT$5&gt;=$C504,AT$5&lt;=$D504,$A504&lt;&gt;""),"●","")</x:f>
      </x:c>
      <x:c r="AU504" s="165" t="str">
        <x:f>IF(AND(AU$5&gt;=$C504,AU$5&lt;=$D504,$A504&lt;&gt;""),"●","")</x:f>
      </x:c>
      <x:c r="AV504" s="165" t="str">
        <x:f>IF(AND(AV$5&gt;=$C504,AV$5&lt;=$D504,$A504&lt;&gt;""),"●","")</x:f>
      </x:c>
      <x:c r="AW504" s="165" t="str">
        <x:f>IF(AND(AW$5&gt;=$C504,AW$5&lt;=$D504,$A504&lt;&gt;""),"●","")</x:f>
      </x:c>
      <x:c r="AX504" s="165" t="str">
        <x:f>IF(AND(AX$5&gt;=$C504,AX$5&lt;=$D504,$A504&lt;&gt;""),"●","")</x:f>
      </x:c>
      <x:c r="AY504" s="165" t="str">
        <x:f>IF(AND(AY$5&gt;=$C504,AY$5&lt;=$D504,$A504&lt;&gt;""),"●","")</x:f>
      </x:c>
      <x:c r="AZ504" s="165" t="str">
        <x:f>IF(AND(AZ$5&gt;=$C504,AZ$5&lt;=$D504,$A504&lt;&gt;""),"●","")</x:f>
      </x:c>
      <x:c r="BA504" s="165" t="str">
        <x:f>IF(AND(BA$5&gt;=$C504,BA$5&lt;=$D504,$A504&lt;&gt;""),"●","")</x:f>
      </x:c>
      <x:c r="BB504" s="165" t="str">
        <x:f>IF(AND(BB$5&gt;=$C504,BB$5&lt;=$D504,$A504&lt;&gt;""),"●","")</x:f>
      </x:c>
      <x:c r="BC504" s="165" t="str">
        <x:f>IF(AND(BC$5&gt;=$C504,BC$5&lt;=$D504,$A504&lt;&gt;""),"●","")</x:f>
      </x:c>
      <x:c r="BD504" s="165" t="str">
        <x:f>IF(AND(BD$5&gt;=$C504,BD$5&lt;=$D504,$A504&lt;&gt;""),"●","")</x:f>
      </x:c>
      <x:c r="BE504" s="165" t="str">
        <x:f>IF(AND(BE$5&gt;=$C504,BE$5&lt;=$D504,$A504&lt;&gt;""),"●","")</x:f>
      </x:c>
      <x:c r="BF504" s="165" t="str">
        <x:f>IF(AND(BF$5&gt;=$C504,BF$5&lt;=$D504,$A504&lt;&gt;""),"●","")</x:f>
      </x:c>
      <x:c r="BG504" s="165" t="str">
        <x:f>IF(AND(BG$5&gt;=$C504,BG$5&lt;=$D504,$A504&lt;&gt;""),"●","")</x:f>
      </x:c>
      <x:c r="BH504" s="165" t="str">
        <x:f>IF(AND(BH$5&gt;=$C504,BH$5&lt;=$D504,$A504&lt;&gt;""),"●","")</x:f>
      </x:c>
      <x:c r="BI504" s="165" t="str">
        <x:f>IF(AND(BI$5&gt;=$C504,BI$5&lt;=$D504,$A504&lt;&gt;""),"●","")</x:f>
      </x:c>
      <x:c r="BJ504" s="165" t="str">
        <x:f>IF(AND(BJ$5&gt;=$C504,BJ$5&lt;=$D504,$A504&lt;&gt;""),"●","")</x:f>
      </x:c>
      <x:c r="BK504" s="165" t="str">
        <x:f>IF(AND(BK$5&gt;=$C504,BK$5&lt;=$D504,$A504&lt;&gt;""),"●","")</x:f>
      </x:c>
      <x:c r="BL504" s="165" t="str">
        <x:f>IF(AND(BL$5&gt;=$C504,BL$5&lt;=$D504,$A504&lt;&gt;""),"●","")</x:f>
      </x:c>
      <x:c r="BM504" s="165" t="str">
        <x:f>IF(AND(BM$5&gt;=$C504,BM$5&lt;=$D504,$A504&lt;&gt;""),"●","")</x:f>
      </x:c>
      <x:c r="BN504" s="165" t="str">
        <x:f>IF(AND(BN$5&gt;=$C504,BN$5&lt;=$D504,$A504&lt;&gt;""),"●","")</x:f>
      </x:c>
      <x:c r="BO504" s="165" t="str">
        <x:f>IF(AND(BO$5&gt;=$C504,BO$5&lt;=$D504,$A504&lt;&gt;""),"●","")</x:f>
      </x:c>
      <x:c r="BP504" s="165" t="str">
        <x:f>IF(AND(BP$5&gt;=$C504,BP$5&lt;=$D504,$A504&lt;&gt;""),"●","")</x:f>
      </x:c>
      <x:c r="BQ504" s="165" t="str">
        <x:f>IF(AND(BQ$5&gt;=$C504,BQ$5&lt;=$D504,$A504&lt;&gt;""),"●","")</x:f>
      </x:c>
      <x:c r="BR504" s="165" t="str">
        <x:f>IF(AND(BR$5&gt;=$C504,BR$5&lt;=$D504,$A504&lt;&gt;""),"●","")</x:f>
      </x:c>
      <x:c r="BS504" s="165" t="str">
        <x:f>IF(AND(BS$5&gt;=$C504,BS$5&lt;=$D504,$A504&lt;&gt;""),"●","")</x:f>
      </x:c>
      <x:c r="BT504" s="165" t="str">
        <x:f>IF(AND(BT$5&gt;=$C504,BT$5&lt;=$D504,$A504&lt;&gt;""),"●","")</x:f>
      </x:c>
      <x:c r="BU504" s="165" t="str">
        <x:f>IF(AND(BU$5&gt;=$C504,BU$5&lt;=$D504,$A504&lt;&gt;""),"●","")</x:f>
      </x:c>
      <x:c r="BV504" s="165" t="str">
        <x:f>IF(AND(BV$5&gt;=$C504,BV$5&lt;=$D504,$A504&lt;&gt;""),"●","")</x:f>
      </x:c>
      <x:c r="BW504" s="165" t="str">
        <x:f>IF(AND(BW$5&gt;=$C504,BW$5&lt;=$D504,$A504&lt;&gt;""),"●","")</x:f>
      </x:c>
    </x:row>
    <x:row r="505">
      <x:c r="A505" s="160" t="str">
        <x:f>IF('รายการสัญญา'!A505="","",'รายการสัญญา'!A505)</x:f>
      </x:c>
      <x:c r="B505" s="160" t="str">
        <x:f>IF('รายการสัญญา'!A505="","",'รายการสัญญา'!C505)</x:f>
      </x:c>
      <x:c r="C505" s="163" t="str">
        <x:f>IF('รายการสัญญา'!A505="","",'รายการสัญญา'!E505)</x:f>
      </x:c>
      <x:c r="D505" s="163" t="str">
        <x:f>IF('รายการสัญญา'!A505="","",'รายการสัญญา'!G505)</x:f>
      </x:c>
      <x:c r="E505" s="160" t="str">
        <x:f>IF('รายการสัญญา'!A505="","",'รายการสัญญา'!K505)</x:f>
      </x:c>
      <x:c r="F505" s="166" t="str">
        <x:f>IF(AND(F$5&gt;=$C505,F$5&lt;=$D505,$A505&lt;&gt;""),"●","")</x:f>
      </x:c>
      <x:c r="G505" s="166" t="str">
        <x:f>IF(AND(G$5&gt;=$C505,G$5&lt;=$D505,$A505&lt;&gt;""),"●","")</x:f>
      </x:c>
      <x:c r="H505" s="166" t="str">
        <x:f>IF(AND(H$5&gt;=$C505,H$5&lt;=$D505,$A505&lt;&gt;""),"●","")</x:f>
      </x:c>
      <x:c r="I505" s="166" t="str">
        <x:f>IF(AND(I$5&gt;=$C505,I$5&lt;=$D505,$A505&lt;&gt;""),"●","")</x:f>
      </x:c>
      <x:c r="J505" s="166" t="str">
        <x:f>IF(AND(J$5&gt;=$C505,J$5&lt;=$D505,$A505&lt;&gt;""),"●","")</x:f>
      </x:c>
      <x:c r="K505" s="166" t="str">
        <x:f>IF(AND(K$5&gt;=$C505,K$5&lt;=$D505,$A505&lt;&gt;""),"●","")</x:f>
      </x:c>
      <x:c r="L505" s="166" t="str">
        <x:f>IF(AND(L$5&gt;=$C505,L$5&lt;=$D505,$A505&lt;&gt;""),"●","")</x:f>
      </x:c>
      <x:c r="M505" s="166" t="str">
        <x:f>IF(AND(M$5&gt;=$C505,M$5&lt;=$D505,$A505&lt;&gt;""),"●","")</x:f>
      </x:c>
      <x:c r="N505" s="166" t="str">
        <x:f>IF(AND(N$5&gt;=$C505,N$5&lt;=$D505,$A505&lt;&gt;""),"●","")</x:f>
      </x:c>
      <x:c r="O505" s="166" t="str">
        <x:f>IF(AND(O$5&gt;=$C505,O$5&lt;=$D505,$A505&lt;&gt;""),"●","")</x:f>
      </x:c>
      <x:c r="P505" s="166" t="str">
        <x:f>IF(AND(P$5&gt;=$C505,P$5&lt;=$D505,$A505&lt;&gt;""),"●","")</x:f>
      </x:c>
      <x:c r="Q505" s="166" t="str">
        <x:f>IF(AND(Q$5&gt;=$C505,Q$5&lt;=$D505,$A505&lt;&gt;""),"●","")</x:f>
      </x:c>
      <x:c r="R505" s="166" t="str">
        <x:f>IF(AND(R$5&gt;=$C505,R$5&lt;=$D505,$A505&lt;&gt;""),"●","")</x:f>
      </x:c>
      <x:c r="S505" s="166" t="str">
        <x:f>IF(AND(S$5&gt;=$C505,S$5&lt;=$D505,$A505&lt;&gt;""),"●","")</x:f>
      </x:c>
      <x:c r="T505" s="166" t="str">
        <x:f>IF(AND(T$5&gt;=$C505,T$5&lt;=$D505,$A505&lt;&gt;""),"●","")</x:f>
      </x:c>
      <x:c r="U505" s="166" t="str">
        <x:f>IF(AND(U$5&gt;=$C505,U$5&lt;=$D505,$A505&lt;&gt;""),"●","")</x:f>
      </x:c>
      <x:c r="V505" s="166" t="str">
        <x:f>IF(AND(V$5&gt;=$C505,V$5&lt;=$D505,$A505&lt;&gt;""),"●","")</x:f>
      </x:c>
      <x:c r="W505" s="166" t="str">
        <x:f>IF(AND(W$5&gt;=$C505,W$5&lt;=$D505,$A505&lt;&gt;""),"●","")</x:f>
      </x:c>
      <x:c r="X505" s="166" t="str">
        <x:f>IF(AND(X$5&gt;=$C505,X$5&lt;=$D505,$A505&lt;&gt;""),"●","")</x:f>
      </x:c>
      <x:c r="Y505" s="166" t="str">
        <x:f>IF(AND(Y$5&gt;=$C505,Y$5&lt;=$D505,$A505&lt;&gt;""),"●","")</x:f>
      </x:c>
      <x:c r="Z505" s="166" t="str">
        <x:f>IF(AND(Z$5&gt;=$C505,Z$5&lt;=$D505,$A505&lt;&gt;""),"●","")</x:f>
      </x:c>
      <x:c r="AA505" s="166" t="str">
        <x:f>IF(AND(AA$5&gt;=$C505,AA$5&lt;=$D505,$A505&lt;&gt;""),"●","")</x:f>
      </x:c>
      <x:c r="AB505" s="166" t="str">
        <x:f>IF(AND(AB$5&gt;=$C505,AB$5&lt;=$D505,$A505&lt;&gt;""),"●","")</x:f>
      </x:c>
      <x:c r="AC505" s="166" t="str">
        <x:f>IF(AND(AC$5&gt;=$C505,AC$5&lt;=$D505,$A505&lt;&gt;""),"●","")</x:f>
      </x:c>
      <x:c r="AD505" s="166" t="str">
        <x:f>IF(AND(AD$5&gt;=$C505,AD$5&lt;=$D505,$A505&lt;&gt;""),"●","")</x:f>
      </x:c>
      <x:c r="AE505" s="166" t="str">
        <x:f>IF(AND(AE$5&gt;=$C505,AE$5&lt;=$D505,$A505&lt;&gt;""),"●","")</x:f>
      </x:c>
      <x:c r="AF505" s="166" t="str">
        <x:f>IF(AND(AF$5&gt;=$C505,AF$5&lt;=$D505,$A505&lt;&gt;""),"●","")</x:f>
      </x:c>
      <x:c r="AG505" s="166" t="str">
        <x:f>IF(AND(AG$5&gt;=$C505,AG$5&lt;=$D505,$A505&lt;&gt;""),"●","")</x:f>
      </x:c>
      <x:c r="AH505" s="166" t="str">
        <x:f>IF(AND(AH$5&gt;=$C505,AH$5&lt;=$D505,$A505&lt;&gt;""),"●","")</x:f>
      </x:c>
      <x:c r="AI505" s="166" t="str">
        <x:f>IF(AND(AI$5&gt;=$C505,AI$5&lt;=$D505,$A505&lt;&gt;""),"●","")</x:f>
      </x:c>
      <x:c r="AJ505" s="166" t="str">
        <x:f>IF(AND(AJ$5&gt;=$C505,AJ$5&lt;=$D505,$A505&lt;&gt;""),"●","")</x:f>
      </x:c>
      <x:c r="AK505" s="166" t="str">
        <x:f>IF(AND(AK$5&gt;=$C505,AK$5&lt;=$D505,$A505&lt;&gt;""),"●","")</x:f>
      </x:c>
      <x:c r="AL505" s="166" t="str">
        <x:f>IF(AND(AL$5&gt;=$C505,AL$5&lt;=$D505,$A505&lt;&gt;""),"●","")</x:f>
      </x:c>
      <x:c r="AM505" s="166" t="str">
        <x:f>IF(AND(AM$5&gt;=$C505,AM$5&lt;=$D505,$A505&lt;&gt;""),"●","")</x:f>
      </x:c>
      <x:c r="AN505" s="166" t="str">
        <x:f>IF(AND(AN$5&gt;=$C505,AN$5&lt;=$D505,$A505&lt;&gt;""),"●","")</x:f>
      </x:c>
      <x:c r="AO505" s="166" t="str">
        <x:f>IF(AND(AO$5&gt;=$C505,AO$5&lt;=$D505,$A505&lt;&gt;""),"●","")</x:f>
      </x:c>
      <x:c r="AP505" s="166" t="str">
        <x:f>IF(AND(AP$5&gt;=$C505,AP$5&lt;=$D505,$A505&lt;&gt;""),"●","")</x:f>
      </x:c>
      <x:c r="AQ505" s="166" t="str">
        <x:f>IF(AND(AQ$5&gt;=$C505,AQ$5&lt;=$D505,$A505&lt;&gt;""),"●","")</x:f>
      </x:c>
      <x:c r="AR505" s="166" t="str">
        <x:f>IF(AND(AR$5&gt;=$C505,AR$5&lt;=$D505,$A505&lt;&gt;""),"●","")</x:f>
      </x:c>
      <x:c r="AS505" s="166" t="str">
        <x:f>IF(AND(AS$5&gt;=$C505,AS$5&lt;=$D505,$A505&lt;&gt;""),"●","")</x:f>
      </x:c>
      <x:c r="AT505" s="166" t="str">
        <x:f>IF(AND(AT$5&gt;=$C505,AT$5&lt;=$D505,$A505&lt;&gt;""),"●","")</x:f>
      </x:c>
      <x:c r="AU505" s="166" t="str">
        <x:f>IF(AND(AU$5&gt;=$C505,AU$5&lt;=$D505,$A505&lt;&gt;""),"●","")</x:f>
      </x:c>
      <x:c r="AV505" s="166" t="str">
        <x:f>IF(AND(AV$5&gt;=$C505,AV$5&lt;=$D505,$A505&lt;&gt;""),"●","")</x:f>
      </x:c>
      <x:c r="AW505" s="166" t="str">
        <x:f>IF(AND(AW$5&gt;=$C505,AW$5&lt;=$D505,$A505&lt;&gt;""),"●","")</x:f>
      </x:c>
      <x:c r="AX505" s="166" t="str">
        <x:f>IF(AND(AX$5&gt;=$C505,AX$5&lt;=$D505,$A505&lt;&gt;""),"●","")</x:f>
      </x:c>
      <x:c r="AY505" s="166" t="str">
        <x:f>IF(AND(AY$5&gt;=$C505,AY$5&lt;=$D505,$A505&lt;&gt;""),"●","")</x:f>
      </x:c>
      <x:c r="AZ505" s="166" t="str">
        <x:f>IF(AND(AZ$5&gt;=$C505,AZ$5&lt;=$D505,$A505&lt;&gt;""),"●","")</x:f>
      </x:c>
      <x:c r="BA505" s="166" t="str">
        <x:f>IF(AND(BA$5&gt;=$C505,BA$5&lt;=$D505,$A505&lt;&gt;""),"●","")</x:f>
      </x:c>
      <x:c r="BB505" s="166" t="str">
        <x:f>IF(AND(BB$5&gt;=$C505,BB$5&lt;=$D505,$A505&lt;&gt;""),"●","")</x:f>
      </x:c>
      <x:c r="BC505" s="166" t="str">
        <x:f>IF(AND(BC$5&gt;=$C505,BC$5&lt;=$D505,$A505&lt;&gt;""),"●","")</x:f>
      </x:c>
      <x:c r="BD505" s="166" t="str">
        <x:f>IF(AND(BD$5&gt;=$C505,BD$5&lt;=$D505,$A505&lt;&gt;""),"●","")</x:f>
      </x:c>
      <x:c r="BE505" s="166" t="str">
        <x:f>IF(AND(BE$5&gt;=$C505,BE$5&lt;=$D505,$A505&lt;&gt;""),"●","")</x:f>
      </x:c>
      <x:c r="BF505" s="166" t="str">
        <x:f>IF(AND(BF$5&gt;=$C505,BF$5&lt;=$D505,$A505&lt;&gt;""),"●","")</x:f>
      </x:c>
      <x:c r="BG505" s="166" t="str">
        <x:f>IF(AND(BG$5&gt;=$C505,BG$5&lt;=$D505,$A505&lt;&gt;""),"●","")</x:f>
      </x:c>
      <x:c r="BH505" s="166" t="str">
        <x:f>IF(AND(BH$5&gt;=$C505,BH$5&lt;=$D505,$A505&lt;&gt;""),"●","")</x:f>
      </x:c>
      <x:c r="BI505" s="166" t="str">
        <x:f>IF(AND(BI$5&gt;=$C505,BI$5&lt;=$D505,$A505&lt;&gt;""),"●","")</x:f>
      </x:c>
      <x:c r="BJ505" s="166" t="str">
        <x:f>IF(AND(BJ$5&gt;=$C505,BJ$5&lt;=$D505,$A505&lt;&gt;""),"●","")</x:f>
      </x:c>
      <x:c r="BK505" s="166" t="str">
        <x:f>IF(AND(BK$5&gt;=$C505,BK$5&lt;=$D505,$A505&lt;&gt;""),"●","")</x:f>
      </x:c>
      <x:c r="BL505" s="166" t="str">
        <x:f>IF(AND(BL$5&gt;=$C505,BL$5&lt;=$D505,$A505&lt;&gt;""),"●","")</x:f>
      </x:c>
      <x:c r="BM505" s="166" t="str">
        <x:f>IF(AND(BM$5&gt;=$C505,BM$5&lt;=$D505,$A505&lt;&gt;""),"●","")</x:f>
      </x:c>
      <x:c r="BN505" s="166" t="str">
        <x:f>IF(AND(BN$5&gt;=$C505,BN$5&lt;=$D505,$A505&lt;&gt;""),"●","")</x:f>
      </x:c>
      <x:c r="BO505" s="166" t="str">
        <x:f>IF(AND(BO$5&gt;=$C505,BO$5&lt;=$D505,$A505&lt;&gt;""),"●","")</x:f>
      </x:c>
      <x:c r="BP505" s="166" t="str">
        <x:f>IF(AND(BP$5&gt;=$C505,BP$5&lt;=$D505,$A505&lt;&gt;""),"●","")</x:f>
      </x:c>
      <x:c r="BQ505" s="166" t="str">
        <x:f>IF(AND(BQ$5&gt;=$C505,BQ$5&lt;=$D505,$A505&lt;&gt;""),"●","")</x:f>
      </x:c>
      <x:c r="BR505" s="166" t="str">
        <x:f>IF(AND(BR$5&gt;=$C505,BR$5&lt;=$D505,$A505&lt;&gt;""),"●","")</x:f>
      </x:c>
      <x:c r="BS505" s="166" t="str">
        <x:f>IF(AND(BS$5&gt;=$C505,BS$5&lt;=$D505,$A505&lt;&gt;""),"●","")</x:f>
      </x:c>
      <x:c r="BT505" s="166" t="str">
        <x:f>IF(AND(BT$5&gt;=$C505,BT$5&lt;=$D505,$A505&lt;&gt;""),"●","")</x:f>
      </x:c>
      <x:c r="BU505" s="166" t="str">
        <x:f>IF(AND(BU$5&gt;=$C505,BU$5&lt;=$D505,$A505&lt;&gt;""),"●","")</x:f>
      </x:c>
      <x:c r="BV505" s="166" t="str">
        <x:f>IF(AND(BV$5&gt;=$C505,BV$5&lt;=$D505,$A505&lt;&gt;""),"●","")</x:f>
      </x:c>
      <x:c r="BW505" s="166" t="str">
        <x:f>IF(AND(BW$5&gt;=$C505,BW$5&lt;=$D505,$A505&lt;&gt;""),"●","")</x:f>
      </x:c>
    </x:row>
  </x:sheetData>
  <x:mergeCells>
    <x:mergeCell ref="A1:BW1"/>
    <x:mergeCell ref="A2:BW2"/>
    <x:mergeCell ref="C3:H3"/>
  </x:mergeCells>
  <x:conditionalFormatting sqref="F6:BW505">
    <x:cfRule type="expression" dxfId="11" priority="1">
      <x:formula>AND(F$5&gt;=$C6,F$5&lt;=$D6,$A6&lt;&gt;"")</x:formula>
    </x:cfRule>
    <x:cfRule type="expression" dxfId="12" priority="2">
      <x:formula>AND(F$5=$D6,$A6&lt;&gt;"")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33.33000183105469" hidden="0" customWidth="1"/>
    <x:col min="3" max="3" width="3.109999895095825" hidden="0" customWidth="1"/>
    <x:col min="4" max="4" width="46.66999816894531" hidden="0" customWidth="1"/>
  </x:cols>
  <x:sheetData>
    <x:row r="1" ht="25.5" customHeight="1">
      <x:c r="A1" s="4" t="str">
        <x:v>ตั้งค่าระบบสัญญา V2</x:v>
      </x:c>
      <x:c r="B1" s="4"/>
      <x:c r="C1" s="4"/>
      <x:c r="D1" s="4"/>
    </x:row>
    <x:row r="2" ht="21" customHeight="1">
      <x:c r="A2" s="8" t="str">
        <x:v>ค่าหลักสำหรับอีเมล Google Calendar และระบบทดสอบ</x:v>
      </x:c>
      <x:c r="B2" s="8"/>
      <x:c r="C2" s="8"/>
      <x:c r="D2" s="8"/>
    </x:row>
    <x:row r="4" ht="21" customHeight="1">
      <x:c r="A4" s="168" t="str">
        <x:v>รายการตั้งค่า</x:v>
      </x:c>
      <x:c r="B4" s="168" t="str">
        <x:v>ค่า</x:v>
      </x:c>
      <x:c r="D4" s="168" t="str">
        <x:v>วิธีเริ่มใช้งาน</x:v>
      </x:c>
    </x:row>
    <x:row r="5" ht="21" customHeight="1">
      <x:c r="A5" s="43" t="str">
        <x:v>เขตเวลา</x:v>
      </x:c>
      <x:c r="B5" s="170" t="str">
        <x:v>Asia/Bangkok</x:v>
      </x:c>
      <x:c r="D5" s="181" t="str">
        <x:v>1) อ่านไฟล์ GUIDE_TH.md
2) นำไฟล์แม่แบบนี้เข้า Google Drive และเปิดด้วย Google Sheets
3) เปิด Extensions &gt; Apps Script
4) วาง Code.gs และ appsscript.json
5) บันทึก แล้วรัน setupSystem() หนึ่งครั้ง
6) อนุญาตสิทธิ์อีเมลและ Google Calendar
7) กลับมาที่ชีตแล้วรีเฟรชหน้า
8) กรอกอีเมลทดสอบ แล้วใช้เมนู “ทดสอบส่งอีเมล”
Gmail และ Outlook รับข้อความได้ โดยกรอกอีเมลในคอลัมน์แจ้งเตือน</x:v>
      </x:c>
    </x:row>
    <x:row r="6" ht="21" customHeight="1">
      <x:c r="A6" s="45" t="str">
        <x:v>Calendar ID</x:v>
      </x:c>
      <x:c r="B6" s="171" t="str">
        <x:v>primary</x:v>
      </x:c>
      <x:c r="D6" s="182"/>
    </x:row>
    <x:row r="7" ht="21" customHeight="1">
      <x:c r="A7" s="45" t="str">
        <x:v>ชื่อผู้ส่ง</x:v>
      </x:c>
      <x:c r="B7" s="171" t="str">
        <x:v>ระบบแจ้งเตือนสัญญา</x:v>
      </x:c>
      <x:c r="D7" s="182"/>
    </x:row>
    <x:row r="8" ht="21" customHeight="1">
      <x:c r="A8" s="45" t="str">
        <x:v>ชั่วโมงตรวจแจ้งเตือน</x:v>
      </x:c>
      <x:c r="B8" s="171" t="n">
        <x:v>8</x:v>
      </x:c>
      <x:c r="D8" s="182"/>
    </x:row>
    <x:row r="9" ht="21" customHeight="1">
      <x:c r="A9" s="45" t="str">
        <x:v>วันแจ้งเตือน</x:v>
      </x:c>
      <x:c r="B9" s="171" t="str">
        <x:v>10,5,3,0</x:v>
      </x:c>
      <x:c r="D9" s="182"/>
    </x:row>
    <x:row r="10" ht="21" customHeight="1">
      <x:c r="A10" s="45" t="str">
        <x:v>จำนวนแถวสูงสุด</x:v>
      </x:c>
      <x:c r="B10" s="171" t="n">
        <x:v>500</x:v>
      </x:c>
      <x:c r="D10" s="182"/>
    </x:row>
    <x:row r="11" ht="21" customHeight="1">
      <x:c r="A11" s="45" t="str">
        <x:v>อีเมลทดสอบ</x:v>
      </x:c>
      <x:c r="B11" s="171"/>
      <x:c r="D11" s="182"/>
    </x:row>
    <x:row r="12" ht="21" customHeight="1">
      <x:c r="A12" s="45" t="str">
        <x:v>วิธีนับวัน</x:v>
      </x:c>
      <x:c r="B12" s="171" t="str">
        <x:v>นับวันถัดจากวันเซ็น</x:v>
      </x:c>
      <x:c r="D12" s="182"/>
    </x:row>
    <x:row r="13" ht="21" customHeight="1">
      <x:c r="A13" s="45" t="str">
        <x:v>ซิงก์ Calendar ทันที</x:v>
      </x:c>
      <x:c r="B13" s="171" t="str">
        <x:v>เปิด</x:v>
      </x:c>
      <x:c r="D13" s="182"/>
    </x:row>
    <x:row r="14" ht="21" customHeight="1">
      <x:c r="A14" s="45" t="str">
        <x:v>ล้างวันที่ส่งเมื่อกลับเป็นยังไม่ส่ง</x:v>
      </x:c>
      <x:c r="B14" s="171" t="str">
        <x:v>เปิด</x:v>
      </x:c>
      <x:c r="D14" s="182"/>
    </x:row>
    <x:row r="15" ht="21" customHeight="1">
      <x:c r="A15" s="45" t="str">
        <x:v>แจ้งเตือนเมื่อเปลี่ยนเป็นส่งแล้ว</x:v>
      </x:c>
      <x:c r="B15" s="171" t="str">
        <x:v>เปิด</x:v>
      </x:c>
      <x:c r="D15" s="182"/>
    </x:row>
    <x:row r="16" ht="21" customHeight="1">
      <x:c r="A16" s="45" t="str">
        <x:v>สถานะระบบ</x:v>
      </x:c>
      <x:c r="B16" s="171" t="str">
        <x:v>ยังไม่ได้ติดตั้ง: อ่าน GUIDE_TH.md แล้วรัน setupSystem()</x:v>
      </x:c>
      <x:c r="D16" s="183"/>
    </x:row>
  </x:sheetData>
  <x:mergeCells>
    <x:mergeCell ref="A1:D1"/>
    <x:mergeCell ref="A2:D2"/>
    <x:mergeCell ref="D5:D16"/>
  </x:mergeCells>
  <x:dataValidations count="5">
    <x:dataValidation type="whole" operator="between" sqref="B8">
      <x:formula1>0</x:formula1>
      <x:formula2>23</x:formula2>
    </x:dataValidation>
    <x:dataValidation type="list" sqref="B12">
      <x:formula1>"นับวันถัดจากวันเซ็น,นับรวมวันเซ็น"</x:formula1>
    </x:dataValidation>
    <x:dataValidation type="list" sqref="B13">
      <x:formula1>"เปิด,ปิด"</x:formula1>
    </x:dataValidation>
    <x:dataValidation type="list" sqref="B14">
      <x:formula1>"เปิด,ปิด"</x:formula1>
    </x:dataValidation>
    <x:dataValidation type="list" sqref="B15">
      <x:formula1>"เปิด,ปิด"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1.110000610351562" hidden="0" customWidth="1"/>
    <x:col min="3" max="3" width="23.329999923706055" hidden="0" customWidth="1"/>
    <x:col min="4" max="4" width="28.889999389648438" hidden="0" customWidth="1"/>
    <x:col min="5" max="5" width="33.33000183105469" hidden="0" customWidth="1"/>
    <x:col min="6" max="6" width="11.109999656677246" hidden="0" customWidth="1"/>
    <x:col min="7" max="7" width="33.33000183105469" hidden="0" customWidth="1"/>
  </x:cols>
  <x:sheetData>
    <x:row r="1" ht="25.5" customHeight="1">
      <x:c r="A1" s="4" t="str">
        <x:v>ประวัติระบบ</x:v>
      </x:c>
      <x:c r="B1" s="4"/>
      <x:c r="C1" s="4"/>
      <x:c r="D1" s="4"/>
      <x:c r="E1" s="4"/>
      <x:c r="F1" s="4"/>
      <x:c r="G1" s="4"/>
    </x:row>
    <x:row r="2" ht="21" customHeight="1">
      <x:c r="A2" s="8" t="str">
        <x:v>บันทึกการแก้ไข การส่งอีเมล การทดสอบ และการซิงก์ Google Calendar อัตโนมัติ</x:v>
      </x:c>
      <x:c r="B2" s="8"/>
      <x:c r="C2" s="8"/>
      <x:c r="D2" s="8"/>
      <x:c r="E2" s="8"/>
      <x:c r="F2" s="8"/>
      <x:c r="G2" s="8"/>
    </x:row>
    <x:row r="5">
      <x:c r="A5" s="186" t="str">
        <x:v>วันเวลา</x:v>
      </x:c>
      <x:c r="B5" s="186" t="str">
        <x:v>การดำเนินการ</x:v>
      </x:c>
      <x:c r="C5" s="186" t="str">
        <x:v>ชื่อบริษัท</x:v>
      </x:c>
      <x:c r="D5" s="186" t="str">
        <x:v>ชื่อรายการ</x:v>
      </x:c>
      <x:c r="E5" s="186" t="str">
        <x:v>รายละเอียด</x:v>
      </x:c>
      <x:c r="F5" s="186" t="str">
        <x:v>ผลลัพธ์</x:v>
      </x:c>
      <x:c r="G5" s="186" t="str">
        <x:v>ข้อผิดพลาด</x:v>
      </x:c>
    </x:row>
    <x:row r="6">
      <x:c r="A6" s="193"/>
      <x:c r="B6" s="190"/>
      <x:c r="C6" s="190"/>
      <x:c r="D6" s="190"/>
      <x:c r="E6" s="190"/>
      <x:c r="F6" s="190"/>
      <x:c r="G6" s="190"/>
    </x:row>
    <x:row r="7">
      <x:c r="A7" s="194"/>
      <x:c r="B7" s="191"/>
      <x:c r="C7" s="191"/>
      <x:c r="D7" s="191"/>
      <x:c r="E7" s="191"/>
      <x:c r="F7" s="191"/>
      <x:c r="G7" s="191"/>
    </x:row>
    <x:row r="8">
      <x:c r="A8" s="194"/>
      <x:c r="B8" s="191"/>
      <x:c r="C8" s="191"/>
      <x:c r="D8" s="191"/>
      <x:c r="E8" s="191"/>
      <x:c r="F8" s="191"/>
      <x:c r="G8" s="191"/>
    </x:row>
    <x:row r="9">
      <x:c r="A9" s="194"/>
      <x:c r="B9" s="191"/>
      <x:c r="C9" s="191"/>
      <x:c r="D9" s="191"/>
      <x:c r="E9" s="191"/>
      <x:c r="F9" s="191"/>
      <x:c r="G9" s="191"/>
    </x:row>
    <x:row r="10">
      <x:c r="A10" s="194"/>
      <x:c r="B10" s="191"/>
      <x:c r="C10" s="191"/>
      <x:c r="D10" s="191"/>
      <x:c r="E10" s="191"/>
      <x:c r="F10" s="191"/>
      <x:c r="G10" s="191"/>
    </x:row>
    <x:row r="11">
      <x:c r="A11" s="194"/>
      <x:c r="B11" s="191"/>
      <x:c r="C11" s="191"/>
      <x:c r="D11" s="191"/>
      <x:c r="E11" s="191"/>
      <x:c r="F11" s="191"/>
      <x:c r="G11" s="191"/>
    </x:row>
    <x:row r="12">
      <x:c r="A12" s="194"/>
      <x:c r="B12" s="191"/>
      <x:c r="C12" s="191"/>
      <x:c r="D12" s="191"/>
      <x:c r="E12" s="191"/>
      <x:c r="F12" s="191"/>
      <x:c r="G12" s="191"/>
    </x:row>
    <x:row r="13">
      <x:c r="A13" s="194"/>
      <x:c r="B13" s="191"/>
      <x:c r="C13" s="191"/>
      <x:c r="D13" s="191"/>
      <x:c r="E13" s="191"/>
      <x:c r="F13" s="191"/>
      <x:c r="G13" s="191"/>
    </x:row>
    <x:row r="14">
      <x:c r="A14" s="194"/>
      <x:c r="B14" s="191"/>
      <x:c r="C14" s="191"/>
      <x:c r="D14" s="191"/>
      <x:c r="E14" s="191"/>
      <x:c r="F14" s="191"/>
      <x:c r="G14" s="191"/>
    </x:row>
    <x:row r="15">
      <x:c r="A15" s="194"/>
      <x:c r="B15" s="191"/>
      <x:c r="C15" s="191"/>
      <x:c r="D15" s="191"/>
      <x:c r="E15" s="191"/>
      <x:c r="F15" s="191"/>
      <x:c r="G15" s="191"/>
    </x:row>
    <x:row r="16">
      <x:c r="A16" s="194"/>
      <x:c r="B16" s="191"/>
      <x:c r="C16" s="191"/>
      <x:c r="D16" s="191"/>
      <x:c r="E16" s="191"/>
      <x:c r="F16" s="191"/>
      <x:c r="G16" s="191"/>
    </x:row>
    <x:row r="17">
      <x:c r="A17" s="194"/>
      <x:c r="B17" s="191"/>
      <x:c r="C17" s="191"/>
      <x:c r="D17" s="191"/>
      <x:c r="E17" s="191"/>
      <x:c r="F17" s="191"/>
      <x:c r="G17" s="191"/>
    </x:row>
    <x:row r="18">
      <x:c r="A18" s="194"/>
      <x:c r="B18" s="191"/>
      <x:c r="C18" s="191"/>
      <x:c r="D18" s="191"/>
      <x:c r="E18" s="191"/>
      <x:c r="F18" s="191"/>
      <x:c r="G18" s="191"/>
    </x:row>
    <x:row r="19">
      <x:c r="A19" s="194"/>
      <x:c r="B19" s="191"/>
      <x:c r="C19" s="191"/>
      <x:c r="D19" s="191"/>
      <x:c r="E19" s="191"/>
      <x:c r="F19" s="191"/>
      <x:c r="G19" s="191"/>
    </x:row>
    <x:row r="20">
      <x:c r="A20" s="194"/>
      <x:c r="B20" s="191"/>
      <x:c r="C20" s="191"/>
      <x:c r="D20" s="191"/>
      <x:c r="E20" s="191"/>
      <x:c r="F20" s="191"/>
      <x:c r="G20" s="191"/>
    </x:row>
    <x:row r="21">
      <x:c r="A21" s="194"/>
      <x:c r="B21" s="191"/>
      <x:c r="C21" s="191"/>
      <x:c r="D21" s="191"/>
      <x:c r="E21" s="191"/>
      <x:c r="F21" s="191"/>
      <x:c r="G21" s="191"/>
    </x:row>
    <x:row r="22">
      <x:c r="A22" s="194"/>
      <x:c r="B22" s="191"/>
      <x:c r="C22" s="191"/>
      <x:c r="D22" s="191"/>
      <x:c r="E22" s="191"/>
      <x:c r="F22" s="191"/>
      <x:c r="G22" s="191"/>
    </x:row>
    <x:row r="23">
      <x:c r="A23" s="194"/>
      <x:c r="B23" s="191"/>
      <x:c r="C23" s="191"/>
      <x:c r="D23" s="191"/>
      <x:c r="E23" s="191"/>
      <x:c r="F23" s="191"/>
      <x:c r="G23" s="191"/>
    </x:row>
    <x:row r="24">
      <x:c r="A24" s="194"/>
      <x:c r="B24" s="191"/>
      <x:c r="C24" s="191"/>
      <x:c r="D24" s="191"/>
      <x:c r="E24" s="191"/>
      <x:c r="F24" s="191"/>
      <x:c r="G24" s="191"/>
    </x:row>
    <x:row r="25">
      <x:c r="A25" s="194"/>
      <x:c r="B25" s="191"/>
      <x:c r="C25" s="191"/>
      <x:c r="D25" s="191"/>
      <x:c r="E25" s="191"/>
      <x:c r="F25" s="191"/>
      <x:c r="G25" s="191"/>
    </x:row>
    <x:row r="26">
      <x:c r="A26" s="194"/>
      <x:c r="B26" s="191"/>
      <x:c r="C26" s="191"/>
      <x:c r="D26" s="191"/>
      <x:c r="E26" s="191"/>
      <x:c r="F26" s="191"/>
      <x:c r="G26" s="191"/>
    </x:row>
    <x:row r="27">
      <x:c r="A27" s="194"/>
      <x:c r="B27" s="191"/>
      <x:c r="C27" s="191"/>
      <x:c r="D27" s="191"/>
      <x:c r="E27" s="191"/>
      <x:c r="F27" s="191"/>
      <x:c r="G27" s="191"/>
    </x:row>
    <x:row r="28">
      <x:c r="A28" s="194"/>
      <x:c r="B28" s="191"/>
      <x:c r="C28" s="191"/>
      <x:c r="D28" s="191"/>
      <x:c r="E28" s="191"/>
      <x:c r="F28" s="191"/>
      <x:c r="G28" s="191"/>
    </x:row>
    <x:row r="29">
      <x:c r="A29" s="194"/>
      <x:c r="B29" s="191"/>
      <x:c r="C29" s="191"/>
      <x:c r="D29" s="191"/>
      <x:c r="E29" s="191"/>
      <x:c r="F29" s="191"/>
      <x:c r="G29" s="191"/>
    </x:row>
    <x:row r="30">
      <x:c r="A30" s="194"/>
      <x:c r="B30" s="191"/>
      <x:c r="C30" s="191"/>
      <x:c r="D30" s="191"/>
      <x:c r="E30" s="191"/>
      <x:c r="F30" s="191"/>
      <x:c r="G30" s="191"/>
    </x:row>
    <x:row r="31">
      <x:c r="A31" s="194"/>
      <x:c r="B31" s="191"/>
      <x:c r="C31" s="191"/>
      <x:c r="D31" s="191"/>
      <x:c r="E31" s="191"/>
      <x:c r="F31" s="191"/>
      <x:c r="G31" s="191"/>
    </x:row>
    <x:row r="32">
      <x:c r="A32" s="194"/>
      <x:c r="B32" s="191"/>
      <x:c r="C32" s="191"/>
      <x:c r="D32" s="191"/>
      <x:c r="E32" s="191"/>
      <x:c r="F32" s="191"/>
      <x:c r="G32" s="191"/>
    </x:row>
    <x:row r="33">
      <x:c r="A33" s="194"/>
      <x:c r="B33" s="191"/>
      <x:c r="C33" s="191"/>
      <x:c r="D33" s="191"/>
      <x:c r="E33" s="191"/>
      <x:c r="F33" s="191"/>
      <x:c r="G33" s="191"/>
    </x:row>
    <x:row r="34">
      <x:c r="A34" s="194"/>
      <x:c r="B34" s="191"/>
      <x:c r="C34" s="191"/>
      <x:c r="D34" s="191"/>
      <x:c r="E34" s="191"/>
      <x:c r="F34" s="191"/>
      <x:c r="G34" s="191"/>
    </x:row>
    <x:row r="35">
      <x:c r="A35" s="194"/>
      <x:c r="B35" s="191"/>
      <x:c r="C35" s="191"/>
      <x:c r="D35" s="191"/>
      <x:c r="E35" s="191"/>
      <x:c r="F35" s="191"/>
      <x:c r="G35" s="191"/>
    </x:row>
    <x:row r="36">
      <x:c r="A36" s="194"/>
      <x:c r="B36" s="191"/>
      <x:c r="C36" s="191"/>
      <x:c r="D36" s="191"/>
      <x:c r="E36" s="191"/>
      <x:c r="F36" s="191"/>
      <x:c r="G36" s="191"/>
    </x:row>
    <x:row r="37">
      <x:c r="A37" s="194"/>
      <x:c r="B37" s="191"/>
      <x:c r="C37" s="191"/>
      <x:c r="D37" s="191"/>
      <x:c r="E37" s="191"/>
      <x:c r="F37" s="191"/>
      <x:c r="G37" s="191"/>
    </x:row>
    <x:row r="38">
      <x:c r="A38" s="194"/>
      <x:c r="B38" s="191"/>
      <x:c r="C38" s="191"/>
      <x:c r="D38" s="191"/>
      <x:c r="E38" s="191"/>
      <x:c r="F38" s="191"/>
      <x:c r="G38" s="191"/>
    </x:row>
    <x:row r="39">
      <x:c r="A39" s="194"/>
      <x:c r="B39" s="191"/>
      <x:c r="C39" s="191"/>
      <x:c r="D39" s="191"/>
      <x:c r="E39" s="191"/>
      <x:c r="F39" s="191"/>
      <x:c r="G39" s="191"/>
    </x:row>
    <x:row r="40">
      <x:c r="A40" s="194"/>
      <x:c r="B40" s="191"/>
      <x:c r="C40" s="191"/>
      <x:c r="D40" s="191"/>
      <x:c r="E40" s="191"/>
      <x:c r="F40" s="191"/>
      <x:c r="G40" s="191"/>
    </x:row>
    <x:row r="41">
      <x:c r="A41" s="194"/>
      <x:c r="B41" s="191"/>
      <x:c r="C41" s="191"/>
      <x:c r="D41" s="191"/>
      <x:c r="E41" s="191"/>
      <x:c r="F41" s="191"/>
      <x:c r="G41" s="191"/>
    </x:row>
    <x:row r="42">
      <x:c r="A42" s="194"/>
      <x:c r="B42" s="191"/>
      <x:c r="C42" s="191"/>
      <x:c r="D42" s="191"/>
      <x:c r="E42" s="191"/>
      <x:c r="F42" s="191"/>
      <x:c r="G42" s="191"/>
    </x:row>
    <x:row r="43">
      <x:c r="A43" s="194"/>
      <x:c r="B43" s="191"/>
      <x:c r="C43" s="191"/>
      <x:c r="D43" s="191"/>
      <x:c r="E43" s="191"/>
      <x:c r="F43" s="191"/>
      <x:c r="G43" s="191"/>
    </x:row>
    <x:row r="44">
      <x:c r="A44" s="194"/>
      <x:c r="B44" s="191"/>
      <x:c r="C44" s="191"/>
      <x:c r="D44" s="191"/>
      <x:c r="E44" s="191"/>
      <x:c r="F44" s="191"/>
      <x:c r="G44" s="191"/>
    </x:row>
    <x:row r="45">
      <x:c r="A45" s="194"/>
      <x:c r="B45" s="191"/>
      <x:c r="C45" s="191"/>
      <x:c r="D45" s="191"/>
      <x:c r="E45" s="191"/>
      <x:c r="F45" s="191"/>
      <x:c r="G45" s="191"/>
    </x:row>
    <x:row r="46">
      <x:c r="A46" s="194"/>
      <x:c r="B46" s="191"/>
      <x:c r="C46" s="191"/>
      <x:c r="D46" s="191"/>
      <x:c r="E46" s="191"/>
      <x:c r="F46" s="191"/>
      <x:c r="G46" s="191"/>
    </x:row>
    <x:row r="47">
      <x:c r="A47" s="194"/>
      <x:c r="B47" s="191"/>
      <x:c r="C47" s="191"/>
      <x:c r="D47" s="191"/>
      <x:c r="E47" s="191"/>
      <x:c r="F47" s="191"/>
      <x:c r="G47" s="191"/>
    </x:row>
    <x:row r="48">
      <x:c r="A48" s="194"/>
      <x:c r="B48" s="191"/>
      <x:c r="C48" s="191"/>
      <x:c r="D48" s="191"/>
      <x:c r="E48" s="191"/>
      <x:c r="F48" s="191"/>
      <x:c r="G48" s="191"/>
    </x:row>
    <x:row r="49">
      <x:c r="A49" s="194"/>
      <x:c r="B49" s="191"/>
      <x:c r="C49" s="191"/>
      <x:c r="D49" s="191"/>
      <x:c r="E49" s="191"/>
      <x:c r="F49" s="191"/>
      <x:c r="G49" s="191"/>
    </x:row>
    <x:row r="50">
      <x:c r="A50" s="194"/>
      <x:c r="B50" s="191"/>
      <x:c r="C50" s="191"/>
      <x:c r="D50" s="191"/>
      <x:c r="E50" s="191"/>
      <x:c r="F50" s="191"/>
      <x:c r="G50" s="191"/>
    </x:row>
    <x:row r="51">
      <x:c r="A51" s="194"/>
      <x:c r="B51" s="191"/>
      <x:c r="C51" s="191"/>
      <x:c r="D51" s="191"/>
      <x:c r="E51" s="191"/>
      <x:c r="F51" s="191"/>
      <x:c r="G51" s="191"/>
    </x:row>
    <x:row r="52">
      <x:c r="A52" s="194"/>
      <x:c r="B52" s="191"/>
      <x:c r="C52" s="191"/>
      <x:c r="D52" s="191"/>
      <x:c r="E52" s="191"/>
      <x:c r="F52" s="191"/>
      <x:c r="G52" s="191"/>
    </x:row>
    <x:row r="53">
      <x:c r="A53" s="194"/>
      <x:c r="B53" s="191"/>
      <x:c r="C53" s="191"/>
      <x:c r="D53" s="191"/>
      <x:c r="E53" s="191"/>
      <x:c r="F53" s="191"/>
      <x:c r="G53" s="191"/>
    </x:row>
    <x:row r="54">
      <x:c r="A54" s="194"/>
      <x:c r="B54" s="191"/>
      <x:c r="C54" s="191"/>
      <x:c r="D54" s="191"/>
      <x:c r="E54" s="191"/>
      <x:c r="F54" s="191"/>
      <x:c r="G54" s="191"/>
    </x:row>
    <x:row r="55">
      <x:c r="A55" s="194"/>
      <x:c r="B55" s="191"/>
      <x:c r="C55" s="191"/>
      <x:c r="D55" s="191"/>
      <x:c r="E55" s="191"/>
      <x:c r="F55" s="191"/>
      <x:c r="G55" s="191"/>
    </x:row>
    <x:row r="56">
      <x:c r="A56" s="194"/>
      <x:c r="B56" s="191"/>
      <x:c r="C56" s="191"/>
      <x:c r="D56" s="191"/>
      <x:c r="E56" s="191"/>
      <x:c r="F56" s="191"/>
      <x:c r="G56" s="191"/>
    </x:row>
    <x:row r="57">
      <x:c r="A57" s="194"/>
      <x:c r="B57" s="191"/>
      <x:c r="C57" s="191"/>
      <x:c r="D57" s="191"/>
      <x:c r="E57" s="191"/>
      <x:c r="F57" s="191"/>
      <x:c r="G57" s="191"/>
    </x:row>
    <x:row r="58">
      <x:c r="A58" s="194"/>
      <x:c r="B58" s="191"/>
      <x:c r="C58" s="191"/>
      <x:c r="D58" s="191"/>
      <x:c r="E58" s="191"/>
      <x:c r="F58" s="191"/>
      <x:c r="G58" s="191"/>
    </x:row>
    <x:row r="59">
      <x:c r="A59" s="194"/>
      <x:c r="B59" s="191"/>
      <x:c r="C59" s="191"/>
      <x:c r="D59" s="191"/>
      <x:c r="E59" s="191"/>
      <x:c r="F59" s="191"/>
      <x:c r="G59" s="191"/>
    </x:row>
    <x:row r="60">
      <x:c r="A60" s="194"/>
      <x:c r="B60" s="191"/>
      <x:c r="C60" s="191"/>
      <x:c r="D60" s="191"/>
      <x:c r="E60" s="191"/>
      <x:c r="F60" s="191"/>
      <x:c r="G60" s="191"/>
    </x:row>
    <x:row r="61">
      <x:c r="A61" s="194"/>
      <x:c r="B61" s="191"/>
      <x:c r="C61" s="191"/>
      <x:c r="D61" s="191"/>
      <x:c r="E61" s="191"/>
      <x:c r="F61" s="191"/>
      <x:c r="G61" s="191"/>
    </x:row>
    <x:row r="62">
      <x:c r="A62" s="194"/>
      <x:c r="B62" s="191"/>
      <x:c r="C62" s="191"/>
      <x:c r="D62" s="191"/>
      <x:c r="E62" s="191"/>
      <x:c r="F62" s="191"/>
      <x:c r="G62" s="191"/>
    </x:row>
    <x:row r="63">
      <x:c r="A63" s="194"/>
      <x:c r="B63" s="191"/>
      <x:c r="C63" s="191"/>
      <x:c r="D63" s="191"/>
      <x:c r="E63" s="191"/>
      <x:c r="F63" s="191"/>
      <x:c r="G63" s="191"/>
    </x:row>
    <x:row r="64">
      <x:c r="A64" s="194"/>
      <x:c r="B64" s="191"/>
      <x:c r="C64" s="191"/>
      <x:c r="D64" s="191"/>
      <x:c r="E64" s="191"/>
      <x:c r="F64" s="191"/>
      <x:c r="G64" s="191"/>
    </x:row>
    <x:row r="65">
      <x:c r="A65" s="194"/>
      <x:c r="B65" s="191"/>
      <x:c r="C65" s="191"/>
      <x:c r="D65" s="191"/>
      <x:c r="E65" s="191"/>
      <x:c r="F65" s="191"/>
      <x:c r="G65" s="191"/>
    </x:row>
    <x:row r="66">
      <x:c r="A66" s="194"/>
      <x:c r="B66" s="191"/>
      <x:c r="C66" s="191"/>
      <x:c r="D66" s="191"/>
      <x:c r="E66" s="191"/>
      <x:c r="F66" s="191"/>
      <x:c r="G66" s="191"/>
    </x:row>
    <x:row r="67">
      <x:c r="A67" s="194"/>
      <x:c r="B67" s="191"/>
      <x:c r="C67" s="191"/>
      <x:c r="D67" s="191"/>
      <x:c r="E67" s="191"/>
      <x:c r="F67" s="191"/>
      <x:c r="G67" s="191"/>
    </x:row>
    <x:row r="68">
      <x:c r="A68" s="194"/>
      <x:c r="B68" s="191"/>
      <x:c r="C68" s="191"/>
      <x:c r="D68" s="191"/>
      <x:c r="E68" s="191"/>
      <x:c r="F68" s="191"/>
      <x:c r="G68" s="191"/>
    </x:row>
    <x:row r="69">
      <x:c r="A69" s="194"/>
      <x:c r="B69" s="191"/>
      <x:c r="C69" s="191"/>
      <x:c r="D69" s="191"/>
      <x:c r="E69" s="191"/>
      <x:c r="F69" s="191"/>
      <x:c r="G69" s="191"/>
    </x:row>
    <x:row r="70">
      <x:c r="A70" s="194"/>
      <x:c r="B70" s="191"/>
      <x:c r="C70" s="191"/>
      <x:c r="D70" s="191"/>
      <x:c r="E70" s="191"/>
      <x:c r="F70" s="191"/>
      <x:c r="G70" s="191"/>
    </x:row>
    <x:row r="71">
      <x:c r="A71" s="194"/>
      <x:c r="B71" s="191"/>
      <x:c r="C71" s="191"/>
      <x:c r="D71" s="191"/>
      <x:c r="E71" s="191"/>
      <x:c r="F71" s="191"/>
      <x:c r="G71" s="191"/>
    </x:row>
    <x:row r="72">
      <x:c r="A72" s="194"/>
      <x:c r="B72" s="191"/>
      <x:c r="C72" s="191"/>
      <x:c r="D72" s="191"/>
      <x:c r="E72" s="191"/>
      <x:c r="F72" s="191"/>
      <x:c r="G72" s="191"/>
    </x:row>
    <x:row r="73">
      <x:c r="A73" s="194"/>
      <x:c r="B73" s="191"/>
      <x:c r="C73" s="191"/>
      <x:c r="D73" s="191"/>
      <x:c r="E73" s="191"/>
      <x:c r="F73" s="191"/>
      <x:c r="G73" s="191"/>
    </x:row>
    <x:row r="74">
      <x:c r="A74" s="194"/>
      <x:c r="B74" s="191"/>
      <x:c r="C74" s="191"/>
      <x:c r="D74" s="191"/>
      <x:c r="E74" s="191"/>
      <x:c r="F74" s="191"/>
      <x:c r="G74" s="191"/>
    </x:row>
    <x:row r="75">
      <x:c r="A75" s="194"/>
      <x:c r="B75" s="191"/>
      <x:c r="C75" s="191"/>
      <x:c r="D75" s="191"/>
      <x:c r="E75" s="191"/>
      <x:c r="F75" s="191"/>
      <x:c r="G75" s="191"/>
    </x:row>
    <x:row r="76">
      <x:c r="A76" s="194"/>
      <x:c r="B76" s="191"/>
      <x:c r="C76" s="191"/>
      <x:c r="D76" s="191"/>
      <x:c r="E76" s="191"/>
      <x:c r="F76" s="191"/>
      <x:c r="G76" s="191"/>
    </x:row>
    <x:row r="77">
      <x:c r="A77" s="194"/>
      <x:c r="B77" s="191"/>
      <x:c r="C77" s="191"/>
      <x:c r="D77" s="191"/>
      <x:c r="E77" s="191"/>
      <x:c r="F77" s="191"/>
      <x:c r="G77" s="191"/>
    </x:row>
    <x:row r="78">
      <x:c r="A78" s="194"/>
      <x:c r="B78" s="191"/>
      <x:c r="C78" s="191"/>
      <x:c r="D78" s="191"/>
      <x:c r="E78" s="191"/>
      <x:c r="F78" s="191"/>
      <x:c r="G78" s="191"/>
    </x:row>
    <x:row r="79">
      <x:c r="A79" s="194"/>
      <x:c r="B79" s="191"/>
      <x:c r="C79" s="191"/>
      <x:c r="D79" s="191"/>
      <x:c r="E79" s="191"/>
      <x:c r="F79" s="191"/>
      <x:c r="G79" s="191"/>
    </x:row>
    <x:row r="80">
      <x:c r="A80" s="194"/>
      <x:c r="B80" s="191"/>
      <x:c r="C80" s="191"/>
      <x:c r="D80" s="191"/>
      <x:c r="E80" s="191"/>
      <x:c r="F80" s="191"/>
      <x:c r="G80" s="191"/>
    </x:row>
    <x:row r="81">
      <x:c r="A81" s="194"/>
      <x:c r="B81" s="191"/>
      <x:c r="C81" s="191"/>
      <x:c r="D81" s="191"/>
      <x:c r="E81" s="191"/>
      <x:c r="F81" s="191"/>
      <x:c r="G81" s="191"/>
    </x:row>
    <x:row r="82">
      <x:c r="A82" s="194"/>
      <x:c r="B82" s="191"/>
      <x:c r="C82" s="191"/>
      <x:c r="D82" s="191"/>
      <x:c r="E82" s="191"/>
      <x:c r="F82" s="191"/>
      <x:c r="G82" s="191"/>
    </x:row>
    <x:row r="83">
      <x:c r="A83" s="194"/>
      <x:c r="B83" s="191"/>
      <x:c r="C83" s="191"/>
      <x:c r="D83" s="191"/>
      <x:c r="E83" s="191"/>
      <x:c r="F83" s="191"/>
      <x:c r="G83" s="191"/>
    </x:row>
    <x:row r="84">
      <x:c r="A84" s="194"/>
      <x:c r="B84" s="191"/>
      <x:c r="C84" s="191"/>
      <x:c r="D84" s="191"/>
      <x:c r="E84" s="191"/>
      <x:c r="F84" s="191"/>
      <x:c r="G84" s="191"/>
    </x:row>
    <x:row r="85">
      <x:c r="A85" s="194"/>
      <x:c r="B85" s="191"/>
      <x:c r="C85" s="191"/>
      <x:c r="D85" s="191"/>
      <x:c r="E85" s="191"/>
      <x:c r="F85" s="191"/>
      <x:c r="G85" s="191"/>
    </x:row>
    <x:row r="86">
      <x:c r="A86" s="194"/>
      <x:c r="B86" s="191"/>
      <x:c r="C86" s="191"/>
      <x:c r="D86" s="191"/>
      <x:c r="E86" s="191"/>
      <x:c r="F86" s="191"/>
      <x:c r="G86" s="191"/>
    </x:row>
    <x:row r="87">
      <x:c r="A87" s="194"/>
      <x:c r="B87" s="191"/>
      <x:c r="C87" s="191"/>
      <x:c r="D87" s="191"/>
      <x:c r="E87" s="191"/>
      <x:c r="F87" s="191"/>
      <x:c r="G87" s="191"/>
    </x:row>
    <x:row r="88">
      <x:c r="A88" s="194"/>
      <x:c r="B88" s="191"/>
      <x:c r="C88" s="191"/>
      <x:c r="D88" s="191"/>
      <x:c r="E88" s="191"/>
      <x:c r="F88" s="191"/>
      <x:c r="G88" s="191"/>
    </x:row>
    <x:row r="89">
      <x:c r="A89" s="194"/>
      <x:c r="B89" s="191"/>
      <x:c r="C89" s="191"/>
      <x:c r="D89" s="191"/>
      <x:c r="E89" s="191"/>
      <x:c r="F89" s="191"/>
      <x:c r="G89" s="191"/>
    </x:row>
    <x:row r="90">
      <x:c r="A90" s="194"/>
      <x:c r="B90" s="191"/>
      <x:c r="C90" s="191"/>
      <x:c r="D90" s="191"/>
      <x:c r="E90" s="191"/>
      <x:c r="F90" s="191"/>
      <x:c r="G90" s="191"/>
    </x:row>
    <x:row r="91">
      <x:c r="A91" s="194"/>
      <x:c r="B91" s="191"/>
      <x:c r="C91" s="191"/>
      <x:c r="D91" s="191"/>
      <x:c r="E91" s="191"/>
      <x:c r="F91" s="191"/>
      <x:c r="G91" s="191"/>
    </x:row>
    <x:row r="92">
      <x:c r="A92" s="194"/>
      <x:c r="B92" s="191"/>
      <x:c r="C92" s="191"/>
      <x:c r="D92" s="191"/>
      <x:c r="E92" s="191"/>
      <x:c r="F92" s="191"/>
      <x:c r="G92" s="191"/>
    </x:row>
    <x:row r="93">
      <x:c r="A93" s="194"/>
      <x:c r="B93" s="191"/>
      <x:c r="C93" s="191"/>
      <x:c r="D93" s="191"/>
      <x:c r="E93" s="191"/>
      <x:c r="F93" s="191"/>
      <x:c r="G93" s="191"/>
    </x:row>
    <x:row r="94">
      <x:c r="A94" s="194"/>
      <x:c r="B94" s="191"/>
      <x:c r="C94" s="191"/>
      <x:c r="D94" s="191"/>
      <x:c r="E94" s="191"/>
      <x:c r="F94" s="191"/>
      <x:c r="G94" s="191"/>
    </x:row>
    <x:row r="95">
      <x:c r="A95" s="194"/>
      <x:c r="B95" s="191"/>
      <x:c r="C95" s="191"/>
      <x:c r="D95" s="191"/>
      <x:c r="E95" s="191"/>
      <x:c r="F95" s="191"/>
      <x:c r="G95" s="191"/>
    </x:row>
    <x:row r="96">
      <x:c r="A96" s="194"/>
      <x:c r="B96" s="191"/>
      <x:c r="C96" s="191"/>
      <x:c r="D96" s="191"/>
      <x:c r="E96" s="191"/>
      <x:c r="F96" s="191"/>
      <x:c r="G96" s="191"/>
    </x:row>
    <x:row r="97">
      <x:c r="A97" s="194"/>
      <x:c r="B97" s="191"/>
      <x:c r="C97" s="191"/>
      <x:c r="D97" s="191"/>
      <x:c r="E97" s="191"/>
      <x:c r="F97" s="191"/>
      <x:c r="G97" s="191"/>
    </x:row>
    <x:row r="98">
      <x:c r="A98" s="194"/>
      <x:c r="B98" s="191"/>
      <x:c r="C98" s="191"/>
      <x:c r="D98" s="191"/>
      <x:c r="E98" s="191"/>
      <x:c r="F98" s="191"/>
      <x:c r="G98" s="191"/>
    </x:row>
    <x:row r="99">
      <x:c r="A99" s="194"/>
      <x:c r="B99" s="191"/>
      <x:c r="C99" s="191"/>
      <x:c r="D99" s="191"/>
      <x:c r="E99" s="191"/>
      <x:c r="F99" s="191"/>
      <x:c r="G99" s="191"/>
    </x:row>
    <x:row r="100">
      <x:c r="A100" s="194"/>
      <x:c r="B100" s="191"/>
      <x:c r="C100" s="191"/>
      <x:c r="D100" s="191"/>
      <x:c r="E100" s="191"/>
      <x:c r="F100" s="191"/>
      <x:c r="G100" s="191"/>
    </x:row>
    <x:row r="101">
      <x:c r="A101" s="194"/>
      <x:c r="B101" s="191"/>
      <x:c r="C101" s="191"/>
      <x:c r="D101" s="191"/>
      <x:c r="E101" s="191"/>
      <x:c r="F101" s="191"/>
      <x:c r="G101" s="191"/>
    </x:row>
    <x:row r="102">
      <x:c r="A102" s="194"/>
      <x:c r="B102" s="191"/>
      <x:c r="C102" s="191"/>
      <x:c r="D102" s="191"/>
      <x:c r="E102" s="191"/>
      <x:c r="F102" s="191"/>
      <x:c r="G102" s="191"/>
    </x:row>
    <x:row r="103">
      <x:c r="A103" s="194"/>
      <x:c r="B103" s="191"/>
      <x:c r="C103" s="191"/>
      <x:c r="D103" s="191"/>
      <x:c r="E103" s="191"/>
      <x:c r="F103" s="191"/>
      <x:c r="G103" s="191"/>
    </x:row>
    <x:row r="104">
      <x:c r="A104" s="194"/>
      <x:c r="B104" s="191"/>
      <x:c r="C104" s="191"/>
      <x:c r="D104" s="191"/>
      <x:c r="E104" s="191"/>
      <x:c r="F104" s="191"/>
      <x:c r="G104" s="191"/>
    </x:row>
    <x:row r="105">
      <x:c r="A105" s="194"/>
      <x:c r="B105" s="191"/>
      <x:c r="C105" s="191"/>
      <x:c r="D105" s="191"/>
      <x:c r="E105" s="191"/>
      <x:c r="F105" s="191"/>
      <x:c r="G105" s="191"/>
    </x:row>
    <x:row r="106">
      <x:c r="A106" s="194"/>
      <x:c r="B106" s="191"/>
      <x:c r="C106" s="191"/>
      <x:c r="D106" s="191"/>
      <x:c r="E106" s="191"/>
      <x:c r="F106" s="191"/>
      <x:c r="G106" s="191"/>
    </x:row>
    <x:row r="107">
      <x:c r="A107" s="194"/>
      <x:c r="B107" s="191"/>
      <x:c r="C107" s="191"/>
      <x:c r="D107" s="191"/>
      <x:c r="E107" s="191"/>
      <x:c r="F107" s="191"/>
      <x:c r="G107" s="191"/>
    </x:row>
    <x:row r="108">
      <x:c r="A108" s="194"/>
      <x:c r="B108" s="191"/>
      <x:c r="C108" s="191"/>
      <x:c r="D108" s="191"/>
      <x:c r="E108" s="191"/>
      <x:c r="F108" s="191"/>
      <x:c r="G108" s="191"/>
    </x:row>
    <x:row r="109">
      <x:c r="A109" s="194"/>
      <x:c r="B109" s="191"/>
      <x:c r="C109" s="191"/>
      <x:c r="D109" s="191"/>
      <x:c r="E109" s="191"/>
      <x:c r="F109" s="191"/>
      <x:c r="G109" s="191"/>
    </x:row>
    <x:row r="110">
      <x:c r="A110" s="194"/>
      <x:c r="B110" s="191"/>
      <x:c r="C110" s="191"/>
      <x:c r="D110" s="191"/>
      <x:c r="E110" s="191"/>
      <x:c r="F110" s="191"/>
      <x:c r="G110" s="191"/>
    </x:row>
    <x:row r="111">
      <x:c r="A111" s="194"/>
      <x:c r="B111" s="191"/>
      <x:c r="C111" s="191"/>
      <x:c r="D111" s="191"/>
      <x:c r="E111" s="191"/>
      <x:c r="F111" s="191"/>
      <x:c r="G111" s="191"/>
    </x:row>
    <x:row r="112">
      <x:c r="A112" s="194"/>
      <x:c r="B112" s="191"/>
      <x:c r="C112" s="191"/>
      <x:c r="D112" s="191"/>
      <x:c r="E112" s="191"/>
      <x:c r="F112" s="191"/>
      <x:c r="G112" s="191"/>
    </x:row>
    <x:row r="113">
      <x:c r="A113" s="194"/>
      <x:c r="B113" s="191"/>
      <x:c r="C113" s="191"/>
      <x:c r="D113" s="191"/>
      <x:c r="E113" s="191"/>
      <x:c r="F113" s="191"/>
      <x:c r="G113" s="191"/>
    </x:row>
    <x:row r="114">
      <x:c r="A114" s="194"/>
      <x:c r="B114" s="191"/>
      <x:c r="C114" s="191"/>
      <x:c r="D114" s="191"/>
      <x:c r="E114" s="191"/>
      <x:c r="F114" s="191"/>
      <x:c r="G114" s="191"/>
    </x:row>
    <x:row r="115">
      <x:c r="A115" s="194"/>
      <x:c r="B115" s="191"/>
      <x:c r="C115" s="191"/>
      <x:c r="D115" s="191"/>
      <x:c r="E115" s="191"/>
      <x:c r="F115" s="191"/>
      <x:c r="G115" s="191"/>
    </x:row>
    <x:row r="116">
      <x:c r="A116" s="194"/>
      <x:c r="B116" s="191"/>
      <x:c r="C116" s="191"/>
      <x:c r="D116" s="191"/>
      <x:c r="E116" s="191"/>
      <x:c r="F116" s="191"/>
      <x:c r="G116" s="191"/>
    </x:row>
    <x:row r="117">
      <x:c r="A117" s="194"/>
      <x:c r="B117" s="191"/>
      <x:c r="C117" s="191"/>
      <x:c r="D117" s="191"/>
      <x:c r="E117" s="191"/>
      <x:c r="F117" s="191"/>
      <x:c r="G117" s="191"/>
    </x:row>
    <x:row r="118">
      <x:c r="A118" s="194"/>
      <x:c r="B118" s="191"/>
      <x:c r="C118" s="191"/>
      <x:c r="D118" s="191"/>
      <x:c r="E118" s="191"/>
      <x:c r="F118" s="191"/>
      <x:c r="G118" s="191"/>
    </x:row>
    <x:row r="119">
      <x:c r="A119" s="194"/>
      <x:c r="B119" s="191"/>
      <x:c r="C119" s="191"/>
      <x:c r="D119" s="191"/>
      <x:c r="E119" s="191"/>
      <x:c r="F119" s="191"/>
      <x:c r="G119" s="191"/>
    </x:row>
    <x:row r="120">
      <x:c r="A120" s="194"/>
      <x:c r="B120" s="191"/>
      <x:c r="C120" s="191"/>
      <x:c r="D120" s="191"/>
      <x:c r="E120" s="191"/>
      <x:c r="F120" s="191"/>
      <x:c r="G120" s="191"/>
    </x:row>
    <x:row r="121">
      <x:c r="A121" s="194"/>
      <x:c r="B121" s="191"/>
      <x:c r="C121" s="191"/>
      <x:c r="D121" s="191"/>
      <x:c r="E121" s="191"/>
      <x:c r="F121" s="191"/>
      <x:c r="G121" s="191"/>
    </x:row>
    <x:row r="122">
      <x:c r="A122" s="194"/>
      <x:c r="B122" s="191"/>
      <x:c r="C122" s="191"/>
      <x:c r="D122" s="191"/>
      <x:c r="E122" s="191"/>
      <x:c r="F122" s="191"/>
      <x:c r="G122" s="191"/>
    </x:row>
    <x:row r="123">
      <x:c r="A123" s="194"/>
      <x:c r="B123" s="191"/>
      <x:c r="C123" s="191"/>
      <x:c r="D123" s="191"/>
      <x:c r="E123" s="191"/>
      <x:c r="F123" s="191"/>
      <x:c r="G123" s="191"/>
    </x:row>
    <x:row r="124">
      <x:c r="A124" s="194"/>
      <x:c r="B124" s="191"/>
      <x:c r="C124" s="191"/>
      <x:c r="D124" s="191"/>
      <x:c r="E124" s="191"/>
      <x:c r="F124" s="191"/>
      <x:c r="G124" s="191"/>
    </x:row>
    <x:row r="125">
      <x:c r="A125" s="194"/>
      <x:c r="B125" s="191"/>
      <x:c r="C125" s="191"/>
      <x:c r="D125" s="191"/>
      <x:c r="E125" s="191"/>
      <x:c r="F125" s="191"/>
      <x:c r="G125" s="191"/>
    </x:row>
    <x:row r="126">
      <x:c r="A126" s="194"/>
      <x:c r="B126" s="191"/>
      <x:c r="C126" s="191"/>
      <x:c r="D126" s="191"/>
      <x:c r="E126" s="191"/>
      <x:c r="F126" s="191"/>
      <x:c r="G126" s="191"/>
    </x:row>
    <x:row r="127">
      <x:c r="A127" s="194"/>
      <x:c r="B127" s="191"/>
      <x:c r="C127" s="191"/>
      <x:c r="D127" s="191"/>
      <x:c r="E127" s="191"/>
      <x:c r="F127" s="191"/>
      <x:c r="G127" s="191"/>
    </x:row>
    <x:row r="128">
      <x:c r="A128" s="194"/>
      <x:c r="B128" s="191"/>
      <x:c r="C128" s="191"/>
      <x:c r="D128" s="191"/>
      <x:c r="E128" s="191"/>
      <x:c r="F128" s="191"/>
      <x:c r="G128" s="191"/>
    </x:row>
    <x:row r="129">
      <x:c r="A129" s="194"/>
      <x:c r="B129" s="191"/>
      <x:c r="C129" s="191"/>
      <x:c r="D129" s="191"/>
      <x:c r="E129" s="191"/>
      <x:c r="F129" s="191"/>
      <x:c r="G129" s="191"/>
    </x:row>
    <x:row r="130">
      <x:c r="A130" s="194"/>
      <x:c r="B130" s="191"/>
      <x:c r="C130" s="191"/>
      <x:c r="D130" s="191"/>
      <x:c r="E130" s="191"/>
      <x:c r="F130" s="191"/>
      <x:c r="G130" s="191"/>
    </x:row>
    <x:row r="131">
      <x:c r="A131" s="194"/>
      <x:c r="B131" s="191"/>
      <x:c r="C131" s="191"/>
      <x:c r="D131" s="191"/>
      <x:c r="E131" s="191"/>
      <x:c r="F131" s="191"/>
      <x:c r="G131" s="191"/>
    </x:row>
    <x:row r="132">
      <x:c r="A132" s="194"/>
      <x:c r="B132" s="191"/>
      <x:c r="C132" s="191"/>
      <x:c r="D132" s="191"/>
      <x:c r="E132" s="191"/>
      <x:c r="F132" s="191"/>
      <x:c r="G132" s="191"/>
    </x:row>
    <x:row r="133">
      <x:c r="A133" s="194"/>
      <x:c r="B133" s="191"/>
      <x:c r="C133" s="191"/>
      <x:c r="D133" s="191"/>
      <x:c r="E133" s="191"/>
      <x:c r="F133" s="191"/>
      <x:c r="G133" s="191"/>
    </x:row>
    <x:row r="134">
      <x:c r="A134" s="194"/>
      <x:c r="B134" s="191"/>
      <x:c r="C134" s="191"/>
      <x:c r="D134" s="191"/>
      <x:c r="E134" s="191"/>
      <x:c r="F134" s="191"/>
      <x:c r="G134" s="191"/>
    </x:row>
    <x:row r="135">
      <x:c r="A135" s="194"/>
      <x:c r="B135" s="191"/>
      <x:c r="C135" s="191"/>
      <x:c r="D135" s="191"/>
      <x:c r="E135" s="191"/>
      <x:c r="F135" s="191"/>
      <x:c r="G135" s="191"/>
    </x:row>
    <x:row r="136">
      <x:c r="A136" s="194"/>
      <x:c r="B136" s="191"/>
      <x:c r="C136" s="191"/>
      <x:c r="D136" s="191"/>
      <x:c r="E136" s="191"/>
      <x:c r="F136" s="191"/>
      <x:c r="G136" s="191"/>
    </x:row>
    <x:row r="137">
      <x:c r="A137" s="194"/>
      <x:c r="B137" s="191"/>
      <x:c r="C137" s="191"/>
      <x:c r="D137" s="191"/>
      <x:c r="E137" s="191"/>
      <x:c r="F137" s="191"/>
      <x:c r="G137" s="191"/>
    </x:row>
    <x:row r="138">
      <x:c r="A138" s="194"/>
      <x:c r="B138" s="191"/>
      <x:c r="C138" s="191"/>
      <x:c r="D138" s="191"/>
      <x:c r="E138" s="191"/>
      <x:c r="F138" s="191"/>
      <x:c r="G138" s="191"/>
    </x:row>
    <x:row r="139">
      <x:c r="A139" s="194"/>
      <x:c r="B139" s="191"/>
      <x:c r="C139" s="191"/>
      <x:c r="D139" s="191"/>
      <x:c r="E139" s="191"/>
      <x:c r="F139" s="191"/>
      <x:c r="G139" s="191"/>
    </x:row>
    <x:row r="140">
      <x:c r="A140" s="194"/>
      <x:c r="B140" s="191"/>
      <x:c r="C140" s="191"/>
      <x:c r="D140" s="191"/>
      <x:c r="E140" s="191"/>
      <x:c r="F140" s="191"/>
      <x:c r="G140" s="191"/>
    </x:row>
    <x:row r="141">
      <x:c r="A141" s="194"/>
      <x:c r="B141" s="191"/>
      <x:c r="C141" s="191"/>
      <x:c r="D141" s="191"/>
      <x:c r="E141" s="191"/>
      <x:c r="F141" s="191"/>
      <x:c r="G141" s="191"/>
    </x:row>
    <x:row r="142">
      <x:c r="A142" s="194"/>
      <x:c r="B142" s="191"/>
      <x:c r="C142" s="191"/>
      <x:c r="D142" s="191"/>
      <x:c r="E142" s="191"/>
      <x:c r="F142" s="191"/>
      <x:c r="G142" s="191"/>
    </x:row>
    <x:row r="143">
      <x:c r="A143" s="194"/>
      <x:c r="B143" s="191"/>
      <x:c r="C143" s="191"/>
      <x:c r="D143" s="191"/>
      <x:c r="E143" s="191"/>
      <x:c r="F143" s="191"/>
      <x:c r="G143" s="191"/>
    </x:row>
    <x:row r="144">
      <x:c r="A144" s="194"/>
      <x:c r="B144" s="191"/>
      <x:c r="C144" s="191"/>
      <x:c r="D144" s="191"/>
      <x:c r="E144" s="191"/>
      <x:c r="F144" s="191"/>
      <x:c r="G144" s="191"/>
    </x:row>
    <x:row r="145">
      <x:c r="A145" s="194"/>
      <x:c r="B145" s="191"/>
      <x:c r="C145" s="191"/>
      <x:c r="D145" s="191"/>
      <x:c r="E145" s="191"/>
      <x:c r="F145" s="191"/>
      <x:c r="G145" s="191"/>
    </x:row>
    <x:row r="146">
      <x:c r="A146" s="194"/>
      <x:c r="B146" s="191"/>
      <x:c r="C146" s="191"/>
      <x:c r="D146" s="191"/>
      <x:c r="E146" s="191"/>
      <x:c r="F146" s="191"/>
      <x:c r="G146" s="191"/>
    </x:row>
    <x:row r="147">
      <x:c r="A147" s="194"/>
      <x:c r="B147" s="191"/>
      <x:c r="C147" s="191"/>
      <x:c r="D147" s="191"/>
      <x:c r="E147" s="191"/>
      <x:c r="F147" s="191"/>
      <x:c r="G147" s="191"/>
    </x:row>
    <x:row r="148">
      <x:c r="A148" s="194"/>
      <x:c r="B148" s="191"/>
      <x:c r="C148" s="191"/>
      <x:c r="D148" s="191"/>
      <x:c r="E148" s="191"/>
      <x:c r="F148" s="191"/>
      <x:c r="G148" s="191"/>
    </x:row>
    <x:row r="149">
      <x:c r="A149" s="194"/>
      <x:c r="B149" s="191"/>
      <x:c r="C149" s="191"/>
      <x:c r="D149" s="191"/>
      <x:c r="E149" s="191"/>
      <x:c r="F149" s="191"/>
      <x:c r="G149" s="191"/>
    </x:row>
    <x:row r="150">
      <x:c r="A150" s="194"/>
      <x:c r="B150" s="191"/>
      <x:c r="C150" s="191"/>
      <x:c r="D150" s="191"/>
      <x:c r="E150" s="191"/>
      <x:c r="F150" s="191"/>
      <x:c r="G150" s="191"/>
    </x:row>
    <x:row r="151">
      <x:c r="A151" s="194"/>
      <x:c r="B151" s="191"/>
      <x:c r="C151" s="191"/>
      <x:c r="D151" s="191"/>
      <x:c r="E151" s="191"/>
      <x:c r="F151" s="191"/>
      <x:c r="G151" s="191"/>
    </x:row>
    <x:row r="152">
      <x:c r="A152" s="194"/>
      <x:c r="B152" s="191"/>
      <x:c r="C152" s="191"/>
      <x:c r="D152" s="191"/>
      <x:c r="E152" s="191"/>
      <x:c r="F152" s="191"/>
      <x:c r="G152" s="191"/>
    </x:row>
    <x:row r="153">
      <x:c r="A153" s="194"/>
      <x:c r="B153" s="191"/>
      <x:c r="C153" s="191"/>
      <x:c r="D153" s="191"/>
      <x:c r="E153" s="191"/>
      <x:c r="F153" s="191"/>
      <x:c r="G153" s="191"/>
    </x:row>
    <x:row r="154">
      <x:c r="A154" s="194"/>
      <x:c r="B154" s="191"/>
      <x:c r="C154" s="191"/>
      <x:c r="D154" s="191"/>
      <x:c r="E154" s="191"/>
      <x:c r="F154" s="191"/>
      <x:c r="G154" s="191"/>
    </x:row>
    <x:row r="155">
      <x:c r="A155" s="194"/>
      <x:c r="B155" s="191"/>
      <x:c r="C155" s="191"/>
      <x:c r="D155" s="191"/>
      <x:c r="E155" s="191"/>
      <x:c r="F155" s="191"/>
      <x:c r="G155" s="191"/>
    </x:row>
    <x:row r="156">
      <x:c r="A156" s="194"/>
      <x:c r="B156" s="191"/>
      <x:c r="C156" s="191"/>
      <x:c r="D156" s="191"/>
      <x:c r="E156" s="191"/>
      <x:c r="F156" s="191"/>
      <x:c r="G156" s="191"/>
    </x:row>
    <x:row r="157">
      <x:c r="A157" s="194"/>
      <x:c r="B157" s="191"/>
      <x:c r="C157" s="191"/>
      <x:c r="D157" s="191"/>
      <x:c r="E157" s="191"/>
      <x:c r="F157" s="191"/>
      <x:c r="G157" s="191"/>
    </x:row>
    <x:row r="158">
      <x:c r="A158" s="194"/>
      <x:c r="B158" s="191"/>
      <x:c r="C158" s="191"/>
      <x:c r="D158" s="191"/>
      <x:c r="E158" s="191"/>
      <x:c r="F158" s="191"/>
      <x:c r="G158" s="191"/>
    </x:row>
    <x:row r="159">
      <x:c r="A159" s="194"/>
      <x:c r="B159" s="191"/>
      <x:c r="C159" s="191"/>
      <x:c r="D159" s="191"/>
      <x:c r="E159" s="191"/>
      <x:c r="F159" s="191"/>
      <x:c r="G159" s="191"/>
    </x:row>
    <x:row r="160">
      <x:c r="A160" s="194"/>
      <x:c r="B160" s="191"/>
      <x:c r="C160" s="191"/>
      <x:c r="D160" s="191"/>
      <x:c r="E160" s="191"/>
      <x:c r="F160" s="191"/>
      <x:c r="G160" s="191"/>
    </x:row>
    <x:row r="161">
      <x:c r="A161" s="194"/>
      <x:c r="B161" s="191"/>
      <x:c r="C161" s="191"/>
      <x:c r="D161" s="191"/>
      <x:c r="E161" s="191"/>
      <x:c r="F161" s="191"/>
      <x:c r="G161" s="191"/>
    </x:row>
    <x:row r="162">
      <x:c r="A162" s="194"/>
      <x:c r="B162" s="191"/>
      <x:c r="C162" s="191"/>
      <x:c r="D162" s="191"/>
      <x:c r="E162" s="191"/>
      <x:c r="F162" s="191"/>
      <x:c r="G162" s="191"/>
    </x:row>
    <x:row r="163">
      <x:c r="A163" s="194"/>
      <x:c r="B163" s="191"/>
      <x:c r="C163" s="191"/>
      <x:c r="D163" s="191"/>
      <x:c r="E163" s="191"/>
      <x:c r="F163" s="191"/>
      <x:c r="G163" s="191"/>
    </x:row>
    <x:row r="164">
      <x:c r="A164" s="194"/>
      <x:c r="B164" s="191"/>
      <x:c r="C164" s="191"/>
      <x:c r="D164" s="191"/>
      <x:c r="E164" s="191"/>
      <x:c r="F164" s="191"/>
      <x:c r="G164" s="191"/>
    </x:row>
    <x:row r="165">
      <x:c r="A165" s="194"/>
      <x:c r="B165" s="191"/>
      <x:c r="C165" s="191"/>
      <x:c r="D165" s="191"/>
      <x:c r="E165" s="191"/>
      <x:c r="F165" s="191"/>
      <x:c r="G165" s="191"/>
    </x:row>
    <x:row r="166">
      <x:c r="A166" s="194"/>
      <x:c r="B166" s="191"/>
      <x:c r="C166" s="191"/>
      <x:c r="D166" s="191"/>
      <x:c r="E166" s="191"/>
      <x:c r="F166" s="191"/>
      <x:c r="G166" s="191"/>
    </x:row>
    <x:row r="167">
      <x:c r="A167" s="194"/>
      <x:c r="B167" s="191"/>
      <x:c r="C167" s="191"/>
      <x:c r="D167" s="191"/>
      <x:c r="E167" s="191"/>
      <x:c r="F167" s="191"/>
      <x:c r="G167" s="191"/>
    </x:row>
    <x:row r="168">
      <x:c r="A168" s="194"/>
      <x:c r="B168" s="191"/>
      <x:c r="C168" s="191"/>
      <x:c r="D168" s="191"/>
      <x:c r="E168" s="191"/>
      <x:c r="F168" s="191"/>
      <x:c r="G168" s="191"/>
    </x:row>
    <x:row r="169">
      <x:c r="A169" s="194"/>
      <x:c r="B169" s="191"/>
      <x:c r="C169" s="191"/>
      <x:c r="D169" s="191"/>
      <x:c r="E169" s="191"/>
      <x:c r="F169" s="191"/>
      <x:c r="G169" s="191"/>
    </x:row>
    <x:row r="170">
      <x:c r="A170" s="194"/>
      <x:c r="B170" s="191"/>
      <x:c r="C170" s="191"/>
      <x:c r="D170" s="191"/>
      <x:c r="E170" s="191"/>
      <x:c r="F170" s="191"/>
      <x:c r="G170" s="191"/>
    </x:row>
    <x:row r="171">
      <x:c r="A171" s="194"/>
      <x:c r="B171" s="191"/>
      <x:c r="C171" s="191"/>
      <x:c r="D171" s="191"/>
      <x:c r="E171" s="191"/>
      <x:c r="F171" s="191"/>
      <x:c r="G171" s="191"/>
    </x:row>
    <x:row r="172">
      <x:c r="A172" s="194"/>
      <x:c r="B172" s="191"/>
      <x:c r="C172" s="191"/>
      <x:c r="D172" s="191"/>
      <x:c r="E172" s="191"/>
      <x:c r="F172" s="191"/>
      <x:c r="G172" s="191"/>
    </x:row>
    <x:row r="173">
      <x:c r="A173" s="194"/>
      <x:c r="B173" s="191"/>
      <x:c r="C173" s="191"/>
      <x:c r="D173" s="191"/>
      <x:c r="E173" s="191"/>
      <x:c r="F173" s="191"/>
      <x:c r="G173" s="191"/>
    </x:row>
    <x:row r="174">
      <x:c r="A174" s="194"/>
      <x:c r="B174" s="191"/>
      <x:c r="C174" s="191"/>
      <x:c r="D174" s="191"/>
      <x:c r="E174" s="191"/>
      <x:c r="F174" s="191"/>
      <x:c r="G174" s="191"/>
    </x:row>
    <x:row r="175">
      <x:c r="A175" s="194"/>
      <x:c r="B175" s="191"/>
      <x:c r="C175" s="191"/>
      <x:c r="D175" s="191"/>
      <x:c r="E175" s="191"/>
      <x:c r="F175" s="191"/>
      <x:c r="G175" s="191"/>
    </x:row>
    <x:row r="176">
      <x:c r="A176" s="194"/>
      <x:c r="B176" s="191"/>
      <x:c r="C176" s="191"/>
      <x:c r="D176" s="191"/>
      <x:c r="E176" s="191"/>
      <x:c r="F176" s="191"/>
      <x:c r="G176" s="191"/>
    </x:row>
    <x:row r="177">
      <x:c r="A177" s="194"/>
      <x:c r="B177" s="191"/>
      <x:c r="C177" s="191"/>
      <x:c r="D177" s="191"/>
      <x:c r="E177" s="191"/>
      <x:c r="F177" s="191"/>
      <x:c r="G177" s="191"/>
    </x:row>
    <x:row r="178">
      <x:c r="A178" s="194"/>
      <x:c r="B178" s="191"/>
      <x:c r="C178" s="191"/>
      <x:c r="D178" s="191"/>
      <x:c r="E178" s="191"/>
      <x:c r="F178" s="191"/>
      <x:c r="G178" s="191"/>
    </x:row>
    <x:row r="179">
      <x:c r="A179" s="194"/>
      <x:c r="B179" s="191"/>
      <x:c r="C179" s="191"/>
      <x:c r="D179" s="191"/>
      <x:c r="E179" s="191"/>
      <x:c r="F179" s="191"/>
      <x:c r="G179" s="191"/>
    </x:row>
    <x:row r="180">
      <x:c r="A180" s="194"/>
      <x:c r="B180" s="191"/>
      <x:c r="C180" s="191"/>
      <x:c r="D180" s="191"/>
      <x:c r="E180" s="191"/>
      <x:c r="F180" s="191"/>
      <x:c r="G180" s="191"/>
    </x:row>
    <x:row r="181">
      <x:c r="A181" s="194"/>
      <x:c r="B181" s="191"/>
      <x:c r="C181" s="191"/>
      <x:c r="D181" s="191"/>
      <x:c r="E181" s="191"/>
      <x:c r="F181" s="191"/>
      <x:c r="G181" s="191"/>
    </x:row>
    <x:row r="182">
      <x:c r="A182" s="194"/>
      <x:c r="B182" s="191"/>
      <x:c r="C182" s="191"/>
      <x:c r="D182" s="191"/>
      <x:c r="E182" s="191"/>
      <x:c r="F182" s="191"/>
      <x:c r="G182" s="191"/>
    </x:row>
    <x:row r="183">
      <x:c r="A183" s="194"/>
      <x:c r="B183" s="191"/>
      <x:c r="C183" s="191"/>
      <x:c r="D183" s="191"/>
      <x:c r="E183" s="191"/>
      <x:c r="F183" s="191"/>
      <x:c r="G183" s="191"/>
    </x:row>
    <x:row r="184">
      <x:c r="A184" s="194"/>
      <x:c r="B184" s="191"/>
      <x:c r="C184" s="191"/>
      <x:c r="D184" s="191"/>
      <x:c r="E184" s="191"/>
      <x:c r="F184" s="191"/>
      <x:c r="G184" s="191"/>
    </x:row>
    <x:row r="185">
      <x:c r="A185" s="194"/>
      <x:c r="B185" s="191"/>
      <x:c r="C185" s="191"/>
      <x:c r="D185" s="191"/>
      <x:c r="E185" s="191"/>
      <x:c r="F185" s="191"/>
      <x:c r="G185" s="191"/>
    </x:row>
    <x:row r="186">
      <x:c r="A186" s="194"/>
      <x:c r="B186" s="191"/>
      <x:c r="C186" s="191"/>
      <x:c r="D186" s="191"/>
      <x:c r="E186" s="191"/>
      <x:c r="F186" s="191"/>
      <x:c r="G186" s="191"/>
    </x:row>
    <x:row r="187">
      <x:c r="A187" s="194"/>
      <x:c r="B187" s="191"/>
      <x:c r="C187" s="191"/>
      <x:c r="D187" s="191"/>
      <x:c r="E187" s="191"/>
      <x:c r="F187" s="191"/>
      <x:c r="G187" s="191"/>
    </x:row>
    <x:row r="188">
      <x:c r="A188" s="194"/>
      <x:c r="B188" s="191"/>
      <x:c r="C188" s="191"/>
      <x:c r="D188" s="191"/>
      <x:c r="E188" s="191"/>
      <x:c r="F188" s="191"/>
      <x:c r="G188" s="191"/>
    </x:row>
    <x:row r="189">
      <x:c r="A189" s="194"/>
      <x:c r="B189" s="191"/>
      <x:c r="C189" s="191"/>
      <x:c r="D189" s="191"/>
      <x:c r="E189" s="191"/>
      <x:c r="F189" s="191"/>
      <x:c r="G189" s="191"/>
    </x:row>
    <x:row r="190">
      <x:c r="A190" s="194"/>
      <x:c r="B190" s="191"/>
      <x:c r="C190" s="191"/>
      <x:c r="D190" s="191"/>
      <x:c r="E190" s="191"/>
      <x:c r="F190" s="191"/>
      <x:c r="G190" s="191"/>
    </x:row>
    <x:row r="191">
      <x:c r="A191" s="194"/>
      <x:c r="B191" s="191"/>
      <x:c r="C191" s="191"/>
      <x:c r="D191" s="191"/>
      <x:c r="E191" s="191"/>
      <x:c r="F191" s="191"/>
      <x:c r="G191" s="191"/>
    </x:row>
    <x:row r="192">
      <x:c r="A192" s="194"/>
      <x:c r="B192" s="191"/>
      <x:c r="C192" s="191"/>
      <x:c r="D192" s="191"/>
      <x:c r="E192" s="191"/>
      <x:c r="F192" s="191"/>
      <x:c r="G192" s="191"/>
    </x:row>
    <x:row r="193">
      <x:c r="A193" s="194"/>
      <x:c r="B193" s="191"/>
      <x:c r="C193" s="191"/>
      <x:c r="D193" s="191"/>
      <x:c r="E193" s="191"/>
      <x:c r="F193" s="191"/>
      <x:c r="G193" s="191"/>
    </x:row>
    <x:row r="194">
      <x:c r="A194" s="194"/>
      <x:c r="B194" s="191"/>
      <x:c r="C194" s="191"/>
      <x:c r="D194" s="191"/>
      <x:c r="E194" s="191"/>
      <x:c r="F194" s="191"/>
      <x:c r="G194" s="191"/>
    </x:row>
    <x:row r="195">
      <x:c r="A195" s="194"/>
      <x:c r="B195" s="191"/>
      <x:c r="C195" s="191"/>
      <x:c r="D195" s="191"/>
      <x:c r="E195" s="191"/>
      <x:c r="F195" s="191"/>
      <x:c r="G195" s="191"/>
    </x:row>
    <x:row r="196">
      <x:c r="A196" s="194"/>
      <x:c r="B196" s="191"/>
      <x:c r="C196" s="191"/>
      <x:c r="D196" s="191"/>
      <x:c r="E196" s="191"/>
      <x:c r="F196" s="191"/>
      <x:c r="G196" s="191"/>
    </x:row>
    <x:row r="197">
      <x:c r="A197" s="194"/>
      <x:c r="B197" s="191"/>
      <x:c r="C197" s="191"/>
      <x:c r="D197" s="191"/>
      <x:c r="E197" s="191"/>
      <x:c r="F197" s="191"/>
      <x:c r="G197" s="191"/>
    </x:row>
    <x:row r="198">
      <x:c r="A198" s="194"/>
      <x:c r="B198" s="191"/>
      <x:c r="C198" s="191"/>
      <x:c r="D198" s="191"/>
      <x:c r="E198" s="191"/>
      <x:c r="F198" s="191"/>
      <x:c r="G198" s="191"/>
    </x:row>
    <x:row r="199">
      <x:c r="A199" s="194"/>
      <x:c r="B199" s="191"/>
      <x:c r="C199" s="191"/>
      <x:c r="D199" s="191"/>
      <x:c r="E199" s="191"/>
      <x:c r="F199" s="191"/>
      <x:c r="G199" s="191"/>
    </x:row>
    <x:row r="200">
      <x:c r="A200" s="194"/>
      <x:c r="B200" s="191"/>
      <x:c r="C200" s="191"/>
      <x:c r="D200" s="191"/>
      <x:c r="E200" s="191"/>
      <x:c r="F200" s="191"/>
      <x:c r="G200" s="191"/>
    </x:row>
    <x:row r="201">
      <x:c r="A201" s="194"/>
      <x:c r="B201" s="191"/>
      <x:c r="C201" s="191"/>
      <x:c r="D201" s="191"/>
      <x:c r="E201" s="191"/>
      <x:c r="F201" s="191"/>
      <x:c r="G201" s="191"/>
    </x:row>
    <x:row r="202">
      <x:c r="A202" s="194"/>
      <x:c r="B202" s="191"/>
      <x:c r="C202" s="191"/>
      <x:c r="D202" s="191"/>
      <x:c r="E202" s="191"/>
      <x:c r="F202" s="191"/>
      <x:c r="G202" s="191"/>
    </x:row>
    <x:row r="203">
      <x:c r="A203" s="194"/>
      <x:c r="B203" s="191"/>
      <x:c r="C203" s="191"/>
      <x:c r="D203" s="191"/>
      <x:c r="E203" s="191"/>
      <x:c r="F203" s="191"/>
      <x:c r="G203" s="191"/>
    </x:row>
    <x:row r="204">
      <x:c r="A204" s="194"/>
      <x:c r="B204" s="191"/>
      <x:c r="C204" s="191"/>
      <x:c r="D204" s="191"/>
      <x:c r="E204" s="191"/>
      <x:c r="F204" s="191"/>
      <x:c r="G204" s="191"/>
    </x:row>
    <x:row r="205">
      <x:c r="A205" s="194"/>
      <x:c r="B205" s="191"/>
      <x:c r="C205" s="191"/>
      <x:c r="D205" s="191"/>
      <x:c r="E205" s="191"/>
      <x:c r="F205" s="191"/>
      <x:c r="G205" s="191"/>
    </x:row>
    <x:row r="206">
      <x:c r="A206" s="194"/>
      <x:c r="B206" s="191"/>
      <x:c r="C206" s="191"/>
      <x:c r="D206" s="191"/>
      <x:c r="E206" s="191"/>
      <x:c r="F206" s="191"/>
      <x:c r="G206" s="191"/>
    </x:row>
    <x:row r="207">
      <x:c r="A207" s="194"/>
      <x:c r="B207" s="191"/>
      <x:c r="C207" s="191"/>
      <x:c r="D207" s="191"/>
      <x:c r="E207" s="191"/>
      <x:c r="F207" s="191"/>
      <x:c r="G207" s="191"/>
    </x:row>
    <x:row r="208">
      <x:c r="A208" s="194"/>
      <x:c r="B208" s="191"/>
      <x:c r="C208" s="191"/>
      <x:c r="D208" s="191"/>
      <x:c r="E208" s="191"/>
      <x:c r="F208" s="191"/>
      <x:c r="G208" s="191"/>
    </x:row>
    <x:row r="209">
      <x:c r="A209" s="194"/>
      <x:c r="B209" s="191"/>
      <x:c r="C209" s="191"/>
      <x:c r="D209" s="191"/>
      <x:c r="E209" s="191"/>
      <x:c r="F209" s="191"/>
      <x:c r="G209" s="191"/>
    </x:row>
    <x:row r="210">
      <x:c r="A210" s="194"/>
      <x:c r="B210" s="191"/>
      <x:c r="C210" s="191"/>
      <x:c r="D210" s="191"/>
      <x:c r="E210" s="191"/>
      <x:c r="F210" s="191"/>
      <x:c r="G210" s="191"/>
    </x:row>
    <x:row r="211">
      <x:c r="A211" s="194"/>
      <x:c r="B211" s="191"/>
      <x:c r="C211" s="191"/>
      <x:c r="D211" s="191"/>
      <x:c r="E211" s="191"/>
      <x:c r="F211" s="191"/>
      <x:c r="G211" s="191"/>
    </x:row>
    <x:row r="212">
      <x:c r="A212" s="194"/>
      <x:c r="B212" s="191"/>
      <x:c r="C212" s="191"/>
      <x:c r="D212" s="191"/>
      <x:c r="E212" s="191"/>
      <x:c r="F212" s="191"/>
      <x:c r="G212" s="191"/>
    </x:row>
    <x:row r="213">
      <x:c r="A213" s="194"/>
      <x:c r="B213" s="191"/>
      <x:c r="C213" s="191"/>
      <x:c r="D213" s="191"/>
      <x:c r="E213" s="191"/>
      <x:c r="F213" s="191"/>
      <x:c r="G213" s="191"/>
    </x:row>
    <x:row r="214">
      <x:c r="A214" s="194"/>
      <x:c r="B214" s="191"/>
      <x:c r="C214" s="191"/>
      <x:c r="D214" s="191"/>
      <x:c r="E214" s="191"/>
      <x:c r="F214" s="191"/>
      <x:c r="G214" s="191"/>
    </x:row>
    <x:row r="215">
      <x:c r="A215" s="194"/>
      <x:c r="B215" s="191"/>
      <x:c r="C215" s="191"/>
      <x:c r="D215" s="191"/>
      <x:c r="E215" s="191"/>
      <x:c r="F215" s="191"/>
      <x:c r="G215" s="191"/>
    </x:row>
    <x:row r="216">
      <x:c r="A216" s="194"/>
      <x:c r="B216" s="191"/>
      <x:c r="C216" s="191"/>
      <x:c r="D216" s="191"/>
      <x:c r="E216" s="191"/>
      <x:c r="F216" s="191"/>
      <x:c r="G216" s="191"/>
    </x:row>
    <x:row r="217">
      <x:c r="A217" s="194"/>
      <x:c r="B217" s="191"/>
      <x:c r="C217" s="191"/>
      <x:c r="D217" s="191"/>
      <x:c r="E217" s="191"/>
      <x:c r="F217" s="191"/>
      <x:c r="G217" s="191"/>
    </x:row>
    <x:row r="218">
      <x:c r="A218" s="194"/>
      <x:c r="B218" s="191"/>
      <x:c r="C218" s="191"/>
      <x:c r="D218" s="191"/>
      <x:c r="E218" s="191"/>
      <x:c r="F218" s="191"/>
      <x:c r="G218" s="191"/>
    </x:row>
    <x:row r="219">
      <x:c r="A219" s="194"/>
      <x:c r="B219" s="191"/>
      <x:c r="C219" s="191"/>
      <x:c r="D219" s="191"/>
      <x:c r="E219" s="191"/>
      <x:c r="F219" s="191"/>
      <x:c r="G219" s="191"/>
    </x:row>
    <x:row r="220">
      <x:c r="A220" s="194"/>
      <x:c r="B220" s="191"/>
      <x:c r="C220" s="191"/>
      <x:c r="D220" s="191"/>
      <x:c r="E220" s="191"/>
      <x:c r="F220" s="191"/>
      <x:c r="G220" s="191"/>
    </x:row>
    <x:row r="221">
      <x:c r="A221" s="194"/>
      <x:c r="B221" s="191"/>
      <x:c r="C221" s="191"/>
      <x:c r="D221" s="191"/>
      <x:c r="E221" s="191"/>
      <x:c r="F221" s="191"/>
      <x:c r="G221" s="191"/>
    </x:row>
    <x:row r="222">
      <x:c r="A222" s="194"/>
      <x:c r="B222" s="191"/>
      <x:c r="C222" s="191"/>
      <x:c r="D222" s="191"/>
      <x:c r="E222" s="191"/>
      <x:c r="F222" s="191"/>
      <x:c r="G222" s="191"/>
    </x:row>
    <x:row r="223">
      <x:c r="A223" s="194"/>
      <x:c r="B223" s="191"/>
      <x:c r="C223" s="191"/>
      <x:c r="D223" s="191"/>
      <x:c r="E223" s="191"/>
      <x:c r="F223" s="191"/>
      <x:c r="G223" s="191"/>
    </x:row>
    <x:row r="224">
      <x:c r="A224" s="194"/>
      <x:c r="B224" s="191"/>
      <x:c r="C224" s="191"/>
      <x:c r="D224" s="191"/>
      <x:c r="E224" s="191"/>
      <x:c r="F224" s="191"/>
      <x:c r="G224" s="191"/>
    </x:row>
    <x:row r="225">
      <x:c r="A225" s="194"/>
      <x:c r="B225" s="191"/>
      <x:c r="C225" s="191"/>
      <x:c r="D225" s="191"/>
      <x:c r="E225" s="191"/>
      <x:c r="F225" s="191"/>
      <x:c r="G225" s="191"/>
    </x:row>
    <x:row r="226">
      <x:c r="A226" s="194"/>
      <x:c r="B226" s="191"/>
      <x:c r="C226" s="191"/>
      <x:c r="D226" s="191"/>
      <x:c r="E226" s="191"/>
      <x:c r="F226" s="191"/>
      <x:c r="G226" s="191"/>
    </x:row>
    <x:row r="227">
      <x:c r="A227" s="194"/>
      <x:c r="B227" s="191"/>
      <x:c r="C227" s="191"/>
      <x:c r="D227" s="191"/>
      <x:c r="E227" s="191"/>
      <x:c r="F227" s="191"/>
      <x:c r="G227" s="191"/>
    </x:row>
    <x:row r="228">
      <x:c r="A228" s="194"/>
      <x:c r="B228" s="191"/>
      <x:c r="C228" s="191"/>
      <x:c r="D228" s="191"/>
      <x:c r="E228" s="191"/>
      <x:c r="F228" s="191"/>
      <x:c r="G228" s="191"/>
    </x:row>
    <x:row r="229">
      <x:c r="A229" s="194"/>
      <x:c r="B229" s="191"/>
      <x:c r="C229" s="191"/>
      <x:c r="D229" s="191"/>
      <x:c r="E229" s="191"/>
      <x:c r="F229" s="191"/>
      <x:c r="G229" s="191"/>
    </x:row>
    <x:row r="230">
      <x:c r="A230" s="194"/>
      <x:c r="B230" s="191"/>
      <x:c r="C230" s="191"/>
      <x:c r="D230" s="191"/>
      <x:c r="E230" s="191"/>
      <x:c r="F230" s="191"/>
      <x:c r="G230" s="191"/>
    </x:row>
    <x:row r="231">
      <x:c r="A231" s="194"/>
      <x:c r="B231" s="191"/>
      <x:c r="C231" s="191"/>
      <x:c r="D231" s="191"/>
      <x:c r="E231" s="191"/>
      <x:c r="F231" s="191"/>
      <x:c r="G231" s="191"/>
    </x:row>
    <x:row r="232">
      <x:c r="A232" s="194"/>
      <x:c r="B232" s="191"/>
      <x:c r="C232" s="191"/>
      <x:c r="D232" s="191"/>
      <x:c r="E232" s="191"/>
      <x:c r="F232" s="191"/>
      <x:c r="G232" s="191"/>
    </x:row>
    <x:row r="233">
      <x:c r="A233" s="194"/>
      <x:c r="B233" s="191"/>
      <x:c r="C233" s="191"/>
      <x:c r="D233" s="191"/>
      <x:c r="E233" s="191"/>
      <x:c r="F233" s="191"/>
      <x:c r="G233" s="191"/>
    </x:row>
    <x:row r="234">
      <x:c r="A234" s="194"/>
      <x:c r="B234" s="191"/>
      <x:c r="C234" s="191"/>
      <x:c r="D234" s="191"/>
      <x:c r="E234" s="191"/>
      <x:c r="F234" s="191"/>
      <x:c r="G234" s="191"/>
    </x:row>
    <x:row r="235">
      <x:c r="A235" s="194"/>
      <x:c r="B235" s="191"/>
      <x:c r="C235" s="191"/>
      <x:c r="D235" s="191"/>
      <x:c r="E235" s="191"/>
      <x:c r="F235" s="191"/>
      <x:c r="G235" s="191"/>
    </x:row>
    <x:row r="236">
      <x:c r="A236" s="194"/>
      <x:c r="B236" s="191"/>
      <x:c r="C236" s="191"/>
      <x:c r="D236" s="191"/>
      <x:c r="E236" s="191"/>
      <x:c r="F236" s="191"/>
      <x:c r="G236" s="191"/>
    </x:row>
    <x:row r="237">
      <x:c r="A237" s="194"/>
      <x:c r="B237" s="191"/>
      <x:c r="C237" s="191"/>
      <x:c r="D237" s="191"/>
      <x:c r="E237" s="191"/>
      <x:c r="F237" s="191"/>
      <x:c r="G237" s="191"/>
    </x:row>
    <x:row r="238">
      <x:c r="A238" s="194"/>
      <x:c r="B238" s="191"/>
      <x:c r="C238" s="191"/>
      <x:c r="D238" s="191"/>
      <x:c r="E238" s="191"/>
      <x:c r="F238" s="191"/>
      <x:c r="G238" s="191"/>
    </x:row>
    <x:row r="239">
      <x:c r="A239" s="194"/>
      <x:c r="B239" s="191"/>
      <x:c r="C239" s="191"/>
      <x:c r="D239" s="191"/>
      <x:c r="E239" s="191"/>
      <x:c r="F239" s="191"/>
      <x:c r="G239" s="191"/>
    </x:row>
    <x:row r="240">
      <x:c r="A240" s="194"/>
      <x:c r="B240" s="191"/>
      <x:c r="C240" s="191"/>
      <x:c r="D240" s="191"/>
      <x:c r="E240" s="191"/>
      <x:c r="F240" s="191"/>
      <x:c r="G240" s="191"/>
    </x:row>
    <x:row r="241">
      <x:c r="A241" s="194"/>
      <x:c r="B241" s="191"/>
      <x:c r="C241" s="191"/>
      <x:c r="D241" s="191"/>
      <x:c r="E241" s="191"/>
      <x:c r="F241" s="191"/>
      <x:c r="G241" s="191"/>
    </x:row>
    <x:row r="242">
      <x:c r="A242" s="194"/>
      <x:c r="B242" s="191"/>
      <x:c r="C242" s="191"/>
      <x:c r="D242" s="191"/>
      <x:c r="E242" s="191"/>
      <x:c r="F242" s="191"/>
      <x:c r="G242" s="191"/>
    </x:row>
    <x:row r="243">
      <x:c r="A243" s="194"/>
      <x:c r="B243" s="191"/>
      <x:c r="C243" s="191"/>
      <x:c r="D243" s="191"/>
      <x:c r="E243" s="191"/>
      <x:c r="F243" s="191"/>
      <x:c r="G243" s="191"/>
    </x:row>
    <x:row r="244">
      <x:c r="A244" s="194"/>
      <x:c r="B244" s="191"/>
      <x:c r="C244" s="191"/>
      <x:c r="D244" s="191"/>
      <x:c r="E244" s="191"/>
      <x:c r="F244" s="191"/>
      <x:c r="G244" s="191"/>
    </x:row>
    <x:row r="245">
      <x:c r="A245" s="194"/>
      <x:c r="B245" s="191"/>
      <x:c r="C245" s="191"/>
      <x:c r="D245" s="191"/>
      <x:c r="E245" s="191"/>
      <x:c r="F245" s="191"/>
      <x:c r="G245" s="191"/>
    </x:row>
    <x:row r="246">
      <x:c r="A246" s="194"/>
      <x:c r="B246" s="191"/>
      <x:c r="C246" s="191"/>
      <x:c r="D246" s="191"/>
      <x:c r="E246" s="191"/>
      <x:c r="F246" s="191"/>
      <x:c r="G246" s="191"/>
    </x:row>
    <x:row r="247">
      <x:c r="A247" s="194"/>
      <x:c r="B247" s="191"/>
      <x:c r="C247" s="191"/>
      <x:c r="D247" s="191"/>
      <x:c r="E247" s="191"/>
      <x:c r="F247" s="191"/>
      <x:c r="G247" s="191"/>
    </x:row>
    <x:row r="248">
      <x:c r="A248" s="194"/>
      <x:c r="B248" s="191"/>
      <x:c r="C248" s="191"/>
      <x:c r="D248" s="191"/>
      <x:c r="E248" s="191"/>
      <x:c r="F248" s="191"/>
      <x:c r="G248" s="191"/>
    </x:row>
    <x:row r="249">
      <x:c r="A249" s="194"/>
      <x:c r="B249" s="191"/>
      <x:c r="C249" s="191"/>
      <x:c r="D249" s="191"/>
      <x:c r="E249" s="191"/>
      <x:c r="F249" s="191"/>
      <x:c r="G249" s="191"/>
    </x:row>
    <x:row r="250">
      <x:c r="A250" s="194"/>
      <x:c r="B250" s="191"/>
      <x:c r="C250" s="191"/>
      <x:c r="D250" s="191"/>
      <x:c r="E250" s="191"/>
      <x:c r="F250" s="191"/>
      <x:c r="G250" s="191"/>
    </x:row>
    <x:row r="251">
      <x:c r="A251" s="194"/>
      <x:c r="B251" s="191"/>
      <x:c r="C251" s="191"/>
      <x:c r="D251" s="191"/>
      <x:c r="E251" s="191"/>
      <x:c r="F251" s="191"/>
      <x:c r="G251" s="191"/>
    </x:row>
    <x:row r="252">
      <x:c r="A252" s="194"/>
      <x:c r="B252" s="191"/>
      <x:c r="C252" s="191"/>
      <x:c r="D252" s="191"/>
      <x:c r="E252" s="191"/>
      <x:c r="F252" s="191"/>
      <x:c r="G252" s="191"/>
    </x:row>
    <x:row r="253">
      <x:c r="A253" s="194"/>
      <x:c r="B253" s="191"/>
      <x:c r="C253" s="191"/>
      <x:c r="D253" s="191"/>
      <x:c r="E253" s="191"/>
      <x:c r="F253" s="191"/>
      <x:c r="G253" s="191"/>
    </x:row>
    <x:row r="254">
      <x:c r="A254" s="194"/>
      <x:c r="B254" s="191"/>
      <x:c r="C254" s="191"/>
      <x:c r="D254" s="191"/>
      <x:c r="E254" s="191"/>
      <x:c r="F254" s="191"/>
      <x:c r="G254" s="191"/>
    </x:row>
    <x:row r="255">
      <x:c r="A255" s="194"/>
      <x:c r="B255" s="191"/>
      <x:c r="C255" s="191"/>
      <x:c r="D255" s="191"/>
      <x:c r="E255" s="191"/>
      <x:c r="F255" s="191"/>
      <x:c r="G255" s="191"/>
    </x:row>
    <x:row r="256">
      <x:c r="A256" s="194"/>
      <x:c r="B256" s="191"/>
      <x:c r="C256" s="191"/>
      <x:c r="D256" s="191"/>
      <x:c r="E256" s="191"/>
      <x:c r="F256" s="191"/>
      <x:c r="G256" s="191"/>
    </x:row>
    <x:row r="257">
      <x:c r="A257" s="194"/>
      <x:c r="B257" s="191"/>
      <x:c r="C257" s="191"/>
      <x:c r="D257" s="191"/>
      <x:c r="E257" s="191"/>
      <x:c r="F257" s="191"/>
      <x:c r="G257" s="191"/>
    </x:row>
    <x:row r="258">
      <x:c r="A258" s="194"/>
      <x:c r="B258" s="191"/>
      <x:c r="C258" s="191"/>
      <x:c r="D258" s="191"/>
      <x:c r="E258" s="191"/>
      <x:c r="F258" s="191"/>
      <x:c r="G258" s="191"/>
    </x:row>
    <x:row r="259">
      <x:c r="A259" s="194"/>
      <x:c r="B259" s="191"/>
      <x:c r="C259" s="191"/>
      <x:c r="D259" s="191"/>
      <x:c r="E259" s="191"/>
      <x:c r="F259" s="191"/>
      <x:c r="G259" s="191"/>
    </x:row>
    <x:row r="260">
      <x:c r="A260" s="194"/>
      <x:c r="B260" s="191"/>
      <x:c r="C260" s="191"/>
      <x:c r="D260" s="191"/>
      <x:c r="E260" s="191"/>
      <x:c r="F260" s="191"/>
      <x:c r="G260" s="191"/>
    </x:row>
    <x:row r="261">
      <x:c r="A261" s="194"/>
      <x:c r="B261" s="191"/>
      <x:c r="C261" s="191"/>
      <x:c r="D261" s="191"/>
      <x:c r="E261" s="191"/>
      <x:c r="F261" s="191"/>
      <x:c r="G261" s="191"/>
    </x:row>
    <x:row r="262">
      <x:c r="A262" s="194"/>
      <x:c r="B262" s="191"/>
      <x:c r="C262" s="191"/>
      <x:c r="D262" s="191"/>
      <x:c r="E262" s="191"/>
      <x:c r="F262" s="191"/>
      <x:c r="G262" s="191"/>
    </x:row>
    <x:row r="263">
      <x:c r="A263" s="194"/>
      <x:c r="B263" s="191"/>
      <x:c r="C263" s="191"/>
      <x:c r="D263" s="191"/>
      <x:c r="E263" s="191"/>
      <x:c r="F263" s="191"/>
      <x:c r="G263" s="191"/>
    </x:row>
    <x:row r="264">
      <x:c r="A264" s="194"/>
      <x:c r="B264" s="191"/>
      <x:c r="C264" s="191"/>
      <x:c r="D264" s="191"/>
      <x:c r="E264" s="191"/>
      <x:c r="F264" s="191"/>
      <x:c r="G264" s="191"/>
    </x:row>
    <x:row r="265">
      <x:c r="A265" s="194"/>
      <x:c r="B265" s="191"/>
      <x:c r="C265" s="191"/>
      <x:c r="D265" s="191"/>
      <x:c r="E265" s="191"/>
      <x:c r="F265" s="191"/>
      <x:c r="G265" s="191"/>
    </x:row>
    <x:row r="266">
      <x:c r="A266" s="194"/>
      <x:c r="B266" s="191"/>
      <x:c r="C266" s="191"/>
      <x:c r="D266" s="191"/>
      <x:c r="E266" s="191"/>
      <x:c r="F266" s="191"/>
      <x:c r="G266" s="191"/>
    </x:row>
    <x:row r="267">
      <x:c r="A267" s="194"/>
      <x:c r="B267" s="191"/>
      <x:c r="C267" s="191"/>
      <x:c r="D267" s="191"/>
      <x:c r="E267" s="191"/>
      <x:c r="F267" s="191"/>
      <x:c r="G267" s="191"/>
    </x:row>
    <x:row r="268">
      <x:c r="A268" s="194"/>
      <x:c r="B268" s="191"/>
      <x:c r="C268" s="191"/>
      <x:c r="D268" s="191"/>
      <x:c r="E268" s="191"/>
      <x:c r="F268" s="191"/>
      <x:c r="G268" s="191"/>
    </x:row>
    <x:row r="269">
      <x:c r="A269" s="194"/>
      <x:c r="B269" s="191"/>
      <x:c r="C269" s="191"/>
      <x:c r="D269" s="191"/>
      <x:c r="E269" s="191"/>
      <x:c r="F269" s="191"/>
      <x:c r="G269" s="191"/>
    </x:row>
    <x:row r="270">
      <x:c r="A270" s="194"/>
      <x:c r="B270" s="191"/>
      <x:c r="C270" s="191"/>
      <x:c r="D270" s="191"/>
      <x:c r="E270" s="191"/>
      <x:c r="F270" s="191"/>
      <x:c r="G270" s="191"/>
    </x:row>
    <x:row r="271">
      <x:c r="A271" s="194"/>
      <x:c r="B271" s="191"/>
      <x:c r="C271" s="191"/>
      <x:c r="D271" s="191"/>
      <x:c r="E271" s="191"/>
      <x:c r="F271" s="191"/>
      <x:c r="G271" s="191"/>
    </x:row>
    <x:row r="272">
      <x:c r="A272" s="194"/>
      <x:c r="B272" s="191"/>
      <x:c r="C272" s="191"/>
      <x:c r="D272" s="191"/>
      <x:c r="E272" s="191"/>
      <x:c r="F272" s="191"/>
      <x:c r="G272" s="191"/>
    </x:row>
    <x:row r="273">
      <x:c r="A273" s="194"/>
      <x:c r="B273" s="191"/>
      <x:c r="C273" s="191"/>
      <x:c r="D273" s="191"/>
      <x:c r="E273" s="191"/>
      <x:c r="F273" s="191"/>
      <x:c r="G273" s="191"/>
    </x:row>
    <x:row r="274">
      <x:c r="A274" s="194"/>
      <x:c r="B274" s="191"/>
      <x:c r="C274" s="191"/>
      <x:c r="D274" s="191"/>
      <x:c r="E274" s="191"/>
      <x:c r="F274" s="191"/>
      <x:c r="G274" s="191"/>
    </x:row>
    <x:row r="275">
      <x:c r="A275" s="194"/>
      <x:c r="B275" s="191"/>
      <x:c r="C275" s="191"/>
      <x:c r="D275" s="191"/>
      <x:c r="E275" s="191"/>
      <x:c r="F275" s="191"/>
      <x:c r="G275" s="191"/>
    </x:row>
    <x:row r="276">
      <x:c r="A276" s="194"/>
      <x:c r="B276" s="191"/>
      <x:c r="C276" s="191"/>
      <x:c r="D276" s="191"/>
      <x:c r="E276" s="191"/>
      <x:c r="F276" s="191"/>
      <x:c r="G276" s="191"/>
    </x:row>
    <x:row r="277">
      <x:c r="A277" s="194"/>
      <x:c r="B277" s="191"/>
      <x:c r="C277" s="191"/>
      <x:c r="D277" s="191"/>
      <x:c r="E277" s="191"/>
      <x:c r="F277" s="191"/>
      <x:c r="G277" s="191"/>
    </x:row>
    <x:row r="278">
      <x:c r="A278" s="194"/>
      <x:c r="B278" s="191"/>
      <x:c r="C278" s="191"/>
      <x:c r="D278" s="191"/>
      <x:c r="E278" s="191"/>
      <x:c r="F278" s="191"/>
      <x:c r="G278" s="191"/>
    </x:row>
    <x:row r="279">
      <x:c r="A279" s="194"/>
      <x:c r="B279" s="191"/>
      <x:c r="C279" s="191"/>
      <x:c r="D279" s="191"/>
      <x:c r="E279" s="191"/>
      <x:c r="F279" s="191"/>
      <x:c r="G279" s="191"/>
    </x:row>
    <x:row r="280">
      <x:c r="A280" s="194"/>
      <x:c r="B280" s="191"/>
      <x:c r="C280" s="191"/>
      <x:c r="D280" s="191"/>
      <x:c r="E280" s="191"/>
      <x:c r="F280" s="191"/>
      <x:c r="G280" s="191"/>
    </x:row>
    <x:row r="281">
      <x:c r="A281" s="194"/>
      <x:c r="B281" s="191"/>
      <x:c r="C281" s="191"/>
      <x:c r="D281" s="191"/>
      <x:c r="E281" s="191"/>
      <x:c r="F281" s="191"/>
      <x:c r="G281" s="191"/>
    </x:row>
    <x:row r="282">
      <x:c r="A282" s="194"/>
      <x:c r="B282" s="191"/>
      <x:c r="C282" s="191"/>
      <x:c r="D282" s="191"/>
      <x:c r="E282" s="191"/>
      <x:c r="F282" s="191"/>
      <x:c r="G282" s="191"/>
    </x:row>
    <x:row r="283">
      <x:c r="A283" s="194"/>
      <x:c r="B283" s="191"/>
      <x:c r="C283" s="191"/>
      <x:c r="D283" s="191"/>
      <x:c r="E283" s="191"/>
      <x:c r="F283" s="191"/>
      <x:c r="G283" s="191"/>
    </x:row>
    <x:row r="284">
      <x:c r="A284" s="194"/>
      <x:c r="B284" s="191"/>
      <x:c r="C284" s="191"/>
      <x:c r="D284" s="191"/>
      <x:c r="E284" s="191"/>
      <x:c r="F284" s="191"/>
      <x:c r="G284" s="191"/>
    </x:row>
    <x:row r="285">
      <x:c r="A285" s="194"/>
      <x:c r="B285" s="191"/>
      <x:c r="C285" s="191"/>
      <x:c r="D285" s="191"/>
      <x:c r="E285" s="191"/>
      <x:c r="F285" s="191"/>
      <x:c r="G285" s="191"/>
    </x:row>
    <x:row r="286">
      <x:c r="A286" s="194"/>
      <x:c r="B286" s="191"/>
      <x:c r="C286" s="191"/>
      <x:c r="D286" s="191"/>
      <x:c r="E286" s="191"/>
      <x:c r="F286" s="191"/>
      <x:c r="G286" s="191"/>
    </x:row>
    <x:row r="287">
      <x:c r="A287" s="194"/>
      <x:c r="B287" s="191"/>
      <x:c r="C287" s="191"/>
      <x:c r="D287" s="191"/>
      <x:c r="E287" s="191"/>
      <x:c r="F287" s="191"/>
      <x:c r="G287" s="191"/>
    </x:row>
    <x:row r="288">
      <x:c r="A288" s="194"/>
      <x:c r="B288" s="191"/>
      <x:c r="C288" s="191"/>
      <x:c r="D288" s="191"/>
      <x:c r="E288" s="191"/>
      <x:c r="F288" s="191"/>
      <x:c r="G288" s="191"/>
    </x:row>
    <x:row r="289">
      <x:c r="A289" s="194"/>
      <x:c r="B289" s="191"/>
      <x:c r="C289" s="191"/>
      <x:c r="D289" s="191"/>
      <x:c r="E289" s="191"/>
      <x:c r="F289" s="191"/>
      <x:c r="G289" s="191"/>
    </x:row>
    <x:row r="290">
      <x:c r="A290" s="194"/>
      <x:c r="B290" s="191"/>
      <x:c r="C290" s="191"/>
      <x:c r="D290" s="191"/>
      <x:c r="E290" s="191"/>
      <x:c r="F290" s="191"/>
      <x:c r="G290" s="191"/>
    </x:row>
    <x:row r="291">
      <x:c r="A291" s="194"/>
      <x:c r="B291" s="191"/>
      <x:c r="C291" s="191"/>
      <x:c r="D291" s="191"/>
      <x:c r="E291" s="191"/>
      <x:c r="F291" s="191"/>
      <x:c r="G291" s="191"/>
    </x:row>
    <x:row r="292">
      <x:c r="A292" s="194"/>
      <x:c r="B292" s="191"/>
      <x:c r="C292" s="191"/>
      <x:c r="D292" s="191"/>
      <x:c r="E292" s="191"/>
      <x:c r="F292" s="191"/>
      <x:c r="G292" s="191"/>
    </x:row>
    <x:row r="293">
      <x:c r="A293" s="194"/>
      <x:c r="B293" s="191"/>
      <x:c r="C293" s="191"/>
      <x:c r="D293" s="191"/>
      <x:c r="E293" s="191"/>
      <x:c r="F293" s="191"/>
      <x:c r="G293" s="191"/>
    </x:row>
    <x:row r="294">
      <x:c r="A294" s="194"/>
      <x:c r="B294" s="191"/>
      <x:c r="C294" s="191"/>
      <x:c r="D294" s="191"/>
      <x:c r="E294" s="191"/>
      <x:c r="F294" s="191"/>
      <x:c r="G294" s="191"/>
    </x:row>
    <x:row r="295">
      <x:c r="A295" s="194"/>
      <x:c r="B295" s="191"/>
      <x:c r="C295" s="191"/>
      <x:c r="D295" s="191"/>
      <x:c r="E295" s="191"/>
      <x:c r="F295" s="191"/>
      <x:c r="G295" s="191"/>
    </x:row>
    <x:row r="296">
      <x:c r="A296" s="194"/>
      <x:c r="B296" s="191"/>
      <x:c r="C296" s="191"/>
      <x:c r="D296" s="191"/>
      <x:c r="E296" s="191"/>
      <x:c r="F296" s="191"/>
      <x:c r="G296" s="191"/>
    </x:row>
    <x:row r="297">
      <x:c r="A297" s="194"/>
      <x:c r="B297" s="191"/>
      <x:c r="C297" s="191"/>
      <x:c r="D297" s="191"/>
      <x:c r="E297" s="191"/>
      <x:c r="F297" s="191"/>
      <x:c r="G297" s="191"/>
    </x:row>
    <x:row r="298">
      <x:c r="A298" s="194"/>
      <x:c r="B298" s="191"/>
      <x:c r="C298" s="191"/>
      <x:c r="D298" s="191"/>
      <x:c r="E298" s="191"/>
      <x:c r="F298" s="191"/>
      <x:c r="G298" s="191"/>
    </x:row>
    <x:row r="299">
      <x:c r="A299" s="194"/>
      <x:c r="B299" s="191"/>
      <x:c r="C299" s="191"/>
      <x:c r="D299" s="191"/>
      <x:c r="E299" s="191"/>
      <x:c r="F299" s="191"/>
      <x:c r="G299" s="191"/>
    </x:row>
    <x:row r="300">
      <x:c r="A300" s="194"/>
      <x:c r="B300" s="191"/>
      <x:c r="C300" s="191"/>
      <x:c r="D300" s="191"/>
      <x:c r="E300" s="191"/>
      <x:c r="F300" s="191"/>
      <x:c r="G300" s="191"/>
    </x:row>
    <x:row r="301">
      <x:c r="A301" s="194"/>
      <x:c r="B301" s="191"/>
      <x:c r="C301" s="191"/>
      <x:c r="D301" s="191"/>
      <x:c r="E301" s="191"/>
      <x:c r="F301" s="191"/>
      <x:c r="G301" s="191"/>
    </x:row>
    <x:row r="302">
      <x:c r="A302" s="194"/>
      <x:c r="B302" s="191"/>
      <x:c r="C302" s="191"/>
      <x:c r="D302" s="191"/>
      <x:c r="E302" s="191"/>
      <x:c r="F302" s="191"/>
      <x:c r="G302" s="191"/>
    </x:row>
    <x:row r="303">
      <x:c r="A303" s="194"/>
      <x:c r="B303" s="191"/>
      <x:c r="C303" s="191"/>
      <x:c r="D303" s="191"/>
      <x:c r="E303" s="191"/>
      <x:c r="F303" s="191"/>
      <x:c r="G303" s="191"/>
    </x:row>
    <x:row r="304">
      <x:c r="A304" s="194"/>
      <x:c r="B304" s="191"/>
      <x:c r="C304" s="191"/>
      <x:c r="D304" s="191"/>
      <x:c r="E304" s="191"/>
      <x:c r="F304" s="191"/>
      <x:c r="G304" s="191"/>
    </x:row>
    <x:row r="305">
      <x:c r="A305" s="194"/>
      <x:c r="B305" s="191"/>
      <x:c r="C305" s="191"/>
      <x:c r="D305" s="191"/>
      <x:c r="E305" s="191"/>
      <x:c r="F305" s="191"/>
      <x:c r="G305" s="191"/>
    </x:row>
    <x:row r="306">
      <x:c r="A306" s="194"/>
      <x:c r="B306" s="191"/>
      <x:c r="C306" s="191"/>
      <x:c r="D306" s="191"/>
      <x:c r="E306" s="191"/>
      <x:c r="F306" s="191"/>
      <x:c r="G306" s="191"/>
    </x:row>
    <x:row r="307">
      <x:c r="A307" s="194"/>
      <x:c r="B307" s="191"/>
      <x:c r="C307" s="191"/>
      <x:c r="D307" s="191"/>
      <x:c r="E307" s="191"/>
      <x:c r="F307" s="191"/>
      <x:c r="G307" s="191"/>
    </x:row>
    <x:row r="308">
      <x:c r="A308" s="194"/>
      <x:c r="B308" s="191"/>
      <x:c r="C308" s="191"/>
      <x:c r="D308" s="191"/>
      <x:c r="E308" s="191"/>
      <x:c r="F308" s="191"/>
      <x:c r="G308" s="191"/>
    </x:row>
    <x:row r="309">
      <x:c r="A309" s="194"/>
      <x:c r="B309" s="191"/>
      <x:c r="C309" s="191"/>
      <x:c r="D309" s="191"/>
      <x:c r="E309" s="191"/>
      <x:c r="F309" s="191"/>
      <x:c r="G309" s="191"/>
    </x:row>
    <x:row r="310">
      <x:c r="A310" s="194"/>
      <x:c r="B310" s="191"/>
      <x:c r="C310" s="191"/>
      <x:c r="D310" s="191"/>
      <x:c r="E310" s="191"/>
      <x:c r="F310" s="191"/>
      <x:c r="G310" s="191"/>
    </x:row>
    <x:row r="311">
      <x:c r="A311" s="194"/>
      <x:c r="B311" s="191"/>
      <x:c r="C311" s="191"/>
      <x:c r="D311" s="191"/>
      <x:c r="E311" s="191"/>
      <x:c r="F311" s="191"/>
      <x:c r="G311" s="191"/>
    </x:row>
    <x:row r="312">
      <x:c r="A312" s="194"/>
      <x:c r="B312" s="191"/>
      <x:c r="C312" s="191"/>
      <x:c r="D312" s="191"/>
      <x:c r="E312" s="191"/>
      <x:c r="F312" s="191"/>
      <x:c r="G312" s="191"/>
    </x:row>
    <x:row r="313">
      <x:c r="A313" s="194"/>
      <x:c r="B313" s="191"/>
      <x:c r="C313" s="191"/>
      <x:c r="D313" s="191"/>
      <x:c r="E313" s="191"/>
      <x:c r="F313" s="191"/>
      <x:c r="G313" s="191"/>
    </x:row>
    <x:row r="314">
      <x:c r="A314" s="194"/>
      <x:c r="B314" s="191"/>
      <x:c r="C314" s="191"/>
      <x:c r="D314" s="191"/>
      <x:c r="E314" s="191"/>
      <x:c r="F314" s="191"/>
      <x:c r="G314" s="191"/>
    </x:row>
    <x:row r="315">
      <x:c r="A315" s="194"/>
      <x:c r="B315" s="191"/>
      <x:c r="C315" s="191"/>
      <x:c r="D315" s="191"/>
      <x:c r="E315" s="191"/>
      <x:c r="F315" s="191"/>
      <x:c r="G315" s="191"/>
    </x:row>
    <x:row r="316">
      <x:c r="A316" s="194"/>
      <x:c r="B316" s="191"/>
      <x:c r="C316" s="191"/>
      <x:c r="D316" s="191"/>
      <x:c r="E316" s="191"/>
      <x:c r="F316" s="191"/>
      <x:c r="G316" s="191"/>
    </x:row>
    <x:row r="317">
      <x:c r="A317" s="194"/>
      <x:c r="B317" s="191"/>
      <x:c r="C317" s="191"/>
      <x:c r="D317" s="191"/>
      <x:c r="E317" s="191"/>
      <x:c r="F317" s="191"/>
      <x:c r="G317" s="191"/>
    </x:row>
    <x:row r="318">
      <x:c r="A318" s="194"/>
      <x:c r="B318" s="191"/>
      <x:c r="C318" s="191"/>
      <x:c r="D318" s="191"/>
      <x:c r="E318" s="191"/>
      <x:c r="F318" s="191"/>
      <x:c r="G318" s="191"/>
    </x:row>
    <x:row r="319">
      <x:c r="A319" s="194"/>
      <x:c r="B319" s="191"/>
      <x:c r="C319" s="191"/>
      <x:c r="D319" s="191"/>
      <x:c r="E319" s="191"/>
      <x:c r="F319" s="191"/>
      <x:c r="G319" s="191"/>
    </x:row>
    <x:row r="320">
      <x:c r="A320" s="194"/>
      <x:c r="B320" s="191"/>
      <x:c r="C320" s="191"/>
      <x:c r="D320" s="191"/>
      <x:c r="E320" s="191"/>
      <x:c r="F320" s="191"/>
      <x:c r="G320" s="191"/>
    </x:row>
    <x:row r="321">
      <x:c r="A321" s="194"/>
      <x:c r="B321" s="191"/>
      <x:c r="C321" s="191"/>
      <x:c r="D321" s="191"/>
      <x:c r="E321" s="191"/>
      <x:c r="F321" s="191"/>
      <x:c r="G321" s="191"/>
    </x:row>
    <x:row r="322">
      <x:c r="A322" s="194"/>
      <x:c r="B322" s="191"/>
      <x:c r="C322" s="191"/>
      <x:c r="D322" s="191"/>
      <x:c r="E322" s="191"/>
      <x:c r="F322" s="191"/>
      <x:c r="G322" s="191"/>
    </x:row>
    <x:row r="323">
      <x:c r="A323" s="194"/>
      <x:c r="B323" s="191"/>
      <x:c r="C323" s="191"/>
      <x:c r="D323" s="191"/>
      <x:c r="E323" s="191"/>
      <x:c r="F323" s="191"/>
      <x:c r="G323" s="191"/>
    </x:row>
    <x:row r="324">
      <x:c r="A324" s="194"/>
      <x:c r="B324" s="191"/>
      <x:c r="C324" s="191"/>
      <x:c r="D324" s="191"/>
      <x:c r="E324" s="191"/>
      <x:c r="F324" s="191"/>
      <x:c r="G324" s="191"/>
    </x:row>
    <x:row r="325">
      <x:c r="A325" s="194"/>
      <x:c r="B325" s="191"/>
      <x:c r="C325" s="191"/>
      <x:c r="D325" s="191"/>
      <x:c r="E325" s="191"/>
      <x:c r="F325" s="191"/>
      <x:c r="G325" s="191"/>
    </x:row>
    <x:row r="326">
      <x:c r="A326" s="194"/>
      <x:c r="B326" s="191"/>
      <x:c r="C326" s="191"/>
      <x:c r="D326" s="191"/>
      <x:c r="E326" s="191"/>
      <x:c r="F326" s="191"/>
      <x:c r="G326" s="191"/>
    </x:row>
    <x:row r="327">
      <x:c r="A327" s="194"/>
      <x:c r="B327" s="191"/>
      <x:c r="C327" s="191"/>
      <x:c r="D327" s="191"/>
      <x:c r="E327" s="191"/>
      <x:c r="F327" s="191"/>
      <x:c r="G327" s="191"/>
    </x:row>
    <x:row r="328">
      <x:c r="A328" s="194"/>
      <x:c r="B328" s="191"/>
      <x:c r="C328" s="191"/>
      <x:c r="D328" s="191"/>
      <x:c r="E328" s="191"/>
      <x:c r="F328" s="191"/>
      <x:c r="G328" s="191"/>
    </x:row>
    <x:row r="329">
      <x:c r="A329" s="194"/>
      <x:c r="B329" s="191"/>
      <x:c r="C329" s="191"/>
      <x:c r="D329" s="191"/>
      <x:c r="E329" s="191"/>
      <x:c r="F329" s="191"/>
      <x:c r="G329" s="191"/>
    </x:row>
    <x:row r="330">
      <x:c r="A330" s="194"/>
      <x:c r="B330" s="191"/>
      <x:c r="C330" s="191"/>
      <x:c r="D330" s="191"/>
      <x:c r="E330" s="191"/>
      <x:c r="F330" s="191"/>
      <x:c r="G330" s="191"/>
    </x:row>
    <x:row r="331">
      <x:c r="A331" s="194"/>
      <x:c r="B331" s="191"/>
      <x:c r="C331" s="191"/>
      <x:c r="D331" s="191"/>
      <x:c r="E331" s="191"/>
      <x:c r="F331" s="191"/>
      <x:c r="G331" s="191"/>
    </x:row>
    <x:row r="332">
      <x:c r="A332" s="194"/>
      <x:c r="B332" s="191"/>
      <x:c r="C332" s="191"/>
      <x:c r="D332" s="191"/>
      <x:c r="E332" s="191"/>
      <x:c r="F332" s="191"/>
      <x:c r="G332" s="191"/>
    </x:row>
    <x:row r="333">
      <x:c r="A333" s="194"/>
      <x:c r="B333" s="191"/>
      <x:c r="C333" s="191"/>
      <x:c r="D333" s="191"/>
      <x:c r="E333" s="191"/>
      <x:c r="F333" s="191"/>
      <x:c r="G333" s="191"/>
    </x:row>
    <x:row r="334">
      <x:c r="A334" s="194"/>
      <x:c r="B334" s="191"/>
      <x:c r="C334" s="191"/>
      <x:c r="D334" s="191"/>
      <x:c r="E334" s="191"/>
      <x:c r="F334" s="191"/>
      <x:c r="G334" s="191"/>
    </x:row>
    <x:row r="335">
      <x:c r="A335" s="194"/>
      <x:c r="B335" s="191"/>
      <x:c r="C335" s="191"/>
      <x:c r="D335" s="191"/>
      <x:c r="E335" s="191"/>
      <x:c r="F335" s="191"/>
      <x:c r="G335" s="191"/>
    </x:row>
    <x:row r="336">
      <x:c r="A336" s="194"/>
      <x:c r="B336" s="191"/>
      <x:c r="C336" s="191"/>
      <x:c r="D336" s="191"/>
      <x:c r="E336" s="191"/>
      <x:c r="F336" s="191"/>
      <x:c r="G336" s="191"/>
    </x:row>
    <x:row r="337">
      <x:c r="A337" s="194"/>
      <x:c r="B337" s="191"/>
      <x:c r="C337" s="191"/>
      <x:c r="D337" s="191"/>
      <x:c r="E337" s="191"/>
      <x:c r="F337" s="191"/>
      <x:c r="G337" s="191"/>
    </x:row>
    <x:row r="338">
      <x:c r="A338" s="194"/>
      <x:c r="B338" s="191"/>
      <x:c r="C338" s="191"/>
      <x:c r="D338" s="191"/>
      <x:c r="E338" s="191"/>
      <x:c r="F338" s="191"/>
      <x:c r="G338" s="191"/>
    </x:row>
    <x:row r="339">
      <x:c r="A339" s="194"/>
      <x:c r="B339" s="191"/>
      <x:c r="C339" s="191"/>
      <x:c r="D339" s="191"/>
      <x:c r="E339" s="191"/>
      <x:c r="F339" s="191"/>
      <x:c r="G339" s="191"/>
    </x:row>
    <x:row r="340">
      <x:c r="A340" s="194"/>
      <x:c r="B340" s="191"/>
      <x:c r="C340" s="191"/>
      <x:c r="D340" s="191"/>
      <x:c r="E340" s="191"/>
      <x:c r="F340" s="191"/>
      <x:c r="G340" s="191"/>
    </x:row>
    <x:row r="341">
      <x:c r="A341" s="194"/>
      <x:c r="B341" s="191"/>
      <x:c r="C341" s="191"/>
      <x:c r="D341" s="191"/>
      <x:c r="E341" s="191"/>
      <x:c r="F341" s="191"/>
      <x:c r="G341" s="191"/>
    </x:row>
    <x:row r="342">
      <x:c r="A342" s="194"/>
      <x:c r="B342" s="191"/>
      <x:c r="C342" s="191"/>
      <x:c r="D342" s="191"/>
      <x:c r="E342" s="191"/>
      <x:c r="F342" s="191"/>
      <x:c r="G342" s="191"/>
    </x:row>
    <x:row r="343">
      <x:c r="A343" s="194"/>
      <x:c r="B343" s="191"/>
      <x:c r="C343" s="191"/>
      <x:c r="D343" s="191"/>
      <x:c r="E343" s="191"/>
      <x:c r="F343" s="191"/>
      <x:c r="G343" s="191"/>
    </x:row>
    <x:row r="344">
      <x:c r="A344" s="194"/>
      <x:c r="B344" s="191"/>
      <x:c r="C344" s="191"/>
      <x:c r="D344" s="191"/>
      <x:c r="E344" s="191"/>
      <x:c r="F344" s="191"/>
      <x:c r="G344" s="191"/>
    </x:row>
    <x:row r="345">
      <x:c r="A345" s="194"/>
      <x:c r="B345" s="191"/>
      <x:c r="C345" s="191"/>
      <x:c r="D345" s="191"/>
      <x:c r="E345" s="191"/>
      <x:c r="F345" s="191"/>
      <x:c r="G345" s="191"/>
    </x:row>
    <x:row r="346">
      <x:c r="A346" s="194"/>
      <x:c r="B346" s="191"/>
      <x:c r="C346" s="191"/>
      <x:c r="D346" s="191"/>
      <x:c r="E346" s="191"/>
      <x:c r="F346" s="191"/>
      <x:c r="G346" s="191"/>
    </x:row>
    <x:row r="347">
      <x:c r="A347" s="194"/>
      <x:c r="B347" s="191"/>
      <x:c r="C347" s="191"/>
      <x:c r="D347" s="191"/>
      <x:c r="E347" s="191"/>
      <x:c r="F347" s="191"/>
      <x:c r="G347" s="191"/>
    </x:row>
    <x:row r="348">
      <x:c r="A348" s="194"/>
      <x:c r="B348" s="191"/>
      <x:c r="C348" s="191"/>
      <x:c r="D348" s="191"/>
      <x:c r="E348" s="191"/>
      <x:c r="F348" s="191"/>
      <x:c r="G348" s="191"/>
    </x:row>
    <x:row r="349">
      <x:c r="A349" s="194"/>
      <x:c r="B349" s="191"/>
      <x:c r="C349" s="191"/>
      <x:c r="D349" s="191"/>
      <x:c r="E349" s="191"/>
      <x:c r="F349" s="191"/>
      <x:c r="G349" s="191"/>
    </x:row>
    <x:row r="350">
      <x:c r="A350" s="194"/>
      <x:c r="B350" s="191"/>
      <x:c r="C350" s="191"/>
      <x:c r="D350" s="191"/>
      <x:c r="E350" s="191"/>
      <x:c r="F350" s="191"/>
      <x:c r="G350" s="191"/>
    </x:row>
    <x:row r="351">
      <x:c r="A351" s="194"/>
      <x:c r="B351" s="191"/>
      <x:c r="C351" s="191"/>
      <x:c r="D351" s="191"/>
      <x:c r="E351" s="191"/>
      <x:c r="F351" s="191"/>
      <x:c r="G351" s="191"/>
    </x:row>
    <x:row r="352">
      <x:c r="A352" s="194"/>
      <x:c r="B352" s="191"/>
      <x:c r="C352" s="191"/>
      <x:c r="D352" s="191"/>
      <x:c r="E352" s="191"/>
      <x:c r="F352" s="191"/>
      <x:c r="G352" s="191"/>
    </x:row>
    <x:row r="353">
      <x:c r="A353" s="194"/>
      <x:c r="B353" s="191"/>
      <x:c r="C353" s="191"/>
      <x:c r="D353" s="191"/>
      <x:c r="E353" s="191"/>
      <x:c r="F353" s="191"/>
      <x:c r="G353" s="191"/>
    </x:row>
    <x:row r="354">
      <x:c r="A354" s="194"/>
      <x:c r="B354" s="191"/>
      <x:c r="C354" s="191"/>
      <x:c r="D354" s="191"/>
      <x:c r="E354" s="191"/>
      <x:c r="F354" s="191"/>
      <x:c r="G354" s="191"/>
    </x:row>
    <x:row r="355">
      <x:c r="A355" s="194"/>
      <x:c r="B355" s="191"/>
      <x:c r="C355" s="191"/>
      <x:c r="D355" s="191"/>
      <x:c r="E355" s="191"/>
      <x:c r="F355" s="191"/>
      <x:c r="G355" s="191"/>
    </x:row>
    <x:row r="356">
      <x:c r="A356" s="194"/>
      <x:c r="B356" s="191"/>
      <x:c r="C356" s="191"/>
      <x:c r="D356" s="191"/>
      <x:c r="E356" s="191"/>
      <x:c r="F356" s="191"/>
      <x:c r="G356" s="191"/>
    </x:row>
    <x:row r="357">
      <x:c r="A357" s="194"/>
      <x:c r="B357" s="191"/>
      <x:c r="C357" s="191"/>
      <x:c r="D357" s="191"/>
      <x:c r="E357" s="191"/>
      <x:c r="F357" s="191"/>
      <x:c r="G357" s="191"/>
    </x:row>
    <x:row r="358">
      <x:c r="A358" s="194"/>
      <x:c r="B358" s="191"/>
      <x:c r="C358" s="191"/>
      <x:c r="D358" s="191"/>
      <x:c r="E358" s="191"/>
      <x:c r="F358" s="191"/>
      <x:c r="G358" s="191"/>
    </x:row>
    <x:row r="359">
      <x:c r="A359" s="194"/>
      <x:c r="B359" s="191"/>
      <x:c r="C359" s="191"/>
      <x:c r="D359" s="191"/>
      <x:c r="E359" s="191"/>
      <x:c r="F359" s="191"/>
      <x:c r="G359" s="191"/>
    </x:row>
    <x:row r="360">
      <x:c r="A360" s="194"/>
      <x:c r="B360" s="191"/>
      <x:c r="C360" s="191"/>
      <x:c r="D360" s="191"/>
      <x:c r="E360" s="191"/>
      <x:c r="F360" s="191"/>
      <x:c r="G360" s="191"/>
    </x:row>
    <x:row r="361">
      <x:c r="A361" s="194"/>
      <x:c r="B361" s="191"/>
      <x:c r="C361" s="191"/>
      <x:c r="D361" s="191"/>
      <x:c r="E361" s="191"/>
      <x:c r="F361" s="191"/>
      <x:c r="G361" s="191"/>
    </x:row>
    <x:row r="362">
      <x:c r="A362" s="194"/>
      <x:c r="B362" s="191"/>
      <x:c r="C362" s="191"/>
      <x:c r="D362" s="191"/>
      <x:c r="E362" s="191"/>
      <x:c r="F362" s="191"/>
      <x:c r="G362" s="191"/>
    </x:row>
    <x:row r="363">
      <x:c r="A363" s="194"/>
      <x:c r="B363" s="191"/>
      <x:c r="C363" s="191"/>
      <x:c r="D363" s="191"/>
      <x:c r="E363" s="191"/>
      <x:c r="F363" s="191"/>
      <x:c r="G363" s="191"/>
    </x:row>
    <x:row r="364">
      <x:c r="A364" s="194"/>
      <x:c r="B364" s="191"/>
      <x:c r="C364" s="191"/>
      <x:c r="D364" s="191"/>
      <x:c r="E364" s="191"/>
      <x:c r="F364" s="191"/>
      <x:c r="G364" s="191"/>
    </x:row>
    <x:row r="365">
      <x:c r="A365" s="194"/>
      <x:c r="B365" s="191"/>
      <x:c r="C365" s="191"/>
      <x:c r="D365" s="191"/>
      <x:c r="E365" s="191"/>
      <x:c r="F365" s="191"/>
      <x:c r="G365" s="191"/>
    </x:row>
    <x:row r="366">
      <x:c r="A366" s="194"/>
      <x:c r="B366" s="191"/>
      <x:c r="C366" s="191"/>
      <x:c r="D366" s="191"/>
      <x:c r="E366" s="191"/>
      <x:c r="F366" s="191"/>
      <x:c r="G366" s="191"/>
    </x:row>
    <x:row r="367">
      <x:c r="A367" s="194"/>
      <x:c r="B367" s="191"/>
      <x:c r="C367" s="191"/>
      <x:c r="D367" s="191"/>
      <x:c r="E367" s="191"/>
      <x:c r="F367" s="191"/>
      <x:c r="G367" s="191"/>
    </x:row>
    <x:row r="368">
      <x:c r="A368" s="194"/>
      <x:c r="B368" s="191"/>
      <x:c r="C368" s="191"/>
      <x:c r="D368" s="191"/>
      <x:c r="E368" s="191"/>
      <x:c r="F368" s="191"/>
      <x:c r="G368" s="191"/>
    </x:row>
    <x:row r="369">
      <x:c r="A369" s="194"/>
      <x:c r="B369" s="191"/>
      <x:c r="C369" s="191"/>
      <x:c r="D369" s="191"/>
      <x:c r="E369" s="191"/>
      <x:c r="F369" s="191"/>
      <x:c r="G369" s="191"/>
    </x:row>
    <x:row r="370">
      <x:c r="A370" s="194"/>
      <x:c r="B370" s="191"/>
      <x:c r="C370" s="191"/>
      <x:c r="D370" s="191"/>
      <x:c r="E370" s="191"/>
      <x:c r="F370" s="191"/>
      <x:c r="G370" s="191"/>
    </x:row>
    <x:row r="371">
      <x:c r="A371" s="194"/>
      <x:c r="B371" s="191"/>
      <x:c r="C371" s="191"/>
      <x:c r="D371" s="191"/>
      <x:c r="E371" s="191"/>
      <x:c r="F371" s="191"/>
      <x:c r="G371" s="191"/>
    </x:row>
    <x:row r="372">
      <x:c r="A372" s="194"/>
      <x:c r="B372" s="191"/>
      <x:c r="C372" s="191"/>
      <x:c r="D372" s="191"/>
      <x:c r="E372" s="191"/>
      <x:c r="F372" s="191"/>
      <x:c r="G372" s="191"/>
    </x:row>
    <x:row r="373">
      <x:c r="A373" s="194"/>
      <x:c r="B373" s="191"/>
      <x:c r="C373" s="191"/>
      <x:c r="D373" s="191"/>
      <x:c r="E373" s="191"/>
      <x:c r="F373" s="191"/>
      <x:c r="G373" s="191"/>
    </x:row>
    <x:row r="374">
      <x:c r="A374" s="194"/>
      <x:c r="B374" s="191"/>
      <x:c r="C374" s="191"/>
      <x:c r="D374" s="191"/>
      <x:c r="E374" s="191"/>
      <x:c r="F374" s="191"/>
      <x:c r="G374" s="191"/>
    </x:row>
    <x:row r="375">
      <x:c r="A375" s="194"/>
      <x:c r="B375" s="191"/>
      <x:c r="C375" s="191"/>
      <x:c r="D375" s="191"/>
      <x:c r="E375" s="191"/>
      <x:c r="F375" s="191"/>
      <x:c r="G375" s="191"/>
    </x:row>
    <x:row r="376">
      <x:c r="A376" s="194"/>
      <x:c r="B376" s="191"/>
      <x:c r="C376" s="191"/>
      <x:c r="D376" s="191"/>
      <x:c r="E376" s="191"/>
      <x:c r="F376" s="191"/>
      <x:c r="G376" s="191"/>
    </x:row>
    <x:row r="377">
      <x:c r="A377" s="194"/>
      <x:c r="B377" s="191"/>
      <x:c r="C377" s="191"/>
      <x:c r="D377" s="191"/>
      <x:c r="E377" s="191"/>
      <x:c r="F377" s="191"/>
      <x:c r="G377" s="191"/>
    </x:row>
    <x:row r="378">
      <x:c r="A378" s="194"/>
      <x:c r="B378" s="191"/>
      <x:c r="C378" s="191"/>
      <x:c r="D378" s="191"/>
      <x:c r="E378" s="191"/>
      <x:c r="F378" s="191"/>
      <x:c r="G378" s="191"/>
    </x:row>
    <x:row r="379">
      <x:c r="A379" s="194"/>
      <x:c r="B379" s="191"/>
      <x:c r="C379" s="191"/>
      <x:c r="D379" s="191"/>
      <x:c r="E379" s="191"/>
      <x:c r="F379" s="191"/>
      <x:c r="G379" s="191"/>
    </x:row>
    <x:row r="380">
      <x:c r="A380" s="194"/>
      <x:c r="B380" s="191"/>
      <x:c r="C380" s="191"/>
      <x:c r="D380" s="191"/>
      <x:c r="E380" s="191"/>
      <x:c r="F380" s="191"/>
      <x:c r="G380" s="191"/>
    </x:row>
    <x:row r="381">
      <x:c r="A381" s="194"/>
      <x:c r="B381" s="191"/>
      <x:c r="C381" s="191"/>
      <x:c r="D381" s="191"/>
      <x:c r="E381" s="191"/>
      <x:c r="F381" s="191"/>
      <x:c r="G381" s="191"/>
    </x:row>
    <x:row r="382">
      <x:c r="A382" s="194"/>
      <x:c r="B382" s="191"/>
      <x:c r="C382" s="191"/>
      <x:c r="D382" s="191"/>
      <x:c r="E382" s="191"/>
      <x:c r="F382" s="191"/>
      <x:c r="G382" s="191"/>
    </x:row>
    <x:row r="383">
      <x:c r="A383" s="194"/>
      <x:c r="B383" s="191"/>
      <x:c r="C383" s="191"/>
      <x:c r="D383" s="191"/>
      <x:c r="E383" s="191"/>
      <x:c r="F383" s="191"/>
      <x:c r="G383" s="191"/>
    </x:row>
    <x:row r="384">
      <x:c r="A384" s="194"/>
      <x:c r="B384" s="191"/>
      <x:c r="C384" s="191"/>
      <x:c r="D384" s="191"/>
      <x:c r="E384" s="191"/>
      <x:c r="F384" s="191"/>
      <x:c r="G384" s="191"/>
    </x:row>
    <x:row r="385">
      <x:c r="A385" s="194"/>
      <x:c r="B385" s="191"/>
      <x:c r="C385" s="191"/>
      <x:c r="D385" s="191"/>
      <x:c r="E385" s="191"/>
      <x:c r="F385" s="191"/>
      <x:c r="G385" s="191"/>
    </x:row>
    <x:row r="386">
      <x:c r="A386" s="194"/>
      <x:c r="B386" s="191"/>
      <x:c r="C386" s="191"/>
      <x:c r="D386" s="191"/>
      <x:c r="E386" s="191"/>
      <x:c r="F386" s="191"/>
      <x:c r="G386" s="191"/>
    </x:row>
    <x:row r="387">
      <x:c r="A387" s="194"/>
      <x:c r="B387" s="191"/>
      <x:c r="C387" s="191"/>
      <x:c r="D387" s="191"/>
      <x:c r="E387" s="191"/>
      <x:c r="F387" s="191"/>
      <x:c r="G387" s="191"/>
    </x:row>
    <x:row r="388">
      <x:c r="A388" s="194"/>
      <x:c r="B388" s="191"/>
      <x:c r="C388" s="191"/>
      <x:c r="D388" s="191"/>
      <x:c r="E388" s="191"/>
      <x:c r="F388" s="191"/>
      <x:c r="G388" s="191"/>
    </x:row>
    <x:row r="389">
      <x:c r="A389" s="194"/>
      <x:c r="B389" s="191"/>
      <x:c r="C389" s="191"/>
      <x:c r="D389" s="191"/>
      <x:c r="E389" s="191"/>
      <x:c r="F389" s="191"/>
      <x:c r="G389" s="191"/>
    </x:row>
    <x:row r="390">
      <x:c r="A390" s="194"/>
      <x:c r="B390" s="191"/>
      <x:c r="C390" s="191"/>
      <x:c r="D390" s="191"/>
      <x:c r="E390" s="191"/>
      <x:c r="F390" s="191"/>
      <x:c r="G390" s="191"/>
    </x:row>
    <x:row r="391">
      <x:c r="A391" s="194"/>
      <x:c r="B391" s="191"/>
      <x:c r="C391" s="191"/>
      <x:c r="D391" s="191"/>
      <x:c r="E391" s="191"/>
      <x:c r="F391" s="191"/>
      <x:c r="G391" s="191"/>
    </x:row>
    <x:row r="392">
      <x:c r="A392" s="194"/>
      <x:c r="B392" s="191"/>
      <x:c r="C392" s="191"/>
      <x:c r="D392" s="191"/>
      <x:c r="E392" s="191"/>
      <x:c r="F392" s="191"/>
      <x:c r="G392" s="191"/>
    </x:row>
    <x:row r="393">
      <x:c r="A393" s="194"/>
      <x:c r="B393" s="191"/>
      <x:c r="C393" s="191"/>
      <x:c r="D393" s="191"/>
      <x:c r="E393" s="191"/>
      <x:c r="F393" s="191"/>
      <x:c r="G393" s="191"/>
    </x:row>
    <x:row r="394">
      <x:c r="A394" s="194"/>
      <x:c r="B394" s="191"/>
      <x:c r="C394" s="191"/>
      <x:c r="D394" s="191"/>
      <x:c r="E394" s="191"/>
      <x:c r="F394" s="191"/>
      <x:c r="G394" s="191"/>
    </x:row>
    <x:row r="395">
      <x:c r="A395" s="194"/>
      <x:c r="B395" s="191"/>
      <x:c r="C395" s="191"/>
      <x:c r="D395" s="191"/>
      <x:c r="E395" s="191"/>
      <x:c r="F395" s="191"/>
      <x:c r="G395" s="191"/>
    </x:row>
    <x:row r="396">
      <x:c r="A396" s="194"/>
      <x:c r="B396" s="191"/>
      <x:c r="C396" s="191"/>
      <x:c r="D396" s="191"/>
      <x:c r="E396" s="191"/>
      <x:c r="F396" s="191"/>
      <x:c r="G396" s="191"/>
    </x:row>
    <x:row r="397">
      <x:c r="A397" s="194"/>
      <x:c r="B397" s="191"/>
      <x:c r="C397" s="191"/>
      <x:c r="D397" s="191"/>
      <x:c r="E397" s="191"/>
      <x:c r="F397" s="191"/>
      <x:c r="G397" s="191"/>
    </x:row>
    <x:row r="398">
      <x:c r="A398" s="194"/>
      <x:c r="B398" s="191"/>
      <x:c r="C398" s="191"/>
      <x:c r="D398" s="191"/>
      <x:c r="E398" s="191"/>
      <x:c r="F398" s="191"/>
      <x:c r="G398" s="191"/>
    </x:row>
    <x:row r="399">
      <x:c r="A399" s="194"/>
      <x:c r="B399" s="191"/>
      <x:c r="C399" s="191"/>
      <x:c r="D399" s="191"/>
      <x:c r="E399" s="191"/>
      <x:c r="F399" s="191"/>
      <x:c r="G399" s="191"/>
    </x:row>
    <x:row r="400">
      <x:c r="A400" s="194"/>
      <x:c r="B400" s="191"/>
      <x:c r="C400" s="191"/>
      <x:c r="D400" s="191"/>
      <x:c r="E400" s="191"/>
      <x:c r="F400" s="191"/>
      <x:c r="G400" s="191"/>
    </x:row>
    <x:row r="401">
      <x:c r="A401" s="194"/>
      <x:c r="B401" s="191"/>
      <x:c r="C401" s="191"/>
      <x:c r="D401" s="191"/>
      <x:c r="E401" s="191"/>
      <x:c r="F401" s="191"/>
      <x:c r="G401" s="191"/>
    </x:row>
    <x:row r="402">
      <x:c r="A402" s="194"/>
      <x:c r="B402" s="191"/>
      <x:c r="C402" s="191"/>
      <x:c r="D402" s="191"/>
      <x:c r="E402" s="191"/>
      <x:c r="F402" s="191"/>
      <x:c r="G402" s="191"/>
    </x:row>
    <x:row r="403">
      <x:c r="A403" s="194"/>
      <x:c r="B403" s="191"/>
      <x:c r="C403" s="191"/>
      <x:c r="D403" s="191"/>
      <x:c r="E403" s="191"/>
      <x:c r="F403" s="191"/>
      <x:c r="G403" s="191"/>
    </x:row>
    <x:row r="404">
      <x:c r="A404" s="194"/>
      <x:c r="B404" s="191"/>
      <x:c r="C404" s="191"/>
      <x:c r="D404" s="191"/>
      <x:c r="E404" s="191"/>
      <x:c r="F404" s="191"/>
      <x:c r="G404" s="191"/>
    </x:row>
    <x:row r="405">
      <x:c r="A405" s="194"/>
      <x:c r="B405" s="191"/>
      <x:c r="C405" s="191"/>
      <x:c r="D405" s="191"/>
      <x:c r="E405" s="191"/>
      <x:c r="F405" s="191"/>
      <x:c r="G405" s="191"/>
    </x:row>
    <x:row r="406">
      <x:c r="A406" s="194"/>
      <x:c r="B406" s="191"/>
      <x:c r="C406" s="191"/>
      <x:c r="D406" s="191"/>
      <x:c r="E406" s="191"/>
      <x:c r="F406" s="191"/>
      <x:c r="G406" s="191"/>
    </x:row>
    <x:row r="407">
      <x:c r="A407" s="194"/>
      <x:c r="B407" s="191"/>
      <x:c r="C407" s="191"/>
      <x:c r="D407" s="191"/>
      <x:c r="E407" s="191"/>
      <x:c r="F407" s="191"/>
      <x:c r="G407" s="191"/>
    </x:row>
    <x:row r="408">
      <x:c r="A408" s="194"/>
      <x:c r="B408" s="191"/>
      <x:c r="C408" s="191"/>
      <x:c r="D408" s="191"/>
      <x:c r="E408" s="191"/>
      <x:c r="F408" s="191"/>
      <x:c r="G408" s="191"/>
    </x:row>
    <x:row r="409">
      <x:c r="A409" s="194"/>
      <x:c r="B409" s="191"/>
      <x:c r="C409" s="191"/>
      <x:c r="D409" s="191"/>
      <x:c r="E409" s="191"/>
      <x:c r="F409" s="191"/>
      <x:c r="G409" s="191"/>
    </x:row>
    <x:row r="410">
      <x:c r="A410" s="194"/>
      <x:c r="B410" s="191"/>
      <x:c r="C410" s="191"/>
      <x:c r="D410" s="191"/>
      <x:c r="E410" s="191"/>
      <x:c r="F410" s="191"/>
      <x:c r="G410" s="191"/>
    </x:row>
    <x:row r="411">
      <x:c r="A411" s="194"/>
      <x:c r="B411" s="191"/>
      <x:c r="C411" s="191"/>
      <x:c r="D411" s="191"/>
      <x:c r="E411" s="191"/>
      <x:c r="F411" s="191"/>
      <x:c r="G411" s="191"/>
    </x:row>
    <x:row r="412">
      <x:c r="A412" s="194"/>
      <x:c r="B412" s="191"/>
      <x:c r="C412" s="191"/>
      <x:c r="D412" s="191"/>
      <x:c r="E412" s="191"/>
      <x:c r="F412" s="191"/>
      <x:c r="G412" s="191"/>
    </x:row>
    <x:row r="413">
      <x:c r="A413" s="194"/>
      <x:c r="B413" s="191"/>
      <x:c r="C413" s="191"/>
      <x:c r="D413" s="191"/>
      <x:c r="E413" s="191"/>
      <x:c r="F413" s="191"/>
      <x:c r="G413" s="191"/>
    </x:row>
    <x:row r="414">
      <x:c r="A414" s="194"/>
      <x:c r="B414" s="191"/>
      <x:c r="C414" s="191"/>
      <x:c r="D414" s="191"/>
      <x:c r="E414" s="191"/>
      <x:c r="F414" s="191"/>
      <x:c r="G414" s="191"/>
    </x:row>
    <x:row r="415">
      <x:c r="A415" s="194"/>
      <x:c r="B415" s="191"/>
      <x:c r="C415" s="191"/>
      <x:c r="D415" s="191"/>
      <x:c r="E415" s="191"/>
      <x:c r="F415" s="191"/>
      <x:c r="G415" s="191"/>
    </x:row>
    <x:row r="416">
      <x:c r="A416" s="194"/>
      <x:c r="B416" s="191"/>
      <x:c r="C416" s="191"/>
      <x:c r="D416" s="191"/>
      <x:c r="E416" s="191"/>
      <x:c r="F416" s="191"/>
      <x:c r="G416" s="191"/>
    </x:row>
    <x:row r="417">
      <x:c r="A417" s="194"/>
      <x:c r="B417" s="191"/>
      <x:c r="C417" s="191"/>
      <x:c r="D417" s="191"/>
      <x:c r="E417" s="191"/>
      <x:c r="F417" s="191"/>
      <x:c r="G417" s="191"/>
    </x:row>
    <x:row r="418">
      <x:c r="A418" s="194"/>
      <x:c r="B418" s="191"/>
      <x:c r="C418" s="191"/>
      <x:c r="D418" s="191"/>
      <x:c r="E418" s="191"/>
      <x:c r="F418" s="191"/>
      <x:c r="G418" s="191"/>
    </x:row>
    <x:row r="419">
      <x:c r="A419" s="194"/>
      <x:c r="B419" s="191"/>
      <x:c r="C419" s="191"/>
      <x:c r="D419" s="191"/>
      <x:c r="E419" s="191"/>
      <x:c r="F419" s="191"/>
      <x:c r="G419" s="191"/>
    </x:row>
    <x:row r="420">
      <x:c r="A420" s="194"/>
      <x:c r="B420" s="191"/>
      <x:c r="C420" s="191"/>
      <x:c r="D420" s="191"/>
      <x:c r="E420" s="191"/>
      <x:c r="F420" s="191"/>
      <x:c r="G420" s="191"/>
    </x:row>
    <x:row r="421">
      <x:c r="A421" s="194"/>
      <x:c r="B421" s="191"/>
      <x:c r="C421" s="191"/>
      <x:c r="D421" s="191"/>
      <x:c r="E421" s="191"/>
      <x:c r="F421" s="191"/>
      <x:c r="G421" s="191"/>
    </x:row>
    <x:row r="422">
      <x:c r="A422" s="194"/>
      <x:c r="B422" s="191"/>
      <x:c r="C422" s="191"/>
      <x:c r="D422" s="191"/>
      <x:c r="E422" s="191"/>
      <x:c r="F422" s="191"/>
      <x:c r="G422" s="191"/>
    </x:row>
    <x:row r="423">
      <x:c r="A423" s="194"/>
      <x:c r="B423" s="191"/>
      <x:c r="C423" s="191"/>
      <x:c r="D423" s="191"/>
      <x:c r="E423" s="191"/>
      <x:c r="F423" s="191"/>
      <x:c r="G423" s="191"/>
    </x:row>
    <x:row r="424">
      <x:c r="A424" s="194"/>
      <x:c r="B424" s="191"/>
      <x:c r="C424" s="191"/>
      <x:c r="D424" s="191"/>
      <x:c r="E424" s="191"/>
      <x:c r="F424" s="191"/>
      <x:c r="G424" s="191"/>
    </x:row>
    <x:row r="425">
      <x:c r="A425" s="194"/>
      <x:c r="B425" s="191"/>
      <x:c r="C425" s="191"/>
      <x:c r="D425" s="191"/>
      <x:c r="E425" s="191"/>
      <x:c r="F425" s="191"/>
      <x:c r="G425" s="191"/>
    </x:row>
    <x:row r="426">
      <x:c r="A426" s="194"/>
      <x:c r="B426" s="191"/>
      <x:c r="C426" s="191"/>
      <x:c r="D426" s="191"/>
      <x:c r="E426" s="191"/>
      <x:c r="F426" s="191"/>
      <x:c r="G426" s="191"/>
    </x:row>
    <x:row r="427">
      <x:c r="A427" s="194"/>
      <x:c r="B427" s="191"/>
      <x:c r="C427" s="191"/>
      <x:c r="D427" s="191"/>
      <x:c r="E427" s="191"/>
      <x:c r="F427" s="191"/>
      <x:c r="G427" s="191"/>
    </x:row>
    <x:row r="428">
      <x:c r="A428" s="194"/>
      <x:c r="B428" s="191"/>
      <x:c r="C428" s="191"/>
      <x:c r="D428" s="191"/>
      <x:c r="E428" s="191"/>
      <x:c r="F428" s="191"/>
      <x:c r="G428" s="191"/>
    </x:row>
    <x:row r="429">
      <x:c r="A429" s="194"/>
      <x:c r="B429" s="191"/>
      <x:c r="C429" s="191"/>
      <x:c r="D429" s="191"/>
      <x:c r="E429" s="191"/>
      <x:c r="F429" s="191"/>
      <x:c r="G429" s="191"/>
    </x:row>
    <x:row r="430">
      <x:c r="A430" s="194"/>
      <x:c r="B430" s="191"/>
      <x:c r="C430" s="191"/>
      <x:c r="D430" s="191"/>
      <x:c r="E430" s="191"/>
      <x:c r="F430" s="191"/>
      <x:c r="G430" s="191"/>
    </x:row>
    <x:row r="431">
      <x:c r="A431" s="194"/>
      <x:c r="B431" s="191"/>
      <x:c r="C431" s="191"/>
      <x:c r="D431" s="191"/>
      <x:c r="E431" s="191"/>
      <x:c r="F431" s="191"/>
      <x:c r="G431" s="191"/>
    </x:row>
    <x:row r="432">
      <x:c r="A432" s="194"/>
      <x:c r="B432" s="191"/>
      <x:c r="C432" s="191"/>
      <x:c r="D432" s="191"/>
      <x:c r="E432" s="191"/>
      <x:c r="F432" s="191"/>
      <x:c r="G432" s="191"/>
    </x:row>
    <x:row r="433">
      <x:c r="A433" s="194"/>
      <x:c r="B433" s="191"/>
      <x:c r="C433" s="191"/>
      <x:c r="D433" s="191"/>
      <x:c r="E433" s="191"/>
      <x:c r="F433" s="191"/>
      <x:c r="G433" s="191"/>
    </x:row>
    <x:row r="434">
      <x:c r="A434" s="194"/>
      <x:c r="B434" s="191"/>
      <x:c r="C434" s="191"/>
      <x:c r="D434" s="191"/>
      <x:c r="E434" s="191"/>
      <x:c r="F434" s="191"/>
      <x:c r="G434" s="191"/>
    </x:row>
    <x:row r="435">
      <x:c r="A435" s="194"/>
      <x:c r="B435" s="191"/>
      <x:c r="C435" s="191"/>
      <x:c r="D435" s="191"/>
      <x:c r="E435" s="191"/>
      <x:c r="F435" s="191"/>
      <x:c r="G435" s="191"/>
    </x:row>
    <x:row r="436">
      <x:c r="A436" s="194"/>
      <x:c r="B436" s="191"/>
      <x:c r="C436" s="191"/>
      <x:c r="D436" s="191"/>
      <x:c r="E436" s="191"/>
      <x:c r="F436" s="191"/>
      <x:c r="G436" s="191"/>
    </x:row>
    <x:row r="437">
      <x:c r="A437" s="194"/>
      <x:c r="B437" s="191"/>
      <x:c r="C437" s="191"/>
      <x:c r="D437" s="191"/>
      <x:c r="E437" s="191"/>
      <x:c r="F437" s="191"/>
      <x:c r="G437" s="191"/>
    </x:row>
    <x:row r="438">
      <x:c r="A438" s="194"/>
      <x:c r="B438" s="191"/>
      <x:c r="C438" s="191"/>
      <x:c r="D438" s="191"/>
      <x:c r="E438" s="191"/>
      <x:c r="F438" s="191"/>
      <x:c r="G438" s="191"/>
    </x:row>
    <x:row r="439">
      <x:c r="A439" s="194"/>
      <x:c r="B439" s="191"/>
      <x:c r="C439" s="191"/>
      <x:c r="D439" s="191"/>
      <x:c r="E439" s="191"/>
      <x:c r="F439" s="191"/>
      <x:c r="G439" s="191"/>
    </x:row>
    <x:row r="440">
      <x:c r="A440" s="194"/>
      <x:c r="B440" s="191"/>
      <x:c r="C440" s="191"/>
      <x:c r="D440" s="191"/>
      <x:c r="E440" s="191"/>
      <x:c r="F440" s="191"/>
      <x:c r="G440" s="191"/>
    </x:row>
    <x:row r="441">
      <x:c r="A441" s="194"/>
      <x:c r="B441" s="191"/>
      <x:c r="C441" s="191"/>
      <x:c r="D441" s="191"/>
      <x:c r="E441" s="191"/>
      <x:c r="F441" s="191"/>
      <x:c r="G441" s="191"/>
    </x:row>
    <x:row r="442">
      <x:c r="A442" s="194"/>
      <x:c r="B442" s="191"/>
      <x:c r="C442" s="191"/>
      <x:c r="D442" s="191"/>
      <x:c r="E442" s="191"/>
      <x:c r="F442" s="191"/>
      <x:c r="G442" s="191"/>
    </x:row>
    <x:row r="443">
      <x:c r="A443" s="194"/>
      <x:c r="B443" s="191"/>
      <x:c r="C443" s="191"/>
      <x:c r="D443" s="191"/>
      <x:c r="E443" s="191"/>
      <x:c r="F443" s="191"/>
      <x:c r="G443" s="191"/>
    </x:row>
    <x:row r="444">
      <x:c r="A444" s="194"/>
      <x:c r="B444" s="191"/>
      <x:c r="C444" s="191"/>
      <x:c r="D444" s="191"/>
      <x:c r="E444" s="191"/>
      <x:c r="F444" s="191"/>
      <x:c r="G444" s="191"/>
    </x:row>
    <x:row r="445">
      <x:c r="A445" s="194"/>
      <x:c r="B445" s="191"/>
      <x:c r="C445" s="191"/>
      <x:c r="D445" s="191"/>
      <x:c r="E445" s="191"/>
      <x:c r="F445" s="191"/>
      <x:c r="G445" s="191"/>
    </x:row>
    <x:row r="446">
      <x:c r="A446" s="194"/>
      <x:c r="B446" s="191"/>
      <x:c r="C446" s="191"/>
      <x:c r="D446" s="191"/>
      <x:c r="E446" s="191"/>
      <x:c r="F446" s="191"/>
      <x:c r="G446" s="191"/>
    </x:row>
    <x:row r="447">
      <x:c r="A447" s="194"/>
      <x:c r="B447" s="191"/>
      <x:c r="C447" s="191"/>
      <x:c r="D447" s="191"/>
      <x:c r="E447" s="191"/>
      <x:c r="F447" s="191"/>
      <x:c r="G447" s="191"/>
    </x:row>
    <x:row r="448">
      <x:c r="A448" s="194"/>
      <x:c r="B448" s="191"/>
      <x:c r="C448" s="191"/>
      <x:c r="D448" s="191"/>
      <x:c r="E448" s="191"/>
      <x:c r="F448" s="191"/>
      <x:c r="G448" s="191"/>
    </x:row>
    <x:row r="449">
      <x:c r="A449" s="194"/>
      <x:c r="B449" s="191"/>
      <x:c r="C449" s="191"/>
      <x:c r="D449" s="191"/>
      <x:c r="E449" s="191"/>
      <x:c r="F449" s="191"/>
      <x:c r="G449" s="191"/>
    </x:row>
    <x:row r="450">
      <x:c r="A450" s="194"/>
      <x:c r="B450" s="191"/>
      <x:c r="C450" s="191"/>
      <x:c r="D450" s="191"/>
      <x:c r="E450" s="191"/>
      <x:c r="F450" s="191"/>
      <x:c r="G450" s="191"/>
    </x:row>
    <x:row r="451">
      <x:c r="A451" s="194"/>
      <x:c r="B451" s="191"/>
      <x:c r="C451" s="191"/>
      <x:c r="D451" s="191"/>
      <x:c r="E451" s="191"/>
      <x:c r="F451" s="191"/>
      <x:c r="G451" s="191"/>
    </x:row>
    <x:row r="452">
      <x:c r="A452" s="194"/>
      <x:c r="B452" s="191"/>
      <x:c r="C452" s="191"/>
      <x:c r="D452" s="191"/>
      <x:c r="E452" s="191"/>
      <x:c r="F452" s="191"/>
      <x:c r="G452" s="191"/>
    </x:row>
    <x:row r="453">
      <x:c r="A453" s="194"/>
      <x:c r="B453" s="191"/>
      <x:c r="C453" s="191"/>
      <x:c r="D453" s="191"/>
      <x:c r="E453" s="191"/>
      <x:c r="F453" s="191"/>
      <x:c r="G453" s="191"/>
    </x:row>
    <x:row r="454">
      <x:c r="A454" s="194"/>
      <x:c r="B454" s="191"/>
      <x:c r="C454" s="191"/>
      <x:c r="D454" s="191"/>
      <x:c r="E454" s="191"/>
      <x:c r="F454" s="191"/>
      <x:c r="G454" s="191"/>
    </x:row>
    <x:row r="455">
      <x:c r="A455" s="194"/>
      <x:c r="B455" s="191"/>
      <x:c r="C455" s="191"/>
      <x:c r="D455" s="191"/>
      <x:c r="E455" s="191"/>
      <x:c r="F455" s="191"/>
      <x:c r="G455" s="191"/>
    </x:row>
    <x:row r="456">
      <x:c r="A456" s="194"/>
      <x:c r="B456" s="191"/>
      <x:c r="C456" s="191"/>
      <x:c r="D456" s="191"/>
      <x:c r="E456" s="191"/>
      <x:c r="F456" s="191"/>
      <x:c r="G456" s="191"/>
    </x:row>
    <x:row r="457">
      <x:c r="A457" s="194"/>
      <x:c r="B457" s="191"/>
      <x:c r="C457" s="191"/>
      <x:c r="D457" s="191"/>
      <x:c r="E457" s="191"/>
      <x:c r="F457" s="191"/>
      <x:c r="G457" s="191"/>
    </x:row>
    <x:row r="458">
      <x:c r="A458" s="194"/>
      <x:c r="B458" s="191"/>
      <x:c r="C458" s="191"/>
      <x:c r="D458" s="191"/>
      <x:c r="E458" s="191"/>
      <x:c r="F458" s="191"/>
      <x:c r="G458" s="191"/>
    </x:row>
    <x:row r="459">
      <x:c r="A459" s="194"/>
      <x:c r="B459" s="191"/>
      <x:c r="C459" s="191"/>
      <x:c r="D459" s="191"/>
      <x:c r="E459" s="191"/>
      <x:c r="F459" s="191"/>
      <x:c r="G459" s="191"/>
    </x:row>
    <x:row r="460">
      <x:c r="A460" s="194"/>
      <x:c r="B460" s="191"/>
      <x:c r="C460" s="191"/>
      <x:c r="D460" s="191"/>
      <x:c r="E460" s="191"/>
      <x:c r="F460" s="191"/>
      <x:c r="G460" s="191"/>
    </x:row>
    <x:row r="461">
      <x:c r="A461" s="194"/>
      <x:c r="B461" s="191"/>
      <x:c r="C461" s="191"/>
      <x:c r="D461" s="191"/>
      <x:c r="E461" s="191"/>
      <x:c r="F461" s="191"/>
      <x:c r="G461" s="191"/>
    </x:row>
    <x:row r="462">
      <x:c r="A462" s="194"/>
      <x:c r="B462" s="191"/>
      <x:c r="C462" s="191"/>
      <x:c r="D462" s="191"/>
      <x:c r="E462" s="191"/>
      <x:c r="F462" s="191"/>
      <x:c r="G462" s="191"/>
    </x:row>
    <x:row r="463">
      <x:c r="A463" s="194"/>
      <x:c r="B463" s="191"/>
      <x:c r="C463" s="191"/>
      <x:c r="D463" s="191"/>
      <x:c r="E463" s="191"/>
      <x:c r="F463" s="191"/>
      <x:c r="G463" s="191"/>
    </x:row>
    <x:row r="464">
      <x:c r="A464" s="194"/>
      <x:c r="B464" s="191"/>
      <x:c r="C464" s="191"/>
      <x:c r="D464" s="191"/>
      <x:c r="E464" s="191"/>
      <x:c r="F464" s="191"/>
      <x:c r="G464" s="191"/>
    </x:row>
    <x:row r="465">
      <x:c r="A465" s="194"/>
      <x:c r="B465" s="191"/>
      <x:c r="C465" s="191"/>
      <x:c r="D465" s="191"/>
      <x:c r="E465" s="191"/>
      <x:c r="F465" s="191"/>
      <x:c r="G465" s="191"/>
    </x:row>
    <x:row r="466">
      <x:c r="A466" s="194"/>
      <x:c r="B466" s="191"/>
      <x:c r="C466" s="191"/>
      <x:c r="D466" s="191"/>
      <x:c r="E466" s="191"/>
      <x:c r="F466" s="191"/>
      <x:c r="G466" s="191"/>
    </x:row>
    <x:row r="467">
      <x:c r="A467" s="194"/>
      <x:c r="B467" s="191"/>
      <x:c r="C467" s="191"/>
      <x:c r="D467" s="191"/>
      <x:c r="E467" s="191"/>
      <x:c r="F467" s="191"/>
      <x:c r="G467" s="191"/>
    </x:row>
    <x:row r="468">
      <x:c r="A468" s="194"/>
      <x:c r="B468" s="191"/>
      <x:c r="C468" s="191"/>
      <x:c r="D468" s="191"/>
      <x:c r="E468" s="191"/>
      <x:c r="F468" s="191"/>
      <x:c r="G468" s="191"/>
    </x:row>
    <x:row r="469">
      <x:c r="A469" s="194"/>
      <x:c r="B469" s="191"/>
      <x:c r="C469" s="191"/>
      <x:c r="D469" s="191"/>
      <x:c r="E469" s="191"/>
      <x:c r="F469" s="191"/>
      <x:c r="G469" s="191"/>
    </x:row>
    <x:row r="470">
      <x:c r="A470" s="194"/>
      <x:c r="B470" s="191"/>
      <x:c r="C470" s="191"/>
      <x:c r="D470" s="191"/>
      <x:c r="E470" s="191"/>
      <x:c r="F470" s="191"/>
      <x:c r="G470" s="191"/>
    </x:row>
    <x:row r="471">
      <x:c r="A471" s="194"/>
      <x:c r="B471" s="191"/>
      <x:c r="C471" s="191"/>
      <x:c r="D471" s="191"/>
      <x:c r="E471" s="191"/>
      <x:c r="F471" s="191"/>
      <x:c r="G471" s="191"/>
    </x:row>
    <x:row r="472">
      <x:c r="A472" s="194"/>
      <x:c r="B472" s="191"/>
      <x:c r="C472" s="191"/>
      <x:c r="D472" s="191"/>
      <x:c r="E472" s="191"/>
      <x:c r="F472" s="191"/>
      <x:c r="G472" s="191"/>
    </x:row>
    <x:row r="473">
      <x:c r="A473" s="194"/>
      <x:c r="B473" s="191"/>
      <x:c r="C473" s="191"/>
      <x:c r="D473" s="191"/>
      <x:c r="E473" s="191"/>
      <x:c r="F473" s="191"/>
      <x:c r="G473" s="191"/>
    </x:row>
    <x:row r="474">
      <x:c r="A474" s="194"/>
      <x:c r="B474" s="191"/>
      <x:c r="C474" s="191"/>
      <x:c r="D474" s="191"/>
      <x:c r="E474" s="191"/>
      <x:c r="F474" s="191"/>
      <x:c r="G474" s="191"/>
    </x:row>
    <x:row r="475">
      <x:c r="A475" s="194"/>
      <x:c r="B475" s="191"/>
      <x:c r="C475" s="191"/>
      <x:c r="D475" s="191"/>
      <x:c r="E475" s="191"/>
      <x:c r="F475" s="191"/>
      <x:c r="G475" s="191"/>
    </x:row>
    <x:row r="476">
      <x:c r="A476" s="194"/>
      <x:c r="B476" s="191"/>
      <x:c r="C476" s="191"/>
      <x:c r="D476" s="191"/>
      <x:c r="E476" s="191"/>
      <x:c r="F476" s="191"/>
      <x:c r="G476" s="191"/>
    </x:row>
    <x:row r="477">
      <x:c r="A477" s="194"/>
      <x:c r="B477" s="191"/>
      <x:c r="C477" s="191"/>
      <x:c r="D477" s="191"/>
      <x:c r="E477" s="191"/>
      <x:c r="F477" s="191"/>
      <x:c r="G477" s="191"/>
    </x:row>
    <x:row r="478">
      <x:c r="A478" s="194"/>
      <x:c r="B478" s="191"/>
      <x:c r="C478" s="191"/>
      <x:c r="D478" s="191"/>
      <x:c r="E478" s="191"/>
      <x:c r="F478" s="191"/>
      <x:c r="G478" s="191"/>
    </x:row>
    <x:row r="479">
      <x:c r="A479" s="194"/>
      <x:c r="B479" s="191"/>
      <x:c r="C479" s="191"/>
      <x:c r="D479" s="191"/>
      <x:c r="E479" s="191"/>
      <x:c r="F479" s="191"/>
      <x:c r="G479" s="191"/>
    </x:row>
    <x:row r="480">
      <x:c r="A480" s="194"/>
      <x:c r="B480" s="191"/>
      <x:c r="C480" s="191"/>
      <x:c r="D480" s="191"/>
      <x:c r="E480" s="191"/>
      <x:c r="F480" s="191"/>
      <x:c r="G480" s="191"/>
    </x:row>
    <x:row r="481">
      <x:c r="A481" s="194"/>
      <x:c r="B481" s="191"/>
      <x:c r="C481" s="191"/>
      <x:c r="D481" s="191"/>
      <x:c r="E481" s="191"/>
      <x:c r="F481" s="191"/>
      <x:c r="G481" s="191"/>
    </x:row>
    <x:row r="482">
      <x:c r="A482" s="194"/>
      <x:c r="B482" s="191"/>
      <x:c r="C482" s="191"/>
      <x:c r="D482" s="191"/>
      <x:c r="E482" s="191"/>
      <x:c r="F482" s="191"/>
      <x:c r="G482" s="191"/>
    </x:row>
    <x:row r="483">
      <x:c r="A483" s="194"/>
      <x:c r="B483" s="191"/>
      <x:c r="C483" s="191"/>
      <x:c r="D483" s="191"/>
      <x:c r="E483" s="191"/>
      <x:c r="F483" s="191"/>
      <x:c r="G483" s="191"/>
    </x:row>
    <x:row r="484">
      <x:c r="A484" s="194"/>
      <x:c r="B484" s="191"/>
      <x:c r="C484" s="191"/>
      <x:c r="D484" s="191"/>
      <x:c r="E484" s="191"/>
      <x:c r="F484" s="191"/>
      <x:c r="G484" s="191"/>
    </x:row>
    <x:row r="485">
      <x:c r="A485" s="194"/>
      <x:c r="B485" s="191"/>
      <x:c r="C485" s="191"/>
      <x:c r="D485" s="191"/>
      <x:c r="E485" s="191"/>
      <x:c r="F485" s="191"/>
      <x:c r="G485" s="191"/>
    </x:row>
    <x:row r="486">
      <x:c r="A486" s="194"/>
      <x:c r="B486" s="191"/>
      <x:c r="C486" s="191"/>
      <x:c r="D486" s="191"/>
      <x:c r="E486" s="191"/>
      <x:c r="F486" s="191"/>
      <x:c r="G486" s="191"/>
    </x:row>
    <x:row r="487">
      <x:c r="A487" s="194"/>
      <x:c r="B487" s="191"/>
      <x:c r="C487" s="191"/>
      <x:c r="D487" s="191"/>
      <x:c r="E487" s="191"/>
      <x:c r="F487" s="191"/>
      <x:c r="G487" s="191"/>
    </x:row>
    <x:row r="488">
      <x:c r="A488" s="194"/>
      <x:c r="B488" s="191"/>
      <x:c r="C488" s="191"/>
      <x:c r="D488" s="191"/>
      <x:c r="E488" s="191"/>
      <x:c r="F488" s="191"/>
      <x:c r="G488" s="191"/>
    </x:row>
    <x:row r="489">
      <x:c r="A489" s="194"/>
      <x:c r="B489" s="191"/>
      <x:c r="C489" s="191"/>
      <x:c r="D489" s="191"/>
      <x:c r="E489" s="191"/>
      <x:c r="F489" s="191"/>
      <x:c r="G489" s="191"/>
    </x:row>
    <x:row r="490">
      <x:c r="A490" s="194"/>
      <x:c r="B490" s="191"/>
      <x:c r="C490" s="191"/>
      <x:c r="D490" s="191"/>
      <x:c r="E490" s="191"/>
      <x:c r="F490" s="191"/>
      <x:c r="G490" s="191"/>
    </x:row>
    <x:row r="491">
      <x:c r="A491" s="194"/>
      <x:c r="B491" s="191"/>
      <x:c r="C491" s="191"/>
      <x:c r="D491" s="191"/>
      <x:c r="E491" s="191"/>
      <x:c r="F491" s="191"/>
      <x:c r="G491" s="191"/>
    </x:row>
    <x:row r="492">
      <x:c r="A492" s="194"/>
      <x:c r="B492" s="191"/>
      <x:c r="C492" s="191"/>
      <x:c r="D492" s="191"/>
      <x:c r="E492" s="191"/>
      <x:c r="F492" s="191"/>
      <x:c r="G492" s="191"/>
    </x:row>
    <x:row r="493">
      <x:c r="A493" s="194"/>
      <x:c r="B493" s="191"/>
      <x:c r="C493" s="191"/>
      <x:c r="D493" s="191"/>
      <x:c r="E493" s="191"/>
      <x:c r="F493" s="191"/>
      <x:c r="G493" s="191"/>
    </x:row>
    <x:row r="494">
      <x:c r="A494" s="194"/>
      <x:c r="B494" s="191"/>
      <x:c r="C494" s="191"/>
      <x:c r="D494" s="191"/>
      <x:c r="E494" s="191"/>
      <x:c r="F494" s="191"/>
      <x:c r="G494" s="191"/>
    </x:row>
    <x:row r="495">
      <x:c r="A495" s="194"/>
      <x:c r="B495" s="191"/>
      <x:c r="C495" s="191"/>
      <x:c r="D495" s="191"/>
      <x:c r="E495" s="191"/>
      <x:c r="F495" s="191"/>
      <x:c r="G495" s="191"/>
    </x:row>
    <x:row r="496">
      <x:c r="A496" s="194"/>
      <x:c r="B496" s="191"/>
      <x:c r="C496" s="191"/>
      <x:c r="D496" s="191"/>
      <x:c r="E496" s="191"/>
      <x:c r="F496" s="191"/>
      <x:c r="G496" s="191"/>
    </x:row>
    <x:row r="497">
      <x:c r="A497" s="194"/>
      <x:c r="B497" s="191"/>
      <x:c r="C497" s="191"/>
      <x:c r="D497" s="191"/>
      <x:c r="E497" s="191"/>
      <x:c r="F497" s="191"/>
      <x:c r="G497" s="191"/>
    </x:row>
    <x:row r="498">
      <x:c r="A498" s="194"/>
      <x:c r="B498" s="191"/>
      <x:c r="C498" s="191"/>
      <x:c r="D498" s="191"/>
      <x:c r="E498" s="191"/>
      <x:c r="F498" s="191"/>
      <x:c r="G498" s="191"/>
    </x:row>
    <x:row r="499">
      <x:c r="A499" s="194"/>
      <x:c r="B499" s="191"/>
      <x:c r="C499" s="191"/>
      <x:c r="D499" s="191"/>
      <x:c r="E499" s="191"/>
      <x:c r="F499" s="191"/>
      <x:c r="G499" s="191"/>
    </x:row>
    <x:row r="500">
      <x:c r="A500" s="194"/>
      <x:c r="B500" s="191"/>
      <x:c r="C500" s="191"/>
      <x:c r="D500" s="191"/>
      <x:c r="E500" s="191"/>
      <x:c r="F500" s="191"/>
      <x:c r="G500" s="191"/>
    </x:row>
    <x:row r="501">
      <x:c r="A501" s="194"/>
      <x:c r="B501" s="191"/>
      <x:c r="C501" s="191"/>
      <x:c r="D501" s="191"/>
      <x:c r="E501" s="191"/>
      <x:c r="F501" s="191"/>
      <x:c r="G501" s="191"/>
    </x:row>
    <x:row r="502">
      <x:c r="A502" s="194"/>
      <x:c r="B502" s="191"/>
      <x:c r="C502" s="191"/>
      <x:c r="D502" s="191"/>
      <x:c r="E502" s="191"/>
      <x:c r="F502" s="191"/>
      <x:c r="G502" s="191"/>
    </x:row>
    <x:row r="503">
      <x:c r="A503" s="194"/>
      <x:c r="B503" s="191"/>
      <x:c r="C503" s="191"/>
      <x:c r="D503" s="191"/>
      <x:c r="E503" s="191"/>
      <x:c r="F503" s="191"/>
      <x:c r="G503" s="191"/>
    </x:row>
    <x:row r="504">
      <x:c r="A504" s="194"/>
      <x:c r="B504" s="191"/>
      <x:c r="C504" s="191"/>
      <x:c r="D504" s="191"/>
      <x:c r="E504" s="191"/>
      <x:c r="F504" s="191"/>
      <x:c r="G504" s="191"/>
    </x:row>
    <x:row r="505">
      <x:c r="A505" s="195"/>
      <x:c r="B505" s="192"/>
      <x:c r="C505" s="192"/>
      <x:c r="D505" s="192"/>
      <x:c r="E505" s="192"/>
      <x:c r="F505" s="192"/>
      <x:c r="G505" s="192"/>
    </x:row>
  </x:sheetData>
  <x:mergeCells>
    <x:mergeCell ref="A1:G1"/>
    <x:mergeCell ref="A2:G2"/>
  </x:mergeCells>
  <x:conditionalFormatting sqref="F6:F505">
    <x:cfRule type="containsText" dxfId="13" priority="1" operator="containsText" text="สำเร็จ"/>
    <x:cfRule type="containsText" dxfId="14" priority="2" operator="containsText" text="ไม่สำเร็จ"/>
  </x:conditionalFormatting>
  <x:pageMargins left="0.7" right="0.7" top="0.75" bottom="0.75" header="0.3" footer="0.3"/>
</x:worksheet>
</file>